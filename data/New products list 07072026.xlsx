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products" sheetId="1" r:id="rId5"/>
    <sheet state="visible" name="All bundles" sheetId="2" r:id="rId6"/>
    <sheet state="visible" name="Bundle extra product data" sheetId="3" r:id="rId7"/>
    <sheet state="visible" name="eyes and lips" sheetId="4" r:id="rId8"/>
    <sheet state="visible" name="Lip Combos" sheetId="5" r:id="rId9"/>
    <sheet state="visible" name="Body strawberry skin" sheetId="6" r:id="rId10"/>
    <sheet state="visible" name="Body Fungal Infection" sheetId="7" r:id="rId11"/>
    <sheet state="visible" name="Body Hydration routine" sheetId="8" r:id="rId12"/>
    <sheet state="visible" name="Body Brightening routine" sheetId="9" r:id="rId13"/>
    <sheet state="visible" name="Body Acne routine" sheetId="10" r:id="rId14"/>
    <sheet state="visible" name="Face Fungal Acne" sheetId="11" r:id="rId15"/>
  </sheets>
  <definedNames>
    <definedName hidden="1" localSheetId="0" name="_xlnm._FilterDatabase">'All products'!$A$1:$BB$396</definedName>
    <definedName hidden="1" localSheetId="1" name="_xlnm._FilterDatabase">'All bundles'!$A$1:$AF$1027</definedName>
    <definedName hidden="1" localSheetId="2" name="_xlnm._FilterDatabase">'Bundle extra product data'!$A$1:$AA$28</definedName>
    <definedName hidden="1" localSheetId="3" name="_xlnm._FilterDatabase">'eyes and lips'!$A$1:$Y$42</definedName>
  </definedNames>
  <calcPr/>
</workbook>
</file>

<file path=xl/sharedStrings.xml><?xml version="1.0" encoding="utf-8"?>
<sst xmlns="http://schemas.openxmlformats.org/spreadsheetml/2006/main" count="9989" uniqueCount="4139">
  <si>
    <t>Product UID</t>
  </si>
  <si>
    <t>Product Name</t>
  </si>
  <si>
    <t>Brand</t>
  </si>
  <si>
    <t>Category (L1)</t>
  </si>
  <si>
    <t>Product Type (L2)</t>
  </si>
  <si>
    <t>SKU</t>
  </si>
  <si>
    <t>MRP</t>
  </si>
  <si>
    <t xml:space="preserve">Selling price </t>
  </si>
  <si>
    <t>Country of Origin</t>
  </si>
  <si>
    <t>Skintype match</t>
  </si>
  <si>
    <t>Concerns</t>
  </si>
  <si>
    <t>Single Hero Ingredient</t>
  </si>
  <si>
    <t>Secondary Hero Ingredients</t>
  </si>
  <si>
    <t>&lt;16</t>
  </si>
  <si>
    <t>17-25</t>
  </si>
  <si>
    <t>Above 25</t>
  </si>
  <si>
    <t>Acne</t>
  </si>
  <si>
    <t>Body Acne</t>
  </si>
  <si>
    <t>Dryness</t>
  </si>
  <si>
    <t>Open Pores</t>
  </si>
  <si>
    <t>Uneven Skin Tone</t>
  </si>
  <si>
    <t>Dark Spots/Pigmentation</t>
  </si>
  <si>
    <t>Melasma</t>
  </si>
  <si>
    <t>Barrier Repair</t>
  </si>
  <si>
    <t>Comedones</t>
  </si>
  <si>
    <t>Wrinkles/Fine lines</t>
  </si>
  <si>
    <t>Redness/Irritation</t>
  </si>
  <si>
    <t>Dehydration</t>
  </si>
  <si>
    <t>Dullness</t>
  </si>
  <si>
    <t>Tanning</t>
  </si>
  <si>
    <t>Oily Score</t>
  </si>
  <si>
    <t>Oily+Sensitive Score</t>
  </si>
  <si>
    <t>Dry Score</t>
  </si>
  <si>
    <t>Dry+Sensitive Score</t>
  </si>
  <si>
    <t>Normal Score</t>
  </si>
  <si>
    <t>Normal+Sensitive Score</t>
  </si>
  <si>
    <t>Combination Score</t>
  </si>
  <si>
    <t>Combination+Sensitive Score</t>
  </si>
  <si>
    <t>Excessive Dryness score</t>
  </si>
  <si>
    <t>Pregnancy Score</t>
  </si>
  <si>
    <t>Breastfeeling Score</t>
  </si>
  <si>
    <t>Product description</t>
  </si>
  <si>
    <t>Ingredients</t>
  </si>
  <si>
    <t>Do's</t>
  </si>
  <si>
    <t>Donts</t>
  </si>
  <si>
    <t>Storage Instructions</t>
  </si>
  <si>
    <t>Usage Instructions</t>
  </si>
  <si>
    <t>Ingredient caution</t>
  </si>
  <si>
    <t xml:space="preserve">Images </t>
  </si>
  <si>
    <t>Roopsee-F-CL-18</t>
  </si>
  <si>
    <t>Minimalist 5% Aquaporin Booster Face Wash With Hyaluronic Acid</t>
  </si>
  <si>
    <t>Minimalist</t>
  </si>
  <si>
    <t>Face</t>
  </si>
  <si>
    <t>Cleanser</t>
  </si>
  <si>
    <t>100ml</t>
  </si>
  <si>
    <t>India</t>
  </si>
  <si>
    <t>D, D+S, N, N+S, C, C+S</t>
  </si>
  <si>
    <t>Dryness, Dehydration</t>
  </si>
  <si>
    <t>Aquaporin Boosters</t>
  </si>
  <si>
    <t>Glyceryl Glucoside, Glycerin</t>
  </si>
  <si>
    <t>A daily, gentle cleanser with multiple humectants to instantly hydrate and make skin soft &amp; smooth. Formulated at optimum skin-identical pH of 5.5 for cleansing without drying skin.</t>
  </si>
  <si>
    <t>Water/Aqua, Glycerin, Methylpropanediol, Sodium Lauroyl Methyl Isethionate, Diglycerin, Glyceryl Glucoside, PEG-150 Pentaerythrityl Tetrastearate, Decyl Glucoside, Betaine, Methyl Gluceth-20, Panthenol, PEG-120 Methyl Glucose Dioleate, Disodium Cocoamphodiacetate, Sodium Cocoamphoacetate, Sodium PCA, Xylitylglucoside, Allantoin, Avena Sativa (Oat) Kernel Extract, Coco-Glucoside, Glyceryl Oleate, Hydrolyzed Wheat Protein, Xylitol, Anhydroxylitol, Sodium Hyaluronate Crosspolymer, Pentylene Glycol, Phenoxyethanol, Lactic Acid, Polyglyceryl-3 Laurate, Ethylhexylglycerin, Trisodium Ethylenediamine Disuccinate</t>
  </si>
  <si>
    <t>• Do not scrub aggressively or use very hot water.
  • Do not leave rinse-off products on the skin for longer than needed.
  • Do not use around the eyes unless the label says it is suitable.
  • Do not combine with multiple harsh cleansing steps if your skin feels dry.
  • Do not use on irritated cuts, rashes, or sunburned areas.</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</si>
  <si>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Store away from shower splash and close immediately after use.</t>
  </si>
  <si>
    <t>• Wet the skin first with lukewarm water.
  • Take a small amount and massage gently for 30-60 seconds.
  • Rinse completely and pat dry; do not rub with a towel.
  • Use morning, evening, or after sweating as needed.
  • Follow with leave-on care while the skin is slightly damp or comfortable.</t>
  </si>
  <si>
    <t>Ingredient caution: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Use lukewarm water, do not scrub, and follow with moisturiser. Do not apply on broken, freshly waxed or irritated skin. Apply on slightly damp skin and follow with moisturiser if dryness occurs. Stop use if irritation persists.</t>
  </si>
  <si>
    <r>
      <rPr>
        <rFont val="Carlito"/>
        <color rgb="FF000000"/>
        <sz val="11.0"/>
      </rPr>
      <t xml:space="preserve">https://global.beminimalist.co/cdn/shop/products/AquaporinCleanser-min.png?v=1670231017&amp;width=480
https://global.beminimalist.co/cdn/shop/products/AquaporinBoosterCleanserTexture-min.png?v=1670231017&amp;width=480
</t>
    </r>
    <r>
      <rPr>
        <rFont val="Carlito"/>
        <color rgb="FF1155CC"/>
        <sz val="11.0"/>
        <u/>
      </rPr>
      <t>https://global.beminimalist.co/cdn/shop/products/Aquaporin5Cleanser1200-3.png?v=1670231017&amp;width=480</t>
    </r>
  </si>
  <si>
    <t>Roopsee-F-SE-40</t>
  </si>
  <si>
    <t>Minimalist 0.6% Retinol Face Serum</t>
  </si>
  <si>
    <t>Serum</t>
  </si>
  <si>
    <t>30ml</t>
  </si>
  <si>
    <t>O, N, C</t>
  </si>
  <si>
    <t>Acne, Uneven Skin Tone, Wrinkles/Fine lines, Comedones, Dullness</t>
  </si>
  <si>
    <t>Retinol</t>
  </si>
  <si>
    <t>Coenzyme Q10, Squalane, Rosehip Oil</t>
  </si>
  <si>
    <t>A powerful anti-aging Retinol serum formulated in a stable, water-free system for retaining efficacy of Retinol. Packed with quality ingredients like Coenzyme Q10, Squalane and Rosehip Oil for delivering excellent results.</t>
  </si>
  <si>
    <t>Caprylic/Capric Triglyceride, Isododecane, Squalane, Coco-Caprylate/Caprate, Triheptanoin, Tocopheryl Acetate, Bakuchiol, Retinol, Polysorbate 20, Rosa Canina (Rosehip) Seed oil, Ubiquinone (Coenzyme Q10)</t>
  </si>
  <si>
    <t>• Do not use during pregnancy or breastfeeding unless advised by your doctor.
  • Do not combine in the same routine with strong exfoliating acids or other retinoids.
  • Do not apply near the corners of the nose, mouth, or eyes unless directed.
  • Do not use on freshly waxed, shaved, peeled, or irritated skin.
  • Do not increase frequency if peeling, burning, or persistent redness occurs.</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</si>
  <si>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Keep the bottle closed quickly after use and away from strong light.</t>
  </si>
  <si>
    <t>• Use only in the evening after cleansing.
  • Apply a pea-sized amount on dry skin and spread evenly.
  • Follow with moisturiser; sensitive skin can use moisturiser before and after.
  • Start 2-3 nights weekly, then increase only if tolerated.
  • Use sunscreen daily and avoid unnecessary direct sun exposure.</t>
  </si>
  <si>
    <t>Ingredient caution: retinol/retinoids might cause dryness, peeling, redness, purging and sun sensitivity; rich oils, butters or occlusive emollients might feel heavy or clog pores in acne-prone/oily skin. Do a patch test before applying. Retinol is not advised for pregnant or breastfeeding women unless approved by a doctor. First-time users should start 3–4 times a week at night, avoid layering with exfoliating acids, and use sunscreen daily. Use a small amount first and avoid applying on active acne if it feels greasy. Stop use if irritation persists.</t>
  </si>
  <si>
    <r>
      <rPr>
        <rFont val="Carlito"/>
        <color rgb="FF1155CC"/>
        <sz val="11.0"/>
        <u/>
      </rPr>
      <t>https://cdn.tirabeauty.com/v2/billowing-snowflake-434234/tira-p/wrkr/products/pictures/item/free/resize-w:2200/1090195/y6UtyhWLn1-1090195_1.jpg</t>
    </r>
    <r>
      <rPr>
        <rFont val="Carlito"/>
        <color rgb="FF1F1F1F"/>
        <sz val="11.0"/>
      </rPr>
      <t xml:space="preserve">,  </t>
    </r>
    <r>
      <rPr>
        <rFont val="Carlito"/>
        <color rgb="FF1155CC"/>
        <sz val="11.0"/>
        <u/>
      </rPr>
      <t>https://cdn.tirabeauty.com/v2/billowing-snowflake-434234/tira-p/wrkr/products/pictures/item/free/resize-w:2200/1090195/2TrLyfGOK-1090195_2.jpg</t>
    </r>
    <r>
      <rPr>
        <rFont val="Carlito"/>
        <color rgb="FF1F1F1F"/>
        <sz val="11.0"/>
      </rPr>
      <t xml:space="preserve">, </t>
    </r>
    <r>
      <rPr>
        <rFont val="Carlito"/>
        <color rgb="FF1155CC"/>
        <sz val="11.0"/>
        <u/>
      </rPr>
      <t>https://cdn.tirabeauty.com/v2/billowing-snowflake-434234/tira-p/wrkr/products/pictures/item/free/resize-w:2200/1090195/DbelAO4uQm-1090195_3.jpg</t>
    </r>
    <r>
      <rPr>
        <rFont val="Carlito"/>
        <color rgb="FF1F1F1F"/>
        <sz val="11.0"/>
      </rPr>
      <t xml:space="preserve">, </t>
    </r>
    <r>
      <rPr>
        <rFont val="Carlito"/>
        <color rgb="FF1155CC"/>
        <sz val="11.0"/>
        <u/>
      </rPr>
      <t>https://cdn.tirabeauty.com/v2/billowing-snowflake-434234/tira-p/wrkr/products/pictures/item/free/resize-w:2200/1090195/PGuJYoTeT--1090195_4.jpg</t>
    </r>
  </si>
  <si>
    <t>Roopsee-F-MO-19</t>
  </si>
  <si>
    <t>Minimalist 0.3% Ceramide Barrier Repair Moisturizing Cream For Oily Skin</t>
  </si>
  <si>
    <t>moisturiser</t>
  </si>
  <si>
    <t>50g</t>
  </si>
  <si>
    <t>D+S, O, O+S, N, N+S, C, C+S</t>
  </si>
  <si>
    <t>Barrier Repair, Redness/Irritation, Dehydration</t>
  </si>
  <si>
    <t>Ceramides</t>
  </si>
  <si>
    <t>Cholesterol, Fatty Acids, Madecassoside, Ursolic Acid</t>
  </si>
  <si>
    <t>An everyday moisturizing gel with 5 Ceramides to restore &amp; repair skin’s natural barrier &amp; prevent water loss. A lightweight formula suitable for oily / combination skin</t>
  </si>
  <si>
    <t>Water/Aqua, Dicaprylyl Carbonate, Avena Sativa (Oat) Kernel Extract, Glycerin, Butylene Glycol, Glyceryl Glucoside, Trehalose, Saccharide Isomerate, Ursolic Acid, Aminobutyric Acid, Pentylene Glycol, Allantoin, Cholestrol, Hydrogenated Lecithin, Madecassoside, Polyacrylate-13, Polyisobutene, Polysorbate 20, Glyceryl Stearate, Phenoxyethanol, Ceramide NP, Ceramide EOP, Ceramide NS, Ceramide AS, Ceramide AP, Dipropylene Glycol, Lecithin, Sodium Hydroxide, Ethylhexylglycerin, Citric Acid, Sodium Citrate, Sucrose Distearate, Carbomer, Trisodium Ethylenediamine Disuccinate</t>
  </si>
  <si>
    <t>• Do not apply with wet or unclean hands into jars or tubs.
  • Do not use a very thick layer if it feels heavy, greasy, or pore-clogging.
  • Do not skip sunscreen in the daytime just because the skin feels moisturised.
  • Do not apply over irritated skin if it stings repeatedly.
  • Do not dilute with water inside the container.</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</si>
  <si>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Use a clean spatula or clean fingertip for jar formats whenever possible.</t>
  </si>
  <si>
    <t>• Use after cleansing and after lighter leave-on steps.
  • Massage gently until the layer feels even and comfortable.
  • Use morning and/or night depending on dryness.
  • Adjust quantity by season: lighter in humid weather, slightly more in dry weather.
  • Apply sunscreen after it in the morning when skin is exposed.</t>
  </si>
  <si>
    <t>Ingredient caution: preservatives such as phenoxyethanol/benzyl alcohol might sting very sensitive or compromised skin; humectants such as hyaluronic acid/glycerin are usually gentle but might feel sticky or tight if not sealed with moisturiser. Do a patch test before applying. Do not apply on broken, freshly waxed or irritated skin. Apply on slightly damp skin and follow with moisturiser if dryness occurs. Stop use if irritation persists.</t>
  </si>
  <si>
    <r>
      <rPr>
        <rFont val="Carlito"/>
        <color rgb="FF1155CC"/>
        <sz val="11.0"/>
        <u/>
      </rPr>
      <t>https://sfycdn.speedsize.com/56385b25-4e17-4a9a-9bec-c421c18686fb/beminimalist.co/cdn/shop/files/Ceramide_Madecassoside.png?crop=center&amp;height=1260&amp;v=1721398128&amp;width=840</t>
    </r>
    <r>
      <rPr>
        <rFont val="Carlito"/>
        <color rgb="FF1F1F1F"/>
        <sz val="11.0"/>
      </rPr>
      <t xml:space="preserve">,  </t>
    </r>
    <r>
      <rPr>
        <rFont val="Carlito"/>
        <color rgb="FF1155CC"/>
        <sz val="11.0"/>
        <u/>
      </rPr>
      <t>https://sfycdn.speedsize.com/56385b25-4e17-4a9a-9bec-c421c18686fb/beminimalist.co/cdn/shop/files/Ceramide_Made_2.png?crop=center&amp;height=1260&amp;v=1722952329&amp;width=840</t>
    </r>
    <r>
      <rPr>
        <rFont val="Carlito"/>
        <color rgb="FF1F1F1F"/>
        <sz val="11.0"/>
      </rPr>
      <t xml:space="preserve">, </t>
    </r>
    <r>
      <rPr>
        <rFont val="Carlito"/>
        <color rgb="FF1155CC"/>
        <sz val="11.0"/>
        <u/>
      </rPr>
      <t>https://sfycdn.speedsize.com/56385b25-4e17-4a9a-9bec-c421c18686fb/beminimalist.co/cdn/shop/files/Ceramide_Made_3.png?crop=center&amp;height=1260&amp;v=1722952329&amp;width=840</t>
    </r>
    <r>
      <rPr>
        <rFont val="Carlito"/>
        <color rgb="FF1F1F1F"/>
        <sz val="11.0"/>
      </rPr>
      <t>, https://sfycdn.speedsize.com/56385b25-4e17-4a9a-9bec-c421c18686fb/beminimalist.co/cdn/shop/files/Ceramide_Made_4.png?crop=center&amp;height=1260&amp;v=1722952329&amp;width=840</t>
    </r>
  </si>
  <si>
    <t>Roopsee-B-WA-09</t>
  </si>
  <si>
    <t>Minimalist 2% Salicylic Acid + LHA Body Wash</t>
  </si>
  <si>
    <t>Body</t>
  </si>
  <si>
    <t>Body Wash</t>
  </si>
  <si>
    <t>200ml</t>
  </si>
  <si>
    <t>O, C</t>
  </si>
  <si>
    <t>Body Acne, Strawberry skin</t>
  </si>
  <si>
    <t>Salicylic Acid (2%)</t>
  </si>
  <si>
    <t>LHA, Zinc PCA, Glycerin, Panthenol</t>
  </si>
  <si>
    <t>A gentle, exfoliating body wash that provides bump-free soft skin without compromising the skin barrier. It contains a powerful combination of Salicylic Acid (BHA) + LHA in a combination of 2% with mild surfactants.</t>
  </si>
  <si>
    <t>Water/Aqua, Sodium Lauroyl Sarcosinate, Coco-Glucoside, Cocamidopropyl Betaine, Acrylates Copolymer, Acrylates Crosspolymer-4, Glycerin, Sodium Lauroamphoacetate, Salicylic Acid, Capryloyl Salicylic Acid, Sodium PCA, Betaine, Niacinamide, Phenoxyethanol, Ethylhexylglycerin, Sodium Hydroxide, Trisodium Ethylenediamine Disuccinate</t>
  </si>
  <si>
    <t>Ingredient caution: salicylic acid/BHA might cause stinging, dryness, peeling, redness and increased sun sensitivity; niacinamide is usually gentle but might cause tingling or flushing in very reactive skin; sulfur/zinc-based oil-control ingredients might feel drying or tight on already dry skin; cleansing surfactants might cause dryness, stinging or tightness if overused. Do a patch test before applying. First-time users should start 3–4 times a week, avoid using it with retinol or other exfoliating acids in the same routine, and apply sunscreen daily. Start slowly if your skin is sensitive and avoid combining too many new actives at once. Use a moisturiser and reduce frequency if the skin feels tight or flaky. Use lukewarm water, do not scrub, and follow with moisturiser. Stop use if irritation persists.</t>
  </si>
  <si>
    <r>
      <rPr>
        <rFont val="Carlito"/>
        <color rgb="FF000000"/>
        <sz val="11.0"/>
        <u/>
      </rPr>
      <t>https://sfycdn.speedsize.com/56385b25-4e17-4a9a-9bec-c421c18686fb/beminimalist.co/cdn/shop/files/SaliBodyWashNew.jpg?crop=center&amp;height=1260&amp;v=1747392983&amp;width=840</t>
    </r>
    <r>
      <rPr>
        <rFont val="Carlito"/>
        <color rgb="FF1F1F1F"/>
        <sz val="11.0"/>
      </rPr>
      <t xml:space="preserve">, </t>
    </r>
    <r>
      <rPr>
        <rFont val="Carlito"/>
        <color rgb="FF1155CC"/>
        <sz val="11.0"/>
        <u/>
      </rPr>
      <t>https://m.media-amazon.com/images/I/51z1MVeewiL._SL1080_.jpg</t>
    </r>
    <r>
      <rPr>
        <rFont val="Carlito"/>
        <color rgb="FF1F1F1F"/>
        <sz val="11.0"/>
      </rPr>
      <t xml:space="preserve">, </t>
    </r>
    <r>
      <rPr>
        <rFont val="Carlito"/>
        <color rgb="FF1155CC"/>
        <sz val="11.0"/>
        <u/>
      </rPr>
      <t>https://m.media-amazon.com/images/I/61NWjzwkrTL._SL1080_.jpg</t>
    </r>
    <r>
      <rPr>
        <rFont val="Carlito"/>
        <color rgb="FF1F1F1F"/>
        <sz val="11.0"/>
      </rPr>
      <t xml:space="preserve">,  </t>
    </r>
    <r>
      <rPr>
        <rFont val="Carlito"/>
        <color rgb="FF1155CC"/>
        <sz val="11.0"/>
        <u/>
      </rPr>
      <t>https://m.media-amazon.com/images/I/51VK0-LX1BL._SL1080_.jpg</t>
    </r>
  </si>
  <si>
    <t>Roopsee-B-LO-05</t>
  </si>
  <si>
    <t>Minimalist Niacinamide 5% Body Lotion</t>
  </si>
  <si>
    <t>Body Lotion</t>
  </si>
  <si>
    <t>180g</t>
  </si>
  <si>
    <t>Niacinamide (5%)</t>
  </si>
  <si>
    <t>Hyaluronic Acid, Glycerin, Shea Butter</t>
  </si>
  <si>
    <t>A daily, lightweight, nourishing body lotion infused with Niacinamide, Glycerin &amp; Shea Butter that hydrates, nourishes and repairs skin.</t>
  </si>
  <si>
    <t>Water/Aqua, Glycerin, Niacinamide, Caprylic/Capric Triglyceride, Cyclopentasiloxane, Isododecane, Dimethicone, Glyceryl Stearate, PEG-100 Stearate, Betaine, Petrolatum, Stearic Acid, Phenoxyethanol, Cetearyl Alcohol, Carbomer, Ethylhexylglycerin, Hydroxyethyl Acrylate/Sodium Acryloyldimethyl Taurate Copolymer, Sodium Hydroxide, Trisodium Ethylenediamine Disuccinate</t>
  </si>
  <si>
    <t>• Do not apply on unclean, sweaty, or broken skin.
  • Do not use a very thick layer if it feels sticky or uncomfortable.
  • Do not apply immediately after shaving or waxing if it stings.
  • Do not skip sunscreen on exposed areas in the daytime.
  • Do not dilute or mix water inside the container.</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</si>
  <si>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Avoid leaving it near high heat or direct sunlight for long hours.</t>
  </si>
  <si>
    <t>• Use after showering or cleansing the area.
  • Massage gently until evenly spread.
  • Use once or twice daily depending on dryness and comfort.
  • Focus on rough, dry, or concern-prone areas.
  • Allow it to absorb before dressing.</t>
  </si>
  <si>
    <t>Ingredient caution: niacinamide is usually gentle but might cause tingling or flushing in very reactive skin;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Use a small amount first and avoid applying on active acne if it feels greasy. Do not apply on broken, freshly waxed or irritated skin. Apply on slightly damp skin and follow with moisturiser if dryness occurs. Stop use if irritation persists.</t>
  </si>
  <si>
    <r>
      <rPr>
        <rFont val="Carlito"/>
        <color rgb="FF000000"/>
        <sz val="11.0"/>
      </rPr>
      <t xml:space="preserve">https://m.media-amazon.com/images/I/51cWnlWUJOL._SL1280_.jpg, https://m.media-amazon.com/images/I/61L58TjXABL._SL1500_.jpg, </t>
    </r>
    <r>
      <rPr>
        <rFont val="Carlito"/>
        <color rgb="FF1155CC"/>
        <sz val="11.0"/>
        <u/>
      </rPr>
      <t>https://m.media-amazon.com/images/I/61adfawSHkL._SL1500_.jpg</t>
    </r>
    <r>
      <rPr>
        <rFont val="Carlito"/>
        <color rgb="FF000000"/>
        <sz val="11.0"/>
      </rPr>
      <t xml:space="preserve">, </t>
    </r>
    <r>
      <rPr>
        <rFont val="Carlito"/>
        <color rgb="FF1155CC"/>
        <sz val="11.0"/>
        <u/>
      </rPr>
      <t>https://m.media-amazon.com/images/I/51trWyC5d-L._SL1500_.jpg</t>
    </r>
  </si>
  <si>
    <t>Roopsee-F-TO-09</t>
  </si>
  <si>
    <t>Minimalist 8% Glycolic Acid Toner</t>
  </si>
  <si>
    <t>Toner</t>
  </si>
  <si>
    <t>150ml</t>
  </si>
  <si>
    <t>Uneven Skin Tone, Dark Spots/Pigmentation</t>
  </si>
  <si>
    <t>Glycolic Acid (8%)</t>
  </si>
  <si>
    <t>Aloe Vera, Allantoin</t>
  </si>
  <si>
    <t>A multi-purpose exfoliator formulated with Glycolic Acid in free acid form (at 8%) to help in natural cell turnover and effective exfoliation. Combined with bamboo water for hydrating and soothing skin.</t>
  </si>
  <si>
    <t>Aqua, Glycolic Acid, Bambusa Vulgaris (Bamboo) Water, Sodium Hydroxide, Propanediol, Ethoxydiglycol, Polysorbate-20, Sodium Hyaluronate, Sodium PCA, Aminomethyl Propanol, Phenoxyethanol, Ethylhexylglycerin, Trisodium Ethylenediamine Disuccinate</t>
  </si>
  <si>
    <t>• Do not combine with other exfoliating steps in the same routine.
  • Do not scrub over active acne, cuts, rashes, or sunburn.
  • Do not use before or after waxing, shaving, threading, or procedures if skin is sensitive.
  • Do not use daily unless specifically advised and well tolerated.
  • Do not continue if skin becomes raw, shiny, painful, or persistently red.</t>
  </si>
  <si>
    <t>• Use after cleansing, preferably in the evening.
  • Apply gently and avoid the eye area.
  • Rinse off if it is a wash-off format; leave on only if clearly directed.
  • Follow with a simple moisturiser.
  • Keep the next morning routine gentle and include sunscreen.</t>
  </si>
  <si>
    <t>Ingredient caution: glycolic acid/AHA might cause stinging, dryness, peeling, redness and increased sun sensitivity;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Do not apply on broken, freshly waxed or irritated skin. Apply on slightly damp skin and follow with moisturiser if dryness occurs. Stop use if irritation persists.</t>
  </si>
  <si>
    <r>
      <rPr>
        <rFont val="Carlito"/>
        <color rgb="FF1155CC"/>
        <sz val="11.0"/>
        <u/>
      </rPr>
      <t>https://sfycdn.speedsize.com/56385b25-4e17-4a9a-9bec-c421c18686fb/beminimalist.co/cdn/shop/files/GlycolicNew.png?crop=center&amp;height=1260&amp;v=1721398128&amp;width=840</t>
    </r>
    <r>
      <rPr>
        <rFont val="Carlito"/>
        <color rgb="FF000000"/>
        <sz val="11.0"/>
      </rPr>
      <t xml:space="preserve">, </t>
    </r>
    <r>
      <rPr>
        <rFont val="Carlito"/>
        <color rgb="FF1155CC"/>
        <sz val="11.0"/>
        <u/>
      </rPr>
      <t>https://sfycdn.speedsize.com/56385b25-4e17-4a9a-9bec-c421c18686fb/beminimalist.co/cdn/shop/files/Glycolic_Exfoliating_Liquid_08_04.png?crop=center&amp;height=1260&amp;v=1726489864&amp;width=840</t>
    </r>
    <r>
      <rPr>
        <rFont val="Carlito"/>
        <color rgb="FF000000"/>
        <sz val="11.0"/>
      </rPr>
      <t xml:space="preserve">, </t>
    </r>
    <r>
      <rPr>
        <rFont val="Carlito"/>
        <color rgb="FF1155CC"/>
        <sz val="11.0"/>
        <u/>
      </rPr>
      <t>https://sfycdn.speedsize.com/56385b25-4e17-4a9a-9bec-c421c18686fb/beminimalist.co/cdn/shop/files/Glycolic_Exfoliating_Liquid_08_02.png?crop=center&amp;height=1260&amp;v=1726489864&amp;width=840</t>
    </r>
    <r>
      <rPr>
        <rFont val="Carlito"/>
        <color rgb="FF000000"/>
        <sz val="11.0"/>
      </rPr>
      <t xml:space="preserve">, </t>
    </r>
    <r>
      <rPr>
        <rFont val="Carlito"/>
        <color rgb="FF1155CC"/>
        <sz val="11.0"/>
        <u/>
      </rPr>
      <t>https://sfycdn.speedsize.com/56385b25-4e17-4a9a-9bec-c421c18686fb/beminimalist.co/cdn/shop/files/Glycolic_Exfoliating_Liquid_08_03.png?crop=center&amp;height=1260&amp;v=1726489864&amp;width=840</t>
    </r>
  </si>
  <si>
    <t>Roopsee-B-LO-06</t>
  </si>
  <si>
    <t>Minimalist SPF 30 Body Lotion</t>
  </si>
  <si>
    <t>150g</t>
  </si>
  <si>
    <t>D, D+S</t>
  </si>
  <si>
    <t>UV Filters</t>
  </si>
  <si>
    <t>Avobenzone, Uvinul T 150, Octocrylene, Green Tea, Glycerin, Vitamin E</t>
  </si>
  <si>
    <t>A soft cushiony body lotion that not only nourishes skin but also protects from UVA &amp; UVB rays. Lab tested and obtained SPF value of 38.57</t>
  </si>
  <si>
    <t>Water/Aqua, Octocrylene, Glycerin, Caprylic/Capric Triglyceride, Butyl Methoxydibenzoylmethane, Butyrospermum Parkii (Shea) Butter, Propylene Glycol Dicaprylate/Dicaprate, Diisopropyl Sebacate, PEG-100 Stearate, Glyceryl Stearate, Petrolatum, Diisopropyl Adipate, C12-15 Alkyl Benzoate, Phenoxyethanol, Cetearyl Alcohol, Pentylene Glycol, Isododecane, Tocopheryl Acetate, Camellia Sinensis (Green Tea) Leaf Extract, Hydrogenated Polyisobutene, Carbomer, Hydroxyethyl Acrylate/Sodium Acryloyldimethyl Taurate Copolymer, Sodium Hydroxide, Ethyhexylglycerin, Trisodium Ethylenediamine Disuccinate</t>
  </si>
  <si>
    <t>• Do not rely on a thin layer for full protection.
  • Do not skip reapplication during prolonged sun exposure.
  • Do not apply too close to the eyes if it causes watering or stinging.
  • Do not use an expired product, especially for outdoor protection.
  • Do not mix directly with moisturiser or foundation if it reduces even coverage.</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</si>
  <si>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Avoid leaving it in hot cars, window sills, or direct sunlight for long hours.</t>
  </si>
  <si>
    <t>• Use in the morning after moisturiser and before makeup.
  • Take enough quantity to cover face and neck evenly.
  • Spread in small sections until there are no missed patches.
  • Allow it to settle before stepping out.
  • Reapply during the day when exposed to sun, heat, sweat, or water.</t>
  </si>
  <si>
    <t>Ingredient caution: UV filters might sting around the eyes or irritate very sensitive skin;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Patch test near the jawline first, avoid the eye corners, and remove gently at night. Use a small amount first and avoid applying on active acne if it feels greasy. Do not apply on broken, freshly waxed or irritated skin. Apply on slightly damp skin and follow with moisturiser if dryness occurs. Stop use if irritation persists.</t>
  </si>
  <si>
    <r>
      <rPr>
        <rFont val="Carlito"/>
        <color rgb="FF1155CC"/>
        <sz val="11.0"/>
        <u/>
      </rPr>
      <t>https://sfycdn.speedsize.com/56385b25-4e17-4a9a-9bec-c421c18686fb/beminimalist.co/cdn/shop/products/SPF30BodyLotion1100-1.png?crop=center&amp;height=1260&amp;v=1649353641&amp;width=840</t>
    </r>
    <r>
      <rPr>
        <rFont val="Carlito"/>
        <color rgb="FF000000"/>
        <sz val="11.0"/>
      </rPr>
      <t xml:space="preserve">, </t>
    </r>
    <r>
      <rPr>
        <rFont val="Carlito"/>
        <color rgb="FF1155CC"/>
        <sz val="11.0"/>
        <u/>
      </rPr>
      <t>https://sfycdn.speedsize.com/56385b25-4e17-4a9a-9bec-c421c18686fb/beminimalist.co/cdn/shop/files/SPF_30_Body_2.png?crop=center&amp;height=1260&amp;v=1724763872&amp;width=840</t>
    </r>
    <r>
      <rPr>
        <rFont val="Carlito"/>
        <color rgb="FF000000"/>
        <sz val="11.0"/>
      </rPr>
      <t xml:space="preserve">, </t>
    </r>
    <r>
      <rPr>
        <rFont val="Carlito"/>
        <color rgb="FF1155CC"/>
        <sz val="11.0"/>
        <u/>
      </rPr>
      <t>https://sfycdn.speedsize.com/56385b25-4e17-4a9a-9bec-c421c18686fb/beminimalist.co/cdn/shop/files/SPF_30_Body_3.png?crop=center&amp;height=1260&amp;v=1724763872&amp;width=840</t>
    </r>
    <r>
      <rPr>
        <rFont val="Carlito"/>
        <color rgb="FF000000"/>
        <sz val="11.0"/>
      </rPr>
      <t xml:space="preserve">, </t>
    </r>
    <r>
      <rPr>
        <rFont val="Carlito"/>
        <color rgb="FF1155CC"/>
        <sz val="11.0"/>
        <u/>
      </rPr>
      <t>https://sfycdn.speedsize.com/56385b25-4e17-4a9a-9bec-c421c18686fb/beminimalist.co/cdn/shop/files/SPF_30_Body_4.png?crop=center&amp;height=1260&amp;v=1724763872&amp;width=840</t>
    </r>
  </si>
  <si>
    <t>Roopsee-F-CL-19</t>
  </si>
  <si>
    <t>The Derma Co Niacinamide Gentle Skin Cleanser</t>
  </si>
  <si>
    <t>The Derma Co</t>
  </si>
  <si>
    <t>125ml</t>
  </si>
  <si>
    <t>D, D+S, N, N+S, C, C+S, O+S</t>
  </si>
  <si>
    <t>Niacinamide</t>
  </si>
  <si>
    <t>Cica Extract, Ceramide Complex</t>
  </si>
  <si>
    <t>Healthy skin comes to those who choose the right cleanser &amp; we’ve got just the one for you - Introducing 2% Niacinamide Gentle Skin Cleanser. This 100% soap-free creamy cleanser gently removes oil, dirt, makeup &amp; other impurities, keeping your skin hydrated for 24 hours post wash! It’s known to offer prolonged hydration to protect your skin against dryness &amp; is enriched with the finest blend of ingredients like Cica Extract &amp; Ceramide Complex, providing remarkable nourishing benefits for dry, normal &amp; sensitive skin. Best part? This derma-approved cleanser is ideal for sensitive skin as the cleanser’s gentle cleansing &amp; non oil-stripping action preserves the skin's moisture, ensuring optimal hydration.</t>
  </si>
  <si>
    <t>Aqua, Cetostearyl Alcohol, Glycerin, Niacinamide, Sodium Cocoyl Isethionate, Phenoxyethanol Ethylhexylglycerin, Cocamidopropyl Betaine, Xanthan Gum, Cica Extract, Cetyl Alcohol, Carbomer, Saccharide Isomerate, Sodium Gluconate, Ceramide Complex, Oatmeal Extract, Vitamin E, Citric Acid and Sodium Citrate</t>
  </si>
  <si>
    <t>Ingredient caution: niacinamide is usually gentle but might cause tingling or flushing in very reactive skin;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Use lukewarm water, do not scrub, and follow with moisturiser. Do not apply on broken, freshly waxed or irritated skin. Apply on slightly damp skin and follow with moisturiser if dryness occurs. Stop use if irritation persists.</t>
  </si>
  <si>
    <r>
      <rPr>
        <rFont val="Carlito"/>
        <color rgb="FF1155CC"/>
        <sz val="11.0"/>
        <u/>
      </rPr>
      <t>https://thedermaco.com/cdn/shop/files/1-niacinamide_gentle_skin_cleanser_for_sensitive_dry_normal_skin_79a6002c-a0fa-47c4-bed1-3aa6c41f48e7.jpg?v=1758286821&amp;width=990</t>
    </r>
    <r>
      <rPr>
        <rFont val="Carlito"/>
        <color rgb="FF000000"/>
        <sz val="11.0"/>
      </rPr>
      <t xml:space="preserve">, </t>
    </r>
    <r>
      <rPr>
        <rFont val="Carlito"/>
        <color rgb="FF1155CC"/>
        <sz val="11.0"/>
        <u/>
      </rPr>
      <t>https://thedermaco.com/cdn/shop/files/6-niacinamide_gentle_skin_cleanser_for_sensitive_dry_normal_skin.jpg?v=1772698901&amp;width=990</t>
    </r>
    <r>
      <rPr>
        <rFont val="Carlito"/>
        <color rgb="FF000000"/>
        <sz val="11.0"/>
      </rPr>
      <t xml:space="preserve">, </t>
    </r>
    <r>
      <rPr>
        <rFont val="Carlito"/>
        <color rgb="FF1155CC"/>
        <sz val="11.0"/>
        <u/>
      </rPr>
      <t>https://thedermaco.com/cdn/shop/files/3-niacinamide_gentle_skin_cleanser_for_sensitive_dry_normal_skin.jpg?v=1772698901&amp;width=990</t>
    </r>
    <r>
      <rPr>
        <rFont val="Carlito"/>
        <color rgb="FF000000"/>
        <sz val="11.0"/>
      </rPr>
      <t xml:space="preserve">,  </t>
    </r>
    <r>
      <rPr>
        <rFont val="Carlito"/>
        <color rgb="FF1155CC"/>
        <sz val="11.0"/>
        <u/>
      </rPr>
      <t>https://thedermaco.com/cdn/shop/files/1-3-niacinamide_gentle_skin_cleanser_for_sensitive_dry_normal_skin.jpg?v=1772698901&amp;width=990</t>
    </r>
    <r>
      <rPr>
        <rFont val="Carlito"/>
        <color rgb="FF000000"/>
        <sz val="11.0"/>
      </rPr>
      <t xml:space="preserve">, </t>
    </r>
    <r>
      <rPr>
        <rFont val="Carlito"/>
        <color rgb="FF1155CC"/>
        <sz val="11.0"/>
        <u/>
      </rPr>
      <t>https://thedermaco.com/cdn/shop/files/5-niacinamide_gentle_skin_cleanser_for_sensitive_dry_normal_skin.jpg?v=1772698901&amp;width=990</t>
    </r>
  </si>
  <si>
    <t>Roopsee-F-SE-41</t>
  </si>
  <si>
    <t>The Derma Co 2% Salicylic Acid Face Serum for Active Acne</t>
  </si>
  <si>
    <t>Acne, Open Pores, Comedones</t>
  </si>
  <si>
    <t>Niacinamide, Zinc</t>
  </si>
  <si>
    <t>The serum you swear by, now upgraded for even better results! The Derma Co. 2% Salicylic Acid Serum is back, but this time it’s supercharged with our cutting-edge Deep Penetration Formula (DPF) - featuring advanced penetration enhancers and nanotechnology. This innovative upgrade ensures better absorption of active ingredients, making every drop more effective than ever. Infused with Salicylic Acid, Witch Hazel and Willow Bark, this newly enhanced serum works harder to reduce acne, blackheads and clogged pores. Incorporate it into your daily routine and say yes to clear, calm and balanced skin that’s free of breakouts and inflammation. Go ahead, get the best of Salicylic</t>
  </si>
  <si>
    <t>Aqua, 1,3-Propanediol, Ethoxydiglycol, Salicylic Acid, Methylpropanediol, Glycerin, Pentylene Glycol, Hamamelis Virginiana (Witch Hazel) Extract, Salix Alba (Willow) Bark Extract, Sodium Hyaluronate, Dimethyl Isosorbide, Sclerotium Gum, Phenoxyethanol, Tris(Tetramethylhydroxypiperidinol) Citrate, Ethylhexylglycerin, Trisodium Ethylenediamine Disuccinate, Propylene Glycol, Sodium Hydroxide, PEG-40 Hydrogenated Castor Oil, Sodium Benzoate, Potassium Sorbate</t>
  </si>
  <si>
    <t>• Do not layer too many active serums in the same routine.
  • Do not apply on broken, freshly waxed, or irritated skin.
  • Do not exceed the suggested amount hoping for faster results.
  • Do not continue if burning, swelling, or persistent redness appears.
  • Do not skip patch testing if your skin is sensitive.</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</si>
  <si>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Keep the dropper or pump clean and avoid touching it directly to the skin.</t>
  </si>
  <si>
    <t>• Cleanse and pat the skin dry before application.
  • Apply 2-3 drops or a pea-sized amount evenly on the face.
  • Let it absorb before applying moisturiser.
  • Use as directed, usually once daily or on alternate days for active formulas.
  • Follow with sunscreen in the morning routine.</t>
  </si>
  <si>
    <t>Ingredient caution: salicylic acid/BHA might cause stinging, dryness, peeling, redness and increased sun sensitivity; niacinamide is usually gentle but might cause tingling or flushing in very reactive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Start slowly if your skin is sensitive and avoid combining too many new actives at once. Do not apply on broken, freshly waxed or irritated skin. Apply on slightly damp skin and follow with moisturiser if dryness occurs. Stop use if irritation persists.</t>
  </si>
  <si>
    <r>
      <rPr>
        <rFont val="Carlito"/>
        <color rgb="FF1155CC"/>
        <sz val="11.0"/>
        <u/>
      </rPr>
      <t>https://thedermaco.com/cdn/shop/files/2_PDP_516d5d09-bf60-4181-9611-34bbcb9c4e81.jpg?v=1782729928&amp;width=990</t>
    </r>
    <r>
      <rPr>
        <rFont val="Carlito"/>
        <color rgb="FF000000"/>
        <sz val="11.0"/>
      </rPr>
      <t xml:space="preserve">, </t>
    </r>
    <r>
      <rPr>
        <rFont val="Carlito"/>
        <color rgb="FF1155CC"/>
        <sz val="11.0"/>
        <u/>
      </rPr>
      <t>https://thedermaco.com/cdn/shop/files/10_8bcda092-2080-4464-a9b4-3b1c3a9592a0.jpg?v=1782729927&amp;width=990</t>
    </r>
    <r>
      <rPr>
        <rFont val="Carlito"/>
        <color rgb="FF000000"/>
        <sz val="11.0"/>
      </rPr>
      <t xml:space="preserve">, </t>
    </r>
    <r>
      <rPr>
        <rFont val="Carlito"/>
        <color rgb="FF1155CC"/>
        <sz val="11.0"/>
        <u/>
      </rPr>
      <t>https://thedermaco.com/cdn/shop/files/9_11a637f6-fd71-4630-8b2d-c0694680db72.jpg?v=1782729928&amp;width=990</t>
    </r>
    <r>
      <rPr>
        <rFont val="Carlito"/>
        <color rgb="FF000000"/>
        <sz val="11.0"/>
      </rPr>
      <t xml:space="preserve">, </t>
    </r>
    <r>
      <rPr>
        <rFont val="Carlito"/>
        <color rgb="FF1155CC"/>
        <sz val="11.0"/>
        <u/>
      </rPr>
      <t>https://thedermaco.com/cdn/shop/files/8_5288a469-7fb5-4ff4-8b47-953112215208.jpg?v=1782729928&amp;width=990</t>
    </r>
  </si>
  <si>
    <t>Roopsee-F-SE-42</t>
  </si>
  <si>
    <t>The Derma Co C-Cinamide Radiance Serum with 10% Vitamin C &amp; 5% Niacinamide</t>
  </si>
  <si>
    <t>Uneven Skin Tone, Dark Spots/Pigmentation, Dullness</t>
  </si>
  <si>
    <t>Vitamin C (10%)</t>
  </si>
  <si>
    <t>Niacinamide (5%), Ferulic Acid</t>
  </si>
  <si>
    <t>We’ve dropped a powerful combination of 10% Vitamin C &amp; 5% Niacinamide now in an airless pump to keep oxidation at bay and clear &amp; glowing skin always by your side. The Derma Co. C-Cinamide Radiance Serum with the power of 2 actives - 3-O-Ethyl Ascorbic Acid &amp; Niacinamide has a synergistic action that gives your skin the combined benefits of both the actives. Not just this, the C-Cinamide Radiance Serum is also clinically proven to start clearing your skin and reducing dark spots in just 14 days. It’s time to bid goodbye to blemishes, pigmentation, dark spots, and uneven skin tone with the power of 2.</t>
  </si>
  <si>
    <t>Purified Water, Propanediol, 3-O-Ethyl Ascorbic Acid, Niacinamide, Diethylene Glycol Monoethyl Ether, Sodium Hyaluronate, Bis-PEG-18 Methyl Ether Dimethyl Silane, Phenoxyethanol Ethylhexylglycerin, Ferulic Acid, Xanthan Gum, Lecithin, Sclerotium Gum, Pullulan &amp; Sodium Gluconate</t>
  </si>
  <si>
    <t>Ingredient caution: vitamin C/ascorbic derivatives might cause tingling, redness or irritation in sensitive skin; niacinamide is usually gentle but might cause tingling or flushing in very reactive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Start slowly if your skin is sensitive and avoid combining too many new actives at once. Do not apply on broken, freshly waxed or irritated skin. Apply on slightly damp skin and follow with moisturiser if dryness occurs. Stop use if irritation persists.</t>
  </si>
  <si>
    <r>
      <rPr>
        <rFont val="Carlito"/>
        <color rgb="FF1155CC"/>
        <sz val="11.0"/>
        <u/>
      </rPr>
      <t>https://thedermaco.com/cdn/shop/files/1_5_3.jpg?v=1758286787&amp;width=990</t>
    </r>
    <r>
      <rPr>
        <rFont val="Carlito"/>
        <color rgb="FF000000"/>
        <sz val="11.0"/>
      </rPr>
      <t xml:space="preserve">, </t>
    </r>
    <r>
      <rPr>
        <rFont val="Carlito"/>
        <color rgb="FF1155CC"/>
        <sz val="11.0"/>
        <u/>
      </rPr>
      <t>https://thedermaco.com/cdn/shop/files/5._3_3.jpg?v=1772455460&amp;width=990</t>
    </r>
    <r>
      <rPr>
        <rFont val="Carlito"/>
        <color rgb="FF000000"/>
        <sz val="11.0"/>
      </rPr>
      <t xml:space="preserve">, </t>
    </r>
    <r>
      <rPr>
        <rFont val="Carlito"/>
        <color rgb="FF1155CC"/>
        <sz val="11.0"/>
        <u/>
      </rPr>
      <t>https://thedermaco.com/cdn/shop/files/10_1.jpg?v=1772455460&amp;width=990</t>
    </r>
    <r>
      <rPr>
        <rFont val="Carlito"/>
        <color rgb="FF000000"/>
        <sz val="11.0"/>
      </rPr>
      <t xml:space="preserve">, </t>
    </r>
    <r>
      <rPr>
        <rFont val="Carlito"/>
        <color rgb="FF1155CC"/>
        <sz val="11.0"/>
        <u/>
      </rPr>
      <t>https://thedermaco.com/cdn/shop/files/9_5_4.jpg?v=1772455460&amp;width=990</t>
    </r>
  </si>
  <si>
    <t>Roopsee-B-WA-10</t>
  </si>
  <si>
    <t>The Derma Co 1% Salicylic Acid Daily Exfoliating Body Wash with Salicylic Acid, Glycolic Acid &amp; Pentavitin</t>
  </si>
  <si>
    <t>250ml</t>
  </si>
  <si>
    <t>Salicylic Acid (1%)</t>
  </si>
  <si>
    <t>Glycolic Acid, Pentavitin</t>
  </si>
  <si>
    <t>Get acne off your back! Lather up with 1% Salicylic Acid Daily Exfoliating Body Wash. Powered with Salicylic Acid, Glycolic Acid and PENTAVITIN®, this body wash is sulfate-free and it's gentle enough for daily use but also tough enough to keep body acne at bay. Just add a splash of our new antibacterial formulation to your everyday bathing routine and get ready to cleanse your skin deeply while reducing inflammation and itching. A renowned keratolytic agent, Salicylic Acid exfoliates the skin and targets acne &amp; blackheads. PENTAVITIN®, an excellent hydrating ingredient boosts hydration and locks in moisture for upto 24 hours. Dermatologically tested, 1% Salicylic Acid Daily Exfoliating Body Wash is safe for all skin types including sensitive skin.</t>
  </si>
  <si>
    <t>Purified Water, Disodium Laureth Sulfosuccinate, Cocamidopropyl Betaine (and) Glycerin (and) Caprylyl/Capryl Glucoside (and) Sodium Methyl Cocoyl Taurate, Coco Glucoside, Lauryl Glucoside, Coco Diethanolamide, Cocoamido Propyl Betaine, Salicylic Acid, Glycolic Acid, Oat Amino Acids Sodium Lauroyl, Zinc Pyrrolidone Carboxylic Acid, Saccharide Isomerate, Olive Oil PEG-7 Ester, Betaine, Imidazolidinyl Urea, Menthol, Tea Tree Oil, Polyquaternium-7, Glycerin, Propylene Glycol, PEG-150 Distearate, Edetate Disodium, Methylchloroisothiazolinone &amp; Methylisothiazolinone</t>
  </si>
  <si>
    <t>Ingredient caution: glycolic acid/AHA, salicylic acid/BHA might cause stinging, dryness, peeling, redness and increased sun sensitivity; fragrance, essential oils or fragrance allergens might trigger redness, itching or allergic irritation; cleansing surfactants might cause dryness, stinging or tightness if overused; rich oils, butters or occlusive emollients might feel heavy or clog pores in acne-prone/oily skin.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Use a small amount first and avoid applying on active acne if it feels greasy. Stop use if irritation persists.</t>
  </si>
  <si>
    <r>
      <rPr>
        <rFont val="Carlito"/>
        <color rgb="FF1155CC"/>
        <sz val="11.0"/>
        <u/>
      </rPr>
      <t>https://cdn.tirabeauty.com/v2/billowing-snowflake-434234/tira-p/wrkr/products/pictures/item/free/resize-w:2200/1083450/reSsozHqxt-8906087778608_1.jpg</t>
    </r>
    <r>
      <rPr>
        <rFont val="Carlito"/>
        <color rgb="FF000000"/>
        <sz val="11.0"/>
      </rPr>
      <t xml:space="preserve">, </t>
    </r>
    <r>
      <rPr>
        <rFont val="Carlito"/>
        <color rgb="FF1155CC"/>
        <sz val="11.0"/>
        <u/>
      </rPr>
      <t>https://cdn.tirabeauty.com/v2/billowing-snowflake-434234/tira-p/wrkr/products/pictures/item/free/resize-w:2200/1083450/1la19veH5-8906087778608_2.jpg</t>
    </r>
    <r>
      <rPr>
        <rFont val="Carlito"/>
        <color rgb="FF000000"/>
        <sz val="11.0"/>
      </rPr>
      <t xml:space="preserve">, </t>
    </r>
    <r>
      <rPr>
        <rFont val="Carlito"/>
        <color rgb="FF1155CC"/>
        <sz val="11.0"/>
        <u/>
      </rPr>
      <t>https://cdn.tirabeauty.com/v2/billowing-snowflake-434234/tira-p/wrkr/products/pictures/item/free/resize-w:2200/1083450/vzpNOqFjPN-8906087778608_3.jpg</t>
    </r>
    <r>
      <rPr>
        <rFont val="Carlito"/>
        <color rgb="FF000000"/>
        <sz val="11.0"/>
      </rPr>
      <t xml:space="preserve">, </t>
    </r>
    <r>
      <rPr>
        <rFont val="Carlito"/>
        <color rgb="FF1155CC"/>
        <sz val="11.0"/>
        <u/>
      </rPr>
      <t>https://cdn.tirabeauty.com/v2/billowing-snowflake-434234/tira-p/wrkr/products/pictures/item/free/resize-w:2200/1083450/jEtzmnCGUu-8906087778608_4.jpg</t>
    </r>
  </si>
  <si>
    <t>Roopsee-F-CL-20</t>
  </si>
  <si>
    <t>The Derma Co 3% AHA BHA Foaming Daily Face Wash with Mandelic Acid, Glycolic Acid &amp; Salicylic Acid</t>
  </si>
  <si>
    <t>Acne, Comedones</t>
  </si>
  <si>
    <t>Mandelic Acid</t>
  </si>
  <si>
    <t>Glycolic Acid, Salicylic Acid</t>
  </si>
  <si>
    <t>Indulge in the oh-so soothing gentle exfoliation of 3% AHA BHA Foaming Facial Cleanser - It’s foamy, Frothy &amp; Fabulously perfect for all skin types &amp; is enriched with the power of Mandelic Acid, Glycolic Acid, and Salicylic Acid. It deeply penetrates your skin to unclog pores from sebum, dirt &amp; pollutants making it the ideal partner for acne-prone skin. This wonderful face wash not only removes oil &amp; dirt but the Glycolic Acid also works towards removing dead skin cells while revealing rejuvenated &amp; brighter skin! So bring on the magic of healthy &amp; beautiful skin TODAY!</t>
  </si>
  <si>
    <t>Aqua, C14-16 Olefin Sulfonate, Mandelic Acid, Maltooligosyl Glucoside (and) Hydrogenated Starch Hydrolysate, Decyl Glucoside, Sodium Lauroyl Sarcosinate, Glycerin, Propylene Glycol, Sodium Hydroxide, Salicylic Acid, Glycolic Acid, Polysorbate 20, Coco-Glucoside (and) Glyceryl Oleate, Cocamidopropyl Hydroxysultaine, PEG-120 Methyl Glucose Dioleate, Allantoin, DMDM- Hydantoin (and) Methylchloroisothiazolinone (and) Methylisothiazolinone</t>
  </si>
  <si>
    <t>Ingredient caution: glycolic acid/AHA, mandelic acid/AHA, salicylic acid/BHA might cause stinging, dryness, peeling, redness and increased sun sensitivity;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Use lukewarm water, do not scrub, and follow with moisturiser. Do not apply on broken, freshly waxed or irritated skin. Apply on slightly damp skin and follow with moisturiser if dryness occurs. Stop use if irritation persists.</t>
  </si>
  <si>
    <r>
      <rPr>
        <rFont val="Carlito"/>
        <color rgb="FF1155CC"/>
        <sz val="11.0"/>
        <u/>
      </rPr>
      <t>https://thedermaco.com/cdn/shop/files/1st_image.jpg?v=1758286477&amp;width=990</t>
    </r>
    <r>
      <rPr>
        <rFont val="Carlito"/>
        <color rgb="FF000000"/>
        <sz val="11.0"/>
      </rPr>
      <t xml:space="preserve">, </t>
    </r>
    <r>
      <rPr>
        <rFont val="Carlito"/>
        <color rgb="FF1155CC"/>
        <sz val="11.0"/>
        <u/>
      </rPr>
      <t>https://thedermaco.com/cdn/shop/files/3__aha_bha_foaming_cleanser_3.jpg?v=1772697483&amp;width=990</t>
    </r>
    <r>
      <rPr>
        <rFont val="Carlito"/>
        <color rgb="FF000000"/>
        <sz val="11.0"/>
      </rPr>
      <t xml:space="preserve">, </t>
    </r>
    <r>
      <rPr>
        <rFont val="Carlito"/>
        <color rgb="FF1155CC"/>
        <sz val="11.0"/>
        <u/>
      </rPr>
      <t>https://thedermaco.com/cdn/shop/files/aha-bha-foaming-cleanser_5_2_1_wyk2qnt7fx6dniuk.jpg?v=1772697483&amp;width=713</t>
    </r>
    <r>
      <rPr>
        <rFont val="Carlito"/>
        <color rgb="FF000000"/>
        <sz val="11.0"/>
      </rPr>
      <t xml:space="preserve">, </t>
    </r>
    <r>
      <rPr>
        <rFont val="Carlito"/>
        <color rgb="FF1155CC"/>
        <sz val="11.0"/>
        <u/>
      </rPr>
      <t>https://thedermaco.com/cdn/shop/files/aha-bha-foaming-cleanser_6_2_1_elfbp9tdzpyrcngw.jpg?v=1772697483&amp;width=713</t>
    </r>
    <r>
      <rPr>
        <rFont val="Carlito"/>
        <color rgb="FF000000"/>
        <sz val="11.0"/>
      </rPr>
      <t xml:space="preserve">, </t>
    </r>
    <r>
      <rPr>
        <rFont val="Carlito"/>
        <color rgb="FF1155CC"/>
        <sz val="11.0"/>
        <u/>
      </rPr>
      <t>https://thedermaco.com/cdn/shop/files/aha_bha_foaming_face_wash.jpg?v=1772697483&amp;width=990</t>
    </r>
    <r>
      <rPr>
        <rFont val="Carlito"/>
        <color rgb="FF000000"/>
        <sz val="11.0"/>
      </rPr>
      <t xml:space="preserve"> </t>
    </r>
  </si>
  <si>
    <t>Roopsee-F-CL-21</t>
  </si>
  <si>
    <t>Deconstruct Hyaluronic Acid Hydrating Face Wash - 0.5% Amino Acids + 0.1% Hyaluronic Acid</t>
  </si>
  <si>
    <t>Deconstruct</t>
  </si>
  <si>
    <t>O+S, D, D+S, N, N+S, C+S</t>
  </si>
  <si>
    <t>Dryness, Redness/Irritation, Dehydration</t>
  </si>
  <si>
    <t>Hyaluronic Acid</t>
  </si>
  <si>
    <t>Amino Acids, Panthenol, Sodium PCA, Glycerin</t>
  </si>
  <si>
    <t>Daily use pH balanced hyaluronic acid face wash, enriched with Amino acids, Hyaluronic acid, Panthenol, Sodium PCA &amp; Glycerin, that gently washes away impurities leaving skin nourished and hydrated. The amino acid with hyaluronic acid blend envelopes skin in a unique non-stripping soothing gel formula for calm and balanced skin.</t>
  </si>
  <si>
    <t>Aqua, Cocamidopropyl betaine, Sodium Methyl Cocoyl Taurate, Sodium Methyl 2-Sulfolaurate, Disodium 2-Sulfolaurate, Glycerine, Xylitylglucoside, Anhydroxylitol, Xylitol, Maltooligosyl Glucoside, Hydrogenated Starch Hydrolysate, Sodium PCA, Panthenol, Sodium Hyaluronate, Proline, Hydroxyproline, Caprylic Capric Triglyceride, Acrylates/C10-30 Alkyl Acrylate Crosspolymer, Triethanolamine, Ethylhexylglycerin, Phenoxyethanol, Silica, Betaine, Sodium Gluconate, Hyaluronic Acid</t>
  </si>
  <si>
    <r>
      <rPr>
        <rFont val="Carlito"/>
        <color rgb="FF1155CC"/>
        <sz val="11.0"/>
        <u/>
      </rPr>
      <t>https://thedeconstruct.in/cdn/shop/files/final-resized-imagesArtboard-10.webp?v=1779362110&amp;width=1100</t>
    </r>
    <r>
      <rPr>
        <rFont val="Carlito"/>
        <color rgb="FF000000"/>
        <sz val="11.0"/>
      </rPr>
      <t xml:space="preserve">, </t>
    </r>
    <r>
      <rPr>
        <rFont val="Carlito"/>
        <color rgb="FF1155CC"/>
        <sz val="11.0"/>
        <u/>
      </rPr>
      <t>https://thedeconstruct.in/cdn/shop/files/NykaaListing1stImageArtboard24.webp?v=1769875447&amp;width=1100</t>
    </r>
    <r>
      <rPr>
        <rFont val="Carlito"/>
        <color rgb="FF000000"/>
        <sz val="11.0"/>
      </rPr>
      <t xml:space="preserve">, </t>
    </r>
    <r>
      <rPr>
        <rFont val="Carlito"/>
        <color rgb="FF1155CC"/>
        <sz val="11.0"/>
        <u/>
      </rPr>
      <t>https://thedeconstruct.in/cdn/shop/files/hyaluronic-acid-hydrating-face-wash-05-amino-acids-01-hyaluronic-acid-649619.webp?v=1769875447&amp;width=1100</t>
    </r>
    <r>
      <rPr>
        <rFont val="Carlito"/>
        <color rgb="FF000000"/>
        <sz val="11.0"/>
      </rPr>
      <t xml:space="preserve">, </t>
    </r>
    <r>
      <rPr>
        <rFont val="Carlito"/>
        <color rgb="FF1155CC"/>
        <sz val="11.0"/>
        <u/>
      </rPr>
      <t>https://thedeconstruct.in/cdn/shop/files/hyaluronic-acid-hydrating-face-wash-05-amino-acids-01-hyaluronic-acid-125930.webp?v=1769875447&amp;width=1100</t>
    </r>
    <r>
      <rPr>
        <rFont val="Carlito"/>
        <color rgb="FF000000"/>
        <sz val="11.0"/>
      </rPr>
      <t xml:space="preserve">, </t>
    </r>
    <r>
      <rPr>
        <rFont val="Carlito"/>
        <color rgb="FF1155CC"/>
        <sz val="11.0"/>
        <u/>
      </rPr>
      <t>https://thedeconstruct.in/cdn/shop/files/slide3-20.webp?v=1769875447&amp;width=1100</t>
    </r>
  </si>
  <si>
    <t>Roopsee-F-SE-43</t>
  </si>
  <si>
    <t>Deconstruct Oil Control Serum - 3% Niacinamide + 2% Salicylic Acid</t>
  </si>
  <si>
    <t>Liposomal Salicylic Acid</t>
  </si>
  <si>
    <t>Deconstruct's Oil Control Niacinamide Serum is formulated with 3% Niacinamide and 2% Liposomal Salicylic Acid, designed to help control excess oil while keeping skin clear and balanced. Niacinamide works to regulate sebum production, refine the appearance of pores, and improve overall skin texture, making skin look smoother and more even. The liposomal delivery of Salicylic Acid enhances penetration into the pores, allowing it to gently exfoliate, remove dead skin cell buildup, and help unclog pores. This reduces the chances of breakouts while promoting clearer, healthier-looking skin without causing excessive dryness. To maintain skin comfort, the formula is enriched with soothing botanical ingredients like Green Tea Extract and Hyaluronic Acid. These ingredients provide antioxidant protection, help calm the skin, and support a refreshed, balanced complexion. With its lightweight, fast-absorbing texture, this serum helps control oil, minimize the appearance of pores, improve skin clarity, and support smoother-looking skin — making it ideal for oily and acne-prone skin types.</t>
  </si>
  <si>
    <t>Aqua, Phospholipids, PEG-20, Caprylic/Capric Glycerides, Glycerol, Salicylic Acid, Niacinamide, Camellia Sinensis Leaf Extract, Xylitylglucoside (and) Anhydroxylitol (and) Xylitol, Propylene Glycol, Triethanolamine, Glycerin (and) Piper Nigrum (Pepper) Seed Extract (and) Sodium Benzoate (and) Potassium Sorbate, Phenoxyethanol (and) Ethylhexylglycerin, Pentylene Glycol, Capryloyl Glycine, Cinnamomum Zeylanicum Bark Extract, Sodium Sarcosinate, Betaine, Threonine, Arginine, Proline, Sodium PCA, Sodium Lactate, PCA, Serine, Alanine, Glycine, Glutamic Acid, Lysine HCl, Sodium Hyaluronate, Sophorolipid, Sodium Gluconate, Emblica Officinalis Fruit Extract</t>
  </si>
  <si>
    <r>
      <rPr>
        <rFont val="Carlito"/>
        <color rgb="FF000000"/>
        <sz val="11.0"/>
      </rPr>
      <t xml:space="preserve">https://thedeconstruct.in/cdn/shop/files/Oil_Control_Serum_with_3__Niacinamide_2__Salicylic_Acid_With_Liposomal_Technology.webp?v=1782482394&amp;width=1500
https://thedeconstruct.in/cdn/shop/files/01_050fd41d-53af-4b7c-a388-8be024e34b28.webp?v=1782463443&amp;width=1500
https://thedeconstruct.in/cdn/shop/files/02_2269252c-99ef-40e6-8703-7204a9e1a27c.webp?v=1782463444&amp;width=1500
https://thedeconstruct.in/cdn/shop/files/03_db9dba79-1173-4f57-8ec5-99d7626a1d73.webp?v=1782463444&amp;width=1500
</t>
    </r>
    <r>
      <rPr>
        <rFont val="Carlito"/>
        <color rgb="FF1155CC"/>
        <sz val="11.0"/>
        <u/>
      </rPr>
      <t>https://thedeconstruct.in/cdn/shop/files/04_70eec55b-7d46-43a7-a621-e514d9f91eda.webp?v=1782463422&amp;width=1500</t>
    </r>
  </si>
  <si>
    <t>Roopsee-F-SE-44</t>
  </si>
  <si>
    <t>Deconstruct Dark Spot Clearing Serum - 5% Niacinamide + 2% Alpha Arbutin</t>
  </si>
  <si>
    <t>N</t>
  </si>
  <si>
    <t>Alpha Arbutin (2%)</t>
  </si>
  <si>
    <t>Deconstruct's Dark Spot Clearing Serum, now upgraded with Liposomal Technology is formulated to visibly reduce dark spots, hyperpigmentation, and uneven skin tone while restoring natural radiance. Powered by 5% Niacinamide, the formula helps regulate excess oil, refine the appearance of pores, strengthen the skin barrier, and improve overall skin clarity. Niacinamide also reduces dullness and supports a smoother, healthier-looking complexion. The serum is further enhanced with 2% Liposomal Alpha Arbutin, an advanced brightening active designed to target dark spots, acne marks, and uneven skin tone. The liposomal delivery system protects the actives from oxidation, releases them gradually through the day, and helps carry them deeper into the skin — so Niacinamide and Alpha Arbutin work where dark spots actually form, with less sting and irritation than conventional formulas. To maintain skin comfort and hydration, the formula includes Sodium PCA and Trehalose. These humectants attract and retain moisture, supporting the skin's natural hydration balance and preventing dryness while the brightening actives work on discoloration.</t>
  </si>
  <si>
    <t>Aqua, Niacinamide, Alpha Arbutin, 3-O-Ethyl Ascorbic Acid, Tocopheryl Acetate, Dictyopteris Membranacea, Pentylene Glycol, Propanediol, Phenoxyethanol &amp; Ethylhexylglycerin, Sodium PCA, Trehalose, Disodium EDTA, Sodium Metabisulphite, Sodium Anisate</t>
  </si>
  <si>
    <t>Ingredient caution: vitamin C/ascorbic derivatives might cause tingling, redness or irritation in sensitive skin; niacinamide is usually gentle but might cause tingling or flushing in very reactive skin; alpha arbutin might cause tingling, dryness or redness in sensitive skin;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Do not apply on broken, freshly waxed or irritated skin. Stop use if irritation persists.</t>
  </si>
  <si>
    <r>
      <rPr>
        <rFont val="Carlito"/>
        <color rgb="FF1155CC"/>
        <sz val="11.0"/>
        <u/>
      </rPr>
      <t>https://thedeconstruct.in/cdn/shop/files/clearing.webp?v=1780471648&amp;width=1500</t>
    </r>
    <r>
      <rPr>
        <rFont val="Carlito"/>
        <color rgb="FF000000"/>
        <sz val="11.0"/>
      </rPr>
      <t xml:space="preserve">
https://thedeconstruct.in/cdn/shop/files/new_image_1.webp?v=1779452178&amp;width=1500
https://thedeconstruct.in/cdn/shop/files/01_dc0c2362-5058-4572-a64d-7a1086825b16.jpg?v=1782197377&amp;width=1500
https://thedeconstruct.in/cdn/shop/files/02_f690e451-6185-4c09-8069-7f85766482ba.jpg?v=1782197377&amp;width=1500
https://thedeconstruct.in/cdn/shop/files/03_be9ad128-e313-4d60-819f-17c0cf13d1ba.jpg?v=1782197377&amp;width=1500</t>
    </r>
  </si>
  <si>
    <t>Roopsee-F-SE-45</t>
  </si>
  <si>
    <t>Deconstruct 10% Vitamin C Serum for Glowing Skin with Liposomal Technology</t>
  </si>
  <si>
    <t>N, C</t>
  </si>
  <si>
    <t>Liposomal Technology, Ferulic Acid</t>
  </si>
  <si>
    <t>Deconstruct’s Brightening Vitamin C Serum is formulated with 10% liposomal Vitamin C, designed to deliver powerful antioxidant support while improving skin radiance. The liposomal delivery system helps improve the stability and deeper penetration of Vitamin C, allowing it to work more effectively to brighten skin, reduce pigmentation &amp; dullness, and support a smoother, more even-toned complexion. The formula is boosted with 0.5% Ferulic Acid, a potent antioxidant that helps stabilize Vitamin C and strengthen its performance against environmental stressors such as pollution and UV-induced free radicals. Together, these ingredients help improve skin clarity and support a visibly luminous glow. To keep the formula gentle and suitable for daily use, it is enriched with soothing and barrier-supporting ingredients like 0.5% Centella Asiatica Extract (Cica Extract) and 0.25% Panthenol (D-Panthenol). These calming actives help reduce redness, support the skin barrier, and provide lasting hydration, keeping skin comfortable and balanced while the brightening actives work effectively.</t>
  </si>
  <si>
    <t>Aqua, 3-O Ethyl Ascorbic Acid, Pentylene Glycol, Ethoxydiglycol, Triethanolamine, Propanediol, 1,3 Butylene Glycol, L-Ascorbic Acid, Galactomannan, Sunflower Lecithin, Phenoxyethanol &amp; Ethylhexylglycerin, Centella Asiatica Extract, Carbomer, Ferulic Acid, Panthenol, Sodium Metabisulphite, Sodium Hydroxide, Disodium EDTA</t>
  </si>
  <si>
    <t>Ingredient caution: vitamin C/ascorbic derivatives might cause tingling, redness or irritation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Do not apply on broken, freshly waxed or irritated skin. Apply on slightly damp skin and follow with moisturiser if dryness occurs. Stop use if irritation persists.</t>
  </si>
  <si>
    <r>
      <rPr>
        <rFont val="Carlito"/>
        <color rgb="FF000000"/>
        <sz val="11.0"/>
      </rPr>
      <t xml:space="preserve">https://thedeconstruct.in/cdn/shop/files/VITAMIN_C.webp?v=1780471627&amp;width=1500
https://thedeconstruct.in/cdn/shop/files/hf_20260521_125233_15d00bb8-2a8e-47e1-99be-9912ae069a20_1.webp?v=1780568800&amp;width=1500
https://thedeconstruct.in/cdn/shop/files/01_07bc188f-cd90-4af1-8270-f5dd58c44d14.webp?v=1782194592&amp;width=1500
https://thedeconstruct.in/cdn/shop/files/02_fc2a4c58-398f-4add-9410-6931df22e1a2.webp?v=1782194592&amp;width=1500
</t>
    </r>
    <r>
      <rPr>
        <rFont val="Carlito"/>
        <color rgb="FF1155CC"/>
        <sz val="11.0"/>
        <u/>
      </rPr>
      <t>https://thedeconstruct.in/cdn/shop/files/03_bf96163a-72e4-470f-976c-faca88a4d4a7.webp?v=1782194592&amp;width=1500</t>
    </r>
  </si>
  <si>
    <t>Roopsee-F-SE-46</t>
  </si>
  <si>
    <t>Deconstruct Brightening Niacinamide Serum - 10% Niacinamide + 0.3% Alpha Arbutin</t>
  </si>
  <si>
    <t>O, O+S, N, C</t>
  </si>
  <si>
    <t>Open Pores, Uneven Skin Tone, Dark Spots/Pigmentation</t>
  </si>
  <si>
    <t>Niacinamide (10%)</t>
  </si>
  <si>
    <t>Alpha Arbutin (0.3%)</t>
  </si>
  <si>
    <t>A unique combination of 10% Niacinamide and 0.3% Alpha Arbutin that brightens skin, evens out tone, and tackles hyperpigmentation, tanning, and freckles. This Niacinamide serum is hydrating and fast-absorbing, delivering a fresh, glowing finish. Infused with effective ingredients, it suits all skin types—normal, oily, and acne-prone. The lightweight, non-irritating formula is beginner-friendly and safe for sensitive skin.</t>
  </si>
  <si>
    <t>Aqua, Niacinamide, Glycerin, Xylitylglucoside (and) anhydroxylitol (and) xylitol, Phenoxyethanol (and) Ethylhexylglycerin, Xanthan gum, Guar gum, Alpha Arbutin, EDTA, Brassica Campestris (Rapeseed) Seed Oil, Glycyrrhiza Glabra (Licorice)Root Extract, Polyglyceryl-3 Diisostearate, Althaea Officinalis Root Extract, Oryza Sativa (Rice) Bran Extract, Palmaria Palmata extract, Bellis Perennis (Daisy) Flower Extract</t>
  </si>
  <si>
    <t>Ingredient caution: high-strength niacinamide might cause flushing, tingling or small bumps in reactive skin; alpha arbutin, licorice extract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reduce frequency if redness or bumps appear.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</si>
  <si>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rFont val="Carlito"/>
        <color rgb="FF000000"/>
        <sz val="11.0"/>
      </rPr>
      <t xml:space="preserve">https://thedeconstruct.in/cdn/shop/files/final-resized-imagesArtboard-10.webp?v=1779362110&amp;width=1500
https://thedeconstruct.in/cdn/shop/files/NykaaListing1stImageArtboard24.webp?v=1769875447&amp;width=1500
https://thedeconstruct.in/cdn/shop/files/01_050fd41d-53af-4b7c-a388-8be024e34b28.webp?v=1782463443&amp;width=1500
https://thedeconstruct.in/cdn/shop/files/02_2269252c-99ef-40e6-8703-7204a9e1a27c.webp?v=1782463444&amp;width=1500
</t>
    </r>
    <r>
      <rPr>
        <rFont val="Carlito"/>
        <color rgb="FF1155CC"/>
        <sz val="11.0"/>
        <u/>
      </rPr>
      <t>https://thedeconstruct.in/cdn/shop/files/03_db9dba79-1173-4f57-8ec5-99d7626a1d73.webp?v=1782463444&amp;width=1500</t>
    </r>
  </si>
  <si>
    <t>Roopsee-F-MO-20</t>
  </si>
  <si>
    <t>Deconstruct Oil-Free Moisturizer for Oily Skin - 3% NMF Complex + 0.2% Panthenol</t>
  </si>
  <si>
    <t>O, O+S, D+S, N, N+S, C, C+S</t>
  </si>
  <si>
    <t>Dryness, Barrier Repair, Redness/Irritation, Dehydration</t>
  </si>
  <si>
    <t>NMF Complex (3%)</t>
  </si>
  <si>
    <t>Panthenol (0.2%), Hyaluronic Acid</t>
  </si>
  <si>
    <t>This lightweight, oil-free moisturizer is powered with 3% NMF Complex and Panthenol to deliver up to 72-hour hydration without clogging pores. It soothes, calms, and restores the skin barrier, making it ideal for oily, acne-prone, and sensitive skin. The non-comedogenic, non-sticky formula gets absorbed quickly and leaves skin feeling fresh and balanced all day long. It contains no added fragrance, parabens, or alcohol, ensuring a gentle experience.</t>
  </si>
  <si>
    <t>Aqua, Calendula officinalis {Flower} Extract, Betaine, Sodium PCA, Sodium Lactate, PCA, Serine, Alanine, Glycine, Glutamic Acid, Lysine HCl, Threonine, Arginine, Proline, Glycerin, Diheptyl Succinate (and) Capryloyl Glycerin/Sebacic Acid Copolymer, Aloe barbadensis (Aloe Vera) Extract, Triethanolamine, Phenoxyethanol (and) Ethylhexylglycerin, Acrylates/C10-30 Alkyl Acrylate Crosspolymer, Sodium Pyrrolidone Carboxylate, Sodium Gluconate, Panthenol</t>
  </si>
  <si>
    <t>Ingredient caution: fragrance, essential oils or fragrance allergens might trigger redness, itching or allergic irritation; preservatives such as phenoxyethanol/benzyl alcohol might sting very sensitive or compromised skin; humectants such as hyaluronic acid/glycerin are usually gentle but might feel sticky or tight if not sealed with moisturiser. Do a patch test before applying. Avoid this product if you have fragrance allergy, eczema-prone skin or a damaged barrier. Do not apply on broken, freshly waxed or irritated skin. Apply on slightly damp skin and follow with moisturiser if dryness occurs. Stop use if irritation persists.</t>
  </si>
  <si>
    <r>
      <rPr>
        <rFont val="Carlito"/>
        <color rgb="FF000000"/>
        <sz val="11.0"/>
      </rPr>
      <t xml:space="preserve">https://thedeconstruct.in/cdn/shop/files/Oil-Free_Moisturizer_for_Oily_Skin_-_3__NMF_Complex_0.2__Panthenol.webp?v=1782482394&amp;width=1500
https://thedeconstruct.in/cdn/shop/files/OFM_listing_2.webp?v=1769873384&amp;width=1500
https://thedeconstruct.in/cdn/shop/files/NMF_50_gm_-_BeigeArtboard_9.webp?v=1769873384&amp;width=1500
https://thedeconstruct.in/cdn/shop/files/NMF_50_gm_-_BeigeArtboard_10.webp?v=1769873384&amp;width=1500
</t>
    </r>
    <r>
      <rPr>
        <rFont val="Carlito"/>
        <color rgb="FF1155CC"/>
        <sz val="11.0"/>
        <u/>
      </rPr>
      <t>https://thedeconstruct.in/cdn/shop/files/NMF_50_gm_-_BeigeArtboard_11.webp?v=1769873384&amp;width=1500</t>
    </r>
  </si>
  <si>
    <t>Roopsee-F-SU-17</t>
  </si>
  <si>
    <t>Deconstruct Gel Sunscreen for Oily Skin - SPF 50 PA++++</t>
  </si>
  <si>
    <t>Sunscreen</t>
  </si>
  <si>
    <t>O, O+S, N, C, C+S</t>
  </si>
  <si>
    <t>SPF 50 (UV Filters)</t>
  </si>
  <si>
    <t>Niacinamide, Hyaluronic Acid</t>
  </si>
  <si>
    <t>Deconstruct’s Gel Sunscreen is a lightweight, fast-absorbing gel sunscreen with an airy feel that stays comfortable on skin while providing high-level broad-spectrum protection against UVA and UVB rays. It delivers in vivo tested SPF 50 and PA++++, photostable protection, with the power of 4 new-gen UV filters - MBBT, DHHB, BEMT, EHT for durable, reliable UVA + UVB coverage. It helps prevent sun damage, tanning, and premature signs of aging, and its non-greasy, non-sticky texture blends easily without leaving a white cast, making it ideal for daily use. Suitable for all skin types and especially oily skin, it offers effective sun protection without clogging pores as well as all day oil control for a fresh look.</t>
  </si>
  <si>
    <t>Aqua, C12-C15 Alkyl Benzoate, Diethylamino Hydroxybenzoyl Hexyl Benzoate, Ethylhexyl Triazone, Bis Ethylhexyloxyphenol Methoxyphenyl Triazine, phospholipids, Polysorbate 80,1, 3-Butylene Glycol, Glycerin, Methylene Bis-Benzotriazolyl Tetramethylbutylphenol, Decyl Glucoside, Propylene Glycol, Xanthan Gum, Octyl Salicylate, Cetearyl Olivate, Sorbitan Olivate, Coco-Caprylate/Caprate (and) Polyglyceryl-2 Isostearate/Dimer Dilinoleate Copolymer (and) Squalane, Butyloctyl Salicylate, Sodium Carbomer, Glyceryl DiBehenate, Phenoxyethanol (and) Ethylhexylglycerin, Hydrated Silica, Sodium Gluconate, Dehydroxanthan Gum, Acrylates/C10-30 Alkyl Acrylate Crosspolymer, Triethanolamine</t>
  </si>
  <si>
    <t>Ingredient caution: niacinamide is usually gentle but might cause tingling or flushing in very reactive skin; UV filters might sting around the eyes or irritate very sensitive skin; cleansing surfactants might cause dryness, stinging or tightness if overused; preservatives such as phenoxyethanol/benzyl alcohol might sting very sensitive or compromised skin. Do a patch test before applying. Start slowly if your skin is sensitive and avoid combining too many new actives at once. Patch test near the jawline first, avoid the eye corners, and remove gently at night. Use lukewarm water, do not scrub, and follow with moisturiser. Do not apply on broken, freshly waxed or irritated skin. Stop use if irritation persists.</t>
  </si>
  <si>
    <r>
      <rPr>
        <rFont val="Carlito"/>
        <color rgb="FF000000"/>
        <sz val="11.0"/>
      </rPr>
      <t xml:space="preserve">https://thedeconstruct.in/cdn/shop/files/Untitled-1GS_50G.webp?v=1780469745&amp;width=1500
https://thedeconstruct.in/cdn/shop/files/Gel_sunscreen_listing.webp?v=1775976609&amp;width=1500
https://thedeconstruct.in/cdn/shop/files/03_eef711f2-6ccf-4220-a950-1831d37cd6ce.webp?v=1779963887&amp;width=1500
https://thedeconstruct.in/cdn/shop/files/04_906a6915-39c7-45c8-b08c-bea73d4135c5.webp?v=1779963887&amp;width=1500
</t>
    </r>
    <r>
      <rPr>
        <rFont val="Carlito"/>
        <color rgb="FF1155CC"/>
        <sz val="11.0"/>
        <u/>
      </rPr>
      <t>https://thedeconstruct.in/cdn/shop/files/05_10c3f335-f9f2-4e32-bfba-42b51675f236.webp?v=1779963886&amp;width=1500</t>
    </r>
  </si>
  <si>
    <t>Roopsee-F-SE-47</t>
  </si>
  <si>
    <t>Deconstruct Vitamin C + Ferulic Acid Serum - 10% Liposomal Vitamin C + 0.5% Ferulic Acid</t>
  </si>
  <si>
    <t>Ferulic Acid (0.5%), Liposomal</t>
  </si>
  <si>
    <r>
      <rPr>
        <rFont val="Carlito"/>
        <color rgb="FF000000"/>
        <sz val="11.0"/>
      </rPr>
      <t xml:space="preserve">https://thedeconstruct.in/cdn/shop/files/VITAMIN_C.webp?v=1780471627&amp;width=1500
https://thedeconstruct.in/cdn/shop/files/hf_20260521_125233_15d00bb8-2a8e-47e1-99be-9912ae069a20_1.webp?v=1780568800&amp;width=1500
https://thedeconstruct.in/cdn/shop/files/01_07bc188f-cd90-4af1-8270-f5dd58c44d14.webp?v=1782194592&amp;width=1500
https://thedeconstruct.in/cdn/shop/files/02_fc2a4c58-398f-4add-9410-6931df22e1a2.webp?v=1782194592&amp;width=1500
</t>
    </r>
    <r>
      <rPr>
        <rFont val="Carlito"/>
        <color rgb="FF1155CC"/>
        <sz val="11.0"/>
        <u/>
      </rPr>
      <t>https://thedeconstruct.in/cdn/shop/files/03_bf96163a-72e4-470f-976c-faca88a4d4a7.webp?v=1782194592&amp;width=1500</t>
    </r>
  </si>
  <si>
    <t>Roopsee-F-SE-48</t>
  </si>
  <si>
    <t>Deconstruct 2% Hyaluronic Acid Serum with 1% Niacinamide</t>
  </si>
  <si>
    <t>O+S, D, D+S, N, N+S, C, C+S</t>
  </si>
  <si>
    <t>Hyaluronic Acid (2%)</t>
  </si>
  <si>
    <t>Niacinamide (1%)</t>
  </si>
  <si>
    <t>This Hyaluronic acid face serum is a one-of-a-kind hydrating serum that doesn’t make the skin feel sticky. With 3-molecular weights of hyaluronic acid, it hydrates all the layers of the skin &amp; is supported by niacinamide to soothe &amp; keep skin oil-free. This Hyaluronic acid serum for face comes with a potent dose of hero active ingredients, hyaluronic acid, and niacinamide that together take care of your skin’s hydration from deep within without the extra oiliness.</t>
  </si>
  <si>
    <t>Aqua, Xylitylglucoside, Anhydroxylitol, Xylitol, Hyaluronic Acid, Piper nigrum (black pepper) Seed extract, Butylene Glycol, Niacinamide, Xanthan Gum, Phenoxyethanol, Ethylhexylglycerin, Magnesium Aspartate (and) Zinc Gluconate (and) Copper Gluconate, Sodium Gluconate</t>
  </si>
  <si>
    <t>Ingredient caution: niacinamide is usually gentle but might cause tingling or flushing in very reactive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Do not apply on broken, freshly waxed or irritated skin. Apply on slightly damp skin and follow with moisturiser if dryness occurs. Stop use if irritation persists.</t>
  </si>
  <si>
    <r>
      <rPr>
        <rFont val="Carlito"/>
        <color rgb="FF000000"/>
        <sz val="11.0"/>
      </rPr>
      <t xml:space="preserve">https://thedeconstruct.in/cdn/shop/files/final-resized-imagesArtboard-11.webp?v=1779361773&amp;width=1500
https://thedeconstruct.in/cdn/shop/files/NykaaListing1stImageArtboard25.webp?v=1769876211&amp;width=1500
https://thedeconstruct.in/cdn/shop/files/2-hyaluronic-acid-serum-with-1-niacinamide-oil-free-hydrating-face-serum-693829.webp?v=1769876211&amp;width=1500
https://thedeconstruct.in/cdn/shop/files/2-hyaluronic-acid-serum-with-1-niacinamide-oil-free-hydrating-face-serum-154771.webp?v=1769876211&amp;width=1500
</t>
    </r>
    <r>
      <rPr>
        <rFont val="Carlito"/>
        <color rgb="FF1155CC"/>
        <sz val="11.0"/>
        <u/>
      </rPr>
      <t>https://thedeconstruct.in/cdn/shop/files/2-hyaluronic-acid-serum-with-1-niacinamide-oil-free-hydrating-face-serum-622683.webp?v=1769876211&amp;width=1500</t>
    </r>
  </si>
  <si>
    <t>Roopsee-F-SE-49</t>
  </si>
  <si>
    <t>Deconstruct Retinol &amp; Peptide Serum for Anti-aging - 0.2% Retinol + 1% Peptide</t>
  </si>
  <si>
    <t>Retinol (0.2%)</t>
  </si>
  <si>
    <t>Peptide (1%), Hyaluronic Acid</t>
  </si>
  <si>
    <t>An anti-aging serum with Retinol and Peptides (Proteasyl) to help minimize signs of aging. It nourishes and moisturizes skin, supports firmness and helps fight fine lines and wrinkles.</t>
  </si>
  <si>
    <t>Aqua, Pentylene Glycol (and) Lecithin (and) Retinol (and) Polysorbate 20 (and) Potassium Phosphate, Pisum Sativum (Pea) Extract, Glycerin, Phenoxyethanol (and) Ethylhexylglycerin, Palmaria Palmata extract, Xanthan Gum, Amylopectin, Magnesium Aspartate (and) Zinc Gluconate (and) Copper Gluconate, Sodium Gluconate, Hyaluronic acid, Alcohol, Betaine, Tocopherol</t>
  </si>
  <si>
    <t>Ingredient caution: retinol/retinoids might cause dryness, peeling, redness, purging and sun sensitivity; preservatives such as phenoxyethanol/benzyl alcohol might sting very sensitive or compromised skin; humectants such as hyaluronic acid/glycerin are usually gentle but might feel sticky or tight if not sealed with moisturiser. Do a patch test before applying. Retinol is not advised for pregnant or breastfeeding women unless approved by a doctor. First-time users should start 3–4 times a week at night, avoid layering with exfoliating acids, and use sunscreen daily. Do not apply on broken, freshly waxed or irritated skin. Apply on slightly damp skin and follow with moisturiser if dryness occurs. Stop use if irritation persists.</t>
  </si>
  <si>
    <r>
      <rPr>
        <rFont val="Carlito"/>
        <color rgb="FF000000"/>
        <sz val="11.0"/>
      </rPr>
      <t xml:space="preserve">https://thedeconstruct.in/cdn/shop/files/Untitled-1RETINOL_SERUM_30ML_02.webp?v=1779360786&amp;width=1500
https://thedeconstruct.in/cdn/shop/files/NykaaListing1stImageArtboard9.webp?v=1769877852&amp;width=1500
https://thedeconstruct.in/cdn/shop/files/retinol-peptide-serum-02-retinol-1-peptide-978449.webp?v=1769877852&amp;width=1500
https://thedeconstruct.in/cdn/shop/files/retinol-peptide-serum-02-retinol-1-peptide-307505.webp?v=1769877852&amp;width=1500
</t>
    </r>
    <r>
      <rPr>
        <rFont val="Carlito"/>
        <color rgb="FF1155CC"/>
        <sz val="11.0"/>
        <u/>
      </rPr>
      <t>https://thedeconstruct.in/cdn/shop/files/Slide-5_61afb350-5a03-47a5-b98d-b1d8624d1836.webp?v=1769877852&amp;width=1500</t>
    </r>
  </si>
  <si>
    <t>Roopsee-F-MO-21</t>
  </si>
  <si>
    <t>Deconstruct Brightening Moisturizer - 3% Vitamin C + 1% Kojic Acid Dipalmitate</t>
  </si>
  <si>
    <t>D, N+S</t>
  </si>
  <si>
    <t>Vitamin C (3%)</t>
  </si>
  <si>
    <t>Kojic Acid Dipalmitate (1%), Niacinamide (5%)</t>
  </si>
  <si>
    <t>A cushiony gel moisturizer with Vitamin C, Kojic Acid Dipalmitate and Niacinamide to support luminosity and brightness. Can be used alone or layered with serums for a brightening routine.</t>
  </si>
  <si>
    <t>Aqua, Hydrogenated Olive Oil Unsaponifiables (and) Hydrogenated Ethylhexyl Olivate (and) Dibutyl Adipate, Niacinamide, 3-O-Ethyl Ascorbic Acid (and) Water, Polyacrylate-13 (and) Polyisobutene (and) Polysorbate 20, Glycerin, Diheptyl Succinate (and) Capryloyl Glycerin/Sebacic Acid Copolymer, Kojic acid dipalmitate, Phenoxyethanol, Ethylhexylglycerin, C6- C12 Triglycerides, Sodium Acrylate/Sodium Acryloyldimethyl Taurate Copolymer (and) Isohexadecane (and) Polysorbate 80, Niacinamide (and) Citrus Junos Seed Extract (and) Lactobacillus Ferment (and) Scutellaria Baicalensis Root Extract, Lactic Acid, Vitamin E, Sodium Gluconate</t>
  </si>
  <si>
    <t>Ingredient caution: lactic acid/AHA might cause stinging, dryness, peeling, redness and increased sun sensitivity; vitamin C/ascorbic derivatives might cause tingling, redness or irritation in sensitive skin; niacinamide is usually gentle but might cause tingling or flushing in very reactive skin; kojic acid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</si>
  <si>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r>
      <rPr>
        <rFont val="Carlito"/>
        <color rgb="FF000000"/>
        <sz val="11.0"/>
      </rPr>
      <t xml:space="preserve">https://thedeconstruct.in/cdn/shop/files/brightening-moisturizer-5-niacinamide-1-kojic-acid-617040.webp?v=1769875011&amp;width=1500
https://thedeconstruct.in/cdn/shop/files/brightening-moisturizer-5-niacinamide-1-kojic-acid-226047.webp?v=1769875011&amp;width=1500
https://thedeconstruct.in/cdn/shop/files/brightening-moisturizer-5-niacinamide-1-kojic-acid-885862.webp?v=1769875011&amp;width=1500
https://thedeconstruct.in/cdn/shop/files/brightening-moisturizer-5-niacinamide-1-kojic-acid-479262.webp?v=1769875011&amp;width=1500
</t>
    </r>
    <r>
      <rPr>
        <rFont val="Carlito"/>
        <color rgb="FF1155CC"/>
        <sz val="11.0"/>
        <u/>
      </rPr>
      <t>https://thedeconstruct.in/cdn/shop/files/brightening-moisturizer-5-niacinamide-1-kojic-acid-618840.webp?v=1769875011&amp;width=1500</t>
    </r>
  </si>
  <si>
    <t>Roopsee-F-SU-18</t>
  </si>
  <si>
    <t>Deconstruct Invisible Cooling Sunscreen SPF 50 PA++++</t>
  </si>
  <si>
    <t>40g</t>
  </si>
  <si>
    <t>A water-based invisible sunscreen with SPF 50 PA++++ and encapsulated UV filter technology for broad-spectrum UVA/UVB protection. Lightweight, non-greasy and cooling with no white cast.</t>
  </si>
  <si>
    <t>Aqua, Polymethyl Methacrylate, Butyl Methoxy Dibenzoylmethane, Ethyl Hexyl Triazone, Butylene Glycol, Ethylhexyl Methoxycinnamate, Ethylhexyl Salicylate, Propanediol, Octocrylene, Bis-Ethylhexyloxyphenol Methoxyphenyl Triazine, DMDM Hydantoin, Dibutyl Lauroyl Glutamide, Menthyl Lactate (and) PPG-26-Buteth-26 (and) PEG-40 Hydrogenated Castor Oil, Dibutyl Ethylhexanoyl Glutamide, Acrylates/ C10-30 Alkyl Acrylate Crosspolymer, Sodium Stearoyl Glutamate, Triethanolamine, C.I 26100, Sclerotium gum, Xanthan gum</t>
  </si>
  <si>
    <t>Ingredient caution: niacinamide is usually gentle but might cause tingling or flushing in very reactive skin; UV filters might sting around the eyes or irritate very sensitive skin; humectants such as hyaluronic acid/glycerin are usually gentle but might feel sticky or tight if not sealed with moisturiser. Do a patch test before applying. Start slowly if your skin is sensitive and avoid combining too many new actives at once. Patch test near the jawline first, avoid the eye corners, and remove gently at night. Apply on slightly damp skin and follow with moisturiser if dryness occurs. Stop use if irritation persists.</t>
  </si>
  <si>
    <r>
      <rPr>
        <rFont val="Carlito"/>
        <color rgb="FF000000"/>
        <sz val="11.0"/>
      </rPr>
      <t xml:space="preserve">https://thedeconstruct.in/cdn/shop/files/Invisible_Sunscreen.webp?v=1779361000&amp;width=1500
https://thedeconstruct.in/cdn/shop/files/invisible-sunscreen-spf-50-pa-504900.webp?v=1769879000&amp;width=1500
https://thedeconstruct.in/cdn/shop/files/invisible-sunscreen-spf-50-pa-872624.webp?v=1769879000&amp;width=1500
https://thedeconstruct.in/cdn/shop/files/invisible-sunscreen-spf-50-pa-325667.webp?v=1769879000&amp;width=1500
</t>
    </r>
    <r>
      <rPr>
        <rFont val="Carlito"/>
        <color rgb="FF1155CC"/>
        <sz val="11.0"/>
        <u/>
      </rPr>
      <t>https://thedeconstruct.in/cdn/shop/files/invisible-sunscreen-spf-50-pa-470548.webp?v=1769879000&amp;width=1500</t>
    </r>
  </si>
  <si>
    <t>Roopsee-F-CL-22</t>
  </si>
  <si>
    <t>Chemist at Play 2% Salicylic Acid Face Wash for Acne &amp; Oil Control</t>
  </si>
  <si>
    <t>Chemist at Play</t>
  </si>
  <si>
    <t>Azelaic Acid, Cica, Ceramides, Zinc PCA</t>
  </si>
  <si>
    <t>A dermatologically tested salicylic acid face wash designed to deep clean pores, control excess oil and reduce breakouts without drying. Formulated with Salicylic Acid, Azelaic Acid, Cica and Ceramides to support clearer skin.</t>
  </si>
  <si>
    <t>Purified Water, Cocamidopropyl Betaine, Sodium C14-16 Alpha Olefin Sulfonate, Sorbitol, Salicylic Acid, Glycerin, Acrylates/C10-30 Alkyl Acrylate CrossPolymer, Centella Asiatica (Cica) Extract, Salix Alba (Willow Bark) Bark Extract, Phenoxyethanol, Polysorbate 80, Caprylyl/Capryl Glucoside, Sodium Methyl Cocoyl Taurate, Niacinamide, Azelaic Acid, Zinc PCA, Disodium Cocoamphoacetate, Sodium Cocoamphoacetate, Oryza Sativa (Rice) Phytoceramides, Amorphophallus Konjac Ceramide, Phospholipids, Sphingolipids, Cellulose Beads, Xanthan Gum, Citric Acid, Fragrance, Disodium EDTA, Menthol, CI 14700, CI 15985</t>
  </si>
  <si>
    <t>Ingredient caution: salicylic acid/BHA might cause stinging, dryness, peeling, redness and increased sun sensitivity; niacinamide is usually gentle but might cause tingling or flushing in very reactive skin; azelaic acid might cause tingling, dryness or redness in sensitive skin; sulfur/zinc-based oil-control ingredients might feel drying or tight on already dry skin. Do a patch test before applying. First-time users should start 3–4 times a week, avoid using it with retinol or other exfoliating acids in the same routine, and apply sunscreen daily. Start slowly if your skin is sensitive and avoid combining too many new actives at once. First-time users should start 3–4 times a week and pair with sunscreen, because pigmentation care works best with UV protection. Use a moisturiser and reduce frequency if the skin feels tight or flaky. Stop use if irritation persists.</t>
  </si>
  <si>
    <r>
      <rPr>
        <rFont val="Carlito"/>
        <color rgb="FF000000"/>
        <sz val="11.0"/>
      </rPr>
      <t xml:space="preserve">https://m.media-amazon.com/images/I/5128xgkcTZL._SL1000_.jpg, https://m.media-amazon.com/images/I/61joGax+yWL._SL1000_.jpg, https://m.media-amazon.com/images/I/61f26yGTXnL._SL1000_.jpg, https://m.media-amazon.com/images/I/71bCSD4nH1L._SL1000_.jpg, </t>
    </r>
    <r>
      <rPr>
        <rFont val="Carlito"/>
        <color rgb="FF1155CC"/>
        <sz val="11.0"/>
        <u/>
      </rPr>
      <t>https://m.media-amazon.com/images/I/61L07ifCzHL._SL1000_.jpg</t>
    </r>
  </si>
  <si>
    <t>Roopsee-F-CL-23</t>
  </si>
  <si>
    <t>Chemist at Play Gentle &amp; Hydrating Face Cleanser (Rice Water + Hyaluronic Acid)</t>
  </si>
  <si>
    <t>Polyglutamic Acid, Rice Water, Oatmeal</t>
  </si>
  <si>
    <t>A gentle hydrating cleanser with Hyaluronic Acid, Polyglutamic Acid, Rice Water and Oatmeal to cleanse impurities while keeping skin hydrated. Helps leave skin looking plump, luminous and fresh.</t>
  </si>
  <si>
    <t>Purified Water, Glycerin, Cetostearyl Alcohol, Propanediol, Oryza Sativa (Rice), Polyquaternium 39, Betaine, Phenoxyethanol, Ceteareth-20, Sodium Cocoyl Isethionate, Polysorbate 80, Xylitylglucoside, Allantoin, Avena Sativa (Oat) Meal Extract, Sodium Hyaluronate, Panthenol, Xylitol, Anhydro Xylitol, Amorphophallus Konjac Ceramide, Polyglutamic Acid, Oryza Sativa (Rice) Phytoceramides, Acrylates/C10-30 Alkyl Acrylate Cross Polymer, Tocopheryl Acetate, Fragrance, Xanthan Gum, Phospholipids, Sphingolipids, Disodium EDTA, PEG-45M, Sodium Hydroxide</t>
  </si>
  <si>
    <t>Ingredient caution: fragrance, essential oils or fragrance allergens might trigger redness, itching or allergic irritation;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Avoid this product if you have fragrance allergy, eczema-prone skin or a damaged barrier. Use lukewarm water, do not scrub, and follow with moisturiser. Do not apply on broken, freshly waxed or irritated skin. Apply on slightly damp skin and follow with moisturiser if dryness occurs. Stop use if irritation persists.</t>
  </si>
  <si>
    <r>
      <rPr>
        <color rgb="FF1155CC"/>
        <u/>
      </rPr>
      <t>https://innovist.com/cdn/shop/files/2_236-1.jpg?v=1756726257&amp;width=720</t>
    </r>
    <r>
      <rPr/>
      <t/>
    </r>
    <r>
      <rPr>
        <color rgb="FF1155CC"/>
        <u/>
      </rPr>
      <t>https://innovist.com/cdn/shop/files/2_236-1_1.jpg?v=1756726257&amp;width=720</t>
    </r>
    <r>
      <rPr/>
      <t/>
    </r>
    <r>
      <rPr>
        <color rgb="FF1155CC"/>
        <u/>
      </rPr>
      <t>https://innovist.com/cdn/shop/files/3_236_2.jpg?v=1756726187&amp;width=720</t>
    </r>
    <r>
      <rPr/>
      <t/>
    </r>
    <r>
      <rPr>
        <color rgb="FF1155CC"/>
        <u/>
      </rPr>
      <t>https://innovist.com/cdn/shop/files/4_236_2.jpg?v=1756726187&amp;width=720</t>
    </r>
    <r>
      <rPr/>
      <t/>
    </r>
    <r>
      <rPr>
        <color rgb="FF1155CC"/>
        <u/>
      </rPr>
      <t>https://innovist.com/cdn/shop/files/5_236_3.jpg?v=1756726187&amp;width=720</t>
    </r>
  </si>
  <si>
    <t>Roopsee-F-SE-50</t>
  </si>
  <si>
    <t>Chemist at Play 10% Vitamin C Face Serum with 2% Glucosamine for Glowing Skin</t>
  </si>
  <si>
    <t>Vitamin C</t>
  </si>
  <si>
    <t>Acetyl Glucosamine, Sodium Hyaluronate, Lactic Acid</t>
  </si>
  <si>
    <t>A dermatologically tested Vitamin C serum with high-grade stable Ethyl Ascorbic Acid and Glucosamine. Helps fade dark spots, reduce melanin production, brighten dull skin and improve glow with continued use.</t>
  </si>
  <si>
    <t>Purified Water, 3-O-Ethyl Ascorbic Acid, Dimethyl Isosorbide, Ethoxydiglycol, Propanediol, Acetyl Glucosamine, Phenoxyethanol, Allantoin, Sodium Hyaluronate, Xanthan Gum, Sodium Gluconate, Lactic acid, Amorphophallus Konjac Ceramide, Oryza Sativa (Rice) Ceramide</t>
  </si>
  <si>
    <t>Ingredient caution: lactic acid/AHA might cause stinging, dryness, peeling, redness and increased sun sensitivity; vitamin C/ascorbic derivatives might cause tingling, redness or irritation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Do not apply on broken, freshly waxed or irritated skin. Apply on slightly damp skin and follow with moisturiser if dryness occurs. Stop use if irritation persists.</t>
  </si>
  <si>
    <r>
      <rPr>
        <color rgb="FF1155CC"/>
        <u/>
      </rPr>
      <t>https://innovist.com/cdn/shop/files/Brightening_Face_Serum_910301d7-de8c-44b0-8c15-f0b82de3fd64.jpg?v=1772107374&amp;width=1800</t>
    </r>
    <r>
      <rPr>
        <color rgb="FF1F1F1F"/>
      </rPr>
      <t xml:space="preserve">, </t>
    </r>
    <r>
      <rPr>
        <color rgb="FF1155CC"/>
        <u/>
      </rPr>
      <t>https://innovist.com/cdn/shop/files/Image_7.jpg?v=1772107374&amp;width=1800</t>
    </r>
    <r>
      <rPr>
        <color rgb="FF1F1F1F"/>
      </rPr>
      <t xml:space="preserve">, </t>
    </r>
    <r>
      <rPr>
        <color rgb="FF1155CC"/>
        <u/>
      </rPr>
      <t>https://innovist.com/cdn/shop/files/Image_6_d8e80c2e-11fd-4bcd-80cb-33f194c6309d.jpg?v=1772107392&amp;width=1800</t>
    </r>
    <r>
      <rPr>
        <color rgb="FF1F1F1F"/>
      </rPr>
      <t xml:space="preserve">, </t>
    </r>
    <r>
      <rPr>
        <color rgb="FF1155CC"/>
        <u/>
      </rPr>
      <t>https://innovist.com/cdn/shop/files/Image_5_3490340f-8830-40dd-9933-ce6e477eb702.jpg?v=1772107392&amp;width=1800</t>
    </r>
  </si>
  <si>
    <t>Roopsee-B-WA-11</t>
  </si>
  <si>
    <t>Chemist at Play Brightening Body Wash with Vitamin C &amp; Niacinamide</t>
  </si>
  <si>
    <t>236ml</t>
  </si>
  <si>
    <t>Body Brightening</t>
  </si>
  <si>
    <t>Niacinamide, Camu Camu, Alpha Arbutin, Glycolic Acid, Ceramides</t>
  </si>
  <si>
    <t>A dermatologically tested brightening body wash with Vitamin C, Camu Camu, Alpha Arbutin, Niacinamide, Glycolic Acid and Ceramides. Gently cleanses, reduces dullness and helps improve uneven skin tone without stripping moisture.</t>
  </si>
  <si>
    <t>Purified Water, Cocamidopropyl betaine, Sodium C14-16 alpha olefin sulfonate, Sorbitol, Glycerine, Niacinamide, Sodium Lauroyl Sarcosinate, PEG-150 Distearate, Glycolic Acid, Fragrance, PEG-7 Glyceryl Cocoate, 3-O-Ethyl Ascorbic Acid, Alpha Arbutin, Amorphophallus Konjac Ceramide, Oryza Sativa (Rice) Phytoceramides, Phospholipids, Sphingolipids, Guar Hydroxypropyltrimonium Chloride, Propanediol, Myrciaria Dubia (Camu Camu) Fruit Extract, Phenoxyethanol, CI 19140, Disodium EDTA, Sodium Hydroxide</t>
  </si>
  <si>
    <t>Ingredient caution: glycolic acid/AHA might cause stinging, dryness, peeling, redness and increased sun sensitivity; vitamin C/ascorbic derivatives might cause tingling, redness or irritation in sensitive skin; niacinamide is usually gentle but might cause tingling or flushing in very reactive skin; alpha arbutin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</si>
  <si>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r>
      <rPr>
        <color rgb="FF1155CC"/>
        <u/>
      </rPr>
      <t>https://innovist.com/cdn/shop/files/Artboard_1_copy_3_3x_a2025daf-bdfd-40bd-82dd-fd67e7684d0e.jpg?v=1756539858&amp;width=720</t>
    </r>
    <r>
      <rPr/>
      <t/>
    </r>
    <r>
      <rPr>
        <color rgb="FF1155CC"/>
        <u/>
      </rPr>
      <t>https://innovist.com/cdn/shop/files/2_236_3x_d9ed6e16-3f9a-40c3-babb-62f16f4a8135_1.jpg?v=1772012141&amp;width=720</t>
    </r>
    <r>
      <rPr/>
      <t/>
    </r>
    <r>
      <rPr>
        <color rgb="FF1155CC"/>
        <u/>
      </rPr>
      <t>https://innovist.com/cdn/shop/files/3_236_3x_e4682524-3eb0-41a6-a0ef-1b3d334def96_1.jpg?v=1772012141&amp;width=720</t>
    </r>
    <r>
      <rPr/>
      <t/>
    </r>
    <r>
      <rPr>
        <color rgb="FF1155CC"/>
        <u/>
      </rPr>
      <t>https://innovist.com/cdn/shop/files/4_236_3x_fff5c509-5aef-4b80-9cb4-99bbe7282ded_1.jpg?v=1772012141&amp;width=720</t>
    </r>
    <r>
      <rPr/>
      <t/>
    </r>
    <r>
      <rPr>
        <color rgb="FF1155CC"/>
        <u/>
      </rPr>
      <t>https://innovist.com/cdn/shop/files/Brightening_Body_Wash_-_Claim_Card_1080x1080_22716ded-3c7e-43f0-921a-5fe7e264b07b.jpg?v=1772012141&amp;width=720</t>
    </r>
  </si>
  <si>
    <t>Roopsee-B-LO-07</t>
  </si>
  <si>
    <t>Chemist at Play 10% Magnesium Body Lotion with Lavender Oil &amp; Aloe Vera</t>
  </si>
  <si>
    <t>D</t>
  </si>
  <si>
    <t>Magnesium (10%)</t>
  </si>
  <si>
    <t>Lavender Oil, Aloe Vera</t>
  </si>
  <si>
    <t>A daily body lotion powered by 10% Magnesium Chloride to help relax tired muscles and ease stiffness. Enriched with Aloe Vera, Ceramides and Lavender Oil to hydrate, soothe and support relaxation.</t>
  </si>
  <si>
    <t>Purified Water, Magnesium Chloride Hexahydrate, Isopropyl Palmitate, Cetostearyl Alcohol, Propanediol, Butyrospermum Parkii (Shea) Butter, Glyceryl Stearate, PEG-100 Stearate, Fragrance, Phenoxyethanol, Cyclopentasiloxane, Dimethicone, Ceteareth 20, Olive Oil Methyl Ester, Dicaprylyl Carbonate, Hydroxyethyl Acrylate/Sodium Acryloyldimethyl Taurate Copolymer, Tocopheryl Acetate, Aloe Barbadensis Leaf Powder, Chamomilla Recutita (Matricaria) Flower Extract, Lavandula Angustifolia (Lavender) Oil, Ceramide NP, Ceramide AS, Ceramide EOP, Ceramide NS, Ceramide NG, 1,2-Hexanediol, Hexyldecanol, Hydroxypropyl Cyclodextrin, Disodium EDTA</t>
  </si>
  <si>
    <t>Ingredient caution: fragrance, essential oils or fragrance allergens might trigger redness, itching or allergic irritation;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Avoid this product if you have fragrance allergy, eczema-prone skin or a damaged barrier. Use a small amount first and avoid applying on active acne if it feels greasy. Do not apply on broken, freshly waxed or irritated skin. Apply on slightly damp skin and follow with moisturiser if dryness occurs. Stop use if irritation persists.</t>
  </si>
  <si>
    <r>
      <rPr>
        <color rgb="FF1155CC"/>
        <u/>
      </rPr>
      <t>https://innovist.com/cdn/shop/files/Artboard2_69.jpg?v=1764073787&amp;width=720</t>
    </r>
    <r>
      <rPr/>
      <t/>
    </r>
    <r>
      <rPr>
        <color rgb="FF1155CC"/>
        <u/>
      </rPr>
      <t>https://innovist.com/cdn/shop/files/Artboard3_24.jpg?v=1764073788&amp;width=720</t>
    </r>
    <r>
      <rPr/>
      <t/>
    </r>
    <r>
      <rPr>
        <color rgb="FF1155CC"/>
        <u/>
      </rPr>
      <t>https://innovist.com/cdn/shop/files/Artboard4copy.jpg?v=1770898251&amp;width=720</t>
    </r>
    <r>
      <rPr/>
      <t/>
    </r>
    <r>
      <rPr>
        <color rgb="FF1155CC"/>
        <u/>
      </rPr>
      <t>https://innovist.com/cdn/shop/files/Artboard6_3.jpg?v=1770898251&amp;width=720</t>
    </r>
    <r>
      <rPr/>
      <t/>
    </r>
    <r>
      <rPr>
        <color rgb="FF1155CC"/>
        <u/>
      </rPr>
      <t>https://innovist.com/cdn/shop/files/Artboard7_3.jpg?v=1770898251&amp;width=720</t>
    </r>
  </si>
  <si>
    <t>Roopsee-B-LO-08</t>
  </si>
  <si>
    <t>Chemist at Play 5% AHA Body Lotion with Niacinamide &amp; Shea Butter</t>
  </si>
  <si>
    <t>Body Acne, Dryness, Dehydration</t>
  </si>
  <si>
    <t>AHA (5%)</t>
  </si>
  <si>
    <t>Niacinamide, Shea Butter</t>
  </si>
  <si>
    <t>A dermatologically tested AHA body lotion with 5% Natural AHA, Niacinamide, Ceramides and Shea Butter. Gently exfoliates dead skin cells, improves uneven tone and smooths rough, bumpy skin while providing long-lasting hydration.</t>
  </si>
  <si>
    <t>Purified Water, Stearic Acid, Cetearyl Alcohol, Polysorbate 60, Vaccinium Myrtillus Fruit/Leaf Extract, Saccharum Officinarum (Sugar Cane) Extract, Citrus Aurantium Dulcis (Orange) Fruit Extract, Citrus Limon (Lemon) Fruit Extract, Acer Saccharum (Sugar Maple) Extract, Glycerine, Glyceryl Mono Stearate, Helianthus Annuus (Sunflower) Seed Oil, Niacinamide, Propanediol, Cetyl Alcohol, Cyclopentasiloxane, Dimethiconol, Butyrospermum Parkii (Shea) Butter, Phenoxyethanol, Allantoin, Xanthan Gum, Sodium Acrylate/Sodium Acryloyldimethyl Taurate Copolymer, Hydrogenated Polydecene, Trideceth-6, Sorbitan Laurate, Lactic Acid, Glycolic Acid, Tocopheryl Acetate, Sodium Hyaluronate, Rice (Oryza Sativa) Phytoceramides, Konjac (Amorphophallus) Phytoceramides, Phospholipids, Sphingolipids, Fragrance, Disodium EDTA</t>
  </si>
  <si>
    <t>Ingredient caution: glycolic acid/AHA, lactic acid/AHA might cause stinging, dryness, peeling, redness and increased sun sensitivity; niacinamide is usually gentle but might cause tingling or flushing in very reactive skin; fragrance, essential oils or fragrance allergens might trigger redness, itching or allergic irritation; rich oils, butters or occlusive emollients might feel heavy or clog pores in acne-prone/oily skin.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Use a small amount first and avoid applying on active acne if it feels greasy. Stop use if irritation persists.</t>
  </si>
  <si>
    <r>
      <rPr>
        <color rgb="FF1155CC"/>
        <u/>
      </rPr>
      <t>https://innovist.com/cdn/shop/files/First_Image_Guides__3x_ba86737c-8cfd-48e7-b3cc-d5da74cbfda2.jpg?v=1756538344&amp;width=720</t>
    </r>
    <r>
      <rPr/>
      <t/>
    </r>
    <r>
      <rPr>
        <color rgb="FF1155CC"/>
        <u/>
      </rPr>
      <t>https://innovist.com/cdn/shop/files/2_473_1736742d-84c4-4883-8e6c-c08d9d5190f5.jpg?v=1756792606&amp;width=720</t>
    </r>
    <r>
      <rPr/>
      <t/>
    </r>
    <r>
      <rPr>
        <color rgb="FF1155CC"/>
        <u/>
      </rPr>
      <t>https://innovist.com/cdn/shop/files/3_236_4a3d7b1a-cf3a-4c2e-99bf-698c51f2911b.jpg?v=1756792606&amp;width=720</t>
    </r>
    <r>
      <rPr/>
      <t/>
    </r>
    <r>
      <rPr>
        <color rgb="FF1155CC"/>
        <u/>
      </rPr>
      <t>https://innovist.com/cdn/shop/files/4_236_0367d3b6-e6b9-48a0-a69f-20164cd243fe.jpg?v=1756792606&amp;width=720</t>
    </r>
    <r>
      <rPr/>
      <t/>
    </r>
    <r>
      <rPr>
        <color rgb="FF1155CC"/>
        <u/>
      </rPr>
      <t>https://innovist.com/cdn/shop/files/5_473_98c1c650-0202-49b7-8612-0fc0bc71061b_1.jpg?v=1756792606&amp;width=720</t>
    </r>
  </si>
  <si>
    <t>Roopsee-F-MO-22</t>
  </si>
  <si>
    <t>Deconstruct Skin Soothe Moisturizer - 1% Ceramide + 0.2% Bisabolol</t>
  </si>
  <si>
    <t>50 g</t>
  </si>
  <si>
    <t>Ceramide (1%)</t>
  </si>
  <si>
    <t>Bisabolol (0.2%), Hyaluronic Acid</t>
  </si>
  <si>
    <t>A cushiony, creamy moisturizer with Ceramides and Bisabolol that helps calm and soothe skin. Supports barrier strength, locks moisture and comforts dryness without greasiness.</t>
  </si>
  <si>
    <t>Water, Vitellaria paradoxa (Shea) Butter, Medium Chain Triglycerides, Centella asiatica extract, Isopropyl Myristate, Cetostearyl alcohol, Glyceryl MonoStearate, Bisabolol, L Arginine, Stearic acid, Ceramide NP, Ceramide AP, Phytosphingosine, Cholesterol, Glycine Soja (Soyabean) Wax, Ceramide EOP, Propylene Glycol, Sodium Polyacrylate, Triethanolamine, Sodium Gluconate, Phenoxyethanol, Ethylhexylglycerin, Xanthan Gum, Carbomer, Sodium Lauroyl Lactylate, Sodium Benzoate</t>
  </si>
  <si>
    <t>Ingredient caution: cleansing surfactants might cause dryness, stinging or tightness if overused;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Use lukewarm water, do not scrub, and follow with moisturiser. Use a small amount first and avoid applying on active acne if it feels greasy. Do not apply on broken, freshly waxed or irritated skin. Apply on slightly damp skin and follow with moisturiser if dryness occurs. Stop use if irritation persists.</t>
  </si>
  <si>
    <r>
      <rPr>
        <color rgb="FF1155CC"/>
        <u/>
      </rPr>
      <t>https://thedeconstruct.in/cdn/shop/files/Skin_Soothe_Moisturizer_-_1__Ceramide_0.2__Bisabolol.webp?v=1782482332&amp;width=1500</t>
    </r>
    <r>
      <rPr/>
      <t/>
    </r>
    <r>
      <rPr>
        <color rgb="FF1155CC"/>
        <u/>
      </rPr>
      <t>https://thedeconstruct.in/cdn/shop/files/NykaaListing1stImageArtboard35_9ca058d5-abe6-442d-8c27-813e96c73d98.jpg?v=1769876368&amp;width=1500</t>
    </r>
    <r>
      <rPr/>
      <t/>
    </r>
    <r>
      <rPr>
        <color rgb="FF1155CC"/>
        <u/>
      </rPr>
      <t>https://thedeconstruct.in/cdn/shop/products/skin-soothe-moisturizer-1-ceramide-02-bisabolol-642373.jpg?v=1769876368&amp;width=1500</t>
    </r>
    <r>
      <rPr/>
      <t/>
    </r>
    <r>
      <rPr>
        <color rgb="FF1155CC"/>
        <u/>
      </rPr>
      <t>https://thedeconstruct.in/cdn/shop/products/skin-soothe-moisturizer-1-ceramide-02-bisabolol-615190.jpg?v=1769876368&amp;width=1500</t>
    </r>
    <r>
      <rPr/>
      <t/>
    </r>
    <r>
      <rPr>
        <color rgb="FF1155CC"/>
        <u/>
      </rPr>
      <t>https://thedeconstruct.in/cdn/shop/files/Skin_Soothe_Moisturiser_Cap_Change_Listing_Images3.jpg?v=1769876368&amp;width=1500</t>
    </r>
  </si>
  <si>
    <t>Roopsee-F-SU-19</t>
  </si>
  <si>
    <t>Deconstruct Fluid Brightening Sunscreen SPF 50 PA++++ - 5% Niacinamide</t>
  </si>
  <si>
    <t>O, O+S, N, N+S, C, C+S</t>
  </si>
  <si>
    <t>SPF 50 UV Filters, Hyaluronic Acid</t>
  </si>
  <si>
    <t>A lightweight fluid sunscreen with SPF 50 PA++++ using advanced photostable UV filters for UVA/UVB protection. Enriched with 5% Niacinamide and Allantoin to reduce dullness, support the barrier and leave a bright dewy finish with no white cast.</t>
  </si>
  <si>
    <t>Aqua, C12-15 Alkyl Benzoate (and) Diethylamino Hydroxybenzoyl Hexyl Benzoate (and) Ethylhexyl Triazone (and) Bis-Ethylhexyloxyphenol Methoxyphenyl Triazine (and) Phospholipids (and) Polysorbate 80 (and) 1,3-Butylene Glycol (and) Phenoxyethanol, Ethylhexyl Salicylate, Methylene Bis-Benzotriazolyl Tetramethylbutylphenol (and) Aqua (and) Decyl Glucoside (and) Propylene Glycol (and) Xanthan Gum, Niacinamide, Propanediol, Behenyl Alcohol (and) Polyglyceryl-10 Pentastearate (and) Sodium Stearoyl Lactylate, Undecane (and) Tridecane, Phenoxyethanol (and) Ethylhexylglycerin, Sodium Acrylates Copolymer (and) Lecithin, Allantoin, Disodium EDTA, Sodium Anisate</t>
  </si>
  <si>
    <r>
      <rPr>
        <color rgb="FF1155CC"/>
        <u/>
      </rPr>
      <t>https://thedeconstruct.in/cdn/shop/files/Fluid_Brightening_Sunscreen_SPF_50_PA_5__Niacinamide_In_Vivo_Tested_All_Skin_Types.webp?v=1782482332&amp;width=1500</t>
    </r>
    <r>
      <rPr/>
      <t/>
    </r>
    <r>
      <rPr>
        <color rgb="FF1155CC"/>
        <u/>
      </rPr>
      <t>https://thedeconstruct.in/cdn/shop/files/01_00845810-b1e4-4414-9387-073f77f51c02.webp?v=1779965971&amp;width=1500</t>
    </r>
    <r>
      <rPr/>
      <t/>
    </r>
    <r>
      <rPr>
        <color rgb="FF1155CC"/>
        <u/>
      </rPr>
      <t>https://thedeconstruct.in/cdn/shop/files/02_7f2f3681-19b0-454c-84f1-85f1c754988d.webp?v=1779965971&amp;width=1500</t>
    </r>
    <r>
      <rPr/>
      <t/>
    </r>
    <r>
      <rPr>
        <color rgb="FF1155CC"/>
        <u/>
      </rPr>
      <t>https://thedeconstruct.in/cdn/shop/files/03_836d137e-693a-4f11-98a2-63e9dd8f0f39.webp?v=1779965971&amp;width=1500</t>
    </r>
    <r>
      <rPr/>
      <t/>
    </r>
    <r>
      <rPr>
        <color rgb="FF1155CC"/>
        <u/>
      </rPr>
      <t>https://thedeconstruct.in/cdn/shop/files/04_0abfc407-940d-4cbc-bd61-0d84e84dbb0c.webp?v=1779965972&amp;width=1500</t>
    </r>
  </si>
  <si>
    <t>Roopsee-F-TR-01</t>
  </si>
  <si>
    <t>Deconstruct Hydrocolloid Acne Pimple Patch with 2% Salicylic Acid &amp; 0.2% Tea Tree Oil</t>
  </si>
  <si>
    <t>Treatment</t>
  </si>
  <si>
    <t>36 patches</t>
  </si>
  <si>
    <t>Tea Tree Oil (0.2%), Hydrocolloid</t>
  </si>
  <si>
    <t>Hydrocolloid acne pimple patches with 2% Salicylic Acid and 0.2% Tea Tree Oil to help extract pus, unclog pores and prevent pimple marks. Invisible, comfortable and sweat-proof with 2x adhesion for day and night use.</t>
  </si>
  <si>
    <t>Hydrocolloid, Salicylic Acid, Centella Asiatica Extract, Calendula Extract, Tea Tree Oil, Niacinamide</t>
  </si>
  <si>
    <t>Ingredient caution: salicylic acid/BHA might cause stinging, dryness, peeling, redness and increased sun sensitivity; niacinamide is usually gentle but might cause tingling or flushing in very reactive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Stop use if irritation persists.</t>
  </si>
  <si>
    <r>
      <rPr>
        <color rgb="FF1155CC"/>
        <u/>
      </rPr>
      <t>https://thedeconstruct.in/cdn/shop/files/APP_listing.webp?v=1769876463&amp;width=416</t>
    </r>
    <r>
      <rPr/>
      <t/>
    </r>
    <r>
      <rPr>
        <color rgb="FF1155CC"/>
        <u/>
      </rPr>
      <t>https://thedeconstruct.in/cdn/shop/files/Pimple_Patch02.webp?v=1769876463&amp;width=416</t>
    </r>
    <r>
      <rPr/>
      <t/>
    </r>
    <r>
      <rPr>
        <color rgb="FF1155CC"/>
        <u/>
      </rPr>
      <t>https://thedeconstruct.in/cdn/shop/files/Pimple_Patch03.webp?v=1769876463&amp;width=1500</t>
    </r>
    <r>
      <rPr/>
      <t/>
    </r>
    <r>
      <rPr>
        <color rgb="FF1155CC"/>
        <u/>
      </rPr>
      <t>https://thedeconstruct.in/cdn/shop/files/Pimple_Patch05.webp?v=1769876463&amp;width=1500</t>
    </r>
    <r>
      <rPr/>
      <t/>
    </r>
    <r>
      <rPr>
        <color rgb="FF1155CC"/>
        <u/>
      </rPr>
      <t>https://thedeconstruct.in/cdn/shop/files/Pimple_Patch06.webp?v=1769876463&amp;width=1500</t>
    </r>
  </si>
  <si>
    <t>Roopsee-B-WA-12</t>
  </si>
  <si>
    <t>Deconstruct Salicylic Acid Body Wash - 1% Salicylic Acid + 2% Glycolic Acid</t>
  </si>
  <si>
    <t>Glycolic Acid (2%), Aloe Vera</t>
  </si>
  <si>
    <t>A daily gentle, paraben and SLS-free exfoliating body wash with 1% Salicylic Acid and 2% Glycolic Acid. Helps treat body acne, deep cleanse, unclog pores, reduce sebum and smooth rough, bumpy skin without drying.</t>
  </si>
  <si>
    <t>Purified Water, Cocamidopropyl Betaine, Sodium Lauroyl Sarcosinate, Disodium Cocoamphodiacetate, Lavender Water, Triethanolamine, Glycerin, Lactic Acid, Glycolic Acid, Xanthan Gum, Salicylic Acid, Cellulose, Phenoxyethanol (and) Ethylhexylglycerin, Polyacrylate Crosspolymer-6, Sodium Gluconate</t>
  </si>
  <si>
    <t>Ingredient caution: glycolic acid/AHA, salicylic acid/BHA might cause stinging, dryness, peeling, redness and increased sun sensitivity; fragrance, essential oils or fragrance allergens might trigger redness, itching or allergic irritation;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Do not apply on broken, freshly waxed or irritated skin. Stop use if irritation persists.</t>
  </si>
  <si>
    <r>
      <rPr>
        <color rgb="FF1155CC"/>
        <u/>
      </rPr>
      <t>https://thedeconstruct.in/cdn/shop/files/Salicylic_Acid_Body_Wash.webp?v=1782482331&amp;width=1500</t>
    </r>
    <r>
      <rPr/>
      <t/>
    </r>
    <r>
      <rPr>
        <color rgb="FF1155CC"/>
        <u/>
      </rPr>
      <t>https://thedeconstruct.in/cdn/shop/files/ziibadmuethdj9gehsyk.webp?v=1769873952&amp;width=1500</t>
    </r>
    <r>
      <rPr/>
      <t/>
    </r>
    <r>
      <rPr>
        <color rgb="FF1155CC"/>
        <u/>
      </rPr>
      <t>https://thedeconstruct.in/cdn/shop/files/gztveyw0kkyqmi7amlgj.webp?v=1769873952&amp;width=1500</t>
    </r>
    <r>
      <rPr/>
      <t/>
    </r>
    <r>
      <rPr>
        <color rgb="FF1155CC"/>
        <u/>
      </rPr>
      <t>https://thedeconstruct.in/cdn/shop/files/eskktinkie4doci0ttk4.webp?v=1769873952&amp;width=1500</t>
    </r>
    <r>
      <rPr/>
      <t/>
    </r>
    <r>
      <rPr>
        <color rgb="FF1155CC"/>
        <u/>
      </rPr>
      <t>https://thedeconstruct.in/cdn/shop/files/qikwfb9nnhp8bqqgs9hw.webp?v=1769873952&amp;width=1500</t>
    </r>
  </si>
  <si>
    <t>Roopsee-B-LO-09</t>
  </si>
  <si>
    <t>Deconstruct Detan Body Sunscreen Lotion - 4% Niacinamide + 1% Kojic Acid + SPF 50 PA++++</t>
  </si>
  <si>
    <t>90ml</t>
  </si>
  <si>
    <t>Niacinamide (4%)</t>
  </si>
  <si>
    <t>Kojic Acid (1%), SPF 50 UV Filters</t>
  </si>
  <si>
    <t>A lightweight, water-resistant, non-greasy body sunscreen lotion that helps prevent tanning and protect against UVA/UVB rays. Powered by 4% Niacinamide, 1% Kojic Acid Dipalmitate and SPF 50 PA++++ for brightening, detanning and hydration.</t>
  </si>
  <si>
    <t>Water, Aqua (and) Ethylhexyl Methoxycinnamate (and) Butyl Methoxydibenzoylmethane (and) Benzophenone-3 (and), Phospholipids (and) 1,3-Butylene Glycol (and) Phenoxyethanol, Niacinamide, Glycerin, Betaine, Butylene Glycol, AMPS/HEMA crosspolymer, C13-15 alkane, coco-glucoside, Kojic Acid Dipalmitate, Licorice Extract, D-Panthenol, Phenoxyethanol, Petrolatum, Cetearyl Olivate, Sorbitan Olivate, Tocopherol, Helianthus Annuus Seed Oil, Menthol</t>
  </si>
  <si>
    <t>Ingredient caution: niacinamide is usually gentle but might cause tingling or flushing in very reactive skin; kojic acid, licorice extract might cause tingling, dryness or redness in sensitive skin; fragrance, essential oils or fragrance allergens might trigger redness, itching or allergic irritation; cleansing surfactants might cause dryness, stinging or tightness if overused. Do a patch test before applying.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Use lukewarm water, do not scrub, and follow with moisturiser. Stop use if irritation persists.</t>
  </si>
  <si>
    <r>
      <rPr>
        <color rgb="FF1155CC"/>
        <u/>
      </rPr>
      <t>https://thedeconstruct.in/cdn/shop/files/final-resized-imagesArtboard-25.webp?v=1779360190&amp;width=1500</t>
    </r>
    <r>
      <rPr/>
      <t/>
    </r>
    <r>
      <rPr>
        <color rgb="FF1155CC"/>
        <u/>
      </rPr>
      <t>https://thedeconstruct.in/cdn/shop/files/Body_LotionArtboard_5.jpg?v=1769873902&amp;width=1500</t>
    </r>
    <r>
      <rPr/>
      <t/>
    </r>
    <r>
      <rPr>
        <color rgb="FF1155CC"/>
        <u/>
      </rPr>
      <t>https://thedeconstruct.in/cdn/shop/files/DECON00000111_2.jpg?v=1769873902&amp;width=1500</t>
    </r>
    <r>
      <rPr/>
      <t/>
    </r>
    <r>
      <rPr>
        <color rgb="FF1155CC"/>
        <u/>
      </rPr>
      <t>https://thedeconstruct.in/cdn/shop/files/DECON00000111_3.jpg?v=1769873902&amp;width=1500</t>
    </r>
    <r>
      <rPr/>
      <t/>
    </r>
    <r>
      <rPr>
        <color rgb="FF1155CC"/>
        <u/>
      </rPr>
      <t>https://thedeconstruct.in/cdn/shop/files/DECON00000111_4_1.jpg?v=1769873902&amp;width=1500</t>
    </r>
  </si>
  <si>
    <t>Roopsee-F-CL-24</t>
  </si>
  <si>
    <t>Dot &amp; Key Cica + Salicylic Acid Blemish Clearing Face Wash</t>
  </si>
  <si>
    <t>Dot &amp; Key</t>
  </si>
  <si>
    <t>Cica (Centella Asiatica)</t>
  </si>
  <si>
    <t>Salicylic Acid, Niacinamide</t>
  </si>
  <si>
    <t>A sulphate-free, anti-acne face wash for oil free, clear skin. Packed with Cica, Salicylic Acid &amp; Green Tea, it helps reduce active acne with gentle yet effective cleansing, control excess oil and soothe skin inflammation.</t>
  </si>
  <si>
    <t>Aqua, Cocamidopropyl Betaine, Decyl Glucoside, Disodium Cocoyl Glutamate, 1,3-Butylene Glycol, Acrylates/C10-30 Alkyl Acrylate Crosspolymer, Salicylic Acid, Xanthan Gum, PEG-40 Hydrogenated Castor Oil, Sodium Hydroxide, Zinc PCA, Disodium EDTA, Benzophenone-4, Camphor, Melaleuca Alternafolia (Tea Tree) Leaf Oil, Mentha Piperita (Peppermint) Oil, Panthenol, Glycine Soja (Soybean) Seed Extract (and) Houttuynia Cordata Extract (and) Scutellaria Baicalensis Root Extract (and) Melia Azadirachta Leaf Extract (and) Rehmannia Chinensis Root Extract (and) Salix Alba (Willow) Bark Extract (and) PhellodendronAmurense Bark Extract (and) Lactobacillus/Pear Juice Ferment Filtrate, Camellia Sinensis (Green Tea) Leaf Extract, Aloe Barbadensis (Aloe Vera) Leaf Juice, Centella Asiatica (Cica) Leaf Extract, Benzyl Alcohol (and) Ethylhexylglycerin (and) Tocopherol, CI 19140, CI 42090</t>
  </si>
  <si>
    <t>Ingredient caution: salicylic acid/BHA might cause stinging, dryness, peeling, redness and increased sun sensitivity; niacinamide is usually gentle but might cause tingling or flushing in very reactive skin; sulfur/zinc-based oil-control ingredients might feel drying or tight on already dry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Start slowly if your skin is sensitive and avoid combining too many new actives at once. Use a moisturiser and reduce frequency if the skin feels tight or flaky. Avoid this product if you have fragrance allergy, eczema-prone skin or a damaged barrier. Stop use if irritation persists.</t>
  </si>
  <si>
    <r>
      <rPr>
        <color rgb="FF1155CC"/>
        <u/>
      </rPr>
      <t>https://www.dotandkey.com/cdn/shop/files/175ml.jpg?v=1781243494&amp;width=700</t>
    </r>
    <r>
      <rPr/>
      <t/>
    </r>
    <r>
      <rPr>
        <color rgb="FF1155CC"/>
        <u/>
      </rPr>
      <t>https://www.dotandkey.com/cdn/shop/files/2_7b61f856-7a66-49fe-adc8-0de253b4dc67.png?v=1778844721&amp;width=700</t>
    </r>
    <r>
      <rPr/>
      <t/>
    </r>
    <r>
      <rPr>
        <color rgb="FF1155CC"/>
        <u/>
      </rPr>
      <t>https://www.dotandkey.com/cdn/shop/files/3_377641f7-fc85-4079-af27-d7e4cb64e07a.png?v=1778844721&amp;width=700</t>
    </r>
    <r>
      <rPr/>
      <t/>
    </r>
    <r>
      <rPr>
        <color rgb="FF1155CC"/>
        <u/>
      </rPr>
      <t>https://www.dotandkey.com/cdn/shop/files/4_009fb397-dd67-40bb-9c44-c5fdb643ee70.png?v=1778844721&amp;width=700</t>
    </r>
    <r>
      <rPr/>
      <t/>
    </r>
    <r>
      <rPr>
        <color rgb="FF1155CC"/>
        <u/>
      </rPr>
      <t>https://www.dotandkey.com/cdn/shop/files/5_5014c006-ec5c-4b79-8a46-9f115aa4a811.png?v=1778844721&amp;width=700</t>
    </r>
  </si>
  <si>
    <t>Roopsee-F-CL-25</t>
  </si>
  <si>
    <t>Dot &amp; Key Barrier Repair + Hydrating Gentle Face Wash</t>
  </si>
  <si>
    <t>Ceramide</t>
  </si>
  <si>
    <t>Hyaluronic Acid, Allantoin</t>
  </si>
  <si>
    <t>A sulphate-free, ultra-mild hydrating cleanser that gently cleanses without over-drying skin. Powered with Hyaluronic Acid, Probiotics, 5 Essential Ceramides and Japanese Rice Water to lock in moisture, repair damaged skin and restore skin’s pH balance.</t>
  </si>
  <si>
    <t>Aqua, Cocamidopropyl Betaine, Glycerine, Decyl Glucoside, Disodium Cocoyl Glutamate, Triethanolamine, Acrylates/C10-30 Alkyl Acrylate Crosspolymer, Xanthan Gum, PEG-40 Hydrogenated Castor Oil, Citric Acid, Disodium EDTA, Panthenol, Cocos Nucifera (Coconut) Oil, Simmondsia Chinensis (Jojoba) Seed Oil, Sodium Hyaluronate, Tocopheryl Acetate, Lactococcus Ferment Lysate, Laminaria Digitata Extract (and) Hydrogenated Lecithin (and) Cetyl-PG Hydroxy- ethyl Palmitamide (and) Ceramide 1,2, 3,4, 611 (and) Cholesterol [and] 1,2-hexanediol, Aqua (and) Oryza Sativa (Rice) Extract [and] Saccharomyces ferment lysate filtrate (and) Citric Acid (and) Sodium Benzoate (and) Potassium Sorbate, Benzyl Alcohol (and) Ethylhexylglycerin (and) Tocopherol, Fragrance*</t>
  </si>
  <si>
    <t>Ingredient caution: fragrance, essential oils or fragrance allergens might trigger redness, itching or allergic irritation; cleansing surfactants might cause dryness, stinging or tightness if overused; rich oils, butters or occlusive emollients might feel heavy or clog pores in acne-prone/oily skin; preservatives such as phenoxyethanol/benzyl alcohol might sting very sensitive or compromised skin. Do a patch test before applying. Avoid this product if you have fragrance allergy, eczema-prone skin or a damaged barrier. Use lukewarm water, do not scrub, and follow with moisturiser. Use a small amount first and avoid applying on active acne if it feels greasy. Do not apply on broken, freshly waxed or irritated skin. Stop use if irritation persists.</t>
  </si>
  <si>
    <r>
      <rPr>
        <color rgb="FF1155CC"/>
        <u/>
      </rPr>
      <t>https://www.dotandkey.com/cdn/shop/files/1-BRfacewash-Listing-175ml.jpg?v=1754918416&amp;width=700</t>
    </r>
    <r>
      <rPr/>
      <t/>
    </r>
    <r>
      <rPr>
        <color rgb="FF1155CC"/>
        <u/>
      </rPr>
      <t>https://www.dotandkey.com/cdn/shop/files/4-BRfacewash-Listing_9829483e-6f4a-4cbd-a0df-bd5fd445a1cb.jpg?v=1754918416&amp;width=700</t>
    </r>
    <r>
      <rPr/>
      <t/>
    </r>
    <r>
      <rPr>
        <color rgb="FF1155CC"/>
        <u/>
      </rPr>
      <t>https://www.dotandkey.com/cdn/shop/files/3-BRfacewash-Listing_4552ecdc-3065-4899-99d7-c2253a9c5783.jpg?v=1754918416&amp;width=700</t>
    </r>
    <r>
      <rPr/>
      <t/>
    </r>
    <r>
      <rPr>
        <color rgb="FF1155CC"/>
        <u/>
      </rPr>
      <t>https://www.dotandkey.com/cdn/shop/files/2-BRfacewash-Listing_3b3c71c9-594a-4110-84dc-308a0af33a55.jpg?v=1754918416&amp;width=700</t>
    </r>
    <r>
      <rPr/>
      <t/>
    </r>
    <r>
      <rPr>
        <color rgb="FF1155CC"/>
        <u/>
      </rPr>
      <t>https://www.dotandkey.com/cdn/shop/files/5-BRfacewash-Listing_36459b35-3486-4a81-b69a-efa77ce7f0b5.jpg?v=1754918416&amp;width=700</t>
    </r>
  </si>
  <si>
    <t>Roopsee-F-CL-26</t>
  </si>
  <si>
    <t>Dot &amp; Key Watermelon Super Glow Gel Face Wash with Vitamin C &amp; Cucumber</t>
  </si>
  <si>
    <t>O+S, D+S, N+S, C+S</t>
  </si>
  <si>
    <t>Redness/Irritation, Dehydration</t>
  </si>
  <si>
    <t>Watermelon Extract, Cucumber</t>
  </si>
  <si>
    <t>A sulphate-free gel face wash with Watermelon, Vitamin C and Cucumber that controls excess oil, deeply cleanses with a cooling effect without over-drying, and boosts skin luminosity.</t>
  </si>
  <si>
    <t>Aqua, Cocamidopropyl Betaine, Decyl Glucoside, Disodium Cocoyl Glutamate, Glycerine, Triethanolamine, Acrylates/C10-30 Alkyl Acrylate Crosspolymer, Xanthan Gum, PEG-40 Hydrogenated Castor Oil, Citric Acid, Disodium EDTA, Menthol, Sodium Ascorbyl Phosphate, Mentha Piperita (Peppermint) Oil, Panthenol, Citrullus Lanatus (Watermelon) Fruit Extract, Aloe Barbadensis (Aloe Vera) Leaf Juice, Cucumis Sativus (Cucumber) Fruit Extract, Tocopheryl Acetate, Benzyl Alcohol (and) Ethylhexylglycerin (and) Tocopherol, Fragrance*, CI 16185. *IFRA Certified</t>
  </si>
  <si>
    <t>Ingredient caution: vitamin C/ascorbic derivatives might cause tingling, redness or irritation in sensitive skin; fragrance, essential oils or fragrance allergens might trigger redness, itching or allergic irritation; cleansing surfactants might cause dryness, stinging or tightness if overused; preservatives such as phenoxyethanol/benzyl alcohol might sting very sensitive or compromised skin. Do a patch test before applying. First-time users should start 3–4 times a week and avoid layering with strong exfoliating acids if the skin stings. Avoid this product if you have fragrance allergy, eczema-prone skin or a damaged barrier. Use lukewarm water, do not scrub, and follow with moisturiser. Do not apply on broken, freshly waxed or irritated skin. Stop use if irritation persists.</t>
  </si>
  <si>
    <r>
      <rPr>
        <color rgb="FF1155CC"/>
        <u/>
      </rPr>
      <t>https://www.dotandkey.com/cdn/shop/files/1-2.jpg?v=1773549636&amp;width=700</t>
    </r>
    <r>
      <rPr/>
      <t/>
    </r>
    <r>
      <rPr>
        <color rgb="FF1155CC"/>
        <u/>
      </rPr>
      <t>https://www.dotandkey.com/cdn/shop/files/2_ddc8ed99-ac4c-4b83-8b93-708a33b5b82a.jpg?v=1773549636&amp;width=700</t>
    </r>
    <r>
      <rPr/>
      <t/>
    </r>
    <r>
      <rPr>
        <color rgb="FF1155CC"/>
        <u/>
      </rPr>
      <t>https://www.dotandkey.com/cdn/shop/files/3_8654d682-7643-4366-bc4d-fd3f38372add.jpg?v=1773549636&amp;width=700</t>
    </r>
    <r>
      <rPr/>
      <t/>
    </r>
    <r>
      <rPr>
        <color rgb="FF1155CC"/>
        <u/>
      </rPr>
      <t>https://www.dotandkey.com/cdn/shop/files/4_dbf70830-fa51-4808-b6ad-4b826556f41f.jpg?v=1773549636&amp;width=700</t>
    </r>
    <r>
      <rPr/>
      <t/>
    </r>
    <r>
      <rPr>
        <color rgb="FF1155CC"/>
        <u/>
      </rPr>
      <t>https://www.dotandkey.com/cdn/shop/files/5_8297ada9-2c04-47d9-95ee-5e8fa5db54bb.jpg?v=1773549636&amp;width=700</t>
    </r>
  </si>
  <si>
    <t>Roopsee-F-SE-51</t>
  </si>
  <si>
    <t>Dot &amp; Key 10% Vitamin C + E Super Bright Face Serum with 5% Niacinamide</t>
  </si>
  <si>
    <t>Vitamin E, Niacinamide (5%)</t>
  </si>
  <si>
    <t>A beginner-friendly Vitamin C face serum that fights dullness for visibly glowing skin. Supercharged with 5% Niacinamide, it treats dark spots and pigmentation for even-toned skin.</t>
  </si>
  <si>
    <t>Aqua, Ethyl Ascorbic Acid, Niacinamide, Propanediol, Butylene Glycol, Diethylene Glycol Monoethyl Ether, Citric Acid, Benzyl Alcohol (and) Ethylhexylglycerin (and) Tocopherol, Citrus Sinensis (Blood Orange) Fruit Extract, Glycerin (and) Terminalia Ferdinandiana Fruit Extract, Curcurbita Pepo (Pumpkin) Extract, Tocopheryl Acetate, Xanthan Gum, Ferulic acid, Disodium EDTA, Allantoin, Sodium Hyaluronate, Alpha Arbutin, Laminaria Digitata Extract Hydrogenated Lecithin, Cetyl-PG Hydroxyethyl Palmitamide, Ceramide 1,2, 3,4, 6II, Cholesterol, 1,2-Hexanediol</t>
  </si>
  <si>
    <t>Ingredient caution: vitamin C/ascorbic derivatives might cause tingling, redness or irritation in sensitive skin; niacinamide is usually gentle but might cause tingling or flushing in very reactive skin; alpha arbutin might cause tingling, dryness or redness in sensitive skin; fragrance, essential oils or fragrance allergens might trigger redness, itching or allergic irritation.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Stop use if irritation persists.</t>
  </si>
  <si>
    <t>https://www.dotandkey.com/cdn/shop/files/1-1_b4ae866f-e0a8-43d1-971f-1d143d76f01c.jpg?v=1761888942&amp;width=700https://www.dotandkey.com/cdn/shop/files/2_41ecb2bb-9f87-46de-9142-0ed5ed890315.jpg?v=1767698235&amp;width=700https://www.dotandkey.com/cdn/shop/files/3a_ff88e8b7-c6dc-41a0-8096-26ffb514a335.jpg?v=1767698235&amp;width=700https://www.dotandkey.com/cdn/shop/files/4_4c291fe9-baf6-4308-bdee-f95fb866113d.jpg?v=1767698235&amp;width=700https://www.dotandkey.com/cdn/shop/files/1080.jpg?v=1768387906&amp;width=700</t>
  </si>
  <si>
    <t>Roopsee-F-MO-23</t>
  </si>
  <si>
    <t>Dot &amp; Key Cica + Niacinamide Oil-Free Ultra Light Water Gel Moisturizer</t>
  </si>
  <si>
    <t>Cica (Centella Asiatica), Hyaluronic Acid</t>
  </si>
  <si>
    <t>An oil-free, non-comedogenic gel moisturizer infused with Cica + Niacinamide to help control excess oil, check acne breakouts, calm redness and soothe inflammation. A fragrance-free formula suitable for oily, acne-prone and sensitive skin.</t>
  </si>
  <si>
    <t>Aqua, Glycerine, Polyacrylamide (and) C13-14 Isoparaffin (and) Laureth-7, Niacinamide, Dimethicone, Dicaprylyl Ether, Cyclopentasiloxane (and) Dimethicone Crosspolymer, Xylitylglucoside (and) Anhydroxylitol (and) Xylitol, Disodium EDTA, Aloe Barbadensis (Aloe Vera) Leaf Juice, Centella Asiatica (Cica) Leaf Extract, Camellia Sinensis (Green Tea) Leaf Extract, Melaleuca Alternafolia (Tea Tree) Leaf Oil, Silanetriol (and) Hyaluronic Acid, Silanediol Salicylate, Avena Sativa (Oat) Meal Extract, Mentha Piperita (Peppermint) Oil, Copper Chlorophyll, Laminaria Digitata Extract (and) Hydrogenated Lecithin(and) Cetyl - PG Hydroxyethyl Palmitamide (and) Ceramide 1 (and) Ceramide 2 (and) Ceramide 3 (and) Ceramide 4 (and) Ceramide 6 II (and) Cholesterol, 1,2 Hexanediol, Allantoin, Benzyl Alcohol (and) Ethylhexylglycerin (and) Tocopherol, CI 19140, CI 42090</t>
  </si>
  <si>
    <t>Ingredient caution: niacinamide is usually gentle but might cause tingling or flushing in very reactive skin; fragrance, essential oils or fragrance allergens might trigger redness, itching or allergic irritation;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Avoid this product if you have fragrance allergy, eczema-prone skin or a damaged barrier. Do not apply on broken, freshly waxed or irritated skin. Apply on slightly damp skin and follow with moisturiser if dryness occurs. Stop use if irritation persists.</t>
  </si>
  <si>
    <r>
      <rPr>
        <color rgb="FF1155CC"/>
        <u/>
      </rPr>
      <t>https://www.dotandkey.com/cdn/shop/files/1_7f9431fd-0fff-4f9b-92cc-03433d58abae.png?v=1778925484&amp;width=700</t>
    </r>
    <r>
      <rPr/>
      <t/>
    </r>
    <r>
      <rPr>
        <color rgb="FF1155CC"/>
        <u/>
      </rPr>
      <t>https://www.dotandkey.com/cdn/shop/files/2_384d496e-c6d0-4d15-b243-8b49d02fe5e5.png?v=1778844420&amp;width=700</t>
    </r>
    <r>
      <rPr/>
      <t/>
    </r>
    <r>
      <rPr>
        <color rgb="FF1155CC"/>
        <u/>
      </rPr>
      <t>https://www.dotandkey.com/cdn/shop/files/3_890cae6e-0eaa-4054-8977-532530f642ad.jpg?v=1780905020&amp;width=700</t>
    </r>
    <r>
      <rPr/>
      <t/>
    </r>
    <r>
      <rPr>
        <color rgb="FF1155CC"/>
        <u/>
      </rPr>
      <t>https://www.dotandkey.com/cdn/shop/files/4_f771c628-f79f-4b28-9689-9eabc114f299.jpg?v=1780905020&amp;width=700</t>
    </r>
    <r>
      <rPr/>
      <t/>
    </r>
    <r>
      <rPr>
        <color rgb="FF1155CC"/>
        <u/>
      </rPr>
      <t>https://www.dotandkey.com/cdn/shop/files/5_3fab9d8d-5835-43f8-92c3-13daa1b46f6d.png?v=1778844420&amp;width=700</t>
    </r>
  </si>
  <si>
    <t>Roopsee-F-SU-20</t>
  </si>
  <si>
    <t>Dot &amp; Key Watermelon Cooling Aqua-Gel Sunscreen SPF 50+ PA++++</t>
  </si>
  <si>
    <t>O, O+S, N</t>
  </si>
  <si>
    <t>Watermelon Extract</t>
  </si>
  <si>
    <t>SPF 50+ UV Filters, Hyaluronic Acid</t>
  </si>
  <si>
    <t>A lightweight aqua-gel sunscreen with new-age UV filters that provides high UV protection with SPF 50+ PA++++. Infused with Watermelon, Hyaluronic Acid and Beet Root Extract to instantly cool skin, control excess oil and deliver light hydration with a non-oily finish and no white cast.</t>
  </si>
  <si>
    <t>Aqua, Diethylamino Hydroxybenzoyl Hexyl Benzoate (and) Butylene Glycol (and) Ethylhexyl Triazone (and) C12-15 Alkyl Benzoate (and) Dibutyl Adipate (and) Propylene Glycol Dicaprylate/Dicaprate (and) Bis-Ethylhexyloxyphenol Methoxyphenyl Triazine (and) Lecithin (and) Polyglyceryl-3 Polyricinoleate (and) Phenoxyethanol (and) Ethylhexylglycerin (and) Trisodium Ethylenediamine Disuccinate, Dimethicone, Glycerin, Methylpropanediol, Titanium Dioxide (and) Silica (and) Dimethicone, Methylene Bis-Benzotriazolyl Tetramethylbutylphenol (and) Aqua (and) Decyl Glucoside (and) Propylene Glycol (and) Xanthan Gum, Terephthalylidene Dicamphor Sulfonic Acid, Citrullus Lanatus (Watermelon) Fruit Extract, Sodium Hyaluronate, Aloe Barbadensis (Aloe Vera) Leaf Juice, Oxothiazolidine (and) Butylene Glycol (and) Aqua (and) Sodium Benzoate, Tocopheryl Acetate, Dibutyl Adipate, C12-15 Alkyl Benzoate, Caprylic/Capric Triglyceride, Hydrogenated Polyisobutene, Sodium Lactate, Menthyl Lactate, Butyloctyl Salicylate, Zea Mays (Corn) Starch, Sorbitan Stearate (and) Sucrose Cocoate, Acrylates/C10-30 Alkyl Acrylate Crosspolymer, C14-22 Alcohols (and) C12-20 Alkyl Glucoside, Sodium Hydroxide, Sodium Gluconate, Disodium EDTA, Phenoxyethanol (and) Ethylhexylglycerin</t>
  </si>
  <si>
    <t>Ingredient caution: UV filters might sting around the eyes or irritate very sensitive skin;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Patch test near the jawline first, avoid the eye corners, and remove gently at night. Use lukewarm water, do not scrub, and follow with moisturiser. Do not apply on broken, freshly waxed or irritated skin. Apply on slightly damp skin and follow with moisturiser if dryness occurs. Stop use if irritation persists.</t>
  </si>
  <si>
    <r>
      <rPr>
        <color rgb="FF1155CC"/>
        <u/>
      </rPr>
      <t>https://www.dotandkey.com/cdn/shop/files/1a_3ef32ac6-5192-495c-b4bb-dafb0e806260.jpg?v=1778839652&amp;width=700</t>
    </r>
    <r>
      <rPr/>
      <t/>
    </r>
    <r>
      <rPr>
        <color rgb="FF1155CC"/>
        <u/>
      </rPr>
      <t>https://www.dotandkey.com/cdn/shop/files/2_d70c2d10-213d-4924-8178-11080443bee4.jpg?v=1777294726&amp;width=700</t>
    </r>
    <r>
      <rPr/>
      <t/>
    </r>
    <r>
      <rPr>
        <color rgb="FF1155CC"/>
        <u/>
      </rPr>
      <t>https://www.dotandkey.com/cdn/shop/files/3_80a1f753-ba61-4c77-98fb-4c8dab43bf42.jpg?v=1777294727&amp;width=700</t>
    </r>
    <r>
      <rPr/>
      <t/>
    </r>
    <r>
      <rPr>
        <color rgb="FF1155CC"/>
        <u/>
      </rPr>
      <t>https://www.dotandkey.com/cdn/shop/files/4_8de46415-8a11-49bc-9831-adc691c57115.jpg?v=1777294727&amp;width=700</t>
    </r>
    <r>
      <rPr/>
      <t/>
    </r>
    <r>
      <rPr>
        <color rgb="FF1155CC"/>
        <u/>
      </rPr>
      <t>https://www.dotandkey.com/cdn/shop/files/5_5501ec71-ec12-437b-8ae9-d324a5489e29.jpg?v=1777294726&amp;width=700</t>
    </r>
  </si>
  <si>
    <t>Roopsee-F-SU-21</t>
  </si>
  <si>
    <t>Dot &amp; Key Cica + Niacinamide Mattifying Light Gel Cream Sunscreen SPF 50+ PA++++</t>
  </si>
  <si>
    <t>Redness/Irritation, Tanning</t>
  </si>
  <si>
    <t>Cica (Centella Asiatica), SPF 50+ UV Filters</t>
  </si>
  <si>
    <t>An in-vivo tested SPF 50+ PA++++ sunscreen for oily and acne-prone skin. Formulated with Cica + Niacinamide and new-age UV filters to calm redness, control excess oil, reduce tanning and sunburn, and give a natural matte finish.</t>
  </si>
  <si>
    <t>Aqua, Water (and) Butyl Methoxydibenzoylmethane (and) Ethylhexyl Methoxycinnamate (and) Octocrylene (and) Propylene Glycol (and) Phosphate Ester (and) Phenoxyethanol (and) Ethylhexylglycerin, Methylpropanediol, Glycerin, Titanium Dioxide (and) Silica (and) Dimethicone, Sodium Acrylates Copolymer (and) Lecithin, Caprylic/Capric Triglyceride, Cyclopentasiloxane, Butyloctyl Salicylate, Diethylamino Hydroxybenzoyl Hexyl Benzoate, Terephthalylidene Dicamphor Sulfonic Acid, Ethylhexyl Triazone, C12-15 Alkyl Benzoate, Xylitylglucoside (and) Anhydroxylitol (and) Xylitol, Sorbitan Stearate (and) Sucrose Cocoate, Cetearyl Alcohol, Sorbitan Stearate, Sodium Acrylate/Sodium Acryloyldimethyl Taurate Copolymer (and) Dimethicone (and) Trideceth-6 (and) PEG/PPG-18/18 Dimethicone, Allantoin, Dimethicone, Tocopheryl Acetate, Lactococcus Ferment Lysate, Glycerin (and) Aqua (and) Vaccinium Angustifolium (Blueberry) Fruit Extract, Laminaria Digitata Extract (and) Hydrogenated Lecithin (and) Cetyl-PG Hydroxyethyl Palmitamide (and) Ceramide 1,2, 3,4, 6II (and) Cholesterol (and) 1,2-hexanediol, Sodium Hyaluronate, Aqua (and) Oryza Sativa (Rice) Extract (and) Saccharomyces ferment lysate filtrate (and) Citric acid (and) Sodium Benzoate (and) Potassium sorbate, Glycerin (and) Aqua (and) Butylene Glycol (and) Carbomer (and) Polysorbate 20 (and) Palmitoyl Tripeptide-1 (and) Palmitoyl Tetrapeptide-7, Sodium Gluconate, Disodium EDTA, Sodium Hydroxide, Phenoxyethanol (and) Ethylhexylglycerin</t>
  </si>
  <si>
    <t>Ingredient caution: niacinamide is usually gentle but might cause tingling or flushing in very reactive skin; UV filters might sting around the eyes or irritate very sensitive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Patch test near the jawline first, avoid the eye corners, and remove gently at night. Do not apply on broken, freshly waxed or irritated skin. Apply on slightly damp skin and follow with moisturiser if dryness occurs. Stop use if irritation persists.</t>
  </si>
  <si>
    <r>
      <rPr>
        <color rgb="FF1155CC"/>
        <u/>
      </rPr>
      <t>https://www.dotandkey.com/cdn/shop/files/1CicaSunscreenListing1-50g.jpg?v=1778925569&amp;width=700</t>
    </r>
    <r>
      <rPr/>
      <t/>
    </r>
    <r>
      <rPr>
        <color rgb="FF1155CC"/>
        <u/>
      </rPr>
      <t>https://www.dotandkey.com/cdn/shop/files/3CicaSunscreenListing2.jpg?v=1778845320&amp;width=700</t>
    </r>
    <r>
      <rPr/>
      <t/>
    </r>
    <r>
      <rPr>
        <color rgb="FF1155CC"/>
        <u/>
      </rPr>
      <t>https://www.dotandkey.com/cdn/shop/files/4CicaSunscreenListing3.jpg?v=1778845320&amp;width=700</t>
    </r>
    <r>
      <rPr/>
      <t/>
    </r>
    <r>
      <rPr>
        <color rgb="FF1155CC"/>
        <u/>
      </rPr>
      <t>https://www.dotandkey.com/cdn/shop/files/5CicaSunscreenListing4.jpg?v=1778845321&amp;width=700</t>
    </r>
    <r>
      <rPr/>
      <t/>
    </r>
    <r>
      <rPr>
        <color rgb="FF1155CC"/>
        <u/>
      </rPr>
      <t>https://www.dotandkey.com/cdn/shop/files/6CicaSunscreenListing5.jpg?v=1778845321&amp;width=700</t>
    </r>
  </si>
  <si>
    <t>Roopsee-F-SU-22</t>
  </si>
  <si>
    <t>Dot &amp; Key Vitamin C + E Super Bright Sunscreen SPF 50+ PA++++</t>
  </si>
  <si>
    <t>Vitamin E, SPF 50+ UV Filters, Niacinamide</t>
  </si>
  <si>
    <t>A water-light sunscreen with new-age UV filters that provides long-lasting UVA, UVB &amp; broad spectrum protection with SPF 50+ PA++++. Enriched with Sicilian Blood Orange, Triple Vitamin C and Vitamin E to boost glow, reduce dullness, fade dark spots and deliver lightweight hydration with zero white cast.</t>
  </si>
  <si>
    <t>Aqua, Diethylamino Hydroxybenzoyl Hexyl Benzoate (and) Butylene Glycol (and) Ethylhexyl Triazone (and) C12-15 Alkyl Benzoate (and) Dibutyl Adipate (and) Propylene Glycol Dicaprylate/Dicaprate (and) Bis-Ethylhexyloxyphenol Methoxyphenyl Triazine (and) Lecithin (and) Polyglyceryl-3 Polyricinoleate (and) Phenoxyethanol (and) Ethylhexylglycerin (and) Trisodium Ethylenediamine Disuccinate, Isododecane, Caprylic/Capric Triglyceride, Dicaprylyl Carbonate, Glycerin, Titanium Dioxide (and) Silica (and) Dimethicone, Methylene Bis-Benzotriazolyl Tetramethylbutylphenol (and) Aqua (and) Decyl Glucoside (and) Propylene Glycol (and) Xanthan Gum, Glyceryl Citrate/Lactate/Linoleate/Oleate, Propanediol, Ascorbyl Glucoside, Citrus Sinensis (Blood Orange) Fruit Extract, Glycerin (and) Water (and) Terminalia Ferdinandiana Fruit Extract, Niacinamide, Zea Mays (Corn) Starch, Polyacrylate-13 (and) Polyisobutene (and) Polysorbate 20, Polyacrylate Crosspolymer-6, Sodium Gluconate, Xanthan Gum, Disodium EDTA, Tocopheryl Acetate, Phenoxyethanol (and) Ethylhexylglycerin</t>
  </si>
  <si>
    <t>Ingredient caution: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UV filters might sting around the eyes or irritate very sensitive skin. Do a patch test before applying.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Patch test near the jawline first, avoid the eye corners, and remove gently at night. Stop use if irritation persists.</t>
  </si>
  <si>
    <r>
      <rPr>
        <color rgb="FF1155CC"/>
        <u/>
      </rPr>
      <t>https://www.dotandkey.com/cdn/shop/files/VitaminCSunscreenListing1-1_637b02a6-7537-475e-989f-bd472a2e415c.jpg?v=1778839085&amp;width=700</t>
    </r>
    <r>
      <rPr/>
      <t/>
    </r>
    <r>
      <rPr>
        <color rgb="FF1155CC"/>
        <u/>
      </rPr>
      <t>https://www.dotandkey.com/cdn/shop/files/VitaminCSunscreenListing2_4afba64a-c991-4848-b1b2-172d6586571e.jpg?v=1777289188&amp;width=700</t>
    </r>
    <r>
      <rPr/>
      <t/>
    </r>
    <r>
      <rPr>
        <color rgb="FF1155CC"/>
        <u/>
      </rPr>
      <t>https://www.dotandkey.com/cdn/shop/files/VitaminCSunscreenListing3-1.jpg?v=1777289189&amp;width=700</t>
    </r>
    <r>
      <rPr/>
      <t/>
    </r>
    <r>
      <rPr>
        <color rgb="FF1155CC"/>
        <u/>
      </rPr>
      <t>https://www.dotandkey.com/cdn/shop/files/VitaminCSunscreenListing4_e0a441b0-7895-4d0b-a8cd-ebada7c784dc.jpg?v=1777289189&amp;width=700</t>
    </r>
    <r>
      <rPr/>
      <t/>
    </r>
    <r>
      <rPr>
        <color rgb="FF1155CC"/>
        <u/>
      </rPr>
      <t>https://www.dotandkey.com/cdn/shop/files/VitaminCSunscreenListing5_3f56368a-73d7-4939-8725-ddd10ccdab51.jpg?v=1777289188&amp;width=700</t>
    </r>
  </si>
  <si>
    <t>Roopsee-F-SU-23</t>
  </si>
  <si>
    <t>Dot &amp; Key Strawberry Dew Tinted Sunscreen SPF 50+ PA++++</t>
  </si>
  <si>
    <t>50ml</t>
  </si>
  <si>
    <t>O</t>
  </si>
  <si>
    <t>SPF 50+ (UV Filters)</t>
  </si>
  <si>
    <t>Strawberry Extract, Hyaluronic Acid</t>
  </si>
  <si>
    <t>A tinted sunscreen with SPF 50+ PA++++ and new-age UV filters that blends easily for a non-oily, natural finish. Infused with Strawberry, Niacinamide and Hyaluronic Acid to deliver instant radiance, support light hydration, fade dark spots over time and protect against tanning.</t>
  </si>
  <si>
    <t>Aqua, Diethylamino Hydroxybenzoyl Hexyl Benzoate (and) Butylene Glycol (and) Ethylhexyl Triazone (and) C12-15 Alkyl Benzoate (and) Dibutyl Adipate (and) Propylene Glycol Dicaprylate/Dicaprate (and) Bis-Ethylhexyloxyphenol Methoxyphenyl Triazine (and) Lecithin (and) Polyglyceryl-3 Polyricinoleate (and) Phenoxyethanol (and) Ethylhexylglycerin (and) Trisodium Ethylenediamine Disuccinate, Isododecane, Glycerin, Dimethicone, Phenyl Trimethicone, Glyceryl Citrate/Lactate/Linoleate/Oleate, Titanium Dioxide (and) Triethoxycaprylylsilane (and) Polyhydroxystearic Acid, Titanium Dioxide (and) Silica (and) Dimethicone, Methylene Bis-Benzotriazolyl Tetramethylbutylphenol (and) Aqua (and) Decyl Glucoside (and) Propylene Glycol (and) Xanthan Gum, Isononyl Isononanoate, Propanediol, Caprylic/Capric Triglyceride, Dicaprylyl Carbonate, Fragaria Ananassa (Strawberry) Fruit Extract, Tocopheryl Acetate, Niacinamide, Panthenol, Sodium Hyaluronate, Polyglyceryl-3 Polyricinoleate, Xanthan Gum, Polyacrylate Crosspolymer-6, Zea Mays (Corn) Starch, Polyacrylate-13 (and) Polyisobutene (and) Polysorbate 20, Sodium Gluconate, Phenoxyethanol (and) Ethylhexylglycerin, Disodium EDTA, CI 77491 (and) Triethoxycaprylylsilane (and) Polyhydroxystearic Acid, CI 77492 (and) Triethoxycaprylylsilane (and) Polyhydroxystearic Acid</t>
  </si>
  <si>
    <t>Ingredient caution: PHA might cause stinging, dryness, peeling, redness and increased sun sensitivity; niacinamide is usually gentle but might cause tingling or flushing in very reactive skin; UV filters might sting around the eyes or irritate very sensitive skin; cleansing surfactants might cause dryness, stinging or tightness if overused. Do a patch test before applying. First-time users should start 3–4 times a week, avoid using it with retinol or other exfoliating acids in the same routine, and apply sunscreen daily. Start slowly if your skin is sensitive and avoid combining too many new actives at once. Patch test near the jawline first, avoid the eye corners, and remove gently at night. Use lukewarm water, do not scrub, and follow with moisturiser. Stop use if irritation persists.</t>
  </si>
  <si>
    <r>
      <rPr>
        <color rgb="FF1155CC"/>
        <u/>
      </rPr>
      <t>https://www.dotandkey.com/cdn/shop/files/1_b1e08716-cac1-4066-8010-dfb012ae9f2a.jpg?v=1781243511&amp;width=700</t>
    </r>
    <r>
      <rPr/>
      <t/>
    </r>
    <r>
      <rPr>
        <color rgb="FF1155CC"/>
        <u/>
      </rPr>
      <t>https://www.dotandkey.com/cdn/shop/files/2_0dae82a3-2aac-4e10-a6d9-ed7dacb84268.jpg?v=1781089202&amp;width=700</t>
    </r>
    <r>
      <rPr/>
      <t/>
    </r>
    <r>
      <rPr>
        <color rgb="FF1155CC"/>
        <u/>
      </rPr>
      <t>https://www.dotandkey.com/cdn/shop/files/3_a3c8a56c-42f1-4217-8933-366fa5a708f2.jpg?v=1781089202&amp;width=700</t>
    </r>
    <r>
      <rPr/>
      <t/>
    </r>
    <r>
      <rPr>
        <color rgb="FF1155CC"/>
        <u/>
      </rPr>
      <t>https://www.dotandkey.com/cdn/shop/files/4_eccb090e-e8ef-44a2-99f0-0bcb0c68f17b.jpg?v=1781089202&amp;width=700</t>
    </r>
    <r>
      <rPr/>
      <t/>
    </r>
    <r>
      <rPr>
        <color rgb="FF1155CC"/>
        <u/>
      </rPr>
      <t>https://www.dotandkey.com/cdn/shop/files/3_be1ed48a-1bdf-442f-84f4-320e82e2d753.jpg?v=1781255724&amp;width=700</t>
    </r>
  </si>
  <si>
    <t>Roopsee-F-MO-24</t>
  </si>
  <si>
    <t>Dot &amp; Key 72HR Hydrating Gel Moisturizer + Probiotics</t>
  </si>
  <si>
    <t>60ml</t>
  </si>
  <si>
    <t>O, O+S, D, D+S, N, N+S, C, C+S</t>
  </si>
  <si>
    <t>Probiotics</t>
  </si>
  <si>
    <t>Hyaluronic Acid, Rice Water</t>
  </si>
  <si>
    <t>An oil-free, lightweight water gel moisturizer that gives 72HR non-stop hydration and helps repair &amp; restore a healthy skin barrier. Powered with Hyaluronic Acid, 5 Ceramides, Blueberry, Japanese Rice Water and Probiotics for plump, healthy &amp; hydrated skin without a sticky feel.</t>
  </si>
  <si>
    <t>Aqua, Cyclopentasiloxane, Cyclopentasiloxane (and) Dimethicone Crosspolymer, Glycerine, Xylitylglucoside (and) Anhydroxylitol (and) Xylitol, Divinyldimethicone/Dimethicone Copolymer (and) C12-13 Pareth-23 (and) C12-13 Pareth-3, Polyacrylamide (and) C13-14 Isoparaffin (and) Laureth-7, Sodium Polyacryloyldimethyl Taurate, Hydrogenated Polydecene, Trideceth-10, Dimethylsilanol Hyaluronate, Silanetriol (and) Hyaluronic Acid, Caprylyl Methicone (and) PEG-12 Dimethicone/PPG-20 Crosspolymer, Methylsilanol Mannuronate, Acrylates/C10-30 Alkyl Acrylate Crosspolymer, Saccharide Isomerate (and) Citric Acid (and) Sodium Citrate, Laminaria Digitata Extract (and) Hydrogenated Lecithin (and) Cetyl-PG Hydroxyethyl Palmitamide (and) Ceramide 1,2, 3,4, 6II (and) Cholesterol (and) 1,2-hexanediol, Disodium EDTA, Aqua (and) Glycerin (and) Trehalose (and) Urea (and) Serine (and) Pentylene Glycol (and) Glyceryl Polyacrylate (and) Algin (and) Caprylyl Glycol (and) Sodium Hyaluronate (and) Pullulan (and) Disodium Phosphate (and) Potassium Phosphate, Sodium Hydroxide, Lactococcus Ferment Lysate, Saccharomyces/Xylinum/Black Tea Ferment, Avena Sativa Kernel (Oat) Extract, Aqua (and) Oryza Sativa (Rice) Extract (and) Saccharomyces ferment lysate filtrate (and) Citric acid (and) Sodium Benzoate (and) Potassium sorbate, Glycerin (and) Aqua (and) Vaccinium Angustifolium (Blueberry) Fruit Extract, Phenoxyethanol (and) Ethylhexylglycerin, Fragrance, CI 42090</t>
  </si>
  <si>
    <r>
      <rPr>
        <color rgb="FF1155CC"/>
        <u/>
      </rPr>
      <t>https://www.dotandkey.com/cdn/shop/files/1-72-hrs-gel---listing.jpg?v=1744369744&amp;width=700</t>
    </r>
    <r>
      <rPr/>
      <t/>
    </r>
    <r>
      <rPr>
        <color rgb="FF1155CC"/>
        <u/>
      </rPr>
      <t>https://www.dotandkey.com/cdn/shop/files/2-72-hrs-gel---listing.jpg?v=1744369744&amp;width=700</t>
    </r>
    <r>
      <rPr/>
      <t/>
    </r>
    <r>
      <rPr>
        <color rgb="FF1155CC"/>
        <u/>
      </rPr>
      <t>https://www.dotandkey.com/cdn/shop/files/3-72-hrs-gel---listing.jpg?v=1744369744&amp;width=700</t>
    </r>
    <r>
      <rPr/>
      <t/>
    </r>
    <r>
      <rPr>
        <color rgb="FF1155CC"/>
        <u/>
      </rPr>
      <t>https://www.dotandkey.com/cdn/shop/files/4-72-hrs-gel---listing.jpg?v=1744369744&amp;width=700</t>
    </r>
    <r>
      <rPr/>
      <t/>
    </r>
    <r>
      <rPr>
        <color rgb="FF1155CC"/>
        <u/>
      </rPr>
      <t>https://www.dotandkey.com/cdn/shop/files/5-72-hrs-gel---listing.jpg?v=1744369744&amp;width=700</t>
    </r>
  </si>
  <si>
    <t>Roopsee-F-MO-25</t>
  </si>
  <si>
    <t>Dot &amp; Key Retinol + Ceramide Night Repair Cream (Night Reset)</t>
  </si>
  <si>
    <t>Ceramide, Peptides</t>
  </si>
  <si>
    <t>A lightweight, non-comedogenic night cream infused with Retinol, Ceramide and Pomegranate that smoothes fine lines &amp; wrinkles, locks in moisture, boosts collagen and preserves youthful radiance.</t>
  </si>
  <si>
    <t>Aqua, Glycerine, Dicaprylyl Ether, Dimethicone (and) Dimethicone Crosspolymer, Polyacrylamide (and) C13-14 Isoparaffin (and) Laureth-7, Methylsilanol Mannuronate, Retinyl Palmitate (Retinol Ester), Silanetriol (and) Hyaluronic Acid, Hibiscus Sabdariffa Flower Extract, Punica Granatum (Pomegranate) Seed Oil, Oenothera Biennis (Evening Primrose) Oil, Laminaria Digitata Extract (and) Cetyl - PG Hydroxyethyl Palmitamide (and) Ceramide 1 (and) Ceramide 2 (and) Ceramide 3 (and) Ceramide 4 (and) Ceramide 6 II, Acrylates/C10-30 Alkyl Acrylate Crosspolymer, Tocopheryl Acetate, Sodium Hydroxide, Panthenol, Allantoin, Disodium EDTA, Benzyl Alcohol (and) Ethylhexylglycerin (and) Tocopherol, IFRA Certified Allergen Free Fragrance, CI 16185, CI 15985, CI 42090</t>
  </si>
  <si>
    <t>Ingredient caution: retinol/retinoids might cause dryness, peeling, redness, purging and sun sensitivity; fragrance, essential oils or fragrance allergens might trigger redness, itching or allergic irritation; preservatives such as phenoxyethanol/benzyl alcohol might sting very sensitive or compromised skin; humectants such as hyaluronic acid/glycerin are usually gentle but might feel sticky or tight if not sealed with moisturiser. Do a patch test before applying. Retinol is not advised for pregnant or breastfeeding women unless approved by a doctor. First-time users should start 3–4 times a week at night, avoid layering with exfoliating acids, and use sunscreen daily. Avoid this product if you have fragrance allergy, eczema-prone skin or a damaged barrier. Do not apply on broken, freshly waxed or irritated skin. Stop use if irritation persists.</t>
  </si>
  <si>
    <r>
      <rPr>
        <color rgb="FF1155CC"/>
        <u/>
      </rPr>
      <t>https://www.dotandkey.com/cdn/shop/files/1_7.jpg?v=1764061107&amp;width=700</t>
    </r>
    <r>
      <rPr/>
      <t/>
    </r>
    <r>
      <rPr>
        <color rgb="FF1155CC"/>
        <u/>
      </rPr>
      <t>https://www.dotandkey.com/cdn/shop/files/2_67ed9a5c-e024-4cb5-9e8d-05c2a973bfbc.jpg?v=1764061107&amp;width=700</t>
    </r>
    <r>
      <rPr/>
      <t/>
    </r>
    <r>
      <rPr>
        <color rgb="FF1155CC"/>
        <u/>
      </rPr>
      <t>https://www.dotandkey.com/cdn/shop/files/3_5ae187fb-0fa0-4cd5-84cc-7b30966c50d7.jpg?v=1764061107&amp;width=700</t>
    </r>
    <r>
      <rPr/>
      <t/>
    </r>
    <r>
      <rPr>
        <color rgb="FF1155CC"/>
        <u/>
      </rPr>
      <t>https://www.dotandkey.com/cdn/shop/files/4-2.jpg?v=1764061107&amp;width=700</t>
    </r>
    <r>
      <rPr/>
      <t/>
    </r>
    <r>
      <rPr>
        <color rgb="FF1155CC"/>
        <u/>
      </rPr>
      <t>https://www.dotandkey.com/cdn/shop/files/5_3_af08c5e5-7e89-4cf7-8bb4-debef66956bf.jpg?v=1764061107&amp;width=700</t>
    </r>
  </si>
  <si>
    <t>Roopsee-F-SE-52</t>
  </si>
  <si>
    <t>Dot &amp; Key 10% Niacinamide + Cica Face Serum (Cica + 2% Salicylic Skin Clearing)</t>
  </si>
  <si>
    <t>Cica (Centella Asiatica), Salicylic Acid (2%)</t>
  </si>
  <si>
    <t>A lightweight serum for oily and acne-prone skin with 10% Niacinamide, Alpha Arbutin and Cica that fades dark spots, reduces acne marks, controls excess oil and soothes redness &amp; inflammation.</t>
  </si>
  <si>
    <t>Aqua, Niacinamide, Propanediol, 1,3-Butylene Glycol, Glycerine, Ethoxydiglycol, Alpha Arbutin, Centella Asiatica (Cica) Leaf Extract, Disodium EDTA, Allantoin, Sodium Gluconate, Polyacrylate Crosspolymer-6, Hydroxyethyl- cellulose, Sodium Hyaluronate, Laminaria Digitata Extract (and) Hydrogenated Lecithin (and) Cetyl-PG Hydroxyethyl Palmita- mide (and) Ceramide 1,2, 3,4, 6|| (and) Cholesterol (and) 1,2-hexanediol, Avena Sativa (Oat) Meal Extract, Glycyrrhiza Glabra (Licorice) Root Extract, Benzyl Alcohol [and] Ethylhexyl- glycerin (and) Tocopherol</t>
  </si>
  <si>
    <t>Ingredient caution: salicylic acid/BHA might cause stinging, dryness, peeling, redness and increased sun sensitivity; high-strength niacinamide might cause flushing, tingling or small bumps in reactive skin; alpha arbutin, licorice extract might cause tingling, dryness or redness in sensitive skin; preservatives such as phenoxyethanol/benzyl alcohol might sting very sensitive or compromised skin. Do a patch test before applying. First-time users should start 3–4 times a week, avoid using it with retinol or other exfoliating acids in the same routine, and apply sunscreen daily. First-time users should start 3–4 times a week and reduce frequency if redness or bumps appear. First-time users should start 3–4 times a week and pair with sunscreen, because pigmentation care works best with UV protection. Do not apply on broken, freshly waxed or irritated skin. Stop use if irritation persists.</t>
  </si>
  <si>
    <r>
      <rPr>
        <color rgb="FF1155CC"/>
        <u/>
      </rPr>
      <t>https://www.dotandkey.com/cdn/shop/files/1_224ccda5-d63e-416b-90a9-bb4ea3ee7990.jpg?v=1780055142&amp;width=700</t>
    </r>
    <r>
      <rPr/>
      <t/>
    </r>
    <r>
      <rPr>
        <color rgb="FF1155CC"/>
        <u/>
      </rPr>
      <t>https://www.dotandkey.com/cdn/shop/files/2_435958b1-853b-4b71-b1ab-2dc6aef1eae5.jpg?v=1780055142&amp;width=700</t>
    </r>
    <r>
      <rPr/>
      <t/>
    </r>
    <r>
      <rPr>
        <color rgb="FF1155CC"/>
        <u/>
      </rPr>
      <t>https://www.dotandkey.com/cdn/shop/files/3_d38c1b53-e892-4a80-8bcd-cea13e5b3296.jpg?v=1780055141&amp;width=700</t>
    </r>
    <r>
      <rPr/>
      <t/>
    </r>
    <r>
      <rPr>
        <color rgb="FF1155CC"/>
        <u/>
      </rPr>
      <t>https://www.dotandkey.com/cdn/shop/files/4_ba951304-5460-4fc3-98bb-48c5e331a644.jpg?v=1780055142&amp;width=700</t>
    </r>
    <r>
      <rPr/>
      <t/>
    </r>
    <r>
      <rPr>
        <color rgb="FF1155CC"/>
        <u/>
      </rPr>
      <t>https://www.dotandkey.com/cdn/shop/files/5_6824b6dd-3fb3-4620-a5bf-7a83f01da119.jpg?v=1780055141&amp;width=700</t>
    </r>
  </si>
  <si>
    <t>Roopsee-F-SE-53</t>
  </si>
  <si>
    <t>Dot &amp; Key 10% Niacinamide + Strawberry Bright Brightening Face Serum</t>
  </si>
  <si>
    <t>Uneven Skin Tone, Dullness</t>
  </si>
  <si>
    <t>A quick-absorbing serum with 10% Niacinamide, Vitamin B12, Strawberry and Hyaluronic Acid that visibly brightens, smoothes and hydrates skin while helping fade dark spots and pigmentation.</t>
  </si>
  <si>
    <t>Aqua, Niacinamide, Propanediol, Phenyl Trimethicone, Isohexadecane, Hamamelis Virginiana (Witch Hazel) Leaf Extract (and) Propylene Glycol (and) Sodium Benzoate (and) Phenoxyethanol (and) Ethylhexylglycerin (and) Sorbitol (and) Aqua, Dimethicone, Fragaria Ananassa (Strawberry) Fruit Extract, Cyanocobalamin, Sodium Hyaluronate, Xylitylglucoside (and) Anhydroxylitol (and) Xylitol, Trehalose, Tocopheryl Acetate, Aqua (and) Phragmites Communis Extract (and) Poria Cocos Extract, Betaine (and) Sodium PCA (and) Sodium Lactate (and) PCA (and) Serine (and) Alanine (and) Glycine (and) Glutamic Acid (and) Lysine HCl (and) Threonine (and) Arginine (and) Proline (and) Water, Allantoin, Cetearyl Olivate (and) Sorbitan Olivate, Polymethyl Methacrylate, Polyacrylate Crosspolymer-6, Polymethylsilsesquioxane, Xanthan Gum, Disodium EDTA, Phenoxyethanol (and) Ethylhexylglycerin</t>
  </si>
  <si>
    <t>Ingredient caution: high-strength niacinamide might cause flushing, tingling or small bumps in reactive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reduce frequency if redness or bumps appear. Do not apply on broken, freshly waxed or irritated skin. Apply on slightly damp skin and follow with moisturiser if dryness occurs. Stop use if irritation persists.</t>
  </si>
  <si>
    <r>
      <rPr>
        <color rgb="FF1155CC"/>
        <u/>
      </rPr>
      <t>https://www.dotandkey.com/cdn/shop/files/Artboard_1_f94f4456-d328-4271-ab7e-94bde8c9bbd3.jpg?v=1745323515&amp;width=700</t>
    </r>
    <r>
      <rPr/>
      <t/>
    </r>
    <r>
      <rPr>
        <color rgb="FF1155CC"/>
        <u/>
      </rPr>
      <t>https://www.dotandkey.com/cdn/shop/files/Artboard_2_f8f458e1-7270-46fd-8972-084b6bbae26b.jpg?v=1745323515&amp;width=700</t>
    </r>
    <r>
      <rPr/>
      <t/>
    </r>
    <r>
      <rPr>
        <color rgb="FF1155CC"/>
        <u/>
      </rPr>
      <t>https://www.dotandkey.com/cdn/shop/files/Artboard_3_bd5648df-52cf-4a7a-8f0a-02971320541f.jpg?v=1745323515&amp;width=700</t>
    </r>
    <r>
      <rPr/>
      <t/>
    </r>
    <r>
      <rPr>
        <color rgb="FF1155CC"/>
        <u/>
      </rPr>
      <t>https://www.dotandkey.com/cdn/shop/files/Artboard_4_2eb91c9c-982d-4219-92e5-793ba73847a5.jpg?v=1745323515&amp;width=700</t>
    </r>
    <r>
      <rPr/>
      <t/>
    </r>
    <r>
      <rPr>
        <color rgb="FF1155CC"/>
        <u/>
      </rPr>
      <t>https://www.dotandkey.com/cdn/shop/files/Artboard_5_b14a56ce-efea-4e11-a376-a1f2578dd7d7.jpg?v=1745323515&amp;width=700</t>
    </r>
  </si>
  <si>
    <t>Roopsee-F-SE-54</t>
  </si>
  <si>
    <t>Dot &amp; Key 12% Barrier Boost Serum (Hyaluronic + Ceramides + Niacinamide)</t>
  </si>
  <si>
    <t>Hyaluronic Acid (12%)</t>
  </si>
  <si>
    <t>Ceramide, Niacinamide</t>
  </si>
  <si>
    <t>A 12% Barrier Boost serum with 7 Ceramides, Niacinamide, Fermented Rice Water, Hyaluronic and Peptides that delivers deep hydration, repairs the skin barrier, brightens and locks in moisture for plump, glossy skin.</t>
  </si>
  <si>
    <t>Aqua, Niacinamide, Glycerine, 1,3-Butylene Glycol, Xylitylglucoside (and) Anhydroxylitol (and) Xylitol, Cetyl Ethylhexanoate, Ethoxydiglycol, Propanediol, Phenyl Trimethicone, Cyclopentasiloxane (and) Dimethicone (and) Aqua (and) Polysilicone-11 (and) Butylene Glycol (and) Decyl Glucoside, Helianthus annuus (Sunflower) Seed Oil, Methylsilanol Mannuronate, Squalane, Cetearyl Olivate (and) Sorbitan Olivate, Polyacrylate Crosspolymer-6, Betaine (and) Sodium PCA (and) Sodium Lactate (and) PCA (and) Serine (and) Alanine (and) Glycine (and) Glutamic Acid (and) Lysine HCl (and) Threonine (and) Arginine (and) Proline (and) Water, Alpha Arbutin, Phytosteryl/Octyldodecyl Lauroyl Glutamate, Xanthan Gum, Allantoin, Ceramide EOP (and) Ceramide NP (and) Ceramide AP (and) Behenic Acid (and) Polyglyceryl-10 Stearate (and) Polyglyceryl-6 Behenate (and) Glycerin (and) Lactic Acid, Ectoin, Panthenol, Disodium EDTA, Sodium Hyaluronate, Tocopheryl Acetate, Glycerin (and) Aqua (and) Butylene Glycol (and) Carbomer (and) Polysorbate 20 (and) Palmitoyl Tripeptide-1 (and) Palmitoyl Tetrapeptide-7, Lactococcus Ferment Lysate, Vaccinium Corymbosum (Blueberry) Extract, Aqua (and) Oryza Sativa (Rice) Extract (and) Saccharomyces ferment lysate filtrate (and) Citric acid (and) Sodium Benzoate (and) Potassium sorbate, Phenoxyethanol (and) Ethylhexylglycerin, Gardenia Blue &amp; Maltodextrin</t>
  </si>
  <si>
    <t>Ingredient caution: lactic acid/AHA might cause stinging, dryness, peeling, redness and increased sun sensitivity; niacinamide is usually gentle but might cause tingling or flushing in very reactive skin; alpha arbutin might cause tingling, dryness or redness in sensitive skin; cleansing surfactants might cause dryness, stinging or tightness if overused. Do a patch test before applying. First-time users should start 3–4 times a week, avoid using it with retinol or other exfoliating acids in the same routine, and apply sunscreen daily. Start slowly if your skin is sensitive and avoid combining too many new actives at once. First-time users should start 3–4 times a week and pair with sunscreen, because pigmentation care works best with UV protection. Use lukewarm water, do not scrub, and follow with moisturiser. Stop use if irritation persists.</t>
  </si>
  <si>
    <r>
      <rPr>
        <color rgb="FF1155CC"/>
        <u/>
      </rPr>
      <t>https://www.dotandkey.com/cdn/shop/files/1-1_2.jpg?v=1761888895&amp;width=700</t>
    </r>
    <r>
      <rPr/>
      <t/>
    </r>
    <r>
      <rPr>
        <color rgb="FF1155CC"/>
        <u/>
      </rPr>
      <t>https://www.dotandkey.com/cdn/shop/files/2_56fb80c2-019d-4eb9-af6d-d6a110e2375b.jpg?v=1761888895&amp;width=700</t>
    </r>
    <r>
      <rPr/>
      <t/>
    </r>
    <r>
      <rPr>
        <color rgb="FF1155CC"/>
        <u/>
      </rPr>
      <t>https://www.dotandkey.com/cdn/shop/files/3_388bcc8b-1b28-423e-9674-0f871dbd2371.jpg?v=1761888895&amp;width=700</t>
    </r>
    <r>
      <rPr/>
      <t/>
    </r>
    <r>
      <rPr>
        <color rgb="FF1155CC"/>
        <u/>
      </rPr>
      <t>https://www.dotandkey.com/cdn/shop/files/4_85cf5616-3a04-4566-aa2b-147d2002184c.jpg?v=1761888895&amp;width=700</t>
    </r>
    <r>
      <rPr/>
      <t/>
    </r>
    <r>
      <rPr>
        <color rgb="FF1155CC"/>
        <u/>
      </rPr>
      <t>https://www.dotandkey.com/cdn/shop/files/5_cd529bd9-954f-4693-af49-a181f344a2c7.jpg?v=1761888895&amp;width=700</t>
    </r>
  </si>
  <si>
    <t>Roopsee-F-MA-18</t>
  </si>
  <si>
    <t>Dot &amp; Key Vitamin C Pink Clay Mask</t>
  </si>
  <si>
    <t>Mask</t>
  </si>
  <si>
    <t>85gm</t>
  </si>
  <si>
    <t>Pink Clay, Niacinamide</t>
  </si>
  <si>
    <t>A Vitamin C clay mask for all skin types infused with French Pink Clay, Hyaluronic and Vitamin C-rich Kakadu Plum to unclog pores, detoxify skin, keep it hydrated and promote even-toned, glowing skin.</t>
  </si>
  <si>
    <t>Aqua, Kaolin, Glycerine, Bentonite, French Pink Clay, PEG-8, Titanium Dioxide, Polysorbate 20, PPG-33 Butyl Ether, Propylene Glycol, Niacinamide (and) Calcium Pantothenate (and) Sodium Ascorbyl Phosphate (and) Tocopheryl Acetate (and) Pyridoxine HCl (and) Maltodextrin (and) Sodium Starch Octenylsuccinate (and) Silica, Phenoxyethanol (and) Ethylhexylglycerin (and) Octenidine HCl, Ethyl Ascorbic Acid, Citric Acid, Silanetriol (and) Hyaluronic Acid, Coco-Glucoside, Terminalia Ferdinandiana (Kakadu Plum) Fruit Extract, Malpighia Glabra (Acerola Cherry) Fruit Extract, Stearyl Dimethicone (and) Octadecene, Xanthan Gum, Disodium EDTA, IFRA Certified Allergen Free Fragrance, CI 77491</t>
  </si>
  <si>
    <t>• Do not leave the mask on for longer than directed.
  • Do not use on broken, inflamed, or sunburned skin.
  • Do not apply a very thick layer if it feels heavy or irritating.
  • Do not use immediately before or after harsh exfoliation.
  • Do not continue if burning or strong discomfort occurs.</t>
  </si>
  <si>
    <t>• Close the pack,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t>
  </si>
  <si>
    <t>• Cleanse and pat the skin dry.
  • Apply evenly over the required area.
  • Keep it on only for the label-recommended duration.
  • Remove gently and rinse if required.
  • Follow with a soothing moisturiser; use sunscreen in the daytime.</t>
  </si>
  <si>
    <r>
      <rPr>
        <color rgb="FF1155CC"/>
        <u/>
      </rPr>
      <t>https://www.dotandkey.com/cdn/shop/files/1-Pink-Clay-Mask.jpg?v=1727355949&amp;width=700</t>
    </r>
    <r>
      <rPr/>
      <t xml:space="preserve">, </t>
    </r>
    <r>
      <rPr>
        <color rgb="FF1155CC"/>
        <u/>
      </rPr>
      <t>https://www.dotandkey.com/cdn/shop/products/2-Pink-Clay-Mask.jpg?v=1706167541&amp;width=700</t>
    </r>
    <r>
      <rPr/>
      <t xml:space="preserve">, </t>
    </r>
    <r>
      <rPr>
        <color rgb="FF1155CC"/>
        <u/>
      </rPr>
      <t>https://www.dotandkey.com/cdn/shop/products/3-Pink-Clay-Mask.jpg?v=1706167541&amp;width=700</t>
    </r>
    <r>
      <rPr/>
      <t xml:space="preserve">, </t>
    </r>
    <r>
      <rPr>
        <color rgb="FF1155CC"/>
        <u/>
      </rPr>
      <t>https://www.dotandkey.com/cdn/shop/products/4-Pink-Clay-Mask.jpg?v=1706167541&amp;width=700</t>
    </r>
    <r>
      <rPr/>
      <t xml:space="preserve">, </t>
    </r>
    <r>
      <rPr>
        <color rgb="FF1155CC"/>
        <u/>
      </rPr>
      <t>https://www.dotandkey.com/cdn/shop/products/5-Pink-Clay-Mask.jpg?v=1706167541&amp;width=700</t>
    </r>
  </si>
  <si>
    <t>Roopsee-F-SE-55</t>
  </si>
  <si>
    <t>Dot &amp; Key Pomegranate + 0.9% Retinol Serum with Collagen</t>
  </si>
  <si>
    <t>Acne, Comedones, Wrinkles/Fine lines</t>
  </si>
  <si>
    <t>Retinol (0.9%)</t>
  </si>
  <si>
    <t>Pomegranate Extract, Collagen</t>
  </si>
  <si>
    <t>A beginner-friendly retinol complex serum for all skin types with Retinol Complex, Niacinamide, Multi-Peptides, Pomegranate and Hyaluronic Acid that smoothes fine lines &amp; wrinkles, boosts collagen, deeply hydrates and restores youthful radiance.</t>
  </si>
  <si>
    <t>Aqua, Propanediol, Squalane, Cetyl Palmitate, Lauryl Glucoside (and) Myristyl Glucoside(and) Polyglyceryl-6 Laurate, Niacinamide, Retinol (and) Undecane (and) Tridecane (and) Tocopherol, Water (and) Poloxamer 235 (and) Retinol (and) Polysorbate20 (and) Sodium Ascorbate (and) Epigallocatechin Gallate (and) BHT (and)Disodium EDTA (and) Phenoxyethanol (and) BHA, Sodium hyaluronate, Punica Granatum (Pomegranate) Extract, Glycerin (and) Aqua (and) Butylene Glycol (and) Carbomer (and) Polysorbate 20 (and) Palmitoyl Tripeptide-1 (and) Palmitoyl Tetrapeptide-7, Aqua (and) Phragmites Communis Extract (and) Poria Cocos Extract, Coco-Caprylate/Caprate, Cetearyl Olivate (and) Sorbitan Olivate, Allantoin, Phenyl Trimethicone, Tocopheryl Acetate, Sodium gluconate, Disodium EDTA, Acrylates/C10-30 Alkyl Acrylate Crosspolymer, Glyceryl Stearate (and) PEG-75 Stearate, PEG-6 Stearate (and)Glycol Stearate (and) PEG-32 Stearate, Ethylhexyl Methoxycrylene, Xanthan gum, Sodium hydroxide, Phenoxyethanol (and)Ethylhexylglycerin</t>
  </si>
  <si>
    <t>Ingredient caution: retinol/retinoids might cause dryness, peeling, redness, purging and sun sensitivity; salicylic acid/BHA might cause stinging, dryness, peeling, redness and increased sun sensitivity; niacinamide is usually gentle but might cause tingling or flushing in very reactive skin; preservatives such as phenoxyethanol/benzyl alcohol might sting very sensitive or compromised skin. Do a patch test before applying. Retinol is not advised for pregnant or breastfeeding women unless approved by a doctor. First-time users should start 3–4 times a week at night, avoid layering with exfoliating acids, and use sunscreen daily. First-time users should start 3–4 times a week, avoid using it with retinol or other exfoliating acids in the same routine, and apply sunscreen daily. Start slowly if your skin is sensitive and avoid combining too many new actives at once. Stop use if irritation persists.</t>
  </si>
  <si>
    <r>
      <rPr>
        <color rgb="FF1155CC"/>
        <u/>
      </rPr>
      <t>https://www.dotandkey.com/cdn/shop/files/1c-25ml.jpg?v=1721026895</t>
    </r>
    <r>
      <rPr/>
      <t xml:space="preserve">, </t>
    </r>
    <r>
      <rPr>
        <color rgb="FF1155CC"/>
        <u/>
      </rPr>
      <t>https://www.dotandkey.com/cdn/shop/files/2_a0ab4a05-2f07-49ba-baea-da48f3cf661f.jpg?v=1744610879</t>
    </r>
    <r>
      <rPr/>
      <t xml:space="preserve">, </t>
    </r>
    <r>
      <rPr>
        <color rgb="FF1155CC"/>
        <u/>
      </rPr>
      <t>https://www.dotandkey.com/cdn/shop/files/3_1ef867e3-3ea9-4adc-a84d-1719703b5042.jpg?v=1744610879</t>
    </r>
    <r>
      <rPr/>
      <t xml:space="preserve">, </t>
    </r>
    <r>
      <rPr>
        <color rgb="FF1155CC"/>
        <u/>
      </rPr>
      <t>https://www.dotandkey.com/cdn/shop/files/4_0b444824-ae58-4c64-90f8-d6d4f76f7aed.jpg?v=1744610879</t>
    </r>
    <r>
      <rPr/>
      <t xml:space="preserve">, </t>
    </r>
    <r>
      <rPr>
        <color rgb="FF1155CC"/>
        <u/>
      </rPr>
      <t>https://www.dotandkey.com/cdn/shop/files/5_dcaafec4-2cc5-4e6a-8c4e-4c867eaf33a0.jpg?v=1744610879</t>
    </r>
  </si>
  <si>
    <t>Roopsee-F-SE-56</t>
  </si>
  <si>
    <t>Dot &amp; Key 2% Salicylic Acid + Cica Anti-Acne Face Serum with Zinc</t>
  </si>
  <si>
    <t>Cica (Centella Asiatica), Zinc</t>
  </si>
  <si>
    <t>A serum for oily and acne-prone skin that heals active acne and checks further breakouts with 2% Salicylic Acid. It unclogs pores of excess oil for visibly clearer skin and calms redness with Cica.</t>
  </si>
  <si>
    <t>Aqua, Ethoxydiglycol, Propanediol, Butylene Glycol, Salicylic Acid, Glycine Soja (Soybean) Seed Extract (and) Houttuynia Cordata Extract (and) Scutellaria Baicalensis Root Extract [and] Melia Azadirachta Leaf Extract (and) Rehmannia Chinensis Root Extract (and) Salix Alba (Willow) Bark Extract (and) Phellodendron Amurense Bark Extract (and) Lactobacillus/Pear Juice Ferment Filtrate, Centella Asiatica (Cica) Extract, Zinc PCA, Niacinamide, Sodium Hyaluronate, Water (and) Laminaria digitata extract (and) Hydrogenated lecithin (and) Cetyl-PG hydroxyethyl palmitamide [and] Ceramide 1,2, 3,4, 6II (and) Cholesterol (and) 1,2-hexanediol, Gluconolactone, Opuntia Ficus-Indica Stem Water, Hamamelis Virginiana (Witch Hazel) Extract Benzoic Acid, Artemisia Vulgaris (Mugwort) Extract, Xanthan Gum, Hydroxyethylcellulose, C18-22 Hydroxyalkyl Hydroxypropyl Guar, Allantoin, Sodium Hydroxide, Sodium Gluconate, Disodium EDTA, Phenoxyethanol (and) Ethylhexylglycerin, Citric Acid</t>
  </si>
  <si>
    <t>Ingredient caution: PHA, salicylic acid/BHA might cause stinging, dryness, peeling, redness and increased sun sensitivity; niacinamide is usually gentle but might cause tingling or flushing in very reactive skin; sulfur/zinc-based oil-control ingredients might feel drying or tight on already dry skin; preservatives such as phenoxyethanol/benzyl alcohol might sting very sensitive or compromised skin. Do a patch test before applying. First-time users should start 3–4 times a week, avoid using it with retinol or other exfoliating acids in the same routine, and apply sunscreen daily. Start slowly if your skin is sensitive and avoid combining too many new actives at once. Use a moisturiser and reduce frequency if the skin feels tight or flaky. Do not apply on broken, freshly waxed or irritated skin. Stop use if irritation persists.</t>
  </si>
  <si>
    <r>
      <rPr>
        <color rgb="FF1155CC"/>
        <u/>
      </rPr>
      <t>https://www.dotandkey.com/cdn/shop/files/Artboard1copy_c9675994-8c27-4894-9bea-a1955aaa404f.jpg?v=1754039836&amp;width=700</t>
    </r>
    <r>
      <rPr/>
      <t xml:space="preserve">, </t>
    </r>
    <r>
      <rPr>
        <color rgb="FF1155CC"/>
        <u/>
      </rPr>
      <t>https://www.dotandkey.com/cdn/shop/files/Artboard2-1_89272918-0fac-4a59-8871-727fa2d5344d.jpg?v=1754039836&amp;width=700</t>
    </r>
    <r>
      <rPr/>
      <t xml:space="preserve">, </t>
    </r>
    <r>
      <rPr>
        <color rgb="FF1155CC"/>
        <u/>
      </rPr>
      <t>https://www.dotandkey.com/cdn/shop/files/Artboard3_db15aad4-e325-4dc1-af14-79fa812952bc.jpg?v=1754039836&amp;width=700</t>
    </r>
    <r>
      <rPr/>
      <t xml:space="preserve">, </t>
    </r>
    <r>
      <rPr>
        <color rgb="FF1155CC"/>
        <u/>
      </rPr>
      <t>https://www.dotandkey.com/cdn/shop/files/Artboard4_fe45d4ed-9f40-4534-addb-725313ef022a.jpg?v=1754039836&amp;width=700</t>
    </r>
    <r>
      <rPr/>
      <t xml:space="preserve">, </t>
    </r>
    <r>
      <rPr>
        <color rgb="FF1155CC"/>
        <u/>
      </rPr>
      <t>https://www.dotandkey.com/cdn/shop/files/Artboard5_c9583e5f-f94a-404b-bd7a-42d955a10564.jpg?v=1754039836&amp;width=700</t>
    </r>
  </si>
  <si>
    <t>Roopsee-B-LO-10</t>
  </si>
  <si>
    <t>Dot &amp; Key Vitamin C + E Super Bright Body Lotion with Blood Orange &amp; Niacinamide</t>
  </si>
  <si>
    <t>Vitamin E, Niacinamide, Blood Orange</t>
  </si>
  <si>
    <t>A lightweight, quick absorbing body lotion powered by Triple Vitamin C, Sicilian Blood Orange, Niacinamide and Vitamin E to reduce dullness, help de-tan skin, fade dark spots, nourish and soften skin.</t>
  </si>
  <si>
    <t>Aqua, Caprylic Capric Triglyceride, Glycerine, Cyclomethicone, Glyceryl Stearate (and) PEG-100 Stearate, Cetyl Alcohol, Cetyl Palmitate, Cyclopentasiloxane (and) Cetearyl Dimethicone/Vinyl Dimethicone Crosspolymer, Terminalia Ferdinandiana (Kakadu Plum) Fruit Extract, Citrus Sinensis (Blood Orange) Fruit Extract, Niacinamide, Sodium Ascorbyl Phosphate, Cetearyl alcohol and Ceteareth 20, Disodium Laureth Sulfosuccinate, Carbomer, Acrylates/C10-30 Alkyl Acrylate Crosspolymer, Tocopheryl Acetate, Disodium EDTA, Sodium Hydroxide, Stearic Acid, Butylated Hydroxytoluene, IFRA Certified Allergen Free Fragrance, Phenoxyethanol (and) Ethylhexylglycerin (and) Octenidine HCl</t>
  </si>
  <si>
    <t>Ingredient caution: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cleansing surfactants might cause dryness, stinging or tightness if overused. Do a patch test before applying.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Use lukewarm water, do not scrub, and follow with moisturiser. Stop use if irritation persists.</t>
  </si>
  <si>
    <r>
      <rPr>
        <color rgb="FF1155CC"/>
        <u/>
      </rPr>
      <t>https://www.dotandkey.com/cdn/shop/files/2_de4046ce-14f0-428d-9c30-5629ef752a60.jpg?v=1745240682&amp;width=700</t>
    </r>
    <r>
      <rPr/>
      <t xml:space="preserve">, </t>
    </r>
    <r>
      <rPr>
        <color rgb="FF1155CC"/>
        <u/>
      </rPr>
      <t>https://www.dotandkey.com/cdn/shop/files/3_c8a51812-9425-4fee-838b-7c20676f4dce.jpg?v=1745240682&amp;width=700</t>
    </r>
    <r>
      <rPr/>
      <t xml:space="preserve">, </t>
    </r>
    <r>
      <rPr>
        <color rgb="FF1155CC"/>
        <u/>
      </rPr>
      <t>https://www.dotandkey.com/cdn/shop/files/4_84e29d01-f41d-485b-aece-7dc53fcff1bd.jpg?v=1745240682&amp;width=700</t>
    </r>
    <r>
      <rPr/>
      <t xml:space="preserve">, </t>
    </r>
    <r>
      <rPr>
        <color rgb="FF1155CC"/>
        <u/>
      </rPr>
      <t>https://www.dotandkey.com/cdn/shop/files/5_97ea2808-ab38-428e-83d7-e8406d78dad6.jpg?v=1745240682&amp;width=700</t>
    </r>
    <r>
      <rPr/>
      <t xml:space="preserve">, </t>
    </r>
    <r>
      <rPr>
        <color rgb="FF1155CC"/>
        <u/>
      </rPr>
      <t>https://www.dotandkey.com/cdn/shop/files/6_a1b7f373-54e0-43a2-8763-0baa7cb11f61.jpg?v=1745240682&amp;width=700</t>
    </r>
  </si>
  <si>
    <t>Roopsee-B-LO-11</t>
  </si>
  <si>
    <t>Dot &amp; Key Watermelon Cooling Sunscreen Body Spray SPF 50+ PA+++</t>
  </si>
  <si>
    <t>110ml</t>
  </si>
  <si>
    <t>O, O+S, C</t>
  </si>
  <si>
    <t>SPF 50+ UV Filters, Niacinamide, Aloe vera</t>
  </si>
  <si>
    <t>An in-vivo tested SPF 50+ PA+++ body sunscreen spray with watermelon, UV filters and aloe water. It instantly cools and soothes sun-exposed skin, provides broad spectrum UVA+UVB protection, and makes re-application easy with a lightweight non-greasy feel.</t>
  </si>
  <si>
    <t>Water, Cyclopentasiloxane, Isododecane, Ethylhexyl Methoxycinnamate, Butylene Glycol, Diethylamino Hydroxybenzoyl Hexyl Benzoate, Dibutyl Adipate, Phenylbenzimidazole Sulfonic Acid, Propylene Glycol, Triethanolamine, Sodium Chloride, Ethylhexyl Triazone, Terephthalylidene Dicamphor Sulfonic Acid, Menthyl Lactate, Citrullus Lanatus (Watermelon) Fruit Extract, Sodium Hyaluronate, Tocopheryl Acetate, Sodium Benzoate (And) Potassium Sorbate (And) Aqua, Phenoxyethanol, Pentaerythrityl Tetra-Di-T-Butyl Hydroxyhydrocinnamate</t>
  </si>
  <si>
    <r>
      <rPr>
        <color rgb="FF1155CC"/>
        <u/>
      </rPr>
      <t>https://www.dotandkey.com/cdn/shop/files/2_d87d169d-7d1d-4dee-b038-a62057b8c62a.jpg?v=1770814208&amp;width=700</t>
    </r>
    <r>
      <rPr/>
      <t xml:space="preserve">, </t>
    </r>
    <r>
      <rPr>
        <color rgb="FF1155CC"/>
        <u/>
      </rPr>
      <t>https://www.dotandkey.com/cdn/shop/files/3-1_4a3b3439-f7f8-4801-a585-e3b7c721e04f.jpg?v=1770814208&amp;width=700</t>
    </r>
    <r>
      <rPr/>
      <t xml:space="preserve">, </t>
    </r>
    <r>
      <rPr>
        <color rgb="FF1155CC"/>
        <u/>
      </rPr>
      <t>https://www.dotandkey.com/cdn/shop/files/4_56d64949-1f09-47f4-bd7c-273003735dbc.jpg?v=1770814208&amp;width=700</t>
    </r>
    <r>
      <rPr/>
      <t xml:space="preserve">, </t>
    </r>
    <r>
      <rPr>
        <color rgb="FF1155CC"/>
        <u/>
      </rPr>
      <t>https://www.dotandkey.com/cdn/shop/files/5_f0f4c6ea-7ac1-4468-88be-3df7ab8abe53.jpg?v=1770814208&amp;width=700</t>
    </r>
    <r>
      <rPr/>
      <t xml:space="preserve">, </t>
    </r>
    <r>
      <rPr>
        <color rgb="FF1155CC"/>
        <u/>
      </rPr>
      <t>https://www.dotandkey.com/cdn/shop/files/6_58511e4c-90df-4b3b-900f-1b64b055e633.jpg?v=1770814208&amp;width=700</t>
    </r>
  </si>
  <si>
    <t>Roopsee-F-SU-24</t>
  </si>
  <si>
    <t>Dot &amp; Key Daily Glow Sunscreen SPF 50</t>
  </si>
  <si>
    <t>Vitamin C, Niacinamide</t>
  </si>
  <si>
    <t>A water-light SPF 50+ PA++++ sunscreen with new-age UV filters, Triple Vitamin C, Sicilian Blood Orange and Vitamin E. It offers broad-spectrum protection, reduces dullness and tan, fades dark spots and delivers lightweight hydration with no white cast.</t>
  </si>
  <si>
    <r>
      <rPr>
        <color rgb="FF1155CC"/>
        <u/>
      </rPr>
      <t>https://www.dotandkey.com/cdn/shop/files/VitaminCSunscreenListing1-1_637b02a6-7537-475e-989f-bd472a2e415c.jpg?v=1778839085&amp;width=700</t>
    </r>
    <r>
      <rPr/>
      <t xml:space="preserve">, </t>
    </r>
    <r>
      <rPr>
        <color rgb="FF1155CC"/>
        <u/>
      </rPr>
      <t>https://www.dotandkey.com/cdn/shop/files/VitaminCSunscreenListing2_4afba64a-c991-4848-b1b2-172d6586571e.jpg?v=1777289188&amp;width=700</t>
    </r>
    <r>
      <rPr/>
      <t xml:space="preserve">, </t>
    </r>
    <r>
      <rPr>
        <color rgb="FF1155CC"/>
        <u/>
      </rPr>
      <t>https://www.dotandkey.com/cdn/shop/files/VitaminCSunscreenListing3-1.jpg?v=1777289189&amp;width=700</t>
    </r>
    <r>
      <rPr/>
      <t xml:space="preserve">, </t>
    </r>
    <r>
      <rPr>
        <color rgb="FF1155CC"/>
        <u/>
      </rPr>
      <t>https://www.dotandkey.com/cdn/shop/files/VitaminCSunscreenListing3-2.jpg?v=1777289188&amp;width=700</t>
    </r>
    <r>
      <rPr/>
      <t xml:space="preserve">, </t>
    </r>
    <r>
      <rPr>
        <color rgb="FF1155CC"/>
        <u/>
      </rPr>
      <t>https://www.dotandkey.com/cdn/shop/files/VitaminCSunscreenListing4_e0a441b0-7895-4d0b-a8cd-ebada7c784dc.jpg?v=1777289189&amp;width=700</t>
    </r>
  </si>
  <si>
    <t>Roopsee-F-MO-26</t>
  </si>
  <si>
    <t>Dot &amp; Key Barrier Repair Intense Moisturizer with Ceramides</t>
  </si>
  <si>
    <t>100g</t>
  </si>
  <si>
    <t>O+S, D, D+S, N+S, C+S</t>
  </si>
  <si>
    <t>Hyaluronic Acid, Niacinamide</t>
  </si>
  <si>
    <t>A barrier repair moisturizer with 5 Ceramides and Hyaluronic Acid that provides long-lasting moisturization while healing damaged skin and soothing redness. A fragrance-free, dye-free, non-sticky and non-comedogenic formula suitable for dry, sensitive &amp; combination skin.</t>
  </si>
  <si>
    <t>Aqua, Caprylic/Capric Triglyceride, Glycerin, Glyceryl Stearate (and) PEG-100 Stearate, Cetyl Alcohol, Cetearyl Olivate (and) Sorbitan Olivate, Cyclopentasiloxane, Cyclopentasiloxane (and) Dimethicone Crosspolymer, Glycerin (and) Aqua (and) Vaccinium Angustifolium (Blueberry) fruit Extract, Sodium Hyaluronate, Laminaria Digitata Extract (and) Hydrogenated Lecithin (and) Cetyl-PG Hydroxyethyl Palmitamide (and) Ceramide 1,2, 3,4, 6II (and) Cholesterol (and) 1,2-Hexanediol, Xylitylglucoside (and) Anhydroxylitol (and) Xylitol, Sodium Polyacrylate (and) Hydrogenated Polydecene (and) Trideceth-6, Dimethicone, C14- 22 Alcohols (and) C12-20 Alkyl Glucoside, Stearic Acid, Olea Europaea (Olive) Fruit Oil, Simmondsia Chinensis (Jojoba) Seed Oil, Dibutyl Adipate, Aqua (and) Oryza Sativa (Rice) Extract (and) Saccharomyces ferment lysate filtrate (and) Citric acid (and) Sodium Benzoate (and) Potassium sorbate, Polyglutamic Acid, Lactococcus Ferment Lysate, Tocopheryl Acetate, Xanthan Gum, Disodium EDTA, BHT, Phenoxyethanol (and) Ethylhexylglycerin</t>
  </si>
  <si>
    <t>Ingredient caution: niacinamide is usually gentle but might cause tingling or flushing in very reactive skin; fragrance, essential oils or fragrance allergens might trigger redness, itching or allergic irritation; rich oils, butters or occlusive emollients might feel heavy or clog pores in acne-prone/oily skin; preservatives such as phenoxyethanol/benzyl alcohol might sting very sensitive or compromised skin. Do a patch test before applying. Start slowly if your skin is sensitive and avoid combining too many new actives at once. Avoid this product if you have fragrance allergy, eczema-prone skin or a damaged barrier. Use a small amount first and avoid applying on active acne if it feels greasy. Do not apply on broken, freshly waxed or irritated skin. Stop use if irritation persists.</t>
  </si>
  <si>
    <r>
      <rPr>
        <color rgb="FF1155CC"/>
        <u/>
      </rPr>
      <t>https://www.dotandkey.com/cdn/shop/files/2_ac762ff8-509d-419e-b13d-84b6980bcb3d.jpg?v=1770964873&amp;width=700</t>
    </r>
    <r>
      <rPr/>
      <t xml:space="preserve">, </t>
    </r>
    <r>
      <rPr>
        <color rgb="FF1155CC"/>
        <u/>
      </rPr>
      <t>https://www.dotandkey.com/cdn/shop/files/3_be923908-163d-41e4-9a71-62a0e83d0e93.jpg?v=1770964873&amp;width=700</t>
    </r>
    <r>
      <rPr/>
      <t xml:space="preserve">, </t>
    </r>
    <r>
      <rPr>
        <color rgb="FF1155CC"/>
        <u/>
      </rPr>
      <t>https://www.dotandkey.com/cdn/shop/files/4_f5e0e7a8-6fc5-4895-bade-aa915d442138.jpg?v=1770964873&amp;width=700</t>
    </r>
    <r>
      <rPr/>
      <t xml:space="preserve">, </t>
    </r>
    <r>
      <rPr>
        <color rgb="FF1155CC"/>
        <u/>
      </rPr>
      <t>https://www.dotandkey.com/cdn/shop/files/5_78726fb3-cdd3-4cba-94dd-1c6468df1283.jpg?v=1770964873&amp;width=700</t>
    </r>
    <r>
      <rPr/>
      <t xml:space="preserve">, </t>
    </r>
    <r>
      <rPr>
        <color rgb="FF1155CC"/>
        <u/>
      </rPr>
      <t>https://www.dotandkey.com/cdn/shop/files/8_9d949ed9-79e8-42a5-b2e4-c029d3b307e2.jpg?v=1770964888&amp;width=700</t>
    </r>
  </si>
  <si>
    <t>Roopsee-F-MO-27</t>
  </si>
  <si>
    <t>Dot &amp; Key Blueberry Hydrate Barrier Repair Oil-Free Moisturizer</t>
  </si>
  <si>
    <t>5 CERAMIDES</t>
  </si>
  <si>
    <t>An oil-free barrier repair moisturizer with 5 Ceramides, Niacinamide, Hyaluronic Acid and Japanese Rice Water. It repairs damaged skin, soothes redness, locks in moisture and absorbs quickly without greasy or sticky residue.</t>
  </si>
  <si>
    <t>Aqua, Glycerine, Cetearyl Alcohol, Cyclopentasiloxane, Xylitylglucoside (and) Anhydroxylitol (and) Xylitol, Niacinamide, Butylene Glycol, Cyclopentasiloxane (and) Dimethicone Crosspolymer, Caprylyl Methicone (and) PEG-12 Dimethicone/PPG-20 Crosspolymer, Glycerin (and) Aqua (and) Vaccinium Angustifolium (Blueberry) Fruit Extract, Laminaria Digitata Extract (and) Hydrogenated Lecithin (and) Cetyl-PG Hydroxyethyl Palmitamide (and) Ceramide 1,2, 3,4, 6II (and) Cholesterol (and) 1,2-hexanediol, Sodium Hyaluronate, Lactococcus Ferment Lysate, Aqua (and) Oryza Sativa (Rice) Extract (and) Saccharomyces ferment lysate filtrate (and) Citric acid (and) Sodium Benzoate (and) Potassium sorbate, Allantoin, Tocopheryl Acetate, Hydroxyethyl Acrylate/Sodium Acryloyldimethyl Taurate Copolymer, Polyacrylate-13 (and) Polyisobutene (and) Polysorbate 20, Polymethylsilsesquioxane (and) Dimethicone (and) Isohexadecane (and) Cetearyl Methicone (and) PEG-40 Stearate (and) Steareth-2 (and) Steareth-21, Glyceryl Stearate (and) PEG-100 Stearate, Behenyl Alcohol, Octyldodecanol, Sorbitan Stearate, Zea Mays(Corn) Starch, Disodium EDTA, Phenoxyethanol (and) Ethylhexylglycerin</t>
  </si>
  <si>
    <r>
      <rPr>
        <color rgb="FF1155CC"/>
        <u/>
      </rPr>
      <t>https://www.dotandkey.com/cdn/shop/files/1-1_cc24a602-1169-487d-8419-5681659434b2.jpg?v=1757933155&amp;width=700</t>
    </r>
    <r>
      <rPr/>
      <t xml:space="preserve">, </t>
    </r>
    <r>
      <rPr>
        <color rgb="FF1155CC"/>
        <u/>
      </rPr>
      <t>https://www.dotandkey.com/cdn/shop/files/2-1.jpg?v=1757933155&amp;width=700</t>
    </r>
    <r>
      <rPr/>
      <t xml:space="preserve">, </t>
    </r>
    <r>
      <rPr>
        <color rgb="FF1155CC"/>
        <u/>
      </rPr>
      <t>https://www.dotandkey.com/cdn/shop/files/3_1eb996a8-325b-4ec6-b66e-99050c5df710.jpg?v=1757933155&amp;width=700</t>
    </r>
    <r>
      <rPr/>
      <t xml:space="preserve">, </t>
    </r>
    <r>
      <rPr>
        <color rgb="FF1155CC"/>
        <u/>
      </rPr>
      <t>https://www.dotandkey.com/cdn/shop/files/4_87e94b57-8c6b-4e56-b718-e0045f6cbd55.jpg?v=1757933155&amp;width=700</t>
    </r>
    <r>
      <rPr/>
      <t xml:space="preserve">, </t>
    </r>
    <r>
      <rPr>
        <color rgb="FF1155CC"/>
        <u/>
      </rPr>
      <t>https://www.dotandkey.com/cdn/shop/files/5_a93e1083-2058-4624-a011-d0af7b8a66a3.jpg?v=1757933155&amp;width=700</t>
    </r>
  </si>
  <si>
    <t>Roopsee-F-SU-25</t>
  </si>
  <si>
    <t>Dot &amp; Key Dragon Fruit Bounce Sunscreen SPF 50+ PA++++</t>
  </si>
  <si>
    <t xml:space="preserve"> Uvinul A+, Uvinul T-150, Tinosorb S and Tinosorb M.</t>
  </si>
  <si>
    <t>Ectoin, Hyaluronic Acid</t>
  </si>
  <si>
    <t>An SPF 50+ PA++++ gel sunscreen for oily and combination skin with Dragon Fruit, new-age UV filters, Niacinamide and Ectoin. It neutralises free-radical damage, restores moisture balance, supports skin resilience and gives long-lasting UV protection.</t>
  </si>
  <si>
    <t>Aqua, C12-15 Alkyl Benzoate (and) Diethylamino Hydroxybenzoyl Hexyl Benzoate (and) Ethylhexyl Triazone (and) Bis-Ethylhexyloxyphenol Methoxyphenyl Triazine (and) Propanediol (and) Lecithin (and) Phenoxyethanol (and) Hydroxyacetophenone, Terephthalylidene Dicamphor Sulfonic Acid, Phenylbenzimidazole Sulfonic Acid, Methylene Bis-Benzotriazolyl Tetramethylbutylphenol (and) Aqua (and) Decyl Glucoside (and) Propylene Glycol (and) Xanthan Gum, Dimethicone, Triethanolamine, Butylene Glycol, Propylene Glycol, Isododecane, Hylocereus Undatus Fruit Extract(and) Propylene Glycol (and) Sodium Benzoate (and) Phenoxyethanol (and) Ethylhexylglycerin (and) Aqua, Propanediol, Ectoin, Silanetriol (and) Hyaluronic Acid (and) Methylpropanediol (and) Citric Acid (and) Water (Aqua), Sodium Hyaluronate Crosspolymer, Sodium Hyaluronate, Glycerin (and) Aqua (and) Butylene Glycol (and) Carbomer (and) Polysorbate 20 (and) Palmitoyl Tripeptide-1 (and) Palmitoyl Tetrapeptide-7, Laminaria Digitata Extract (and) Hydrogenated Lecithin (and) Cetyl-PG Hydroxyethyl Palmitamide (and) Ceramide 1,2, 3,4, 6II (and) Cholesterol (and) 1,2-Hexanediol, Niacinamide, Panthenol, Tocopheryl Acetate, Ammonium Acryloyldimethyltaurate/VP Copolymer, Polyacrylate Crosspolymer-6, Xanthan Gum, Sodium Stearoyl Glutamate, Dimethicone/Vinyl Dimethicone Crosspolymer (and) Silica, Allantoin, Disodium EDTA, Sodium Gluconate, Phenoxyethanol (and) Ethylhexylglycerin</t>
  </si>
  <si>
    <r>
      <rPr>
        <color rgb="FF1155CC"/>
        <u/>
      </rPr>
      <t>https://www.dotandkey.com/cdn/shop/files/1-1_83caee88-11d2-4437-8e29-7b1da46ffb71.jpg?v=1778838200&amp;width=700</t>
    </r>
    <r>
      <rPr/>
      <t xml:space="preserve">, </t>
    </r>
    <r>
      <rPr>
        <color rgb="FF1155CC"/>
        <u/>
      </rPr>
      <t>https://www.dotandkey.com/cdn/shop/files/2_153b7742-a76d-4477-b449-578558de607e.jpg?v=1777979493&amp;width=700</t>
    </r>
    <r>
      <rPr/>
      <t xml:space="preserve">, </t>
    </r>
    <r>
      <rPr>
        <color rgb="FF1155CC"/>
        <u/>
      </rPr>
      <t>https://www.dotandkey.com/cdn/shop/files/3_30266f36-fb29-4d54-90fe-aa6a09d559ab.jpg?v=1777979492&amp;width=700</t>
    </r>
    <r>
      <rPr/>
      <t xml:space="preserve">, </t>
    </r>
    <r>
      <rPr>
        <color rgb="FF1155CC"/>
        <u/>
      </rPr>
      <t>https://www.dotandkey.com/cdn/shop/files/4_d76174ad-fe9a-43b3-a7f7-81f60f395627.jpg?v=1777979493&amp;width=700</t>
    </r>
    <r>
      <rPr/>
      <t xml:space="preserve">, </t>
    </r>
    <r>
      <rPr>
        <color rgb="FF1155CC"/>
        <u/>
      </rPr>
      <t>https://www.dotandkey.com/cdn/shop/files/5-1_a3a363a2-473d-4877-a18f-cfc9c952a68c.jpg?v=1777979493&amp;width=700</t>
    </r>
  </si>
  <si>
    <t>Roopsee-F-SU-26</t>
  </si>
  <si>
    <t>Dot &amp; Key Mineral Sunscreen SPF 50</t>
  </si>
  <si>
    <t>Zinc oxide</t>
  </si>
  <si>
    <t>Titanium Dioxide, Hyaluronic Acid</t>
  </si>
  <si>
    <t>A 100% mineral sunscreen with in-vivo tested SPF 50+ PA++++, Vitamin C, Niacinamide and Sicilian Blood Orange. The ultra-light fluid texture blends easily with no white cast and is suitable for pregnant women, kids and sensitive skin.</t>
  </si>
  <si>
    <t>Aqua, Zinc Oxide (and) C12-15 Alkyl Benzoate (and) Isostearic Acid (and) Polyhydroxystearic Acid, Dimethicone, Isododecane, C12-15 Alkyl Benzoate, Cyclopentasiloxane, Cyclopentasiloxane (and) PEG/PPG-18/18 Dimethicone, Titanium Dioxide (and) Silica (and) Dimethicone, Cyclopentasiloxane (and) Dimethicone Crosspolymer, Cyclopentasiloxane (and) Cetearyl Dimethicone/Vinyl Dimethicone Crosspolymer, Glycerin, Propylene Glycol, C13-15 Alkane (and) Disteardimonium Hectorite (and) Polyglyceryl-3 Polyricinoleate, Sodium Chloride, Lauryl PEG-10 Tris(trimethylsiloxy)silylethyl Dimethicone, Peg -9 Dimethicone, Polyglyceryl-3 Polyricinoleate (and) Sorbitan Isostearate, Ascorbyl Glucoside, Glycerin (and) Water (and) Terminalia Ferdinandiana Fruit Extract, Citrus Sinensis (Blood Orange) Fruit Extract, Disodium EDTA, Fructooligosaccharides (and) Beta Vulgaris (Beet) Root Extract (and) Water, Niacinamide, Sodium Gluconate, Xanthan Gum, Tocopheryl Acetate, Phenoxyethanol (and) Ethylhexylglycerin</t>
  </si>
  <si>
    <t>Ingredient caution: PHA might cause stinging, dryness, peeling, redness and increased sun sensitivity;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Stop use if irritation persists.</t>
  </si>
  <si>
    <r>
      <rPr>
        <color rgb="FF1155CC"/>
        <u/>
      </rPr>
      <t>https://www.dotandkey.com/cdn/shop/files/1a_055631d9-8489-46d1-bddf-bd21e2b6e9aa.jpg?v=1771219495&amp;width=700</t>
    </r>
    <r>
      <rPr/>
      <t xml:space="preserve">, </t>
    </r>
    <r>
      <rPr>
        <color rgb="FF1155CC"/>
        <u/>
      </rPr>
      <t>https://www.dotandkey.com/cdn/shop/files/2_f16350b3-9494-4251-bd8e-39dd8e24e379.jpg?v=1771219495&amp;width=700</t>
    </r>
    <r>
      <rPr/>
      <t xml:space="preserve">, </t>
    </r>
    <r>
      <rPr>
        <color rgb="FF1155CC"/>
        <u/>
      </rPr>
      <t>https://www.dotandkey.com/cdn/shop/files/Mineral-Sunscreen-3.jpg?v=1771219495&amp;width=700</t>
    </r>
    <r>
      <rPr/>
      <t xml:space="preserve">, </t>
    </r>
    <r>
      <rPr>
        <color rgb="FF1155CC"/>
        <u/>
      </rPr>
      <t>https://www.dotandkey.com/cdn/shop/files/Mineral-Sunscreen-4.jpg-v2.jpg?v=1771219495&amp;width=700</t>
    </r>
    <r>
      <rPr/>
      <t xml:space="preserve">, </t>
    </r>
    <r>
      <rPr>
        <color rgb="FF1155CC"/>
        <u/>
      </rPr>
      <t>https://www.dotandkey.com/cdn/shop/files/5b_097aabb5-ea6c-4e66-9a32-6217fa4cb7db.jpg?v=1771219495&amp;width=700</t>
    </r>
  </si>
  <si>
    <t>Roopsee-F-CL-27</t>
  </si>
  <si>
    <t>Dot &amp; Key Deep Pore Clean Foaming Face Wash</t>
  </si>
  <si>
    <t>Salicylic Acid</t>
  </si>
  <si>
    <t>Niacinamide, Kaolin Clay</t>
  </si>
  <si>
    <t>A sulphate-free, non-drying foaming face wash with Lactic Acid, Seaweed Extract and Lotus Flower. It deeply cleanses, unclogs pores, removes excess oil and impurities, gently exfoliates and brightens skin.</t>
  </si>
  <si>
    <t>Aqua, Myristic Acid, Glycerine, Acrylates / Steareth-20 Methacrylate Crosspolymer, Stearic Acid, Potassium Hydroxide, Propylene Glycol, Glycol Stearate, Dimethiconol (and) TEA-Dodecylbenzenesulfonate, Aqua (and) Lactic Acid (and) Glycolic Acid (and) Vaccinium Myrtillus Fruit Extract (and) Saccharum Officinarum (Sugarcane) Extract (and) Citric Acid (and) Citrus Aurantium Dulcis (Orange) Fruit Extract (and) Citrus Limon (Lemon) Fruit Extract (and)Acer Saccharum (Sugar Maple) Extract (and) Tartaric Acid (and) Malic Acid, Disodium EDTA, PEG-45M, Fucus Vesiculosus (Seaweed) Extract, Nelumbo Nucifera (Lotus) Flower Extract, Phenoxyethanol (and) Ethylhexylglycerin, Fragrance, CI 42090</t>
  </si>
  <si>
    <t>Ingredient caution: lactic acid/AHA, salicylic acid/BHA might cause stinging, dryness, peeling, redness and increased sun sensitivity; niacinamide is usually gentle but might cause tingling or flushing in very reactive skin; fragrance, essential oils or fragrance allergens might trigger redness, itching or allergic irritation; cleansing surfactants might cause dryness, stinging or tightness if overused.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Use lukewarm water, do not scrub, and follow with moisturiser. Stop use if irritation persists.</t>
  </si>
  <si>
    <r>
      <rPr>
        <rFont val="Carlito"/>
        <color rgb="FF1155CC"/>
        <sz val="11.0"/>
        <u/>
      </rPr>
      <t>https://www.dotandkey.com/cdn/shop/files/1-Deep-Pore-Cleanser_1.jpg?v=1705741985&amp;width=700</t>
    </r>
    <r>
      <rPr>
        <rFont val="Carlito"/>
        <color rgb="FF000000"/>
        <sz val="11.0"/>
      </rPr>
      <t xml:space="preserve">,  </t>
    </r>
    <r>
      <rPr>
        <rFont val="Carlito"/>
        <color rgb="FF1155CC"/>
        <sz val="11.0"/>
        <u/>
      </rPr>
      <t>https://www.dotandkey.com/cdn/shop/files/2-Deep-Pore-Cleanser.jpg?v=1705741985&amp;width=700</t>
    </r>
    <r>
      <rPr>
        <rFont val="Carlito"/>
        <color rgb="FF000000"/>
        <sz val="11.0"/>
      </rPr>
      <t xml:space="preserve">, </t>
    </r>
    <r>
      <rPr>
        <rFont val="Carlito"/>
        <color rgb="FF1155CC"/>
        <sz val="11.0"/>
        <u/>
      </rPr>
      <t>https://www.dotandkey.com/cdn/shop/files/3-Deep-Pore-Cleanser.jpg?v=1705741985&amp;width=700</t>
    </r>
    <r>
      <rPr>
        <rFont val="Carlito"/>
        <color rgb="FF000000"/>
        <sz val="11.0"/>
      </rPr>
      <t xml:space="preserve">, </t>
    </r>
    <r>
      <rPr>
        <rFont val="Carlito"/>
        <color rgb="FF1155CC"/>
        <sz val="11.0"/>
        <u/>
      </rPr>
      <t>https://www.dotandkey.com/cdn/shop/files/4-Deep-Pore-Cleanser.jpg?v=1705741985&amp;width=700</t>
    </r>
    <r>
      <rPr>
        <rFont val="Carlito"/>
        <color rgb="FF000000"/>
        <sz val="11.0"/>
      </rPr>
      <t xml:space="preserve">, </t>
    </r>
  </si>
  <si>
    <t>Roopsee-F-MO-28</t>
  </si>
  <si>
    <t>Dot &amp; Key Multi Peptide Pomegranate Moisturizer with Ceramides SPF 30</t>
  </si>
  <si>
    <t>D, D+S, N, N+S, C+S</t>
  </si>
  <si>
    <t>Dryness, Barrier Repair, Redness/Irritation, Dehydration, Tanning</t>
  </si>
  <si>
    <t>Peptide Complex</t>
  </si>
  <si>
    <t>Pomegranate Extract, Ceramide, SPF 30</t>
  </si>
  <si>
    <t>An SPF 30 anti-ageing moisturizer with Pomegranate, Multi-Peptides, Vitamin E and Ceramides. It helps reduce fine lines and wrinkles, boost radiance and improve collagen production for firmer, plumper skin.</t>
  </si>
  <si>
    <t>Aqua, Ethylhexyl Methoxycinnamate, Glycerine, Glyceryl Stearate (and) PEG-100 Stearate, Butyl Methoxydibenzoylmethane, Cyclopentasiloxane, Cyclopentasiloxane (and) Dimethicone Crosspolymer, Ethylhexyl Salicylate, Polyacrylamide (and) C13-14 Isoparaffin (and) Laureth-7, Cetyl Alcohol, Aluminium Starch Octenylsuccinate, Xylitylglucoside (and) Anhydroxylitol (and) Xylitol, Titanium Dioxide (and) Silica (and) Dimethicone, Laminaria Digitata Extract (and) Hydrogenated Lecithin (and) Cetyl-PG Hydroxyethyl Palmitamide (and) Ceramide 1,2, 3,4, 6II (and) Cholesterol (and) 1,2-hexanediol, Niacinamide, Acrylates/C10-30 Alkyl Acrylate Crosspolymer, Triethanolamine, Tocopheryl Acetate, Disodium EDTA, Sodium Hyaluronate, Palmitoyl Tripeptide-5, Punica Granatum (Pomegranate) Seed Oil, Jojoba Oil/Macadamia Seed Oil Esters (and) Squalene (and) Phytosteryl Macadamiate (and) Phytosterols (and) Tocopherol, Glycerin (and) Aqua (and) Butylene Glycol (and) Carbomer (and) Polysorbate 20 (and) Palmitoyl Tripeptide-1 (and) Palmitoyl Tetrapeptide-7, Benzyl Alcohol (and) Ethylhexylglycerin (and) Tocopherol, Fragrance*, CI 45430. * IFRA Certified</t>
  </si>
  <si>
    <t>Ingredient caution: niacinamide is usually gentle but might cause tingling or flushing in very reactive skin; fragrance, essential oils or fragrance allergens might trigger redness, itching or allergic irritation; UV filters might sting around the eyes or irritate very sensitive skin; preservatives such as phenoxyethanol/benzyl alcohol might sting very sensitive or compromised skin. Do a patch test before applying. Start slowly if your skin is sensitive and avoid combining too many new actives at once. Avoid this product if you have fragrance allergy, eczema-prone skin or a damaged barrier. Patch test near the jawline first, avoid the eye corners, and remove gently at night. Do not apply on broken, freshly waxed or irritated skin. Stop use if irritation persists.</t>
  </si>
  <si>
    <t>https://www.dotandkey.com/cdn/shop/files/1_262025d4-8a3e-4d7e-8e45-a5d4d979c758.jpg?v=1744370218&amp;width=700, https://www.dotandkey.com/cdn/shop/files/2_c826faf4-52d8-4712-bb1a-62741560cd22.jpg?v=1744370218&amp;width=700, https://www.dotandkey.com/cdn/shop/files/3_5949268d-ea7a-4e94-874b-6036b05859a7.jpg?v=1744370218&amp;width=700, https://www.dotandkey.com/cdn/shop/files/4_3b49f399-afe7-4827-943a-9025c12bd0f7.jpg?v=1744370218&amp;width=700</t>
  </si>
  <si>
    <t>Roopsee-F-TO-10</t>
  </si>
  <si>
    <t>Dot &amp; Key Blueberry Hydrate Barrier Repair Milky Toner Essence</t>
  </si>
  <si>
    <t>Blueberry Extract</t>
  </si>
  <si>
    <t>Hyaluronic Acid, Ceramide, Niacinamide</t>
  </si>
  <si>
    <t>A milky toner essence with 5 Ceramides, Centella, Hyaluronic Acid and Fermented Rice Water. It instantly hydrates, repairs damaged skin prone to redness and irritation, smoothes and preps skin for better absorption.</t>
  </si>
  <si>
    <t>Aqua, Propylene Glycol, Propanediol, Glycerin (and) Limnanthes Alba (Meadowfoam) Seed Oil (and) Canola Oil (and) Helianthus Annuus (Sunflower) Seed Oil (and) Argania Spinosa Kernel Oil (and) Polyglyceryl-10 Stearate, Sodium Hyaluronate, Allantoin, Laminaria Digitata Extract (and) Hydrogenated Lecithin (and) Cetyl-PG Hydroxyethyl Palmitamide (and) Ceramide 1,2, 3,4, 6II (and) Cholesterol (and) 1,2- Hexanediol, Glycerin (and) Aqua (and) Vaccinium Angustifolium (Blueberry) Fruit Extract, Sodium PCA, Panthenol, Niacinamide, Butylene Glycol, Acetamidoethoxyethanol, Arginine, Aloe Barbadensis (Aloevera) Leaf Juice, Centella Asiatica (Cica) Extract, Xylitylglucoside (and) Anhydroxylitol (and) Xylitol, Lactococcus Ferment Lysate, Aqua (and) Oryza Sativa (Rice) Extract (and) Saccharomyces Ferment Lysate Filtrate (and) Citric acid (and) Sodium Benzoate (and) Potassium Sorbate, Butylene Glycol (and) Water (and) Geranium Robertianum Extract, Aqua (and) Phragmites Communis Extract (and) Poria Cocos Extract, Betaine (and) Sodium PCA (and) Sodium Lactate (and) PCA (and) Serine (and) Alanine (and) Glycine (and) Glutamic Acid (and) Lysine HCl (and) Threonine (and) Arginine (and) Proline (and) Water, Xanthan Gum, Acrylates/C10-30 Alkyl Acrylate Crosspolymer, Sodium Gluconate, Disodium EDTA, Phenoxyethanol (and) Ethylhexylglycerin</t>
  </si>
  <si>
    <t>• Do not rub the skin repeatedly with cotton pads.
  • Do not layer with strong actives if your skin feels sensitive.
  • Do not use on broken, freshly shaved, or irritated skin.
  • Do not apply close to the eyes unless the product allows it.
  • Do not continue if stinging or redness persists.</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</si>
  <si>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t>
  </si>
  <si>
    <t>• Cleanse and pat the skin dry.
  • Take a few drops on palms or a cotton pad and spread evenly.
  • Let it absorb before applying the next step.
  • Use once daily at first, then adjust based on tolerance.
  • Follow with moisturiser and daytime sunscreen when needed.</t>
  </si>
  <si>
    <t>https://www.dotandkey.com/cdn/shop/files/1_e060a681-2eb5-422f-a25e-ff0d1fd55b1d.jpg?v=1751367041&amp;width=700, https://www.dotandkey.com/cdn/shop/files/2_212c2d47-5a46-4776-88c1-0f98f0b502ba.jpg?v=1751367040&amp;width=700, https://www.dotandkey.com/cdn/shop/files/3_85d8b28f-fb7e-40f6-9de1-004c00f40ec1.jpg?v=1751367041&amp;width=700, https://www.dotandkey.com/cdn/shop/files/4_fd6b4ed1-596c-457c-86d3-3261e958ea33.jpg?v=1751367041&amp;width=700</t>
  </si>
  <si>
    <t>Roopsee-F-SU-27</t>
  </si>
  <si>
    <t>Aqualogica Hydrate+ Dewy Sunscreen SPF 50+ PA++++ with Coconut Water &amp; Hyaluronic Acid</t>
  </si>
  <si>
    <t>Aqualogica</t>
  </si>
  <si>
    <t>Dehydration, Tanning</t>
  </si>
  <si>
    <t>Coconut Water, SPF 50+ UV Filters</t>
  </si>
  <si>
    <t>A lightweight dewy sunscreen with SPF 50+ PA++++ that protects against UVA/UVB rays while keeping skin hydrated and soft. Powered with Coconut Water and Hyaluronic Acid for a plump, dewy finish.</t>
  </si>
  <si>
    <t>Aqua, Glycerin, C12-15 Alkyl Benzoate, Sodium Hyaluronate, Aloe Barbadensis Leaf Juice, Zinc Oxide, Titanium Dioxide, Panthenol, Allantoin, Fragrance, Caprylic/Capric Triglyceride, Ethylhexyl Methoxycinnamate, Butyl Methoxydibenzoylmethane, Bis-Ethylhexyloxyphenol Methoxyphenyl Triazine, Diethylamino Hydroxybenzoyl Hexyl Benzoate, Silica, Carbomer, Triethanolamine, Disodium EDTA, Phenoxyethanol, Ethylhexylglycerin</t>
  </si>
  <si>
    <t>Ingredient caution: fragrance, essential oils or fragrance allergens might trigger redness, itching or allergic irritation; UV filters might sting around the eyes or irritate very sensitive skin; preservatives such as phenoxyethanol/benzyl alcohol might sting very sensitive or compromised skin; humectants such as hyaluronic acid/glycerin are usually gentle but might feel sticky or tight if not sealed with moisturiser. Do a patch test before applying. Avoid this product if you have fragrance allergy, eczema-prone skin or a damaged barrier. Patch test near the jawline first, avoid the eye corners, and remove gently at night. Do not apply on broken, freshly waxed or irritated skin. Apply on slightly damp skin and follow with moisturiser if dryness occurs. Stop use if irritation persists.</t>
  </si>
  <si>
    <r>
      <rPr>
        <sz val="11.0"/>
      </rPr>
      <t xml:space="preserve">https://aqualogica.in/cdn/shop/files/1_efe2a5c5-3705-40cf-8e55-eac290b434bc.jpg?v=1701348747&amp;width=2315, </t>
    </r>
    <r>
      <rPr>
        <color rgb="FF1155CC"/>
        <sz val="11.0"/>
        <u/>
      </rPr>
      <t>https://aqualogica.in/cdn/shop/files/2_e16adde4-f744-4b8f-a2ac-6631b07265e7.jpg?v=1701348747&amp;width=1000</t>
    </r>
    <r>
      <rPr>
        <sz val="11.0"/>
      </rPr>
      <t xml:space="preserve">, </t>
    </r>
    <r>
      <rPr>
        <color rgb="FF1155CC"/>
        <sz val="11.0"/>
        <u/>
      </rPr>
      <t>https://aqualogica.in/cdn/shop/files/3_6c2998fe-0c07-4b2e-afab-08952e54ae3f.jpg?v=1701348747&amp;width=800</t>
    </r>
    <r>
      <rPr>
        <sz val="11.0"/>
      </rPr>
      <t xml:space="preserve">, </t>
    </r>
    <r>
      <rPr>
        <color rgb="FF1155CC"/>
        <sz val="11.0"/>
        <u/>
      </rPr>
      <t>https://aqualogica.in/cdn/shop/files/4_81bc1d4f-18d9-498e-b24b-25f34ddb5ebe.jpg?v=1701348747&amp;width=800</t>
    </r>
    <r>
      <rPr>
        <sz val="11.0"/>
      </rPr>
      <t xml:space="preserve">, </t>
    </r>
    <r>
      <rPr>
        <color rgb="FF1155CC"/>
        <sz val="11.0"/>
        <u/>
      </rPr>
      <t>https://aqualogica.in/cdn/shop/files/5_3a5a9502-f78c-447c-9d60-a84cd69beda2.jpg?v=1701348747&amp;width=800</t>
    </r>
  </si>
  <si>
    <t>Roopsee-F-SE-57</t>
  </si>
  <si>
    <t>Aqualogica Glow+ Concentrate Face Serum</t>
  </si>
  <si>
    <t>Papaya Extract, Niacinamide</t>
  </si>
  <si>
    <t>A lightweight, non-sticky concentrate serum crafted with Vitamin C, Papaya and Hyaluronic Acid to brighten dull skin, fight hyperpigmentation, correct uneven tone and enhance radiance.</t>
  </si>
  <si>
    <t>Aqua, Glycerin, Glyceryl Glucoside, Methylpropanediol, Sodium Ascorbyl Phosphate, Carica Papaya Fruit Extract, Sodium Hyaluronate, Hydroxyethylcellulose, Trisodium Ethylenediamine Disuccinate, Polyacrylate Crosspolymer-6, Ethylhexylglycerin, Phenoxyethanol, Citric Acid</t>
  </si>
  <si>
    <r>
      <rPr>
        <sz val="11.0"/>
      </rPr>
      <t xml:space="preserve">https://aqualogica.in/cdn/shop/products/6fd403df-fe7-45a9-a78b-222ec97f69__20_a.jpg?v=1701346095&amp;width=2091, </t>
    </r>
    <r>
      <rPr>
        <color rgb="FF1155CC"/>
        <sz val="11.0"/>
        <u/>
      </rPr>
      <t>https://aqualogica.in/cdn/shop/products/glow_-concentrate-face-serum.jpg?v=1702016651&amp;width=1200</t>
    </r>
    <r>
      <rPr>
        <sz val="11.0"/>
      </rPr>
      <t xml:space="preserve">, </t>
    </r>
    <r>
      <rPr>
        <color rgb="FF1155CC"/>
        <sz val="11.0"/>
        <u/>
      </rPr>
      <t>https://aqualogica.in/cdn/shop/products/glow__concentrate_face_serum_02.jpg?v=1702016651&amp;width=800</t>
    </r>
    <r>
      <rPr>
        <sz val="11.0"/>
      </rPr>
      <t xml:space="preserve">, </t>
    </r>
    <r>
      <rPr>
        <color rgb="FF1155CC"/>
        <sz val="11.0"/>
        <u/>
      </rPr>
      <t>https://aqualogica.in/cdn/shop/products/glow_concentrate_face_serum_03.jpg?v=1701346095&amp;width=800</t>
    </r>
    <r>
      <rPr>
        <sz val="11.0"/>
      </rPr>
      <t xml:space="preserve">, </t>
    </r>
    <r>
      <rPr>
        <color rgb="FF1155CC"/>
        <sz val="11.0"/>
        <u/>
      </rPr>
      <t>https://aqualogica.in/cdn/shop/products/glow_concentrate_face_serum_04.jpg?v=1701346095&amp;width=800</t>
    </r>
  </si>
  <si>
    <t>Roopsee-F-SE-58</t>
  </si>
  <si>
    <t>Aqualogica Radiance+ Concentrate Face Serum with Watermelon &amp; Niacinamide</t>
  </si>
  <si>
    <t>O, O+S, N, N+S, C</t>
  </si>
  <si>
    <t>Watermelon Extract, Kojic Acid</t>
  </si>
  <si>
    <t>A Radiance+ concentrate serum with Watermelon, Niacinamide and Hyaluronic Acid to help reduce acne marks and dark spots, control excess oil, minimize pores and make skin look bright and radiant.</t>
  </si>
  <si>
    <t>Aqua, Glycerin, Butylene Glycol, Citrullus Lanatus (Watermelon) Fruit Extract, Niacinamide, Sodium Hyaluronate, Panthenol, Allantoin, Fragrance, Propanediol, Methylpropanediol, Hydroxyethylcellulose, Xanthan Gum, Disodium EDTA, Phenoxyethanol, Ethylhexylglycerin</t>
  </si>
  <si>
    <t>Ingredient caution: niacinamide is usually gentle but might cause tingling or flushing in very reactive skin; kojic acid might cause tingling, dryness or redness in sensitive skin; fragrance, essential oils or fragrance allergens might trigger redness, itching or allergic irritation; preservatives such as phenoxyethanol/benzyl alcohol might sting very sensitive or compromised skin. Do a patch test before applying.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Do not apply on broken, freshly waxed or irritated skin. Stop use if irritation persists.</t>
  </si>
  <si>
    <r>
      <rPr>
        <color rgb="FF1155CC"/>
        <u/>
      </rPr>
      <t>https://aqualogica.in/cdn/shop/products/acf8324d-2df9-450b-8c2-ed540076f60__20_a.jpg?v=1701346066&amp;width=2086</t>
    </r>
    <r>
      <rPr/>
      <t xml:space="preserve">, </t>
    </r>
    <r>
      <rPr>
        <color rgb="FF1155CC"/>
        <u/>
      </rPr>
      <t>https://aqualogica.in/cdn/shop/products/radiance_-concentrate-face-serum-30ml.jpg?v=1702031907&amp;width=1200</t>
    </r>
    <r>
      <rPr/>
      <t xml:space="preserve">, </t>
    </r>
    <r>
      <rPr>
        <color rgb="FF1155CC"/>
        <u/>
      </rPr>
      <t>https://aqualogica.in/cdn/shop/products/radience_-serum-01.jpg?v=1702031907&amp;width=800</t>
    </r>
    <r>
      <rPr/>
      <t xml:space="preserve">, </t>
    </r>
    <r>
      <rPr>
        <color rgb="FF1155CC"/>
        <u/>
      </rPr>
      <t>https://aqualogica.in/cdn/shop/products/radience_-serum-02.jpg?v=1702031907&amp;width=800</t>
    </r>
    <r>
      <rPr/>
      <t xml:space="preserve">, </t>
    </r>
    <r>
      <rPr>
        <color rgb="FF1155CC"/>
        <u/>
      </rPr>
      <t>https://aqualogica.in/cdn/shop/products/radience_-serum-03.jpg?v=1702031907&amp;width=800</t>
    </r>
  </si>
  <si>
    <t>Roopsee-F-MO-29</t>
  </si>
  <si>
    <t>Aqualogica Glow+ Hydra Gel Moisturizer with Vitamin C &amp; Papaya</t>
  </si>
  <si>
    <t>O+S, N+S</t>
  </si>
  <si>
    <t>Dehydration, Dullness</t>
  </si>
  <si>
    <t>Papaya Extract, Hyaluronic Acid</t>
  </si>
  <si>
    <t>A lightweight hydra gel moisturizer with Vitamin C and Papaya that gives 24-hour hydration, brightens dull skin and leaves a non-sticky, glowing finish.</t>
  </si>
  <si>
    <t>Aqua, Glycerin, Caprylic/Capric Triglyceride, Vitamin C, Carica Papaya Fruit Extract, Sodium Hyaluronate, Sodium Ascorbyl Phosphate, 3-O-Ethyl Ascorbic Acid, Tocopheryl Acetate, Panthenol, Allantoin, Fragrance, Cetearyl Alcohol, Glyceryl Stearate, Butyrospermum Parkii (Shea) Butter, Dimethicone, Carbomer, Sodium Hydroxide, Disodium EDTA, Phenoxyethanol, Ethylhexylglycerin</t>
  </si>
  <si>
    <t>Ingredient caution: vitamin C/ascorbic derivatives might cause tingling, redness or irritation in sensitive skin; fragrance, essential oils or fragrance allergens might trigger redness, itching or allergic irritation; rich oils, butters or occlusive emollients might feel heavy or clog pores in acne-prone/oily skin; preservatives such as phenoxyethanol/benzyl alcohol might sting very sensitive or compromised skin. Do a patch test before applying. First-time users should start 3–4 times a week and avoid layering with strong exfoliating acids if the skin stings. Avoid this product if you have fragrance allergy, eczema-prone skin or a damaged barrier. Use a small amount first and avoid applying on active acne if it feels greasy. Do not apply on broken, freshly waxed or irritated skin. Stop use if irritation persists.</t>
  </si>
  <si>
    <r>
      <rPr>
        <color rgb="FF1155CC"/>
        <u/>
      </rPr>
      <t>https://aqualogica.in/cdn/shop/files/1b_f8cb6cae-382a-4793-94f1-5f627f0dd73f.jpg?v=1719466573&amp;width=1200</t>
    </r>
    <r>
      <rPr/>
      <t xml:space="preserve">, </t>
    </r>
    <r>
      <rPr>
        <color rgb="FF1155CC"/>
        <u/>
      </rPr>
      <t>https://aqualogica.in/cdn/shop/files/Ecom_1.png?v=1739731583&amp;width=1200</t>
    </r>
    <r>
      <rPr/>
      <t xml:space="preserve">, </t>
    </r>
    <r>
      <rPr>
        <color rgb="FF1155CC"/>
        <u/>
      </rPr>
      <t>https://aqualogica.in/cdn/shop/files/1_8d797483-8cdc-4d99-9a42-49972639c3cd.jpg?v=1739731583&amp;width=1200</t>
    </r>
    <r>
      <rPr/>
      <t xml:space="preserve">, </t>
    </r>
    <r>
      <rPr>
        <color rgb="FF1155CC"/>
        <u/>
      </rPr>
      <t>https://aqualogica.in/cdn/shop/files/4_d3ad6a6e-9633-4c9b-b536-e4c87b70c806.jpg?v=1739731583&amp;width=1200</t>
    </r>
    <r>
      <rPr/>
      <t xml:space="preserve">, </t>
    </r>
    <r>
      <rPr>
        <color rgb="FF1155CC"/>
        <u/>
      </rPr>
      <t>https://aqualogica.in/cdn/shop/files/2_e724af7f-e1ff-4785-9911-8217495ad825.jpg?v=1739731583&amp;width=1200</t>
    </r>
  </si>
  <si>
    <t>Roopsee-F-MO-30</t>
  </si>
  <si>
    <t>Aqualogica Hydrate+ Jello Moisturizer with Coconut Water &amp; Hyaluronic Acid</t>
  </si>
  <si>
    <t>Coconut Water, Glycerin</t>
  </si>
  <si>
    <t>A gel-based Hydrate+ Jello Moisturizer with Coconut Water and Hyaluronic Acid that deeply hydrates the skin and leaves it soft, plump and dewy.</t>
  </si>
  <si>
    <t>Aqua, Glycerin, Caprylic/Capric Triglyceride, Sodium Hyaluronate, Black Oats, Aloe Barbadensis Leaf Juice, Panthenol, Allantoin, Fragrance, Cetearyl Alcohol, Glyceryl Stearate, Butyrospermum Parkii (Shea) Butter, Dimethicone, Carbomer, Sodium Hydroxide, Disodium EDTA, Phenoxyethanol, Ethylhexylglycerin</t>
  </si>
  <si>
    <r>
      <rPr>
        <color rgb="FF1155CC"/>
        <u/>
      </rPr>
      <t>https://aqualogica.in/cdn/shop/products/d8a2e5ea-5bfd-4af4-86e-7cc09feb364a__20_a_b4df8b55-b871-4df7-8ed3-1adcc246be57.jpg?v=1701345962&amp;width=705</t>
    </r>
    <r>
      <rPr/>
      <t xml:space="preserve">, </t>
    </r>
    <r>
      <rPr>
        <color rgb="FF1155CC"/>
        <u/>
      </rPr>
      <t>https://aqualogica.in/cdn/shop/products/hydrate_-jello-moisturizer-100g__1200x1200_585f6d7b-e3af-4505-9322-1e57691c84e7.jpg?v=1702017171&amp;width=1200</t>
    </r>
    <r>
      <rPr/>
      <t xml:space="preserve">, </t>
    </r>
    <r>
      <rPr>
        <color rgb="FF1155CC"/>
        <u/>
      </rPr>
      <t>https://aqualogica.in/cdn/shop/products/jello-moistiurizer_02_e96c60f3-9084-4d7d-ad60-2221b852af08.jpg?v=1702017171&amp;width=800</t>
    </r>
    <r>
      <rPr/>
      <t xml:space="preserve">, </t>
    </r>
    <r>
      <rPr>
        <color rgb="FF1155CC"/>
        <u/>
      </rPr>
      <t>https://aqualogica.in/cdn/shop/products/jello-moistiurizer-03_9a0d7a7e-3b2d-4245-a62e-9469c915f74a.jpg?v=1702017171&amp;width=800</t>
    </r>
    <r>
      <rPr/>
      <t xml:space="preserve">, </t>
    </r>
    <r>
      <rPr>
        <color rgb="FF1155CC"/>
        <u/>
      </rPr>
      <t>https://aqualogica.in/cdn/shop/products/jello-moistiurizer-04_29693b96-ef18-41d1-a55b-be6e7f496294.jpg?v=1702017171&amp;width=800</t>
    </r>
  </si>
  <si>
    <t>Roopsee-F-MO-31</t>
  </si>
  <si>
    <t>Aqualogica 5 Barrier+ Repair Moisturizer with Avocado &amp; 5 Essential Ceramides</t>
  </si>
  <si>
    <t>Ceramide (5 types)</t>
  </si>
  <si>
    <t>Avocado Extract, Hyaluronic Acid</t>
  </si>
  <si>
    <t>A barrier repair moisturizer with Avocado, 5 Essential Ceramides and Hyaluronic Acid to strengthen the skin barrier, prevent moisture loss and keep skin hydrated.</t>
  </si>
  <si>
    <t>Aqua, Glycerin, Caprylic/Capric Triglyceride, Persea Gratissima (Avocado) Fruit Extract, 5 Essential Ceramides, Sodium Hyaluronate, Ceramide NP, Ceramide AP, Ceramide EOP, Cholesterol, Phytosphingosine, Panthenol, Allantoin, Fragrance, Cetearyl Alcohol, Glyceryl Stearate, Butyrospermum Parkii (Shea) Butter, Dimethicone, Carbomer, Sodium Hydroxide, Disodium EDTA, Phenoxyethanol, Ethylhexylglycerin</t>
  </si>
  <si>
    <r>
      <rPr>
        <color rgb="FF1155CC"/>
        <u/>
      </rPr>
      <t>https://aqualogica.in/cdn/shop/files/1_750c25f5-0610-41b9-be07-b8bb76cc3dd5.jpg?v=1719554320&amp;width=1200</t>
    </r>
    <r>
      <rPr/>
      <t xml:space="preserve">, </t>
    </r>
    <r>
      <rPr>
        <color rgb="FF1155CC"/>
        <u/>
      </rPr>
      <t>https://aqualogica.in/cdn/shop/files/1_a_1_c62c3c40-647b-4cb0-87dd-7b953c413a24.jpg?v=1719554319&amp;width=1200</t>
    </r>
    <r>
      <rPr/>
      <t xml:space="preserve">, </t>
    </r>
    <r>
      <rPr>
        <color rgb="FF1155CC"/>
        <u/>
      </rPr>
      <t>https://aqualogica.in/cdn/shop/files/3_11e57807-4ee9-493e-8316-381bcb3c0ddc.jpg?v=1719554320&amp;width=1200</t>
    </r>
    <r>
      <rPr/>
      <t xml:space="preserve">, </t>
    </r>
    <r>
      <rPr>
        <color rgb="FF1155CC"/>
        <u/>
      </rPr>
      <t>https://aqualogica.in/cdn/shop/files/2_bfe18c6b-06f8-4802-ac53-5abe1d6348f7.jpg?v=1719554320&amp;width=1200</t>
    </r>
    <r>
      <rPr/>
      <t xml:space="preserve">, </t>
    </r>
    <r>
      <rPr>
        <color rgb="FF1155CC"/>
        <u/>
      </rPr>
      <t>https://aqualogica.in/cdn/shop/files/4_3618ed3f-79b0-4b43-b6b8-5db848ebd81f.jpg?v=1719554320&amp;width=1200</t>
    </r>
  </si>
  <si>
    <t>Roopsee-F-CL-28</t>
  </si>
  <si>
    <t>Aqualogica Glow+ Smoothie Face Wash with Papaya &amp; Vitamin C</t>
  </si>
  <si>
    <t>Papaya Extract, Aloe Vera</t>
  </si>
  <si>
    <t>A smoothie-texture face wash with Vitamin C, Papaya, Hyaluronic Acid and Glycerin that deeply cleanses while brightening and hydrating skin.</t>
  </si>
  <si>
    <t>Aqua, Glycerin, Sodium Lauroyl Sarcosinate, Vitamin C, Carica Papaya Fruit Extract, Sodium Hyaluronate, Sodium Ascorbyl Phosphate, 3-O-Ethyl Ascorbic Acid, Tocopheryl Acetate, Panthenol, Allantoin, Fragrance, Cocamidopropyl Betaine, Decyl Glucoside, Acrylates Copolymer, Sodium Chloride, Citric Acid, Disodium EDTA, Phenoxyethanol, Ethylhexylglycerin</t>
  </si>
  <si>
    <r>
      <rPr>
        <color rgb="FF1155CC"/>
        <u/>
      </rPr>
      <t>https://aqualogica.in/cdn/shop/files/2a.jpg?v=1702973615&amp;width=1200</t>
    </r>
    <r>
      <rPr/>
      <t xml:space="preserve">, </t>
    </r>
    <r>
      <rPr>
        <color rgb="FF1155CC"/>
        <u/>
      </rPr>
      <t>https://aqualogica.in/cdn/shop/files/1_a273ebe9-3a78-4e12-a699-f8ce3e62b6c6.jpg?v=1702973669&amp;width=1200</t>
    </r>
    <r>
      <rPr/>
      <t xml:space="preserve">, </t>
    </r>
    <r>
      <rPr>
        <color rgb="FF1155CC"/>
        <u/>
      </rPr>
      <t>https://aqualogica.in/cdn/shop/files/2_74bb46c0-7b29-4b70-b76e-d52c65d7e7dc.jpg?v=1702973669&amp;width=1200</t>
    </r>
    <r>
      <rPr/>
      <t xml:space="preserve">, </t>
    </r>
    <r>
      <rPr>
        <color rgb="FF1155CC"/>
        <u/>
      </rPr>
      <t>https://aqualogica.in/cdn/shop/files/3_c5b51b29-c6b9-4667-8548-3d9754ffe15d.jpg?v=1702973563&amp;width=1200</t>
    </r>
    <r>
      <rPr/>
      <t xml:space="preserve">, </t>
    </r>
    <r>
      <rPr>
        <color rgb="FF1155CC"/>
        <u/>
      </rPr>
      <t>https://aqualogica.in/cdn/shop/files/4_1cf3b69a-53a4-4053-a725-c1e721f83569.jpg?v=1702973563&amp;width=1200</t>
    </r>
  </si>
  <si>
    <t>Roopsee-F-CL-29</t>
  </si>
  <si>
    <t>Aqualogica Hydrate+ Smoothie Face Wash with Coconut Water &amp; Hyaluronic Acid</t>
  </si>
  <si>
    <t>Coconut Water, Aloe Vera</t>
  </si>
  <si>
    <t>A gentle Hydrate+ smoothie face wash with Coconut Water and Hyaluronic Acid that cleanses without stripping moisture and leaves skin soft and hydrated.</t>
  </si>
  <si>
    <t>Aqua, Glycerin, Sodium Lauroyl Sarcosinate, Sodium Hyaluronate, Aloe Barbadensis Leaf Juice, Panthenol, Allantoin, Fragrance, Cocamidopropyl Betaine, Decyl Glucoside, Acrylates Copolymer, Sodium Chloride, Citric Acid, Disodium EDTA, Phenoxyethanol, Ethylhexylglycerin</t>
  </si>
  <si>
    <r>
      <rPr>
        <color rgb="FF1155CC"/>
        <u/>
      </rPr>
      <t>https://aqualogica.in/cdn/shop/files/Hydrate_-facewash.jpg?v=1709290628&amp;width=1200</t>
    </r>
    <r>
      <rPr/>
      <t xml:space="preserve">, </t>
    </r>
    <r>
      <rPr>
        <color rgb="FF1155CC"/>
        <u/>
      </rPr>
      <t>https://aqualogica.in/cdn/shop/files/Hydrate_SmoothieFaceWash100ml.jpg?v=1709290628&amp;width=1000</t>
    </r>
    <r>
      <rPr/>
      <t xml:space="preserve">, </t>
    </r>
    <r>
      <rPr>
        <color rgb="FF1155CC"/>
        <u/>
      </rPr>
      <t>https://aqualogica.in/cdn/shop/files/1_9378994c-29e4-4042-8fe9-1cd55c7318c5.jpg?v=1709290624&amp;width=1200</t>
    </r>
    <r>
      <rPr/>
      <t xml:space="preserve">, </t>
    </r>
    <r>
      <rPr>
        <color rgb="FF1155CC"/>
        <u/>
      </rPr>
      <t>https://aqualogica.in/cdn/shop/files/2_f7c876e3-b129-4839-a971-18a06f343874.jpg?v=1709290624&amp;width=1200</t>
    </r>
    <r>
      <rPr/>
      <t xml:space="preserve">, </t>
    </r>
    <r>
      <rPr>
        <color rgb="FF1155CC"/>
        <u/>
      </rPr>
      <t>https://aqualogica.in/cdn/shop/files/3_701235a6-42db-450d-aff8-25107cffcd65.jpg?v=1709290624&amp;width=1200</t>
    </r>
  </si>
  <si>
    <t>Roopsee-F-CL-30</t>
  </si>
  <si>
    <t>Aqualogica Radiance+ Smoothie Face Wash with Watermelon &amp; Niacinamide</t>
  </si>
  <si>
    <t>Watermelon Extract, Aloe Vera</t>
  </si>
  <si>
    <t>A Radiance+ smoothie face wash with Watermelon and Niacinamide that cleanses, helps reduce blemishes and keeps skin fresh, clear and oil-free.</t>
  </si>
  <si>
    <t>Aqua, Glycerin, Sodium Lauroyl Sarcosinate, Citrullus Lanatus (Watermelon) Fruit Extract, Niacinamide, Sodium Hyaluronate, Panthenol, Allantoin, Fragrance, Cocamidopropyl Betaine, Decyl Glucoside, Acrylates Copolymer, Sodium Chloride, Citric Acid, Disodium EDTA, Phenoxyethanol, Ethylhexylglycerin</t>
  </si>
  <si>
    <t>Ingredient caution: niacinamide is usually gentle but might cause tingling or flushing in very reactive skin; fragrance, essential oils or fragrance allergens might trigger redness, itching or allergic irritation; cleansing surfactants might cause dryness, stinging or tightness if overused; preservatives such as phenoxyethanol/benzyl alcohol might sting very sensitive or compromised skin. Do a patch test before applying. Start slowly if your skin is sensitive and avoid combining too many new actives at once. Avoid this product if you have fragrance allergy, eczema-prone skin or a damaged barrier. Use lukewarm water, do not scrub, and follow with moisturiser. Do not apply on broken, freshly waxed or irritated skin. Stop use if irritation persists.</t>
  </si>
  <si>
    <r>
      <rPr>
        <color rgb="FF1155CC"/>
        <u/>
      </rPr>
      <t>https://aqualogica.in/cdn/shop/files/1_2e1f8699-985a-4264-9ebe-d63252fcfb91.jpg?v=1702031696&amp;width=1200</t>
    </r>
    <r>
      <rPr/>
      <t xml:space="preserve">, </t>
    </r>
    <r>
      <rPr>
        <color rgb="FF1155CC"/>
        <u/>
      </rPr>
      <t>https://aqualogica.in/cdn/shop/files/2_049aada9-68a4-40e6-930e-b97518bb8ff7.jpg?v=1702031696&amp;width=1201</t>
    </r>
    <r>
      <rPr/>
      <t xml:space="preserve">, </t>
    </r>
    <r>
      <rPr>
        <color rgb="FF1155CC"/>
        <u/>
      </rPr>
      <t>https://aqualogica.in/cdn/shop/files/3.png?v=1702031696&amp;width=1201</t>
    </r>
    <r>
      <rPr/>
      <t xml:space="preserve">, </t>
    </r>
    <r>
      <rPr>
        <color rgb="FF1155CC"/>
        <u/>
      </rPr>
      <t>https://aqualogica.in/cdn/shop/files/4.png?v=1702031696&amp;width=1201</t>
    </r>
    <r>
      <rPr/>
      <t xml:space="preserve">, </t>
    </r>
    <r>
      <rPr>
        <color rgb="FF1155CC"/>
        <u/>
      </rPr>
      <t>https://aqualogica.in/cdn/shop/files/6_015ff4ba-600a-4380-bfb7-212ed965f05b.jpg?v=1702031696&amp;width=800</t>
    </r>
  </si>
  <si>
    <t>Roopsee-F-CL-31</t>
  </si>
  <si>
    <t>Aqualogica 5 Barrier+ Repair Gentle Cleanser with Avocado &amp; 5 Essential Ceramides</t>
  </si>
  <si>
    <t>Avocado Extract, Aloe Vera</t>
  </si>
  <si>
    <t>A gentle barrier repair cleanser with Avocado, 5 Essential Ceramides and Hyaluronic Acid that cleanses without drying, supports pH balance and strengthens the skin barrier.</t>
  </si>
  <si>
    <t>Aqua, Glycerin, Sodium Lauroyl Sarcosinate, Persea Gratissima (Avocado) Fruit Extract, 5 Essential Ceramides, Sodium Hyaluronate, Ceramide NP, Ceramide AP, Ceramide EOP, Cholesterol, Phytosphingosine, Panthenol, Allantoin, Fragrance, Cocamidopropyl Betaine, Decyl Glucoside, Acrylates Copolymer, Sodium Chloride, Citric Acid, Disodium EDTA, Phenoxyethanol, Ethylhexylglycerin</t>
  </si>
  <si>
    <r>
      <rPr>
        <color rgb="FF1155CC"/>
        <u/>
      </rPr>
      <t>https://aqualogica.in/cdn/shop/files/shoot_e4d357f4-6628-4911-a7b8-589da9c91e4c.jpg?v=1710915543&amp;width=1200</t>
    </r>
    <r>
      <rPr/>
      <t xml:space="preserve">, </t>
    </r>
    <r>
      <rPr>
        <color rgb="FF1155CC"/>
        <u/>
      </rPr>
      <t>https://aqualogica.in/cdn/shop/files/1_2dab98db-428d-46d5-a748-595eed085961.jpg?v=1710915544&amp;width=1200</t>
    </r>
    <r>
      <rPr/>
      <t xml:space="preserve">, </t>
    </r>
    <r>
      <rPr>
        <color rgb="FF1155CC"/>
        <u/>
      </rPr>
      <t>https://aqualogica.in/cdn/shop/files/2_d70d5f11-158d-4438-b2c0-923f32b4c1ec.jpg?v=1710915544&amp;width=1200</t>
    </r>
    <r>
      <rPr/>
      <t xml:space="preserve">, </t>
    </r>
    <r>
      <rPr>
        <color rgb="FF1155CC"/>
        <u/>
      </rPr>
      <t>https://aqualogica.in/cdn/shop/files/3_ea343bb7-83f9-446e-9113-36c821b03cb0.jpg?v=1710915543&amp;width=1200</t>
    </r>
    <r>
      <rPr/>
      <t xml:space="preserve">, </t>
    </r>
    <r>
      <rPr>
        <color rgb="FF1155CC"/>
        <u/>
      </rPr>
      <t>https://aqualogica.in/cdn/shop/files/Before_AfterEcom.jpg?v=1710915544&amp;width=1200</t>
    </r>
  </si>
  <si>
    <t>Roopsee-F-TO-11</t>
  </si>
  <si>
    <t>Aqualogica Hydrate+ Refresh Toning Mist with Coconut Water &amp; Hyaluronic Acid</t>
  </si>
  <si>
    <t>A refreshing Hydrate+ toning mist made with Coconut Water and Hyaluronic Acid for quick hydration on the go.</t>
  </si>
  <si>
    <t>Aqua, Glycerin, Butylene Glycol, Sodium Hyaluronate, Panthenol, Allantoin, Fragrance, Betaine, Propanediol, Disodium EDTA, Phenoxyethanol, Ethylhexylglycerin</t>
  </si>
  <si>
    <r>
      <rPr>
        <color rgb="FF1155CC"/>
        <u/>
      </rPr>
      <t>https://aqualogica.in/cdn/shop/products/hydrate_refresh_toning_mist_100_ml.jpg?v=1701692124&amp;width=2850</t>
    </r>
    <r>
      <rPr/>
      <t xml:space="preserve">, </t>
    </r>
    <r>
      <rPr>
        <color rgb="FF1155CC"/>
        <u/>
      </rPr>
      <t>https://aqualogica.in/cdn/shop/products/hydrate_toning-mist.jpg?v=1701692124&amp;width=1200</t>
    </r>
    <r>
      <rPr/>
      <t xml:space="preserve">, </t>
    </r>
    <r>
      <rPr>
        <color rgb="FF1155CC"/>
        <u/>
      </rPr>
      <t>https://aqualogica.in/cdn/shop/products/hydrate_-refresh-toning-mist-02.jpg?v=1701692124&amp;width=800</t>
    </r>
    <r>
      <rPr/>
      <t xml:space="preserve">, </t>
    </r>
    <r>
      <rPr>
        <color rgb="FF1155CC"/>
        <u/>
      </rPr>
      <t>https://aqualogica.in/cdn/shop/products/hydrate_-refresh-toning-mist-03.jpg?v=1701692124&amp;width=800</t>
    </r>
    <r>
      <rPr/>
      <t xml:space="preserve">, </t>
    </r>
    <r>
      <rPr>
        <color rgb="FF1155CC"/>
        <u/>
      </rPr>
      <t>https://aqualogica.in/cdn/shop/products/hydrate_-refresh-toning-mist-04.jpg?v=1701692124&amp;width=800</t>
    </r>
  </si>
  <si>
    <t>Roopsee-F-MO-32</t>
  </si>
  <si>
    <t>Aqualogica Glow+ Oil Free Moisturizer with Papaya &amp; Vitamin C</t>
  </si>
  <si>
    <t>A lightweight oil-free moisturizer with Papaya and Vitamin C that hydrates without greasiness and helps brighten dull, uneven-looking skin.</t>
  </si>
  <si>
    <t>Ingredient caution: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rich oils, butters or occlusive emollients might feel heavy or clog pores in acne-prone/oily skin. Do a patch test before applying.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Use a small amount first and avoid applying on active acne if it feels greasy. Stop use if irritation persists.</t>
  </si>
  <si>
    <r>
      <rPr>
        <color rgb="FF1155CC"/>
        <u/>
      </rPr>
      <t>https://aqualogica.in/cdn/shop/files/7_9fe53e0d-c9a7-40bb-a383-31e0613ea814.jpg?v=1720416818&amp;width=1200</t>
    </r>
    <r>
      <rPr/>
      <t xml:space="preserve">, </t>
    </r>
    <r>
      <rPr>
        <color rgb="FF1155CC"/>
        <u/>
      </rPr>
      <t>https://aqualogica.in/cdn/shop/files/GLOW_OFM_73f41926-ddae-4fb2-836c-5a93b9705c25.jpg?v=1720416818&amp;width=1200</t>
    </r>
    <r>
      <rPr/>
      <t xml:space="preserve">, </t>
    </r>
    <r>
      <rPr>
        <color rgb="FF1155CC"/>
        <u/>
      </rPr>
      <t>https://aqualogica.in/cdn/shop/files/Glow_OFM_packaging_9448fe9b-700d-458c-9479-3116b5f323e0.jpg?v=1720416818&amp;width=1200</t>
    </r>
    <r>
      <rPr/>
      <t xml:space="preserve">, </t>
    </r>
    <r>
      <rPr>
        <color rgb="FF1155CC"/>
        <u/>
      </rPr>
      <t>https://aqualogica.in/cdn/shop/files/1_b4a20a6c-6bb1-443b-a4dd-f869fc6c4415.jpg?v=1720416818&amp;width=1200</t>
    </r>
    <r>
      <rPr/>
      <t xml:space="preserve">, </t>
    </r>
    <r>
      <rPr>
        <color rgb="FF1155CC"/>
        <u/>
      </rPr>
      <t>https://aqualogica.in/cdn/shop/files/2_e5eb674c-de9b-43f7-9152-fceb125ba6d3.jpg?v=1720416818&amp;width=1200</t>
    </r>
  </si>
  <si>
    <t>Roopsee-F-MO-33</t>
  </si>
  <si>
    <t>Aqualogica Radiance+ JellO Moisturizer</t>
  </si>
  <si>
    <t>Watermelon Extract, Hyaluronic Acid</t>
  </si>
  <si>
    <t>A Radiance+ jello moisturizer with Watermelon, Niacinamide and Hyaluronic Acid that hydrates, supports radiance and helps keep skin fresh.</t>
  </si>
  <si>
    <t>Aqua, Glycerin, Caprylic/Capric Triglyceride, Citrullus Lanatus (Watermelon) Fruit Extract, Niacinamide, Sodium Hyaluronate, Panthenol, Allantoin, Fragrance, Cetearyl Alcohol, Glyceryl Stearate, Butyrospermum Parkii (Shea) Butter, Dimethicone, Carbomer, Sodium Hydroxide, Disodium EDTA, Phenoxyethanol, Ethylhexylglycerin</t>
  </si>
  <si>
    <r>
      <rPr>
        <color rgb="FF1155CC"/>
        <u/>
      </rPr>
      <t>https://aqualogica.in/cdn/shop/products/02290b-2ab6-46-b3ce-22c58aabad__20_a.jpg?v=1701345778&amp;width=300</t>
    </r>
    <r>
      <rPr/>
      <t xml:space="preserve">, </t>
    </r>
    <r>
      <rPr>
        <color rgb="FF1155CC"/>
        <u/>
      </rPr>
      <t>https://aqualogica.in/cdn/shop/products/radiance_-jello-moisturizer.jpg?v=1702031274&amp;width=300</t>
    </r>
    <r>
      <rPr/>
      <t xml:space="preserve">, </t>
    </r>
    <r>
      <rPr>
        <color rgb="FF1155CC"/>
        <u/>
      </rPr>
      <t>https://aqualogica.in/cdn/shop/products/radiance-jello-moisturizer-01.jpg?v=1702031274&amp;width=300</t>
    </r>
    <r>
      <rPr/>
      <t xml:space="preserve">, </t>
    </r>
    <r>
      <rPr>
        <color rgb="FF1155CC"/>
        <u/>
      </rPr>
      <t>https://aqualogica.in/cdn/shop/products/radiance-jello-moisturizer-02.jpg?v=1702031274&amp;width=300</t>
    </r>
    <r>
      <rPr/>
      <t xml:space="preserve">, </t>
    </r>
    <r>
      <rPr>
        <color rgb="FF1155CC"/>
        <u/>
      </rPr>
      <t>https://aqualogica.in/cdn/shop/products/radiance-jello-moisturizer-03.jpg?v=1702031274&amp;width=300</t>
    </r>
  </si>
  <si>
    <t>Roopsee-F-SU-28</t>
  </si>
  <si>
    <t>Aqualogica Radiance+ Water Light Fluid Sunscreen</t>
  </si>
  <si>
    <t>25ml</t>
  </si>
  <si>
    <t>Watermelon Extract, SPF UV Filters</t>
  </si>
  <si>
    <t>An ultra-light fluid sunscreen with SPF 50+ PA++++, new-age filters and 2% Nia-Hyaluron Complex to protect oily skin, control excess oil and support a radiant finish.</t>
  </si>
  <si>
    <t>2% Nia-Hyaluron Complex, Niacinamide, Hyaluronic Acid, New-Age UV Filters, Uvinul A Plus, Uvinul T 150</t>
  </si>
  <si>
    <r>
      <rPr>
        <color rgb="FF1155CC"/>
        <u/>
      </rPr>
      <t>https://aqualogica.in/cdn/shop/files/FOP_94895e81-60b1-42bc-9029-9252b2b5d75b.jpg?v=1775046402&amp;width=300</t>
    </r>
    <r>
      <rPr/>
      <t xml:space="preserve">, </t>
    </r>
    <r>
      <rPr>
        <color rgb="FF1155CC"/>
        <u/>
      </rPr>
      <t>https://aqualogica.in/cdn/shop/files/1_afc3fb10-dfd3-441d-ab23-0e484a1b3341.jpg?v=1775046402&amp;width=300</t>
    </r>
    <r>
      <rPr/>
      <t xml:space="preserve">, </t>
    </r>
    <r>
      <rPr>
        <color rgb="FF1155CC"/>
        <u/>
      </rPr>
      <t>https://aqualogica.in/cdn/shop/files/2_6fb047b0-6bf3-49b4-8c44-1599f347a04e.jpg?v=1775046402&amp;width=300</t>
    </r>
    <r>
      <rPr/>
      <t xml:space="preserve">, </t>
    </r>
    <r>
      <rPr>
        <color rgb="FF1155CC"/>
        <u/>
      </rPr>
      <t>https://aqualogica.in/cdn/shop/files/3_3c591a93-1c47-432f-b97a-2fcd161a2da1.jpg?v=1775046402&amp;width=300</t>
    </r>
    <r>
      <rPr/>
      <t xml:space="preserve">, </t>
    </r>
    <r>
      <rPr>
        <color rgb="FF1155CC"/>
        <u/>
      </rPr>
      <t>https://aqualogica.in/cdn/shop/files/4_7caad3a4-3f31-452e-85e9-6a7a81e89e58.jpg?v=1775046402&amp;width=300</t>
    </r>
  </si>
  <si>
    <t>Roopsee-F-MO-34</t>
  </si>
  <si>
    <t>Aqualogica Glow+ JellO Moisturizer</t>
  </si>
  <si>
    <t>A Glow+ jello moisturizer with Papaya, Vitamin C and Hyaluronic Acid to hydrate, brighten and leave skin with a dewy glow.</t>
  </si>
  <si>
    <r>
      <rPr>
        <color rgb="FF1155CC"/>
        <u/>
      </rPr>
      <t>https://aqualogica.in/cdn/shop/products/46a72227-5da8-4ae6-86a8-5d82d045555__20_a.jpg?v=1701345884&amp;width=300</t>
    </r>
    <r>
      <rPr/>
      <t xml:space="preserve">, </t>
    </r>
    <r>
      <rPr>
        <color rgb="FF1155CC"/>
        <u/>
      </rPr>
      <t>https://aqualogica.in/cdn/shop/products/jello-gel-moisturizer-02.jpg?v=1701345884&amp;width=300</t>
    </r>
    <r>
      <rPr/>
      <t xml:space="preserve">, </t>
    </r>
    <r>
      <rPr>
        <color rgb="FF1155CC"/>
        <u/>
      </rPr>
      <t>https://aqualogica.in/cdn/shop/products/gel-moisturizer-01_1.jpg?v=1701345884&amp;width=300</t>
    </r>
    <r>
      <rPr/>
      <t xml:space="preserve">, </t>
    </r>
    <r>
      <rPr>
        <color rgb="FF1155CC"/>
        <u/>
      </rPr>
      <t>https://aqualogica.in/cdn/shop/products/jello-gel-moisturizer-3.jpg?v=1701345884&amp;width=300</t>
    </r>
    <r>
      <rPr/>
      <t xml:space="preserve">, </t>
    </r>
    <r>
      <rPr>
        <color rgb="FF1155CC"/>
        <u/>
      </rPr>
      <t>https://aqualogica.in/cdn/shop/products/jello-gel-moisturizer-4.jpg?v=1701345879&amp;width=300</t>
    </r>
  </si>
  <si>
    <t>Roopsee-F-MO-35</t>
  </si>
  <si>
    <t>Aqualogica Glow+ Mousse Night Gel</t>
  </si>
  <si>
    <t>O, D, D+S, N, N+S, C+S</t>
  </si>
  <si>
    <t>Dryness, Redness/Irritation, Dehydration, Dullness</t>
  </si>
  <si>
    <t>A lightweight night gel from the Glow+ range with Vitamin C and Papaya Extracts to support brighter, plumper and refreshed-looking skin overnight.</t>
  </si>
  <si>
    <r>
      <rPr>
        <color rgb="FF1155CC"/>
        <u/>
      </rPr>
      <t>https://aqualogica.in/cdn/shop/products/glow_mousse_night_gel_01_1.jpg?v=1701692646&amp;width=800</t>
    </r>
    <r>
      <rPr/>
      <t xml:space="preserve">, </t>
    </r>
    <r>
      <rPr>
        <color rgb="FF1155CC"/>
        <u/>
      </rPr>
      <t>https://aqualogica.in/cdn/shop/products/glow_-mousse-night-gel-50g.jpg?v=1701692646&amp;width=1200</t>
    </r>
    <r>
      <rPr/>
      <t xml:space="preserve">, </t>
    </r>
    <r>
      <rPr>
        <color rgb="FF1155CC"/>
        <u/>
      </rPr>
      <t>https://aqualogica.in/cdn/shop/products/glow_mousse_night_gel_02_1.jpg?v=1701692646&amp;width=800</t>
    </r>
    <r>
      <rPr/>
      <t xml:space="preserve">, </t>
    </r>
    <r>
      <rPr>
        <color rgb="FF1155CC"/>
        <u/>
      </rPr>
      <t>https://aqualogica.in/cdn/shop/products/glow_mousse_night_gel_03.jpg?v=1701692646&amp;width=800</t>
    </r>
    <r>
      <rPr/>
      <t xml:space="preserve">, </t>
    </r>
    <r>
      <rPr>
        <color rgb="FF1155CC"/>
        <u/>
      </rPr>
      <t>https://aqualogica.in/cdn/shop/products/glow_mousse_night_gel_04.jpg?v=1701692646&amp;width=800</t>
    </r>
  </si>
  <si>
    <t>Roopsee-F-MO-36</t>
  </si>
  <si>
    <t>Aqualogica Radiance+ Oil Free Moisturizer with Watermelon &amp; Niacinamide</t>
  </si>
  <si>
    <t>A Radiance+ oil-free moisturizer with Watermelon and Niacinamide that hydrates while supporting radiant, balanced and non-greasy skin.</t>
  </si>
  <si>
    <r>
      <rPr>
        <color rgb="FF1155CC"/>
        <u/>
      </rPr>
      <t>https://aqualogica.in/cdn/shop/files/shoot_36865947-ed18-4078-a052-39278e84825c.jpg?v=1723098766&amp;width=300</t>
    </r>
    <r>
      <rPr/>
      <t xml:space="preserve">, </t>
    </r>
    <r>
      <rPr>
        <color rgb="FF1155CC"/>
        <u/>
      </rPr>
      <t>https://aqualogica.in/cdn/shop/files/Radiance_OFM.jpg?v=1723098766&amp;width=300</t>
    </r>
    <r>
      <rPr/>
      <t xml:space="preserve">, </t>
    </r>
    <r>
      <rPr>
        <color rgb="FF1155CC"/>
        <u/>
      </rPr>
      <t>https://aqualogica.in/cdn/shop/files/Radiance__OFM_1.jpg?v=1723098766&amp;width=300</t>
    </r>
    <r>
      <rPr/>
      <t xml:space="preserve">, </t>
    </r>
    <r>
      <rPr>
        <color rgb="FF1155CC"/>
        <u/>
      </rPr>
      <t>https://aqualogica.in/cdn/shop/files/1_935cd214-702b-4d95-bab6-7139ed79884f.jpg?v=1723098767&amp;width=300</t>
    </r>
    <r>
      <rPr/>
      <t xml:space="preserve">, </t>
    </r>
    <r>
      <rPr>
        <color rgb="FF1155CC"/>
        <u/>
      </rPr>
      <t>https://aqualogica.in/cdn/shop/files/3_69671246-7718-46c2-bad1-6b293ed53eaf.jpg?v=1723098767&amp;width=300</t>
    </r>
  </si>
  <si>
    <t>Roopsee-F-MO-37</t>
  </si>
  <si>
    <t>Aqualogica Glow+ Milk Fluid Moisturizer with Vitamin C &amp; Papaya</t>
  </si>
  <si>
    <t>70ml</t>
  </si>
  <si>
    <t>A lightweight milk-fluid moisturizer with Vitamin C and Papaya that hydrates, brightens and smooths skin without feeling heavy.</t>
  </si>
  <si>
    <r>
      <rPr>
        <color rgb="FF1155CC"/>
        <u/>
      </rPr>
      <t>https://aqualogica.in/cdn/shop/files/Photoshoot.jpg?v=1727948221&amp;width=300</t>
    </r>
    <r>
      <rPr/>
      <t xml:space="preserve">, </t>
    </r>
    <r>
      <rPr>
        <color rgb="FF1155CC"/>
        <u/>
      </rPr>
      <t>https://aqualogica.in/cdn/shop/files/FOP_8f72b840-0673-4e04-b078-f03d9434763c.jpg?v=1727948221&amp;width=300</t>
    </r>
    <r>
      <rPr/>
      <t xml:space="preserve">, </t>
    </r>
    <r>
      <rPr>
        <color rgb="FF1155CC"/>
        <u/>
      </rPr>
      <t>https://aqualogica.in/cdn/shop/files/2_bd86df52-4480-4efd-b45d-ee4eaa4beb63.jpg?v=1727948221&amp;width=300</t>
    </r>
    <r>
      <rPr/>
      <t xml:space="preserve">, </t>
    </r>
    <r>
      <rPr>
        <color rgb="FF1155CC"/>
        <u/>
      </rPr>
      <t>https://aqualogica.in/cdn/shop/files/3_82488752-9576-41e1-b785-e9e89e911cf5.jpg?v=1727948221&amp;width=300</t>
    </r>
    <r>
      <rPr/>
      <t xml:space="preserve">, </t>
    </r>
    <r>
      <rPr>
        <color rgb="FF1155CC"/>
        <u/>
      </rPr>
      <t>https://aqualogica.in/cdn/shop/files/5_479e431e-4fa3-46f4-8737-206157996aa4.jpg?v=1727948221&amp;width=300</t>
    </r>
  </si>
  <si>
    <t>Roopsee-F-MO-38</t>
  </si>
  <si>
    <t>Aqualogica 5 Barrier+ Milk Fluid Moisturizer</t>
  </si>
  <si>
    <t>A 5 Barrier+ milk-fluid moisturizer with Avocado and 5 Essential Ceramides to support skin barrier repair, hydration and smoother-looking skin.</t>
  </si>
  <si>
    <r>
      <rPr>
        <color rgb="FF1155CC"/>
        <u/>
      </rPr>
      <t>https://aqualogica.in/cdn/shop/files/Photoshoot_1dbf28c5-ba93-4b9f-a4cb-3d6db7037fa7.jpg?v=1728020726&amp;width=300</t>
    </r>
    <r>
      <rPr/>
      <t xml:space="preserve">, </t>
    </r>
    <r>
      <rPr>
        <color rgb="FF1155CC"/>
        <u/>
      </rPr>
      <t>https://aqualogica.in/cdn/shop/files/FOP_496000b2-968b-47a5-b3d6-ac9809e84440.jpg?v=1728020725&amp;width=300</t>
    </r>
    <r>
      <rPr/>
      <t xml:space="preserve">, </t>
    </r>
    <r>
      <rPr>
        <color rgb="FF1155CC"/>
        <u/>
      </rPr>
      <t>https://aqualogica.in/cdn/shop/files/2_a9368393-c965-43b7-9fd8-6fa8c5d26740.jpg?v=1728020725&amp;width=300</t>
    </r>
    <r>
      <rPr/>
      <t xml:space="preserve">, </t>
    </r>
    <r>
      <rPr>
        <color rgb="FF1155CC"/>
        <u/>
      </rPr>
      <t>https://aqualogica.in/cdn/shop/files/3_7a2e29a3-e94c-4756-a963-4dc95dfa6373.jpg?v=1728020725&amp;width=300</t>
    </r>
    <r>
      <rPr/>
      <t xml:space="preserve">, </t>
    </r>
    <r>
      <rPr>
        <color rgb="FF1155CC"/>
        <u/>
      </rPr>
      <t>https://aqualogica.in/cdn/shop/files/4_d003c5cc-d748-437b-a4f8-2df151ce99b0.jpg?v=1728020725&amp;width=300</t>
    </r>
  </si>
  <si>
    <t>Roopsee-B-LO-12</t>
  </si>
  <si>
    <t>Aqualogica Radiance+ Silky Body Lotion with Watermelon &amp; Niacinamide</t>
  </si>
  <si>
    <t>A Radiance+ silky body lotion with Watermelon and Niacinamide to moisturize, soften and support radiant-looking body skin.</t>
  </si>
  <si>
    <t>Aqua, Glycerin, Caprylic/Capric Triglyceride, Citrullus Lanatus (Watermelon) Fruit Extract, Niacinamide, Sodium Hyaluronate, Panthenol, Allantoin, Fragrance, Cetearyl Alcohol, Glyceryl Stearate, Dimethicone, Carbomer, Disodium EDTA, Phenoxyethanol, Ethylhexylglycerin</t>
  </si>
  <si>
    <r>
      <rPr>
        <color rgb="FF1155CC"/>
        <u/>
      </rPr>
      <t>https://aqualogica.in/cdn/shop/files/Shoot_64edc2f4-9053-4345-80eb-3bf0830f4792.jpg?v=1714456556&amp;width=1200</t>
    </r>
    <r>
      <rPr/>
      <t xml:space="preserve">, </t>
    </r>
    <r>
      <rPr>
        <color rgb="FF1155CC"/>
        <u/>
      </rPr>
      <t>https://aqualogica.in/cdn/shop/files/1_23a8cd82-081c-4f7a-8383-15b43bbed2a1.jpg?v=1714456556&amp;width=1200</t>
    </r>
    <r>
      <rPr/>
      <t xml:space="preserve">, </t>
    </r>
    <r>
      <rPr>
        <color rgb="FF1155CC"/>
        <u/>
      </rPr>
      <t>https://aqualogica.in/cdn/shop/files/3_f53321e3-4484-4d8e-9d62-88f17c0e7963.jpg?v=1714456557&amp;width=1200</t>
    </r>
    <r>
      <rPr/>
      <t xml:space="preserve">, </t>
    </r>
    <r>
      <rPr>
        <color rgb="FF1155CC"/>
        <u/>
      </rPr>
      <t>https://aqualogica.in/cdn/shop/files/3-1_7f0970eb-65a9-4756-9a60-768988ce8658.jpg?v=1714456556&amp;width=1200</t>
    </r>
    <r>
      <rPr/>
      <t xml:space="preserve">, </t>
    </r>
    <r>
      <rPr>
        <color rgb="FF1155CC"/>
        <u/>
      </rPr>
      <t>https://aqualogica.in/cdn/shop/files/5_d67d4e23-599b-4e27-b89a-50f014ad6ee2.jpg?v=1714456556&amp;width=1200</t>
    </r>
  </si>
  <si>
    <t>Roopsee-F-SE-59</t>
  </si>
  <si>
    <t>Aqualogica Glow+ 30X Vitamin C Hydrating Essence Serum</t>
  </si>
  <si>
    <t>Vitamin C (30X)</t>
  </si>
  <si>
    <t>A Glow+ hydrating essence serum powered by 30X Vitamin C to enhance skin’s natural radiance and give a fresh, glowing look.</t>
  </si>
  <si>
    <t>Aqua, Glycerin, Butylene Glycol, 30X Vitamin C, Sodium Hyaluronate, Carica Papaya Fruit Extract, Sodium Ascorbyl Phosphate, 3-O-Ethyl Ascorbic Acid, Tocopheryl Acetate, Panthenol, Allantoin, Fragrance, Propanediol, Methylpropanediol, Hydroxyethylcellulose, Xanthan Gum, Disodium EDTA, Phenoxyethanol, Ethylhexylglycerin</t>
  </si>
  <si>
    <t>Ingredient caution: vitamin C/ascorbic derivatives might cause tingling, redness or irritation in sensitive skin; fragrance, essential oils or fragrance allergens might trigger redness, itching or allergic irritation;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Avoid this product if you have fragrance allergy, eczema-prone skin or a damaged barrier. Do not apply on broken, freshly waxed or irritated skin. Apply on slightly damp skin and follow with moisturiser if dryness occurs. Stop use if irritation persists.</t>
  </si>
  <si>
    <r>
      <rPr>
        <color rgb="FF1155CC"/>
        <u/>
      </rPr>
      <t>https://aqualogica.in/cdn/shop/files/COLOUREDBG.jpg?v=1719215342&amp;width=300</t>
    </r>
    <r>
      <rPr/>
      <t xml:space="preserve">, </t>
    </r>
    <r>
      <rPr>
        <color rgb="FF1155CC"/>
        <u/>
      </rPr>
      <t>https://aqualogica.in/cdn/shop/files/WhiteBg_26a070b6-b902-4813-8273-ab9df801699c.jpg?v=1719215342&amp;width=300</t>
    </r>
    <r>
      <rPr/>
      <t xml:space="preserve">, </t>
    </r>
    <r>
      <rPr>
        <color rgb="FF1155CC"/>
        <u/>
      </rPr>
      <t>https://aqualogica.in/cdn/shop/files/1_7e94ee72-4441-4ac8-b0a3-596d87e89d2c.jpg?v=1719215342&amp;width=300</t>
    </r>
    <r>
      <rPr/>
      <t xml:space="preserve">, </t>
    </r>
    <r>
      <rPr>
        <color rgb="FF1155CC"/>
        <u/>
      </rPr>
      <t>https://aqualogica.in/cdn/shop/files/2_5fc1d397-6a5e-4265-8f99-5169a8316133.jpg?v=1719215342&amp;width=300</t>
    </r>
    <r>
      <rPr/>
      <t xml:space="preserve">, </t>
    </r>
    <r>
      <rPr>
        <color rgb="FF1155CC"/>
        <u/>
      </rPr>
      <t>https://aqualogica.in/cdn/shop/files/3_078934b2-cc1a-465c-b093-988dbfca593b.jpg?v=1719215342&amp;width=300</t>
    </r>
  </si>
  <si>
    <t>Roopsee-F-SU-29</t>
  </si>
  <si>
    <t>Aqualogica Detan+ Dewy Gel Sunscreen SPF 50+ PA++++ with Kojic-Hyaluron Complex &amp; Wild Berries</t>
  </si>
  <si>
    <t>Dark Spots/Pigmentation, Tanning</t>
  </si>
  <si>
    <t>Kojic Acid</t>
  </si>
  <si>
    <t>Hyaluronic Acid, Wild Berries, SPF 50+ UV Filters</t>
  </si>
  <si>
    <t>A Detan+ dewy gel sunscreen with SPF 50+ PA++++, 2% Kojic-Hyaluron Complex and Wild Berries to protect skin while helping with tan and dullness.</t>
  </si>
  <si>
    <t>Aqua, Glycerin, C12-15 Alkyl Benzoate, 2% Kojic-Hyaluron Complex, Wild Berries, Cherry Tomato Extract, Ethylhexyl Triazone, Bis-Ethylhexyloxyphenol Methoxyphenyl Triazine, Diethylamino Hydroxybenzoyl Hexyl Benzoate, Kojic Acid Dipalmitate, Alpha-Arbutin, Tranexamic Acid, Licorice Root Extract, Fragrance, Caprylic/Capric Triglyceride, Ethylhexyl Methoxycinnamate, Butyl Methoxydibenzoylmethane, Titanium Dioxide, Zinc Oxide, Silica, Carbomer, Triethanolamine, Disodium EDTA, Phenoxyethanol, Ethylhexylglycerin</t>
  </si>
  <si>
    <t>Ingredient caution: alpha arbutin, kojic acid, licorice extract, tranexamic acid might cause tingling, dryness or redness in sensitive skin; fragrance, essential oils or fragrance allergens might trigger redness, itching or allergic irritation; UV filters might sting around the eyes or irritate very sensitive skin; preservatives such as phenoxyethanol/benzyl alcohol might sting very sensitive or compromised skin. Do a patch test before applying. First-time users should start 3–4 times a week and pair with sunscreen, because pigmentation care works best with UV protection. Avoid this product if you have fragrance allergy, eczema-prone skin or a damaged barrier. Patch test near the jawline first, avoid the eye corners, and remove gently at night. Do not apply on broken, freshly waxed or irritated skin. Stop use if irritation persists.</t>
  </si>
  <si>
    <r>
      <rPr>
        <color rgb="FF1155CC"/>
        <u/>
      </rPr>
      <t>https://aqualogica.in/cdn/shop/files/FOPwhiteBG_6b2fdef9-dd59-44b6-9695-2cc87e2e139b.jpg?v=1777971908&amp;width=1500</t>
    </r>
    <r>
      <rPr/>
      <t xml:space="preserve">, </t>
    </r>
    <r>
      <rPr>
        <color rgb="FF1155CC"/>
        <u/>
      </rPr>
      <t>https://aqualogica.in/cdn/shop/files/1_33627636-a283-4ca5-8269-f8bd73c7a5f4.jpg?v=1777971908&amp;width=1500</t>
    </r>
    <r>
      <rPr/>
      <t xml:space="preserve">, </t>
    </r>
    <r>
      <rPr>
        <color rgb="FF1155CC"/>
        <u/>
      </rPr>
      <t>https://aqualogica.in/cdn/shop/files/2_9a790843-82f9-418a-addd-8b1c5ba5a54a.jpg?v=1777971908&amp;width=1500</t>
    </r>
    <r>
      <rPr/>
      <t xml:space="preserve">, </t>
    </r>
    <r>
      <rPr>
        <color rgb="FF1155CC"/>
        <u/>
      </rPr>
      <t>https://aqualogica.in/cdn/shop/files/3_05d2612a-a3a6-436d-90cb-19778f917d43.jpg?v=1777971908&amp;width=1500</t>
    </r>
    <r>
      <rPr/>
      <t xml:space="preserve">, </t>
    </r>
    <r>
      <rPr>
        <color rgb="FF1155CC"/>
        <u/>
      </rPr>
      <t>https://aqualogica.in/cdn/shop/files/4_cdfdf501-12d0-4300-a1ee-bef5d91dfada.jpg?v=1777971908&amp;width=1500</t>
    </r>
  </si>
  <si>
    <t>Roopsee-F-SU-30</t>
  </si>
  <si>
    <t>Aqualogica Bright+ Makeup-Set Sunscreen Mist SPF 50+ PA++++</t>
  </si>
  <si>
    <t>80ml</t>
  </si>
  <si>
    <t>An ultra-fine makeup-set sunscreen mist with SPF 50+ PA++++ that refreshes, hydrates, sets makeup and protects without a white cast.</t>
  </si>
  <si>
    <t>Aqua, Glycerin, C12-15 Alkyl Benzoate, Vaccinium Angustifolium (Blueberry) Fruit Extract, Kojic Acid, Ethylhexyl Triazone, Bis-Ethylhexyloxyphenol Methoxyphenyl Triazine, Diethylamino Hydroxybenzoyl Hexyl Benzoate, Sodium Ascorbyl Phosphate, 3-O-Ethyl Ascorbic Acid, Tocopheryl Acetate, Kojic Acid Dipalmitate, Alpha-Arbutin, Tranexamic Acid, Licorice Root Extract, Fragrance, Caprylic/Capric Triglyceride, Ethylhexyl Methoxycinnamate, Butyl Methoxydibenzoylmethane, Titanium Dioxide, Zinc Oxide, Silica, Carbomer, Triethanolamine, Disodium EDTA, Phenoxyethanol, Ethylhexylglycerin</t>
  </si>
  <si>
    <t>Ingredient caution: vitamin C/ascorbic derivatives might cause tingling, redness or irritation in sensitive skin; niacinamide is usually gentle but might cause tingling or flushing in very reactive skin; alpha arbutin, kojic acid, licorice extract, tranexamic acid might cause tingling, dryness or redness in sensitive skin; fragrance, essential oils or fragrance allergens might trigger redness, itching or allergic irritation.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Stop use if irritation persists.</t>
  </si>
  <si>
    <r>
      <rPr>
        <color rgb="FF1155CC"/>
        <u/>
      </rPr>
      <t>https://aqualogica.in/cdn/shop/files/Photoshoot_9bf941f9-b04e-4cb2-91cd-a8134e77e64e.jpg?v=1747050989&amp;width=300</t>
    </r>
    <r>
      <rPr/>
      <t xml:space="preserve">, </t>
    </r>
    <r>
      <rPr>
        <color rgb="FF1155CC"/>
        <u/>
      </rPr>
      <t>https://aqualogica.in/cdn/shop/files/FOP_with_Band_6e7e149a-c0cf-4495-ab60-d8212d3ed192.jpg?v=1747050989&amp;width=300</t>
    </r>
    <r>
      <rPr/>
      <t xml:space="preserve">, </t>
    </r>
    <r>
      <rPr>
        <color rgb="FF1155CC"/>
        <u/>
      </rPr>
      <t>https://aqualogica.in/cdn/shop/files/4_a0fd5494-2d55-428a-b769-914c182a3440.jpg?v=1747050989&amp;width=300</t>
    </r>
    <r>
      <rPr/>
      <t xml:space="preserve">, </t>
    </r>
    <r>
      <rPr>
        <color rgb="FF1155CC"/>
        <u/>
      </rPr>
      <t>https://aqualogica.in/cdn/shop/files/3_c7c723b0-d7f5-42f2-8b12-bed34a696136.jpg?v=1747050989&amp;width=300</t>
    </r>
    <r>
      <rPr/>
      <t xml:space="preserve">, </t>
    </r>
    <r>
      <rPr>
        <color rgb="FF1155CC"/>
        <u/>
      </rPr>
      <t>https://aqualogica.in/cdn/shop/files/2_04e2dd7d-fe2e-40f5-a082-370c1340da7d.jpg?v=1747050989&amp;width=300</t>
    </r>
  </si>
  <si>
    <t>Roopsee-F-SU-31</t>
  </si>
  <si>
    <t>Aqualogica 5 Barrier+ Repair Sunscreen SPF 50+ PA++++ with Avocado &amp; 5 Essential Ceramides</t>
  </si>
  <si>
    <t>Avocado Extract, SPF 50+ UV Filters</t>
  </si>
  <si>
    <t>A 5 Barrier+ repair sunscreen with SPF 50+ PA++++, Avocado and 5 Essential Ceramides to protect from UV rays while supporting the skin barrier.</t>
  </si>
  <si>
    <t>Aqua, Glycerin, C12-15 Alkyl Benzoate, Persea Gratissima (Avocado) Fruit Extract, 5 Essential Ceramides, Sodium Hyaluronate, Ethylhexyl Triazone, Bis-Ethylhexyloxyphenol Methoxyphenyl Triazine, Diethylamino Hydroxybenzoyl Hexyl Benzoate, Ceramide NP, Ceramide AP, Ceramide EOP, Cholesterol, Phytosphingosine, Panthenol, Allantoin, Fragrance, Caprylic/Capric Triglyceride, Ethylhexyl Methoxycinnamate, Butyl Methoxydibenzoylmethane, Titanium Dioxide, Zinc Oxide, Silica, Carbomer, Triethanolamine, Disodium EDTA, Phenoxyethanol, Ethylhexylglycerin</t>
  </si>
  <si>
    <r>
      <rPr>
        <color rgb="FF1155CC"/>
        <u/>
      </rPr>
      <t>https://aqualogica.in/cdn/shop/files/shoot_29167885-caa0-4766-8586-e32f3692319b.jpg?v=1730720056&amp;width=300</t>
    </r>
    <r>
      <rPr/>
      <t xml:space="preserve">, </t>
    </r>
    <r>
      <rPr>
        <color rgb="FF1155CC"/>
        <u/>
      </rPr>
      <t>https://aqualogica.in/cdn/shop/files/With_Band_01b6ee57-49ca-44da-82d7-d5522711ed44.jpg?v=1730720057&amp;width=300</t>
    </r>
    <r>
      <rPr/>
      <t xml:space="preserve">, </t>
    </r>
    <r>
      <rPr>
        <color rgb="FF1155CC"/>
        <u/>
      </rPr>
      <t>https://aqualogica.in/cdn/shop/files/1_7d96a62e-8ccc-4613-9a37-5b4ec76f7d79.jpg?v=1730720056&amp;width=300</t>
    </r>
    <r>
      <rPr/>
      <t xml:space="preserve">, </t>
    </r>
    <r>
      <rPr>
        <color rgb="FF1155CC"/>
        <u/>
      </rPr>
      <t>https://aqualogica.in/cdn/shop/files/2_468d6e8c-9629-450d-84ed-c9fa0a322bf1.jpg?v=1730720055&amp;width=300</t>
    </r>
    <r>
      <rPr/>
      <t xml:space="preserve">, </t>
    </r>
    <r>
      <rPr>
        <color rgb="FF1155CC"/>
        <u/>
      </rPr>
      <t>https://aqualogica.in/cdn/shop/files/3_c610ade3-bcb6-4121-88c6-eda1c73b3c0e.jpg?v=1730720056&amp;width=300</t>
    </r>
  </si>
  <si>
    <t>Roopsee-F-SU-32</t>
  </si>
  <si>
    <t>Dr. Sheth's Ceramide &amp; Vitamin C Sunscreen SPF 50+ PA++++</t>
  </si>
  <si>
    <t>Dr. Sheth's</t>
  </si>
  <si>
    <t>O, O+S, D+S, N, N+S, C+S</t>
  </si>
  <si>
    <t>Barrier Repair, Redness/Irritation, Dehydration, Tanning</t>
  </si>
  <si>
    <t>Vitamin C, SPF 50+ UV Filters</t>
  </si>
  <si>
    <t>A broad-spectrum Vitamin C sunscreen with SPF 50+ PA++++ that protects from UVA/UVB damage while supporting brighter, healthier-looking skin and barrier strength.</t>
  </si>
  <si>
    <t>Aqua, Glycerin, C12-15 Alkyl Benzoate, 2% Vitamin C Complex, 1% Ceramide Complex, 1% Hyaluronic Acid, Titanium Dioxide, Zinc Oxide, Ethylhexyl Methoxycinnamate, Butyl Methoxydibenzoylmethane, Ceramide NP, Ceramide AP, Ceramide EOP, Cholesterol, Phytosphingosine, Sodium Ascorbyl Phosphate, 3-O-Ethyl Ascorbic Acid, Tocopheryl Acetate, Sodium Hyaluronate, Panthenol, Allantoin, Fragrance, Caprylic/Capric Triglyceride, Bis-Ethylhexyloxyphenol Methoxyphenyl Triazine, Diethylamino Hydroxybenzoyl Hexyl Benzoate, Silica, Carbomer, Triethanolamine, Disodium EDTA, Phenoxyethanol, Ethylhexylglycerin</t>
  </si>
  <si>
    <t>Ingredient caution: vitamin C/ascorbic derivatives might cause tingling, redness or irritation in sensitive skin; fragrance, essential oils or fragrance allergens might trigger redness, itching or allergic irritation; UV filters might sting around the eyes or irritate very sensitive skin; preservatives such as phenoxyethanol/benzyl alcohol might sting very sensitive or compromised skin. Do a patch test before applying. First-time users should start 3–4 times a week and avoid layering with strong exfoliating acids if the skin stings. Avoid this product if you have fragrance allergy, eczema-prone skin or a damaged barrier. Patch test near the jawline first, avoid the eye corners, and remove gently at night. Do not apply on broken, freshly waxed or irritated skin. Stop use if irritation persists.</t>
  </si>
  <si>
    <r>
      <rPr>
        <color rgb="FF1155CC"/>
        <u/>
      </rPr>
      <t>https://www.drsheths.com/cdn/shop/files/1_67103e0e-11a5-4dcf-8c94-0a486ec46003.jpg?v=1759832627&amp;width=800</t>
    </r>
    <r>
      <rPr/>
      <t xml:space="preserve">, </t>
    </r>
    <r>
      <rPr>
        <color rgb="FF1155CC"/>
        <u/>
      </rPr>
      <t>https://www.drsheths.com/cdn/shop/files/2_BADGE_1_9bdf913a-f653-49f2-adfd-5a71d1477f43.jpg?v=1759832627&amp;width=800</t>
    </r>
    <r>
      <rPr/>
      <t xml:space="preserve">, </t>
    </r>
    <r>
      <rPr>
        <color rgb="FF1155CC"/>
        <u/>
      </rPr>
      <t>https://www.drsheths.com/cdn/shop/files/3_a24154d4-9e05-46a6-bb7b-0d8b6f2fbde9.jpg?v=1759832627&amp;width=800</t>
    </r>
    <r>
      <rPr/>
      <t xml:space="preserve">, </t>
    </r>
    <r>
      <rPr>
        <color rgb="FF1155CC"/>
        <u/>
      </rPr>
      <t>https://www.drsheths.com/cdn/shop/files/9_4e999db4-de78-4b89-b030-62ecd800ee12.jpg?v=1759832627&amp;width=800</t>
    </r>
    <r>
      <rPr/>
      <t xml:space="preserve">, </t>
    </r>
    <r>
      <rPr>
        <color rgb="FF1155CC"/>
        <u/>
      </rPr>
      <t>https://www.drsheths.com/cdn/shop/files/8_2c44ee62-324a-4de3-9ac0-423f5e1b8fd0.jpg?v=1775633981&amp;width=800</t>
    </r>
  </si>
  <si>
    <t>Roopsee-F-SU-33</t>
  </si>
  <si>
    <t>Dr. Sheth's Haldi &amp; Hyaluronic Acid Sunscreen SPF 50+ PA++++</t>
  </si>
  <si>
    <t>Dryness, Redness/Irritation, Dehydration, Tanning</t>
  </si>
  <si>
    <t>Haldi (Turmeric), SPF 50+ UV Filters</t>
  </si>
  <si>
    <t>A hybrid broad-spectrum sunscreen with SPF 50+ PA++++ that protects from UVA/UVB rays and blue light while hydrating and supporting barrier repair.</t>
  </si>
  <si>
    <t>Aqua, Glycerin, C12-15 Alkyl Benzoate, Sodium Hyaluronate, Curcuma Longa (Turmeric) Root Extract, Titanium Dioxide, Zinc Oxide, Ethylhexyl Methoxycinnamate, Butyl Methoxydibenzoylmethane, Bis-Ethylhexyloxyphenol Methoxyphenyl Triazine, Diethylamino Hydroxybenzoyl Hexyl Benzoate, Panthenol, Allantoin, Fragrance, Caprylic/Capric Triglyceride, Silica, Carbomer, Triethanolamine, Disodium EDTA, Phenoxyethanol, Ethylhexylglycerin</t>
  </si>
  <si>
    <r>
      <rPr>
        <color rgb="FF1155CC"/>
        <u/>
      </rPr>
      <t>https://www.drsheths.com/cdn/shop/files/Shoot_1_162ce95f-e587-4da5-a984-1cfe65a3c660.jpg?v=1771323399&amp;width=800</t>
    </r>
    <r>
      <rPr/>
      <t xml:space="preserve">, </t>
    </r>
    <r>
      <rPr>
        <color rgb="FF1155CC"/>
        <u/>
      </rPr>
      <t>https://www.drsheths.com/cdn/shop/files/3_key_benefits_1.jpg?v=1771323399&amp;width=800</t>
    </r>
    <r>
      <rPr/>
      <t xml:space="preserve">, </t>
    </r>
    <r>
      <rPr>
        <color rgb="FF1155CC"/>
        <u/>
      </rPr>
      <t>https://www.drsheths.com/cdn/shop/files/4_texture_1.jpg?v=1771323399&amp;width=800</t>
    </r>
    <r>
      <rPr/>
      <t xml:space="preserve">, </t>
    </r>
    <r>
      <rPr>
        <color rgb="FF1155CC"/>
        <u/>
      </rPr>
      <t>https://www.drsheths.com/cdn/shop/files/5_ingredients_1.jpg?v=1771323399&amp;width=800</t>
    </r>
    <r>
      <rPr/>
      <t xml:space="preserve">, </t>
    </r>
    <r>
      <rPr>
        <color rgb="FF1155CC"/>
        <u/>
      </rPr>
      <t>https://www.drsheths.com/cdn/shop/files/2_Power_of_nature_n_science_1.jpg?v=1771323399&amp;width=800</t>
    </r>
  </si>
  <si>
    <t>Roopsee-F-SU-34</t>
  </si>
  <si>
    <t>Dr. Sheth's Centella &amp; Niacinamide Oil &amp; Acne Control Sunscreen SPF 50+ PA++++</t>
  </si>
  <si>
    <t>Centella Asiatica, SPF 50+ UV Filters</t>
  </si>
  <si>
    <t>A lightweight oil &amp; acne control sunscreen with SPF 50+ PA++++, Centella and Niacinamide to protect skin while helping manage oiliness and acne-prone skin.</t>
  </si>
  <si>
    <t>Aqua, Glycerin, C12-15 Alkyl Benzoate, Centella, Niacinamide, Ethylhexyl Methoxycinnamate, Butyl Methoxydibenzoylmethane, Bis-Ethylhexyloxyphenol Methoxyphenyl Triazine, Diethylamino Hydroxybenzoyl Hexyl Benzoate, Salicylic Acid, Zinc PCA, Melaleuca Alternifolia (Tea Tree) Leaf Oil, Fragrance, Caprylic/Capric Triglyceride, Titanium Dioxide, Zinc Oxide, Silica, Carbomer, Triethanolamine, Disodium EDTA, Phenoxyethanol, Ethylhexylglycerin</t>
  </si>
  <si>
    <r>
      <rPr>
        <color rgb="FF1155CC"/>
        <u/>
      </rPr>
      <t>https://www.drsheths.com/cdn/shop/files/shoot_b0ae5c13-dfb7-4d2f-a594-251e9d0823e2.jpg?v=1745474405&amp;width=1200</t>
    </r>
    <r>
      <rPr/>
      <t xml:space="preserve">, </t>
    </r>
    <r>
      <rPr>
        <color rgb="FF1155CC"/>
        <u/>
      </rPr>
      <t>https://www.drsheths.com/cdn/shop/files/1.1.jpg?v=1745474405&amp;width=1200</t>
    </r>
    <r>
      <rPr/>
      <t xml:space="preserve">, </t>
    </r>
    <r>
      <rPr>
        <color rgb="FF1155CC"/>
        <u/>
      </rPr>
      <t>https://www.drsheths.com/cdn/shop/files/3_520308c2-5dea-4841-90ff-60db11021ffc.jpg?v=1745474405&amp;width=1200</t>
    </r>
    <r>
      <rPr/>
      <t xml:space="preserve">, </t>
    </r>
    <r>
      <rPr>
        <color rgb="FF1155CC"/>
        <u/>
      </rPr>
      <t>https://www.drsheths.com/cdn/shop/files/2_ba874af6-0808-4007-b245-3d49a7f74d42.jpg?v=1745474405&amp;width=1200</t>
    </r>
    <r>
      <rPr/>
      <t xml:space="preserve">, </t>
    </r>
    <r>
      <rPr>
        <color rgb="FF1155CC"/>
        <u/>
      </rPr>
      <t>https://www.drsheths.com/cdn/shop/files/4_e299c261-ad26-45c9-b515-6563eb60dd59.jpg?v=1745474405&amp;width=1200</t>
    </r>
  </si>
  <si>
    <t>Roopsee-F-CL-32</t>
  </si>
  <si>
    <t>Dr. Sheth's Ceramide &amp; Vitamin C Face Wash</t>
  </si>
  <si>
    <t>Vitamin C, Hyaluronic Acid</t>
  </si>
  <si>
    <t>A non-drying, fragrance-free face wash infused with Vitamin C and Ceramide Complex to cleanse, brighten and help repair the skin’s protective barrier.</t>
  </si>
  <si>
    <t>Aqua, Glycerin, Sodium Lauroyl Sarcosinate, Ceramide Complex, 1% Vitamin C Complex, Ceramide NP, Ceramide AP, Ceramide EOP, Cholesterol, Phytosphingosine, Sodium Ascorbyl Phosphate, 3-O-Ethyl Ascorbic Acid, Tocopheryl Acetate, Fragrance, Cocamidopropyl Betaine, Decyl Glucoside, Acrylates Copolymer, Sodium Chloride, Citric Acid, Disodium EDTA, Phenoxyethanol, Ethylhexylglycerin</t>
  </si>
  <si>
    <r>
      <rPr>
        <color rgb="FF1155CC"/>
        <u/>
      </rPr>
      <t>https://www.drsheths.com/cdn/shop/products/13.jpg?v=1681463123&amp;width=800</t>
    </r>
    <r>
      <rPr/>
      <t xml:space="preserve">, </t>
    </r>
    <r>
      <rPr>
        <color rgb="FF1155CC"/>
        <u/>
      </rPr>
      <t>https://www.drsheths.com/cdn/shop/products/Purple_1.jpg?v=1681463123&amp;width=800</t>
    </r>
    <r>
      <rPr/>
      <t xml:space="preserve">, </t>
    </r>
    <r>
      <rPr>
        <color rgb="FF1155CC"/>
        <u/>
      </rPr>
      <t>https://www.drsheths.com/cdn/shop/products/Face-Wash-Benefits.jpg?v=1681463123&amp;width=800</t>
    </r>
    <r>
      <rPr/>
      <t xml:space="preserve">, </t>
    </r>
    <r>
      <rPr>
        <color rgb="FF1155CC"/>
        <u/>
      </rPr>
      <t>https://www.drsheths.com/cdn/shop/products/Key-Ing_3.jpg?v=1681463123&amp;width=800</t>
    </r>
    <r>
      <rPr/>
      <t xml:space="preserve">, </t>
    </r>
    <r>
      <rPr>
        <color rgb="FF1155CC"/>
        <u/>
      </rPr>
      <t>https://www.drsheths.com/cdn/shop/products/8906148700487_4_80cacaee-0359-416e-b8e4-b1a838ddd661.jpg?v=1681463123&amp;width=800</t>
    </r>
  </si>
  <si>
    <t>Roopsee-F-CL-33</t>
  </si>
  <si>
    <t>Dr. Sheth's Neem &amp; Salicylic Acid Foaming Face Wash</t>
  </si>
  <si>
    <t>Neem Extract, Zinc</t>
  </si>
  <si>
    <t>A foaming daily face wash designed for oily and acne-prone skin to deeply cleanse, unclog pores and reduce active acne with Neem and Salicylic Acid.</t>
  </si>
  <si>
    <t>Aqua, Glycerin, Sodium Lauroyl Sarcosinate, Azadirachta Indica Leaf Extract, Salicylic Acid, Zinc PCA, Melaleuca Alternifolia (Tea Tree) Leaf Oil, Fragrance, Cocamidopropyl Betaine, Decyl Glucoside, Acrylates Copolymer, Sodium Chloride, Citric Acid, Disodium EDTA, Phenoxyethanol, Ethylhexylglycerin</t>
  </si>
  <si>
    <t>Ingredient caution: salicylic acid/BHA might cause stinging, dryness, peeling, redness and increased sun sensitivity; sulfur/zinc-based oil-control ingredients might feel drying or tight on already dry skin; fragrance, essential oils or fragrance allergens might trigger redness, itching or allergic irritation; cleansing surfactants might cause dryness, stinging or tightness if overused. Do a patch test before applying. First-time users should start 3–4 times a week, avoid using it with retinol or other exfoliating acids in the same routine, and apply sunscreen daily. Use a moisturiser and reduce frequency if the skin feels tight or flaky. Avoid this product if you have fragrance allergy, eczema-prone skin or a damaged barrier. Use lukewarm water, do not scrub, and follow with moisturiser. Stop use if irritation persists.</t>
  </si>
  <si>
    <r>
      <rPr>
        <color rgb="FF1155CC"/>
        <u/>
      </rPr>
      <t>https://www.drsheths.com/cdn/shop/files/29.jpg?v=1689414858&amp;width=1000</t>
    </r>
    <r>
      <rPr/>
      <t xml:space="preserve">, </t>
    </r>
    <r>
      <rPr>
        <color rgb="FF1155CC"/>
        <u/>
      </rPr>
      <t>https://www.drsheths.com/cdn/shop/files/28.jpg?v=1689414858&amp;width=1000</t>
    </r>
    <r>
      <rPr/>
      <t xml:space="preserve">, </t>
    </r>
    <r>
      <rPr>
        <color rgb="FF1155CC"/>
        <u/>
      </rPr>
      <t>https://www.drsheths.com/cdn/shop/files/8906148700609_1.jpg?v=1689414858&amp;width=1000</t>
    </r>
    <r>
      <rPr/>
      <t xml:space="preserve">, </t>
    </r>
    <r>
      <rPr>
        <color rgb="FF1155CC"/>
        <u/>
      </rPr>
      <t>https://www.drsheths.com/cdn/shop/files/Purple-bg_2dff9e02-ff69-4bd6-a752-b2c0a2b37f60.jpg?v=1689414858&amp;width=1000</t>
    </r>
    <r>
      <rPr/>
      <t xml:space="preserve">, </t>
    </r>
    <r>
      <rPr>
        <color rgb="FF1155CC"/>
        <u/>
      </rPr>
      <t>https://www.drsheths.com/cdn/shop/files/8906148700609_2.jpg?v=1689414858&amp;width=1000</t>
    </r>
  </si>
  <si>
    <t>Roopsee-F-CL-34</t>
  </si>
  <si>
    <t>Dr. Sheth's Kesar &amp; Kojic Acid Face Wash</t>
  </si>
  <si>
    <t>O+S, D+S, N, N+S, C+S</t>
  </si>
  <si>
    <t xml:space="preserve">Kesar (Saffron), Niacinamide,  Hyaluronic Acid, Sodium PCA, and Glycerin, </t>
  </si>
  <si>
    <t>A brightening face wash with Kesar and Kojic Acid that helps reduce pigmentation, boosts glow and gently exfoliates while cleansing.</t>
  </si>
  <si>
    <t>Aqua, Glycerin, Sodium Lauroyl Sarcosinate, Crocus Sativus Flower Extract, Kojic Acid, Kojic Acid Dipalmitate, Alpha-Arbutin, Tranexamic Acid, Licorice Root Extract, Fragrance, Cocamidopropyl Betaine, Decyl Glucoside, Acrylates Copolymer, Sodium Chloride, Citric Acid, Disodium EDTA, Phenoxyethanol, Ethylhexylglycerin</t>
  </si>
  <si>
    <t>Ingredient caution: niacinamide is usually gentle but might cause tingling or flushing in very reactive skin; alpha arbutin, kojic acid, licorice extract, tranexamic acid might cause tingling, dryness or redness in sensitive skin; fragrance, essential oils or fragrance allergens might trigger redness, itching or allergic irritation; cleansing surfactants might cause dryness, stinging or tightness if overused. Do a patch test before applying.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Use lukewarm water, do not scrub, and follow with moisturiser. Stop use if irritation persists.</t>
  </si>
  <si>
    <r>
      <rPr>
        <color rgb="FF1155CC"/>
        <u/>
      </rPr>
      <t>https://www.drsheths.com/cdn/shop/files/Shoot_1ef07b53-c870-4be7-97c9-5241bcc557bd.jpg?v=1738241494&amp;width=1200</t>
    </r>
    <r>
      <rPr/>
      <t xml:space="preserve">, </t>
    </r>
    <r>
      <rPr>
        <color rgb="FF1155CC"/>
        <u/>
      </rPr>
      <t>https://www.drsheths.com/cdn/shop/files/key_benefits.jpg?v=1738241494&amp;width=1200</t>
    </r>
    <r>
      <rPr/>
      <t xml:space="preserve">, </t>
    </r>
    <r>
      <rPr>
        <color rgb="FF1155CC"/>
        <u/>
      </rPr>
      <t>https://www.drsheths.com/cdn/shop/files/dermatpicked.jpg?v=1738241494&amp;width=1200</t>
    </r>
    <r>
      <rPr/>
      <t xml:space="preserve">, </t>
    </r>
    <r>
      <rPr>
        <color rgb="FF1155CC"/>
        <u/>
      </rPr>
      <t>https://www.drsheths.com/cdn/shop/files/how_does_it_work.jpg?v=1738241494&amp;width=1200</t>
    </r>
    <r>
      <rPr/>
      <t xml:space="preserve">, </t>
    </r>
    <r>
      <rPr>
        <color rgb="FF1155CC"/>
        <u/>
      </rPr>
      <t>https://www.drsheths.com/cdn/shop/files/the_proof.jpg?v=1738241494&amp;width=1200</t>
    </r>
  </si>
  <si>
    <t>Roopsee-F-SE-60</t>
  </si>
  <si>
    <t>Dr. Sheth's Non-Irritating Ceramide &amp; 15% Vitamin C Ampoule Serum</t>
  </si>
  <si>
    <t>N, N+S, C</t>
  </si>
  <si>
    <t>Vitamin C (15%)</t>
  </si>
  <si>
    <t>A non-irritating Ceramide &amp; Vitamin C ampoule serum that strengthens the skin barrier, boosts brightness and supports an even, radiant complexion.</t>
  </si>
  <si>
    <t>Aqua, Glycerin, Butylene Glycol, Ceramide Complex, 15% Vitamin C Complex, Ceramide NP, Ceramide AP, Ceramide EOP, Cholesterol, Phytosphingosine, Sodium Ascorbyl Phosphate, 3-O-Ethyl Ascorbic Acid, Tocopheryl Acetate, Fragrance, Propanediol, Methylpropanediol, Hydroxyethylcellulose, Xanthan Gum, Disodium EDTA, Phenoxyethanol, Ethylhexylglycerin</t>
  </si>
  <si>
    <t>Ingredient caution: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Do not apply on broken, freshly waxed or irritated skin. Stop use if irritation persists.</t>
  </si>
  <si>
    <r>
      <rPr>
        <color rgb="FF1155CC"/>
        <u/>
      </rPr>
      <t>https://www.drsheths.com/cdn/shop/files/4_e972f2d5-dfee-40ff-a3d8-bf786d00c36d.jpg?v=1740551629&amp;width=1200</t>
    </r>
    <r>
      <rPr/>
      <t xml:space="preserve">, </t>
    </r>
    <r>
      <rPr>
        <color rgb="FF1155CC"/>
        <u/>
      </rPr>
      <t>https://www.drsheths.com/cdn/shop/files/5_d83178cb-4685-41a6-a432-a01e20ff493e.jpg?v=1740551629&amp;width=1200</t>
    </r>
    <r>
      <rPr/>
      <t xml:space="preserve">, </t>
    </r>
    <r>
      <rPr>
        <color rgb="FF1155CC"/>
        <u/>
      </rPr>
      <t>https://www.drsheths.com/cdn/shop/files/6_1f5976cc-6813-4228-a3c0-5497bdc1f76d.jpg?v=1740551629&amp;width=1200</t>
    </r>
    <r>
      <rPr/>
      <t xml:space="preserve">, </t>
    </r>
    <r>
      <rPr>
        <color rgb="FF1155CC"/>
        <u/>
      </rPr>
      <t>https://www.drsheths.com/cdn/shop/files/7_dbf7d1e4-056a-47fa-9b81-42e85311e64e.jpg?v=1740551629&amp;width=1200</t>
    </r>
    <r>
      <rPr/>
      <t xml:space="preserve">, </t>
    </r>
    <r>
      <rPr>
        <color rgb="FF1155CC"/>
        <u/>
      </rPr>
      <t>https://www.drsheths.com/cdn/shop/files/9_92763d1b-6400-41d7-bcfc-17590ef2ba10.jpg?v=1740551629&amp;width=1200</t>
    </r>
  </si>
  <si>
    <t>Roopsee-F-SE-61</t>
  </si>
  <si>
    <t>Dr. Sheth's Centella &amp; 10% Niacinamide Ampoule Serum</t>
  </si>
  <si>
    <t>Acne, Redness/Irritation</t>
  </si>
  <si>
    <t>Centella Asiatica, Hyaluronic Acid</t>
  </si>
  <si>
    <t>A lightweight ampoule serum with Centella and 10% Niacinamide to help control excess oil, support acne-free skin and improve brightness.</t>
  </si>
  <si>
    <t>Aqua, Glycerin, Butylene Glycol, Centella, 10% Niacinamide, Niacinamide, Fragrance, Propanediol, Methylpropanediol, Hydroxyethylcellulose, Xanthan Gum, Disodium EDTA, Phenoxyethanol, Ethylhexylglycerin</t>
  </si>
  <si>
    <t>Ingredient caution: high-strength niacinamide might cause flushing, tingling or small bumps in reactive skin; fragrance, essential oils or fragrance allergens might trigger redness, itching or allergic irritation;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reduce frequency if redness or bumps appear. Avoid this product if you have fragrance allergy, eczema-prone skin or a damaged barrier. Do not apply on broken, freshly waxed or irritated skin. Apply on slightly damp skin and follow with moisturiser if dryness occurs. Stop use if irritation persists.</t>
  </si>
  <si>
    <r>
      <rPr>
        <color rgb="FF1155CC"/>
        <u/>
      </rPr>
      <t>https://www.drsheths.com/cdn/shop/files/1.1_1.jpg?v=1757486633&amp;width=1200</t>
    </r>
    <r>
      <rPr/>
      <t xml:space="preserve">, </t>
    </r>
    <r>
      <rPr>
        <color rgb="FF1155CC"/>
        <u/>
      </rPr>
      <t>https://www.drsheths.com/cdn/shop/files/old_and_new_packaging_1.jpg?v=1758708674&amp;width=1200</t>
    </r>
    <r>
      <rPr/>
      <t xml:space="preserve">, </t>
    </r>
    <r>
      <rPr>
        <color rgb="FF1155CC"/>
        <u/>
      </rPr>
      <t>https://www.drsheths.com/cdn/shop/files/2_2.jpg?v=1758708674&amp;width=1200</t>
    </r>
    <r>
      <rPr/>
      <t xml:space="preserve">, </t>
    </r>
    <r>
      <rPr>
        <color rgb="FF1155CC"/>
        <u/>
      </rPr>
      <t>https://www.drsheths.com/cdn/shop/files/3_3.jpg?v=1758708674&amp;width=1200</t>
    </r>
    <r>
      <rPr/>
      <t xml:space="preserve">, </t>
    </r>
    <r>
      <rPr>
        <color rgb="FF1155CC"/>
        <u/>
      </rPr>
      <t>https://www.drsheths.com/cdn/shop/files/4_3.jpg?v=1758708674&amp;width=1200</t>
    </r>
  </si>
  <si>
    <t>Roopsee-F-SE-62</t>
  </si>
  <si>
    <t>Dr. Sheth's Kesar &amp; 2% Kojic Acid Ampoule Serum</t>
  </si>
  <si>
    <t>Uneven Skin Tone, Dark Spots/Pigmentation, Melasma, Dullness</t>
  </si>
  <si>
    <t>Kojic Acid (2%)</t>
  </si>
  <si>
    <t>Kesar (Saffron), Vitamin C</t>
  </si>
  <si>
    <t>A daily-use ampoule serum with Kesar and 2% Kojic Acid that targets pigmentation and dark spots for a brighter, more even-looking complexion.</t>
  </si>
  <si>
    <t>Aqua, Glycerin, Butylene Glycol, Crocus Sativus Flower Extract, 2% Kojic Acid, Kojic Acid Dipalmitate, Alpha-Arbutin, Tranexamic Acid, Licorice Root Extract, Fragrance, Propanediol, Methylpropanediol, Hydroxyethylcellulose, Xanthan Gum, Disodium EDTA, Phenoxyethanol, Ethylhexylglycerin</t>
  </si>
  <si>
    <t>Ingredient caution: vitamin C/ascorbic derivatives might cause tingling, redness or irritation in sensitive skin; alpha arbutin, kojic acid, licorice extract, tranexamic acid might cause tingling, dryness or redness in sensitive skin; fragrance, essential oils or fragrance allergens might trigger redness, itching or allergic irritation; preservatives such as phenoxyethanol/benzyl alcohol might sting very sensitive or compromised skin. Do a patch test before applying. First-time users should start 3–4 times a week and avoid layering with strong exfoliating acids if the skin stings. First-time users should start 3–4 times a week and pair with sunscreen, because pigmentation care works best with UV protection. Avoid this product if you have fragrance allergy, eczema-prone skin or a damaged barrier. Do not apply on broken, freshly waxed or irritated skin. Stop use if irritation persists.</t>
  </si>
  <si>
    <r>
      <rPr>
        <color rgb="FF1155CC"/>
        <u/>
      </rPr>
      <t>https://www.drsheths.com/cdn/shop/files/1_Website.jpg?v=1746015642&amp;width=1200</t>
    </r>
    <r>
      <rPr/>
      <t xml:space="preserve">, </t>
    </r>
    <r>
      <rPr>
        <color rgb="FF1155CC"/>
        <u/>
      </rPr>
      <t>https://www.drsheths.com/cdn/shop/files/1_NYKAA_Purplle.jpg?v=1746015642&amp;width=1200</t>
    </r>
    <r>
      <rPr/>
      <t xml:space="preserve">, </t>
    </r>
    <r>
      <rPr>
        <color rgb="FF1155CC"/>
        <u/>
      </rPr>
      <t>https://www.drsheths.com/cdn/shop/files/3_dbdabdbd-9262-4c18-b588-2f14874ee521.jpg?v=1746015642&amp;width=1200</t>
    </r>
    <r>
      <rPr/>
      <t xml:space="preserve">, </t>
    </r>
    <r>
      <rPr>
        <color rgb="FF1155CC"/>
        <u/>
      </rPr>
      <t>https://www.drsheths.com/cdn/shop/files/5_51d851c3-bc19-4733-a3cd-93354d9643ad.jpg?v=1746015642&amp;width=1200</t>
    </r>
    <r>
      <rPr/>
      <t xml:space="preserve">, </t>
    </r>
    <r>
      <rPr>
        <color rgb="FF1155CC"/>
        <u/>
      </rPr>
      <t>https://www.drsheths.com/cdn/shop/files/2_821919d0-ac98-4b81-b71c-076722a989ea.jpg?v=1746015642&amp;width=1200</t>
    </r>
  </si>
  <si>
    <t>Roopsee-F-MO-39</t>
  </si>
  <si>
    <t>Dr. Sheth's Ceramide &amp; Vitamin C Oil-Free Moisturizer</t>
  </si>
  <si>
    <t>A lightweight oil-free moisturizer with Ceramides and stable Vitamin C derivatives to strengthen the skin barrier, brighten and provide hydration without greasiness.</t>
  </si>
  <si>
    <t>Aqua, Glycerin, Caprylic/Capric Triglyceride, Ceramide Complex, Vitamin C Complex, Hydrating Actives, Ceramide NP, Ceramide AP, Ceramide EOP, Cholesterol, Phytosphingosine, Sodium Ascorbyl Phosphate, 3-O-Ethyl Ascorbic Acid, Tocopheryl Acetate, Fragrance, Cetearyl Alcohol, Glyceryl Stearate, Butyrospermum Parkii (Shea) Butter, Dimethicone, Carbomer, Sodium Hydroxide, Disodium EDTA, Phenoxyethanol, Ethylhexylglycerin</t>
  </si>
  <si>
    <r>
      <rPr>
        <color rgb="FF1155CC"/>
        <u/>
      </rPr>
      <t>https://www.drsheths.com/cdn/shop/files/1_8.jpg?v=1771322918&amp;width=1200</t>
    </r>
    <r>
      <rPr/>
      <t xml:space="preserve">, </t>
    </r>
    <r>
      <rPr>
        <color rgb="FF1155CC"/>
        <u/>
      </rPr>
      <t>https://www.drsheths.com/cdn/shop/files/3_7.jpg?v=1771322950&amp;width=1200</t>
    </r>
    <r>
      <rPr/>
      <t xml:space="preserve">, </t>
    </r>
    <r>
      <rPr>
        <color rgb="FF1155CC"/>
        <u/>
      </rPr>
      <t>https://www.drsheths.com/cdn/shop/files/4_7.jpg?v=1771322950&amp;width=1200</t>
    </r>
    <r>
      <rPr/>
      <t xml:space="preserve">, </t>
    </r>
    <r>
      <rPr>
        <color rgb="FF1155CC"/>
        <u/>
      </rPr>
      <t>https://www.drsheths.com/cdn/shop/files/7_7.jpg?v=1771322950&amp;width=1200</t>
    </r>
    <r>
      <rPr/>
      <t xml:space="preserve">, </t>
    </r>
    <r>
      <rPr>
        <color rgb="FF1155CC"/>
        <u/>
      </rPr>
      <t>https://www.drsheths.com/cdn/shop/files/5_5.jpg?v=1771322950&amp;width=1200</t>
    </r>
  </si>
  <si>
    <t>Roopsee-F-MO-40</t>
  </si>
  <si>
    <t>Dr. Sheth's Ceramide &amp; Vitamin C Daily Brightening &amp; Repair Face Cream</t>
  </si>
  <si>
    <t>30g</t>
  </si>
  <si>
    <t>Dryness, Barrier Repair, Redness/Irritation, Dehydration, Dullness</t>
  </si>
  <si>
    <t>A Ceramide &amp; Vitamin C daily cream that supports skin brightening and barrier repair while keeping skin moisturized.</t>
  </si>
  <si>
    <r>
      <rPr>
        <color rgb="FF1155CC"/>
        <u/>
      </rPr>
      <t>https://www.drsheths.com/cdn/shop/products/Ceramide-_-Vitamin-C.jpg?v=1670929648&amp;width=1000</t>
    </r>
    <r>
      <rPr/>
      <t xml:space="preserve">, </t>
    </r>
    <r>
      <rPr>
        <color rgb="FF1155CC"/>
        <u/>
      </rPr>
      <t>https://www.drsheths.com/cdn/shop/products/Green-BG_56ccb92e-1244-4a7a-a294-9521cf6e0fcc.jpg?v=1670929648&amp;width=1000</t>
    </r>
    <r>
      <rPr/>
      <t xml:space="preserve">, </t>
    </r>
    <r>
      <rPr>
        <color rgb="FF1155CC"/>
        <u/>
      </rPr>
      <t>https://www.drsheths.com/cdn/shop/products/Benifits_18383c9e-aa5e-4b61-aadc-b20d6cbfdf7f.jpg?v=1670929648&amp;width=1000</t>
    </r>
    <r>
      <rPr/>
      <t xml:space="preserve">, </t>
    </r>
    <r>
      <rPr>
        <color rgb="FF1155CC"/>
        <u/>
      </rPr>
      <t>https://www.drsheths.com/cdn/shop/products/Ingrident_ad0e05df-8c6f-4b05-a88a-718b7942f813.jpg?v=1670929648&amp;width=1000</t>
    </r>
    <r>
      <rPr/>
      <t xml:space="preserve">, </t>
    </r>
    <r>
      <rPr>
        <color rgb="FF1155CC"/>
        <u/>
      </rPr>
      <t>https://www.drsheths.com/cdn/shop/products/White-BG_c106a8a8-0f28-4600-9963-b9d0780b39b8.jpg?v=1670929648&amp;width=1000</t>
    </r>
  </si>
  <si>
    <t>Roopsee-F-MO-41</t>
  </si>
  <si>
    <t>Dr. Sheth's Centella &amp; Niacinamide Moisturizing Cream</t>
  </si>
  <si>
    <t>A lightweight, non-greasy moisturizing cream with Centella and Niacinamide that provides hydration, helps control oil and supports acne-prone skin.</t>
  </si>
  <si>
    <t>Aqua, Glycerin, Caprylic/Capric Triglyceride, Centella, Niacinamide, Hydrating Actives, Fragrance, Cetearyl Alcohol, Glyceryl Stearate, Butyrospermum Parkii (Shea) Butter, Dimethicone, Carbomer, Sodium Hydroxide, Disodium EDTA, Phenoxyethanol, Ethylhexylglycerin</t>
  </si>
  <si>
    <r>
      <rPr>
        <color rgb="FF1155CC"/>
        <u/>
      </rPr>
      <t>https://www.drsheths.com/cdn/shop/files/1_0024b838-1ff8-4f56-b6ae-e2a76f2898af.jpg?v=1732170810&amp;width=1200</t>
    </r>
    <r>
      <rPr/>
      <t xml:space="preserve">, </t>
    </r>
    <r>
      <rPr>
        <color rgb="FF1155CC"/>
        <u/>
      </rPr>
      <t>https://www.drsheths.com/cdn/shop/files/2_09267425-123d-45aa-91a7-40dcc39cd96a.jpg?v=1732170810&amp;width=1200</t>
    </r>
    <r>
      <rPr/>
      <t xml:space="preserve">, </t>
    </r>
    <r>
      <rPr>
        <color rgb="FF1155CC"/>
        <u/>
      </rPr>
      <t>https://www.drsheths.com/cdn/shop/files/3_a5be9db3-0089-47dc-92d6-8814d26e47ac.jpg?v=1732170810&amp;width=1200</t>
    </r>
    <r>
      <rPr/>
      <t xml:space="preserve">, </t>
    </r>
    <r>
      <rPr>
        <color rgb="FF1155CC"/>
        <u/>
      </rPr>
      <t>https://www.drsheths.com/cdn/shop/files/4_e7075c71-8ee8-4167-b126-991f1b49dc87.jpg?v=1732170810&amp;width=1200</t>
    </r>
    <r>
      <rPr/>
      <t xml:space="preserve">, </t>
    </r>
    <r>
      <rPr>
        <color rgb="FF1155CC"/>
        <u/>
      </rPr>
      <t>https://www.drsheths.com/cdn/shop/files/5_e45aa72f-6ab3-47c9-a233-551b31f5fe0c.jpg?v=1732170810&amp;width=1200</t>
    </r>
  </si>
  <si>
    <t>Roopsee-F-MO-42</t>
  </si>
  <si>
    <t>Dr. Sheth's Kesar &amp; Kojic Acid Oil-Free Moisturizer</t>
  </si>
  <si>
    <t>Uneven Skin Tone, Dark Spots/Pigmentation, Dehydration, Dullness</t>
  </si>
  <si>
    <t>Kesar (Saffron), Niacinamide</t>
  </si>
  <si>
    <t>An oil-free moisturizer with Kesar and Kojic Acid that provides hydration, helps balance oily skin and supports radiance for a healthy glow.</t>
  </si>
  <si>
    <t>Aqua, Glycerin, Caprylic/Capric Triglyceride, Crocus Sativus Flower Extract, Kojic Acid, Hydrating Actives, Kojic Acid Dipalmitate, Alpha-Arbutin, Tranexamic Acid, Licorice Root Extract, Fragrance, Cetearyl Alcohol, Glyceryl Stearate, Butyrospermum Parkii (Shea) Butter, Dimethicone, Carbomer, Sodium Hydroxide, Disodium EDTA, Phenoxyethanol, Ethylhexylglycerin</t>
  </si>
  <si>
    <t>Ingredient caution: niacinamide is usually gentle but might cause tingling or flushing in very reactive skin; alpha arbutin, kojic acid, licorice extract, tranexamic acid might cause tingling, dryness or redness in sensitive skin; fragrance, essential oils or fragrance allergens might trigger redness, itching or allergic irritation; rich oils, butters or occlusive emollients might feel heavy or clog pores in acne-prone/oily skin. Do a patch test before applying.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Use a small amount first and avoid applying on active acne if it feels greasy. Stop use if irritation persists.</t>
  </si>
  <si>
    <r>
      <rPr>
        <color rgb="FF1155CC"/>
        <u/>
      </rPr>
      <t>https://www.drsheths.com/cdn/shop/files/FOP_3e1f7892-516d-48fd-b882-d5e007d3e7ea.jpg?v=1754567410&amp;width=1200</t>
    </r>
    <r>
      <rPr/>
      <t xml:space="preserve">, </t>
    </r>
    <r>
      <rPr>
        <color rgb="FF1155CC"/>
        <u/>
      </rPr>
      <t>https://www.drsheths.com/cdn/shop/files/3_16642ce2-5cbb-4a02-b461-d6534836bc4f.jpg?v=1754567410&amp;width=1200</t>
    </r>
    <r>
      <rPr/>
      <t xml:space="preserve">, </t>
    </r>
    <r>
      <rPr>
        <color rgb="FF1155CC"/>
        <u/>
      </rPr>
      <t>https://www.drsheths.com/cdn/shop/files/4_888090ab-f3cf-4a4f-b1ce-082a941013e0.jpg?v=1754567410&amp;width=1200</t>
    </r>
    <r>
      <rPr/>
      <t xml:space="preserve">, </t>
    </r>
    <r>
      <rPr>
        <color rgb="FF1155CC"/>
        <u/>
      </rPr>
      <t>https://www.drsheths.com/cdn/shop/files/Power_of_nature_science.jpg?v=1754567410&amp;width=1200</t>
    </r>
    <r>
      <rPr/>
      <t xml:space="preserve">, </t>
    </r>
    <r>
      <rPr>
        <color rgb="FF1155CC"/>
        <u/>
      </rPr>
      <t>https://www.drsheths.com/cdn/shop/files/5_b8ee3998-8141-4969-9542-59cea954e193.jpg?v=1754567410&amp;width=1200</t>
    </r>
  </si>
  <si>
    <t>Roopsee-F-SE-63</t>
  </si>
  <si>
    <t>Dr. Sheth's Neem &amp; 2% Salicylic Acid Ampoule Serum</t>
  </si>
  <si>
    <t>Neem Extract, Niacinamide</t>
  </si>
  <si>
    <t>An ampoule serum with Neem and 2% Salicylic Acid designed to reduce active acne and help prevent future breakouts.</t>
  </si>
  <si>
    <t>Aqua, Glycerin, Butylene Glycol, Azadirachta Indica Leaf Extract, 2% Salicylic Acid, Salicylic Acid, Zinc PCA, Melaleuca Alternifolia (Tea Tree) Leaf Oil, Fragrance, Propanediol, Methylpropanediol, Hydroxyethylcellulose, Xanthan Gum, Disodium EDTA, Phenoxyethanol, Ethylhexylglycerin</t>
  </si>
  <si>
    <r>
      <rPr>
        <color rgb="FF1155CC"/>
        <u/>
      </rPr>
      <t>https://www.drsheths.com/cdn/shop/files/Shoot_858fabe7-a72a-4353-acf2-ce3f6e38fee0.jpg?v=1719573180&amp;width=1200</t>
    </r>
    <r>
      <rPr/>
      <t xml:space="preserve">, </t>
    </r>
    <r>
      <rPr>
        <color rgb="FF1155CC"/>
        <u/>
      </rPr>
      <t>https://www.drsheths.com/cdn/shop/files/29E9765A-F585-4806-B2B5-FE95EF7E3DC1.jpg?v=1724565989&amp;width=1200</t>
    </r>
    <r>
      <rPr/>
      <t xml:space="preserve">, </t>
    </r>
    <r>
      <rPr>
        <color rgb="FF1155CC"/>
        <u/>
      </rPr>
      <t>https://www.drsheths.com/cdn/shop/files/3_f3510fdc-6bd2-475c-84c6-d5d4095225c4.jpg?v=1719573180&amp;width=1200</t>
    </r>
    <r>
      <rPr/>
      <t xml:space="preserve">, </t>
    </r>
    <r>
      <rPr>
        <color rgb="FF1155CC"/>
        <u/>
      </rPr>
      <t>https://www.drsheths.com/cdn/shop/files/4_6bcd1b51-6bce-464b-a3d6-cbaf4e8f512d.jpg?v=1719573180&amp;width=1200</t>
    </r>
    <r>
      <rPr/>
      <t xml:space="preserve">, </t>
    </r>
    <r>
      <rPr>
        <color rgb="FF1155CC"/>
        <u/>
      </rPr>
      <t>https://www.drsheths.com/cdn/shop/files/Artboard_1_2e708338-3352-4d40-839f-d02251bf1a3b.jpg?v=1720516783&amp;width=1200</t>
    </r>
  </si>
  <si>
    <t>Roopsee-F-SE-64</t>
  </si>
  <si>
    <t>Dr. Sheth's Ceramide Barrier Repair Serum</t>
  </si>
  <si>
    <t>Niacinamide, Peptides</t>
  </si>
  <si>
    <t>A barrier-supporting overnight serum with Cica and Ceramide that strengthens the skin barrier, calms irritation and soothes discomfort.</t>
  </si>
  <si>
    <t>Aqua, Glycerin, Butylene Glycol, Centella Asiatica Extract, Ceramide Complex, Soothing Actives, Ceramide NP, Ceramide AP, Ceramide EOP, Cholesterol, Phytosphingosine, Fragrance, Propanediol, Methylpropanediol, Hydroxyethylcellulose, Xanthan Gum, Disodium EDTA, Phenoxyethanol, Ethylhexylglycerin</t>
  </si>
  <si>
    <r>
      <rPr>
        <color rgb="FF1155CC"/>
        <u/>
      </rPr>
      <t>https://www.drsheths.com/cdn/shop/products/PRA_0347.jpg?v=1665674005&amp;width=1200</t>
    </r>
    <r>
      <rPr/>
      <t xml:space="preserve">, </t>
    </r>
    <r>
      <rPr>
        <color rgb="FF1155CC"/>
        <u/>
      </rPr>
      <t>https://www.drsheths.com/cdn/shop/products/Green-BG_b632b2c1-723f-4421-8426-8b74d149958f.jpg?v=1665674005&amp;width=1200</t>
    </r>
    <r>
      <rPr/>
      <t xml:space="preserve">, </t>
    </r>
    <r>
      <rPr>
        <color rgb="FF1155CC"/>
        <u/>
      </rPr>
      <t>https://www.drsheths.com/cdn/shop/products/CicaBenefits_1.jpg?v=1665674005&amp;width=1200</t>
    </r>
    <r>
      <rPr/>
      <t xml:space="preserve">, </t>
    </r>
    <r>
      <rPr>
        <color rgb="FF1155CC"/>
        <u/>
      </rPr>
      <t>https://www.drsheths.com/cdn/shop/products/CicaLifestyle_1.jpg?v=1665674005&amp;width=1200</t>
    </r>
    <r>
      <rPr/>
      <t xml:space="preserve">, </t>
    </r>
    <r>
      <rPr>
        <color rgb="FF1155CC"/>
        <u/>
      </rPr>
      <t>https://www.drsheths.com/cdn/shop/products/CicaIngredients_1.jpg?v=1665674005&amp;width=1200</t>
    </r>
  </si>
  <si>
    <t>Roopsee-F-MO-43</t>
  </si>
  <si>
    <t>Dr. Sheth's Cica &amp; Ceramide Oil-Free Moisturizer</t>
  </si>
  <si>
    <t>Ceramide, Hyaluronic Acid</t>
  </si>
  <si>
    <t>A Cica &amp; Ceramide moisturizer-style barrier care formula that helps hydrate, soothe and support the skin barrier.</t>
  </si>
  <si>
    <t>Aqua, Glycerin, Caprylic/Capric Triglyceride, Centella Asiatica Extract, Ceramide Complex, Ceramide NP, Ceramide AP, Ceramide EOP, Cholesterol, Phytosphingosine, Fragrance, Cetearyl Alcohol, Glyceryl Stearate, Butyrospermum Parkii (Shea) Butter, Dimethicone, Carbomer, Sodium Hydroxide, Disodium EDTA, Phenoxyethanol, Ethylhexylglycerin</t>
  </si>
  <si>
    <r>
      <rPr>
        <color rgb="FF1155CC"/>
        <u/>
      </rPr>
      <t>https://www.drsheths.com/cdn/shop/files/C_COFM_1st.png?v=1696316256&amp;width=1200</t>
    </r>
    <r>
      <rPr/>
      <t xml:space="preserve">, </t>
    </r>
    <r>
      <rPr>
        <color rgb="FF1155CC"/>
        <u/>
      </rPr>
      <t>https://www.drsheths.com/cdn/shop/files/8906148700852_1.jpg?v=1696316256&amp;width=1200</t>
    </r>
    <r>
      <rPr/>
      <t xml:space="preserve">, </t>
    </r>
    <r>
      <rPr>
        <color rgb="FF1155CC"/>
        <u/>
      </rPr>
      <t>https://www.drsheths.com/cdn/shop/files/8906148700852_2.jpg?v=1696316256&amp;width=1200</t>
    </r>
    <r>
      <rPr/>
      <t xml:space="preserve">, </t>
    </r>
    <r>
      <rPr>
        <color rgb="FF1155CC"/>
        <u/>
      </rPr>
      <t>https://www.drsheths.com/cdn/shop/files/8906148700852_3.jpg?v=1696316256&amp;width=1200</t>
    </r>
    <r>
      <rPr/>
      <t xml:space="preserve">, </t>
    </r>
    <r>
      <rPr>
        <color rgb="FF1155CC"/>
        <u/>
      </rPr>
      <t>https://www.drsheths.com/cdn/shop/files/8906148700852_4.jpg?v=1696316256&amp;width=1200</t>
    </r>
  </si>
  <si>
    <t>Roopsee-F-MA-19</t>
  </si>
  <si>
    <t>Dr. Sheth's Haldi &amp; Hyaluronic Acid Sleeping Mask</t>
  </si>
  <si>
    <t>Haldi (Turmeric), Peptides</t>
  </si>
  <si>
    <t>A sleeping mask with Haldi and Hyaluronic Acid that helps hydrate, soothe and refresh skin overnight.</t>
  </si>
  <si>
    <t>Aqua, Glycerin, Butylene Glycol, Curcuma Longa (Turmeric) Root Extract, Sodium Hyaluronate, Panthenol, Allantoin, Fragrance, Carbomer, Xanthan Gum, Disodium EDTA, Phenoxyethanol, Ethylhexylglycerin</t>
  </si>
  <si>
    <t>Ingredient caution: fragrance, essential oils or fragrance allergens might trigger redness, itching or allergic irritation; preservatives such as phenoxyethanol/benzyl alcohol might sting very sensitive or compromised skin; humectants such as hyaluronic acid/glycerin are usually gentle but might feel sticky or tight if not sealed with moisturiser; clay/charcoal ingredients might over-dry sensitive, dry or barrier-damaged skin. Do a patch test before applying. Avoid this product if you have fragrance allergy, eczema-prone skin or a damaged barrier. Do not apply on broken, freshly waxed or irritated skin. Apply on slightly damp skin and follow with moisturiser if dryness occurs. Do not leave on longer than directed and moisturise after rinsing. Stop use if irritation persists.</t>
  </si>
  <si>
    <r>
      <rPr>
        <color rgb="FF1155CC"/>
        <u/>
      </rPr>
      <t>https://www.drsheths.com/cdn/shop/files/H_H_1stImage_68136ae6-cd06-44d3-851a-8efcf5e3fd86.jpg?v=1696929219&amp;width=1200</t>
    </r>
    <r>
      <rPr/>
      <t xml:space="preserve">, </t>
    </r>
    <r>
      <rPr>
        <color rgb="FF1155CC"/>
        <u/>
      </rPr>
      <t>https://www.drsheths.com/cdn/shop/products/HaldiMoisturize_1.jpg?v=1696929219&amp;width=1200</t>
    </r>
    <r>
      <rPr/>
      <t xml:space="preserve">, </t>
    </r>
    <r>
      <rPr>
        <color rgb="FF1155CC"/>
        <u/>
      </rPr>
      <t>https://www.drsheths.com/cdn/shop/products/HaldiLifestyle_1.jpg?v=1696929219&amp;width=1200</t>
    </r>
    <r>
      <rPr/>
      <t xml:space="preserve">, </t>
    </r>
    <r>
      <rPr>
        <color rgb="FF1155CC"/>
        <u/>
      </rPr>
      <t>https://www.drsheths.com/cdn/shop/products/HaldiBenefits_1.jpg?v=1696929219&amp;width=1200</t>
    </r>
    <r>
      <rPr/>
      <t xml:space="preserve">, </t>
    </r>
    <r>
      <rPr>
        <color rgb="FF1155CC"/>
        <u/>
      </rPr>
      <t>https://www.drsheths.com/cdn/shop/products/HaldiIngredients_2_1.jpg?v=1696929219&amp;width=1200</t>
    </r>
  </si>
  <si>
    <t>Roopsee-B-LO-13</t>
  </si>
  <si>
    <t>Dr. Sheth's Ceramide Body Lotion</t>
  </si>
  <si>
    <t>Glycerin, Hyaluronic Acid</t>
  </si>
  <si>
    <t>A daily body lotion that provides deep moisturization for healthy and bright skin. It uses Ceramide and Vitamin C with hydration boosters to keep skin nourished and non-sticky.</t>
  </si>
  <si>
    <t>Aqua, Glycerin, Caprylic/Capric Triglyceride, 1% Ceramide Complex, 1% Vitamin C, 1% Aquaxyl, 3% Glycerin, Amla Extract, Ceramide NP, Ceramide AP, Ceramide EOP, Cholesterol, Phytosphingosine, Sodium Ascorbyl Phosphate, 3-O-Ethyl Ascorbic Acid, Tocopheryl Acetate, Fragrance, Cetearyl Alcohol, Glyceryl Stearate, Dimethicone, Carbomer, Disodium EDTA, Phenoxyethanol, Ethylhexylglycerin</t>
  </si>
  <si>
    <r>
      <rPr>
        <color rgb="FF1155CC"/>
        <u/>
      </rPr>
      <t>https://www.drsheths.com/cdn/shop/products/Ceramide-_-Vitamin-C-Body-Lotion_c8f74f29-02ea-45a0-b621-d06f97648d08.jpg?v=1665755032&amp;width=1200</t>
    </r>
    <r>
      <rPr/>
      <t xml:space="preserve">, </t>
    </r>
    <r>
      <rPr>
        <color rgb="FF1155CC"/>
        <u/>
      </rPr>
      <t>https://www.drsheths.com/cdn/shop/products/Blue-BG_84c6eb36-cf8f-4d96-a80c-916b460bd797.jpg?v=1665755032&amp;width=1200</t>
    </r>
    <r>
      <rPr/>
      <t xml:space="preserve">, </t>
    </r>
    <r>
      <rPr>
        <color rgb="FF1155CC"/>
        <u/>
      </rPr>
      <t>https://www.drsheths.com/cdn/shop/products/Key-Ing_d0e69eeb-c86a-40ac-860d-739a36c1bbe8.jpg?v=1665755032&amp;width=1200</t>
    </r>
    <r>
      <rPr/>
      <t xml:space="preserve">, </t>
    </r>
    <r>
      <rPr>
        <color rgb="FF1155CC"/>
        <u/>
      </rPr>
      <t>https://www.drsheths.com/cdn/shop/products/Benefits_42959560-8bfc-4c62-9d43-c34b33c3d747.jpg?v=1665755032&amp;width=1200</t>
    </r>
    <r>
      <rPr/>
      <t xml:space="preserve">, </t>
    </r>
    <r>
      <rPr>
        <color rgb="FF1155CC"/>
        <u/>
      </rPr>
      <t>https://www.drsheths.com/cdn/shop/products/Brand_Claim_3e3e7f62-7d18-4c96-8a94-81a970b37594.jpg?v=1665755032&amp;width=1200</t>
    </r>
  </si>
  <si>
    <t>Roopsee-B-LO-14</t>
  </si>
  <si>
    <t>Dryness, Dehydration, Body Brightening</t>
  </si>
  <si>
    <r>
      <rPr>
        <color rgb="FF1155CC"/>
        <u/>
      </rPr>
      <t>https://www.dotandkey.com/cdn/shop/files/2_de4046ce-14f0-428d-9c30-5629ef752a60.jpg?v=1745240682&amp;width=700</t>
    </r>
    <r>
      <rPr/>
      <t xml:space="preserve">, </t>
    </r>
    <r>
      <rPr>
        <color rgb="FF1155CC"/>
        <u/>
      </rPr>
      <t>https://www.dotandkey.com/cdn/shop/files/3_c8a51812-9425-4fee-838b-7c20676f4dce.jpg?v=1745240682&amp;width=700</t>
    </r>
    <r>
      <rPr/>
      <t xml:space="preserve">, </t>
    </r>
    <r>
      <rPr>
        <color rgb="FF1155CC"/>
        <u/>
      </rPr>
      <t>https://www.dotandkey.com/cdn/shop/files/4_84e29d01-f41d-485b-aece-7dc53fcff1bd.jpg?v=1745240682&amp;width=700</t>
    </r>
    <r>
      <rPr/>
      <t xml:space="preserve">, </t>
    </r>
    <r>
      <rPr>
        <color rgb="FF1155CC"/>
        <u/>
      </rPr>
      <t>https://www.dotandkey.com/cdn/shop/files/5_97ea2808-ab38-428e-83d7-e8406d78dad6.jpg?v=1745240682&amp;width=700</t>
    </r>
    <r>
      <rPr/>
      <t xml:space="preserve">, </t>
    </r>
    <r>
      <rPr>
        <color rgb="FF1155CC"/>
        <u/>
      </rPr>
      <t>https://www.dotandkey.com/cdn/shop/files/6_a1b7f373-54e0-43a2-8763-0baa7cb11f61.jpg?v=1745240682&amp;width=700</t>
    </r>
  </si>
  <si>
    <t>Roopsee-B-WA-13</t>
  </si>
  <si>
    <t>Dr. Sheth's Ceramide Body Wash</t>
  </si>
  <si>
    <t>A gentle yet effective daily-use body wash with Ceramide and Vitamin C that deeply cleanses dirt and sebum while nourishing the skin.</t>
  </si>
  <si>
    <t>Aqua, Glycerin, Sodium Lauroyl Sarcosinate, Ceramide Complex, Vitamin C, Gentle Cleansing Actives, Ceramide NP, Ceramide AP, Ceramide EOP, Cholesterol, Phytosphingosine, Sodium Ascorbyl Phosphate, 3-O-Ethyl Ascorbic Acid, Tocopheryl Acetate, Fragrance, Cocamidopropyl Betaine, Decyl Glucoside, Sodium Chloride, Citric Acid, Disodium EDTA, Phenoxyethanol, Ethylhexylglycerin</t>
  </si>
  <si>
    <r>
      <rPr>
        <color rgb="FF1155CC"/>
        <u/>
      </rPr>
      <t>https://www.drsheths.com/cdn/shop/files/9_fbfbe9de-ffcc-420b-b2af-1fcd0ae2cdbc.jpg?v=1747043411&amp;width=800</t>
    </r>
    <r>
      <rPr/>
      <t xml:space="preserve">, </t>
    </r>
    <r>
      <rPr>
        <color rgb="FF1155CC"/>
        <u/>
      </rPr>
      <t>https://www.drsheths.com/cdn/shop/files/2_2a437572-1afa-4a93-9f22-2b4762067ef0.jpg?v=1747043411&amp;width=800</t>
    </r>
    <r>
      <rPr/>
      <t xml:space="preserve">, </t>
    </r>
    <r>
      <rPr>
        <color rgb="FF1155CC"/>
        <u/>
      </rPr>
      <t>https://www.drsheths.com/cdn/shop/files/3_b6f2df8e-0c60-47c1-9335-3e838406a766.jpg?v=1747043411&amp;width=800</t>
    </r>
    <r>
      <rPr/>
      <t xml:space="preserve">, </t>
    </r>
    <r>
      <rPr>
        <color rgb="FF1155CC"/>
        <u/>
      </rPr>
      <t>https://www.drsheths.com/cdn/shop/files/4_cefaced8-4f73-4a6b-b203-21fdd67b5a91.jpg?v=1747043411&amp;width=800</t>
    </r>
    <r>
      <rPr/>
      <t xml:space="preserve">, </t>
    </r>
    <r>
      <rPr>
        <color rgb="FF1155CC"/>
        <u/>
      </rPr>
      <t>https://www.drsheths.com/cdn/shop/files/5_d9b4d7cf-eab2-4f1c-a040-c8d9a3831227.jpg?v=1747043411&amp;width=800</t>
    </r>
  </si>
  <si>
    <t>Roopsee-B-WA-14</t>
  </si>
  <si>
    <t>Dr. Sheth's Vitamin C Body Wash</t>
  </si>
  <si>
    <t>N+S</t>
  </si>
  <si>
    <t>Glycerin, Ceramide</t>
  </si>
  <si>
    <t>A brightening body wash loaded with Vitamin C and Ceramide Complex that deeply cleanses while supporting healthy, glowing body skin.</t>
  </si>
  <si>
    <t>Aqua, Glycerin, Sodium Lauroyl Sarcosinate, Vitamin C, Ceramide Complex, Gentle Cleansing Actives, Ceramide NP, Ceramide AP, Ceramide EOP, Cholesterol, Phytosphingosine, Sodium Ascorbyl Phosphate, 3-O-Ethyl Ascorbic Acid, Tocopheryl Acetate, Fragrance, Cocamidopropyl Betaine, Decyl Glucoside, Sodium Chloride, Citric Acid, Disodium EDTA, Phenoxyethanol, Ethylhexylglycerin</t>
  </si>
  <si>
    <r>
      <rPr>
        <color rgb="FF1155CC"/>
        <u/>
      </rPr>
      <t>https://www.drsheths.com/cdn/shop/files/9_fbfbe9de-ffcc-420b-b2af-1fcd0ae2cdbc.jpg?v=1747043411&amp;width=800</t>
    </r>
    <r>
      <rPr/>
      <t xml:space="preserve">, </t>
    </r>
    <r>
      <rPr>
        <color rgb="FF1155CC"/>
        <u/>
      </rPr>
      <t>https://www.drsheths.com/cdn/shop/files/2_2a437572-1afa-4a93-9f22-2b4762067ef0.jpg?v=1747043411&amp;width=800</t>
    </r>
    <r>
      <rPr/>
      <t xml:space="preserve">, </t>
    </r>
    <r>
      <rPr>
        <color rgb="FF1155CC"/>
        <u/>
      </rPr>
      <t>https://www.drsheths.com/cdn/shop/files/3_b6f2df8e-0c60-47c1-9335-3e838406a766.jpg?v=1747043411&amp;width=800</t>
    </r>
    <r>
      <rPr/>
      <t xml:space="preserve">, </t>
    </r>
    <r>
      <rPr>
        <color rgb="FF1155CC"/>
        <u/>
      </rPr>
      <t>https://www.drsheths.com/cdn/shop/files/4_cefaced8-4f73-4a6b-b203-21fdd67b5a91.jpg?v=1747043411&amp;width=800</t>
    </r>
    <r>
      <rPr/>
      <t xml:space="preserve">, </t>
    </r>
    <r>
      <rPr>
        <color rgb="FF1155CC"/>
        <u/>
      </rPr>
      <t>https://www.drsheths.com/cdn/shop/files/5_d9b4d7cf-eab2-4f1c-a040-c8d9a3831227.jpg?v=1747043411&amp;width=800</t>
    </r>
  </si>
  <si>
    <t>Roopsee-F-SU-35</t>
  </si>
  <si>
    <t>Dr. Sheth's Ceramide &amp; Vitamin C Oil-Free Sunscreen SPF 50+ PA++++</t>
  </si>
  <si>
    <t>A dermatologically designed oil-free sunscreen with SPF 50+ PA++++ that protects against UVA/UVB rays while strengthening the skin barrier and promoting a brighter appearance.</t>
  </si>
  <si>
    <t>Aqua, Glycerin, C12-15 Alkyl Benzoate, 1% Ceramide Complex, 1% Vitamin C Complex, Advanced UV Filters, Ceramide NP, Ceramide AP, Ceramide EOP, Cholesterol, Phytosphingosine, Sodium Ascorbyl Phosphate, 3-O-Ethyl Ascorbic Acid, Tocopheryl Acetate, Fragrance, Caprylic/Capric Triglyceride, Ethylhexyl Methoxycinnamate, Butyl Methoxydibenzoylmethane, Bis-Ethylhexyloxyphenol Methoxyphenyl Triazine, Diethylamino Hydroxybenzoyl Hexyl Benzoate, Titanium Dioxide, Zinc Oxide, Silica, Carbomer, Triethanolamine, Disodium EDTA, Phenoxyethanol, Ethylhexylglycerin</t>
  </si>
  <si>
    <r>
      <rPr>
        <color rgb="FF1155CC"/>
        <u/>
      </rPr>
      <t>https://www.drsheths.com/cdn/shop/files/1_445129af-3c35-44a5-97e7-9acf2dc63cce.jpg?v=1761896025&amp;width=800</t>
    </r>
    <r>
      <rPr/>
      <t xml:space="preserve">, </t>
    </r>
    <r>
      <rPr>
        <color rgb="FF1155CC"/>
        <u/>
      </rPr>
      <t>https://www.drsheths.com/cdn/shop/files/2_c4661098-f142-4a6f-b5f1-5783e083cbaf.jpg?v=1761896025&amp;width=800</t>
    </r>
    <r>
      <rPr/>
      <t xml:space="preserve">, </t>
    </r>
    <r>
      <rPr>
        <color rgb="FF1155CC"/>
        <u/>
      </rPr>
      <t>https://www.drsheths.com/cdn/shop/files/16.jpg?v=1761896025&amp;width=800</t>
    </r>
    <r>
      <rPr/>
      <t xml:space="preserve">, </t>
    </r>
    <r>
      <rPr>
        <color rgb="FF1155CC"/>
        <u/>
      </rPr>
      <t>https://www.drsheths.com/cdn/shop/files/3_81eb112e-d791-4093-bb99-2eb0fca60751.jpg?v=1761896025&amp;width=800</t>
    </r>
    <r>
      <rPr/>
      <t xml:space="preserve">, </t>
    </r>
    <r>
      <rPr>
        <color rgb="FF1155CC"/>
        <u/>
      </rPr>
      <t>https://www.drsheths.com/cdn/shop/files/5_55545d0c-e778-4d56-9175-bd5d520dade4.jpg?v=1761896025&amp;width=800</t>
    </r>
  </si>
  <si>
    <t>Roopsee-F-CL-35</t>
  </si>
  <si>
    <t>Dr. Sheth's Oats &amp; Ceramide Sensitive Skin Cleanser</t>
  </si>
  <si>
    <t>Oat Extract, Hyaluronic Acid, Bisabolol</t>
  </si>
  <si>
    <t>A gentle cleanser for sensitive skin that soothes skin and strengthens the skin barrier with Oats and Ceramide.</t>
  </si>
  <si>
    <t>Aqua, Glycerin, Sodium Lauroyl Sarcosinate, Avena Sativa (Oat) Kernel Extract, Ceramide Complex, Gentle Cleansing Actives, Ceramide NP, Ceramide AP, Ceramide EOP, Cholesterol, Phytosphingosine, Fragrance, Cocamidopropyl Betaine, Decyl Glucoside, Acrylates Copolymer, Sodium Chloride, Citric Acid, Disodium EDTA, Phenoxyethanol, Ethylhexylglycerin</t>
  </si>
  <si>
    <r>
      <rPr>
        <color rgb="FF1155CC"/>
        <u/>
      </rPr>
      <t>https://www.drsheths.com/cdn/shop/files/Copyof1_d3d2e9e5-842a-4f04-8cc8-a0db68cde0dc.jpg?v=1744263676&amp;width=800</t>
    </r>
    <r>
      <rPr/>
      <t/>
    </r>
    <r>
      <rPr>
        <color rgb="FF1155CC"/>
        <u/>
      </rPr>
      <t>https://www.drsheths.com/cdn/shop/files/Copyof2_bb556480-6d2e-4bc3-8c3b-db0dbbc9284a.jpg?v=1744263676&amp;width=800</t>
    </r>
    <r>
      <rPr/>
      <t/>
    </r>
    <r>
      <rPr>
        <color rgb="FF1155CC"/>
        <u/>
      </rPr>
      <t>https://www.drsheths.com/cdn/shop/files/Copyof1.2.jpg?v=1744263676&amp;width=800</t>
    </r>
    <r>
      <rPr/>
      <t/>
    </r>
    <r>
      <rPr>
        <color rgb="FF1155CC"/>
        <u/>
      </rPr>
      <t>https://www.drsheths.com/cdn/shop/files/Copyof3_3a363690-48ce-438b-9053-4ddd35daba7f.jpg?v=1744263676&amp;width=800</t>
    </r>
  </si>
  <si>
    <t>Roopsee-F-MO-44</t>
  </si>
  <si>
    <t>Dr. Sheth's Gulab &amp; Glycolic Acid Oil-Free Moisturizer</t>
  </si>
  <si>
    <t>Glycolic Acid</t>
  </si>
  <si>
    <t>Gulab (Rose), Niacinamide</t>
  </si>
  <si>
    <t>An oil-free moisturizer from the Gulab &amp; Glycolic Acid range that helps exfoliate, hydrate and support a smoother glow.</t>
  </si>
  <si>
    <t>Aqua, Glycerin, Caprylic/Capric Triglyceride, Rosa Damascena Flower Extract, Glycolic Acid, Hydrating Actives, Fragrance, Cetearyl Alcohol, Glyceryl Stearate, Butyrospermum Parkii (Shea) Butter, Dimethicone, Carbomer, Sodium Hydroxide, Disodium EDTA, Phenoxyethanol, Ethylhexylglycerin</t>
  </si>
  <si>
    <t>Ingredient caution: glycolic acid/AHA might cause stinging, dryness, peeling, redness and increased sun sensitivity; niacinamide is usually gentle but might cause tingling or flushing in very reactive skin; fragrance, essential oils or fragrance allergens might trigger redness, itching or allergic irritation; rich oils, butters or occlusive emollients might feel heavy or clog pores in acne-prone/oily skin.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Use a small amount first and avoid applying on active acne if it feels greasy. Stop use if irritation persists.</t>
  </si>
  <si>
    <r>
      <rPr>
        <color rgb="FF1155CC"/>
        <u/>
      </rPr>
      <t>https://www.drsheths.com/cdn/shop/files/G_G-OFM-1.jpg?v=1697778229&amp;width=800</t>
    </r>
    <r>
      <rPr/>
      <t/>
    </r>
    <r>
      <rPr>
        <color rgb="FF1155CC"/>
        <u/>
      </rPr>
      <t>https://www.drsheths.com/cdn/shop/files/White-BG_6ef009ec-4d05-423e-a822-888f20a14264.jpg?v=1697778229&amp;width=800</t>
    </r>
    <r>
      <rPr/>
      <t/>
    </r>
    <r>
      <rPr>
        <color rgb="FF1155CC"/>
        <u/>
      </rPr>
      <t>https://www.drsheths.com/cdn/shop/files/Benefits_53016e73-6447-4c7d-a94e-dbbcd9062b1b.jpg?v=1697778229&amp;width=800</t>
    </r>
    <r>
      <rPr/>
      <t/>
    </r>
    <r>
      <rPr>
        <color rgb="FF1155CC"/>
        <u/>
      </rPr>
      <t>https://www.drsheths.com/cdn/shop/files/Blue-BG_12ef1281-ae4a-4f14-96ca-469dd76c631f.jpg?v=1697778229&amp;width=800</t>
    </r>
  </si>
  <si>
    <t>Roopsee-F-SU-36</t>
  </si>
  <si>
    <t>Dr. Sheth's Oats &amp; Ceramide Sunscreen for Sensitive Skin SPF 50+ PA++++</t>
  </si>
  <si>
    <t>Oat Extract, SPF 50+ UV Filters</t>
  </si>
  <si>
    <t>A broad-spectrum SPF 50+ PA++++ sunscreen designed for sensitive and barrier-damaged skin. Oats soothe irritation while Ceramides help strengthen the skin barrier.</t>
  </si>
  <si>
    <t>Aqua, Glycerin, C12-15 Alkyl Benzoate, Avena Sativa (Oat) Kernel Extract, Ceramide Complex, Ethylhexyl Methoxycinnamate, Butyl Methoxydibenzoylmethane, Bis-Ethylhexyloxyphenol Methoxyphenyl Triazine, Diethylamino Hydroxybenzoyl Hexyl Benzoate, Ceramide NP, Ceramide AP, Ceramide EOP, Cholesterol, Phytosphingosine, Fragrance, Caprylic/Capric Triglyceride, Titanium Dioxide, Zinc Oxide, Silica, Carbomer, Triethanolamine, Disodium EDTA, Phenoxyethanol, Ethylhexylglycerin</t>
  </si>
  <si>
    <r>
      <rPr>
        <color rgb="FF1155CC"/>
        <u/>
      </rPr>
      <t>https://www.drsheths.com/cdn/shop/files/Copyof1.1.jpg?v=1743574068&amp;width=800</t>
    </r>
    <r>
      <rPr/>
      <t/>
    </r>
    <r>
      <rPr>
        <color rgb="FF1155CC"/>
        <u/>
      </rPr>
      <t>https://www.drsheths.com/cdn/shop/files/1.2_1.jpg?v=1743748831&amp;width=800</t>
    </r>
    <r>
      <rPr/>
      <t/>
    </r>
    <r>
      <rPr>
        <color rgb="FF1155CC"/>
        <u/>
      </rPr>
      <t>https://www.drsheths.com/cdn/shop/files/1.2.jpg?v=1743748831&amp;width=800</t>
    </r>
    <r>
      <rPr/>
      <t/>
    </r>
    <r>
      <rPr>
        <color rgb="FF1155CC"/>
        <u/>
      </rPr>
      <t>https://www.drsheths.com/cdn/shop/files/Copyof3keybenefits.jpg?v=1743748831&amp;width=800</t>
    </r>
  </si>
  <si>
    <t>Roopsee-F-SU-37</t>
  </si>
  <si>
    <t>Dr. Sheth's Kesar &amp; Kojic Acid Sunscreen SPF 50+ PA++++</t>
  </si>
  <si>
    <t>O, N</t>
  </si>
  <si>
    <t>Uneven Skin Tone, Dark Spots/Pigmentation, Tanning</t>
  </si>
  <si>
    <t>Kesar (Saffron), SPF 50+ UV Filters</t>
  </si>
  <si>
    <t>A lightweight non-greasy sunscreen with Kesar, 1% Kojic Acid and 1% Niacinamide to protect skin while supporting dark spot and pigmentation care.</t>
  </si>
  <si>
    <t>Aqua, Glycerin, C12-15 Alkyl Benzoate, Crocus Sativus Flower Extract, 1% Kojic Acid, 1% Niacinamide, Ethylhexyl Methoxycinnamate, Butyl Methoxydibenzoylmethane, Bis-Ethylhexyloxyphenol Methoxyphenyl Triazine, Diethylamino Hydroxybenzoyl Hexyl Benzoate, Niacinamide, Kojic Acid Dipalmitate, Alpha-Arbutin, Tranexamic Acid, Licorice Root Extract, Fragrance, Caprylic/Capric Triglyceride, Titanium Dioxide, Zinc Oxide, Silica, Carbomer, Triethanolamine, Disodium EDTA, Phenoxyethanol, Ethylhexylglycerin</t>
  </si>
  <si>
    <t>Ingredient caution: niacinamide is usually gentle but might cause tingling or flushing in very reactive skin; alpha arbutin, kojic acid, licorice extract, tranexamic acid might cause tingling, dryness or redness in sensitive skin; fragrance, essential oils or fragrance allergens might trigger redness, itching or allergic irritation; UV filters might sting around the eyes or irritate very sensitive skin. Do a patch test before applying.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Patch test near the jawline first, avoid the eye corners, and remove gently at night. Stop use if irritation persists.</t>
  </si>
  <si>
    <r>
      <rPr>
        <color rgb="FF1155CC"/>
        <u/>
      </rPr>
      <t>https://www.drsheths.com/cdn/shop/files/Shoot_image_1_3927434c-7167-43a3-b98d-6155649a5b62.jpg?v=1772111524&amp;width=800</t>
    </r>
    <r>
      <rPr/>
      <t/>
    </r>
    <r>
      <rPr>
        <color rgb="FF1155CC"/>
        <u/>
      </rPr>
      <t>https://www.drsheths.com/cdn/shop/files/6_9.jpg?v=1772111524&amp;width=800</t>
    </r>
    <r>
      <rPr/>
      <t/>
    </r>
    <r>
      <rPr>
        <color rgb="FF1155CC"/>
        <u/>
      </rPr>
      <t>https://www.drsheths.com/cdn/shop/files/7_11.jpg?v=1772111524&amp;width=800</t>
    </r>
    <r>
      <rPr/>
      <t/>
    </r>
    <r>
      <rPr>
        <color rgb="FF1155CC"/>
        <u/>
      </rPr>
      <t>https://www.drsheths.com/cdn/shop/files/9_6.jpg?v=1772111524&amp;width=800</t>
    </r>
  </si>
  <si>
    <t>Roopsee-F-MO-45</t>
  </si>
  <si>
    <t>Dr. Sheth's Ceramide &amp; Vitamin C Brightening Oil-Free Moisturizer</t>
  </si>
  <si>
    <t>A Ceramide &amp; Vitamin C oil-free moisturizer that strengthens the skin barrier, supports even tone, provides deep hydration and helps control shine.</t>
  </si>
  <si>
    <r>
      <rPr>
        <color rgb="FF1155CC"/>
        <u/>
      </rPr>
      <t>https://www.drsheths.com/cdn/shop/files/1_8.jpg?v=1771322918&amp;width=800</t>
    </r>
    <r>
      <rPr/>
      <t/>
    </r>
    <r>
      <rPr>
        <color rgb="FF1155CC"/>
        <u/>
      </rPr>
      <t>https://www.drsheths.com/cdn/shop/files/3_7.jpg?v=1771322950&amp;width=800</t>
    </r>
    <r>
      <rPr/>
      <t/>
    </r>
    <r>
      <rPr>
        <color rgb="FF1155CC"/>
        <u/>
      </rPr>
      <t>https://www.drsheths.com/cdn/shop/files/4_7.jpg?v=1771322950&amp;width=800</t>
    </r>
    <r>
      <rPr/>
      <t/>
    </r>
    <r>
      <rPr>
        <color rgb="FF1155CC"/>
        <u/>
      </rPr>
      <t>https://www.drsheths.com/cdn/shop/files/5_5.jpg?v=1771322950&amp;width=800</t>
    </r>
  </si>
  <si>
    <t>Roopsee-F-MO-46</t>
  </si>
  <si>
    <t>Dr. Sheth's Kesar &amp; Kojic Daily Pigmentation Correction Cream</t>
  </si>
  <si>
    <t>Kesar (Saffron), Tranexamic Acid</t>
  </si>
  <si>
    <t>An ultimate pigmentation correction cream with Kesar and Kojic Acid designed to target pigmentation and support a brighter, more even-looking complexion.</t>
  </si>
  <si>
    <t>Aqua, Glycerin, Caprylic/Capric Triglyceride, Crocus Sativus Flower Extract, Kojic Acid, Pigmentation-Correction Actives, Kojic Acid Dipalmitate, Alpha-Arbutin, Tranexamic Acid, Licorice Root Extract, Fragrance, Cetearyl Alcohol, Glyceryl Stearate, Butyrospermum Parkii (Shea) Butter, Dimethicone, Carbomer, Sodium Hydroxide, Disodium EDTA, Phenoxyethanol, Ethylhexylglycerin</t>
  </si>
  <si>
    <t>Ingredient caution: alpha arbutin, kojic acid, licorice extract, tranexamic acid might cause tingling, dryness or redness in sensitive skin; fragrance, essential oils or fragrance allergens might trigger redness, itching or allergic irritation; rich oils, butters or occlusive emollients might feel heavy or clog pores in acne-prone/oily skin; preservatives such as phenoxyethanol/benzyl alcohol might sting very sensitive or compromised skin. Do a patch test before applying. First-time users should start 3–4 times a week and pair with sunscreen, because pigmentation care works best with UV protection. Avoid this product if you have fragrance allergy, eczema-prone skin or a damaged barrier. Use a small amount first and avoid applying on active acne if it feels greasy. Do not apply on broken, freshly waxed or irritated skin. Stop use if irritation persists.</t>
  </si>
  <si>
    <r>
      <rPr>
        <color rgb="FF1155CC"/>
        <u/>
      </rPr>
      <t>https://www.drsheths.com/cdn/shop/products/PRA_0286.jpg?v=1681578396&amp;width=3347</t>
    </r>
    <r>
      <rPr/>
      <t/>
    </r>
    <r>
      <rPr>
        <color rgb="FF1155CC"/>
        <u/>
      </rPr>
      <t>https://www.drsheths.com/cdn/shop/products/Ingrident_90fe9acf-80e0-41a6-b3c0-4d5616caa91c.jpg?v=1681578396&amp;width=1000</t>
    </r>
    <r>
      <rPr/>
      <t/>
    </r>
    <r>
      <rPr>
        <color rgb="FF1155CC"/>
        <u/>
      </rPr>
      <t>https://www.drsheths.com/cdn/shop/products/8906148700371_3.jpg?v=1681578396&amp;width=1000</t>
    </r>
    <r>
      <rPr/>
      <t/>
    </r>
    <r>
      <rPr>
        <color rgb="FF1155CC"/>
        <u/>
      </rPr>
      <t>https://www.drsheths.com/cdn/shop/products/8906148700371_1.jpg?v=1681578396&amp;width=1000</t>
    </r>
  </si>
  <si>
    <t>Roopsee-B-LO-15</t>
  </si>
  <si>
    <t>Fixderma FCL Oatsilk Body Lotion</t>
  </si>
  <si>
    <t>Fixderma</t>
  </si>
  <si>
    <t>Colloidal Oat (Oatsilk)</t>
  </si>
  <si>
    <t>Shea Butter, Linoleic Acid</t>
  </si>
  <si>
    <t>Formulated with the Triple Oat Complex, Shea butter Linolenic Acid &amp; Sodium PCA to relieve and soothe skin while moisturizing for 24 hours to provide lasting protection and skin hydration.</t>
  </si>
  <si>
    <t>Aqua, Glycerin, Caprylic/Capric Triglyceride, Colloidal Oat Meal (Oatsilk), Shea Butter, Linoleic Acid, Sodium PCA, Cetearyl Alcohol, Glyceryl Stearate, Dimethicone, Carbomer, Disodium EDTA, Phenoxyethanol, Ethylhexylglycerin</t>
  </si>
  <si>
    <t>Ingredient caution: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Use a small amount first and avoid applying on active acne if it feels greasy. Do not apply on broken, freshly waxed or irritated skin. Apply on slightly damp skin and follow with moisturiser if dryness occurs. Stop use if irritation persists.</t>
  </si>
  <si>
    <r>
      <rPr>
        <color rgb="FF1155CC"/>
        <u/>
      </rPr>
      <t>https://fclskincare.com/cdn/shop/files/Oatsilk_Body_Lotion_27.png?v=1757669274&amp;width=1445</t>
    </r>
    <r>
      <rPr/>
      <t/>
    </r>
    <r>
      <rPr>
        <color rgb="FF1155CC"/>
        <u/>
      </rPr>
      <t>https://fclskincare.com/cdn/shop/files/FCL_Oatsilk_Body_Lotion_7.webp?v=1756733994&amp;width=1445</t>
    </r>
    <r>
      <rPr/>
      <t/>
    </r>
    <r>
      <rPr>
        <color rgb="FF1155CC"/>
        <u/>
      </rPr>
      <t>https://fclskincare.com/cdn/shop/files/Oatsilk-Body-Lotion-400ml.webp?v=1765793021&amp;width=1445</t>
    </r>
    <r>
      <rPr/>
      <t/>
    </r>
    <r>
      <rPr>
        <color rgb="FF1155CC"/>
        <u/>
      </rPr>
      <t>https://fclskincare.com/cdn/shop/files/FCL_Oatsilk_Body_Lotion_4.webp?v=1765793021&amp;width=1445</t>
    </r>
  </si>
  <si>
    <t>Roopsee-F-MO-47</t>
  </si>
  <si>
    <t>Fixderma Fidelia Moisturizing Cream</t>
  </si>
  <si>
    <t>Lactic Acid</t>
  </si>
  <si>
    <t>Urea, Allantoin, Aloe Vera</t>
  </si>
  <si>
    <t>A moisturizing care formula from Fixderma designed to hydrate, nourish and support the skin barrier. Fidelia Moisturizing Cream helps keep skin soft, comfortable and cared for.</t>
  </si>
  <si>
    <t>Aqua, Glycerin, Caprylic/Capric Triglyceride, Allantoin, Urea, Lactic Acid, Aloe Barbadensis Leaf Juice, Almond Oil, Cetearyl Alcohol, Glyceryl Stearate, Butyrospermum Parkii (Shea) Butter, Dimethicone, Carbomer, Sodium Hydroxide, Disodium EDTA, Phenoxyethanol, Ethylhexylglycerin</t>
  </si>
  <si>
    <t>Ingredient caution: lactic acid/AHA might cause stinging, dryness, peeling, redness and increased sun sensitivity;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Use a small amount first and avoid applying on active acne if it feels greasy. Do not apply on broken, freshly waxed or irritated skin. Apply on slightly damp skin and follow with moisturiser if dryness occurs. Stop use if irritation persists.</t>
  </si>
  <si>
    <r>
      <rPr>
        <color rgb="FF1155CC"/>
        <u/>
      </rPr>
      <t>https://www.fixderma.com/cdn/shop/files/Fidelia_Moisturizing_Cream_b01039c6-f895-4ce6-9c9a-9dba9d9aa007.webp?v=1758537683</t>
    </r>
    <r>
      <rPr/>
      <t/>
    </r>
    <r>
      <rPr>
        <color rgb="FF1155CC"/>
        <u/>
      </rPr>
      <t>https://www.fixderma.com/cdn/shop/files/fidelia-moisturizing-cream2.webp?v=1758537683</t>
    </r>
    <r>
      <rPr/>
      <t/>
    </r>
    <r>
      <rPr>
        <color rgb="FF1155CC"/>
        <u/>
      </rPr>
      <t>https://www.fixderma.com/cdn/shop/files/fidelia-moisturizing-cream4.webp?v=1758537683</t>
    </r>
    <r>
      <rPr/>
      <t/>
    </r>
    <r>
      <rPr>
        <color rgb="FF1155CC"/>
        <u/>
      </rPr>
      <t>https://www.fixderma.com/cdn/shop/files/fidelia-moisturizing-cream1.webp?v=1758537683</t>
    </r>
  </si>
  <si>
    <t>Roopsee-F-MO-48</t>
  </si>
  <si>
    <t>Fixderma Cleovera Cica Cream</t>
  </si>
  <si>
    <t>Centella Asiatica (Gotu Kola)</t>
  </si>
  <si>
    <t>Aloe Vera, Vitamin A, Vitamin E</t>
  </si>
  <si>
    <t>A moisturizing care formula from Fixderma designed to hydrate, nourish and support the skin barrier. Cleovera Cica Cream helps keep skin soft, comfortable and cared for.</t>
  </si>
  <si>
    <t>Aqua, Glycerin, Caprylic/Capric Triglyceride, Centella Asiatica Extract, Cetearyl Alcohol, Glyceryl Stearate, Butyrospermum Parkii (Shea) Butter, Dimethicone, Carbomer, Sodium Hydroxide, Disodium EDTA, Phenoxyethanol, Ethylhexylglycerin</t>
  </si>
  <si>
    <r>
      <rPr>
        <color rgb="FF1155CC"/>
        <u/>
      </rPr>
      <t>https://www.fixderma.com/cdn/shop/files/clovera_cica_cream.webp?v=1756374329</t>
    </r>
    <r>
      <rPr/>
      <t/>
    </r>
    <r>
      <rPr>
        <color rgb="FF1155CC"/>
        <u/>
      </rPr>
      <t>https://www.fixderma.com/cdn/shop/files/cleovera_cream_special.webp?v=1756374329</t>
    </r>
    <r>
      <rPr/>
      <t/>
    </r>
    <r>
      <rPr>
        <color rgb="FF1155CC"/>
        <u/>
      </rPr>
      <t>https://www.fixderma.com/cdn/shop/files/CleoveraCicaCream4.webp?v=1756374329</t>
    </r>
    <r>
      <rPr/>
      <t/>
    </r>
    <r>
      <rPr>
        <color rgb="FF1155CC"/>
        <u/>
      </rPr>
      <t>https://www.fixderma.com/cdn/shop/files/CleoveraCicaCream6.webp?v=1756374329</t>
    </r>
  </si>
  <si>
    <t>Roopsee-F-SE-65</t>
  </si>
  <si>
    <t>Fixderma Reticuram Retinol Serum</t>
  </si>
  <si>
    <t>15ml</t>
  </si>
  <si>
    <t>Retinol (Retistar)</t>
  </si>
  <si>
    <t>Shea Butter, Vitamin E</t>
  </si>
  <si>
    <t>A targeted Fixderma serum formulated with active ingredients to support visible skin improvement and address specific skin concerns.</t>
  </si>
  <si>
    <t>Aqua, Glycerin, Butylene Glycol, Retinol, Tocopheryl Acetate, Squalane, Propanediol, Methylpropanediol, Hydroxyethylcellulose, Xanthan Gum, Disodium EDTA, Phenoxyethanol, Ethylhexylglycerin</t>
  </si>
  <si>
    <t>Ingredient caution: retinol/retinoids might cause dryness, peeling, redness, purging and sun sensitivity;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Retinol is not advised for pregnant or breastfeeding women unless approved by a doctor. First-time users should start 3–4 times a week at night, avoid layering with exfoliating acids, and use sunscreen daily. Use a small amount first and avoid applying on active acne if it feels greasy. Do not apply on broken, freshly waxed or irritated skin. Stop use if irritation persists.</t>
  </si>
  <si>
    <r>
      <rPr>
        <color rgb="FF1155CC"/>
        <u/>
      </rPr>
      <t>https://www.fixderma.com/cdn/shop/files/reticuram_face_serum_medium.webp?v=1756385564</t>
    </r>
    <r>
      <rPr/>
      <t/>
    </r>
    <r>
      <rPr>
        <color rgb="FF1155CC"/>
        <u/>
      </rPr>
      <t>https://www.fixderma.com/cdn/shop/files/Reticuram-Serum2_medium.webp?v=1756385564</t>
    </r>
    <r>
      <rPr/>
      <t/>
    </r>
    <r>
      <rPr>
        <color rgb="FF1155CC"/>
        <u/>
      </rPr>
      <t>https://www.fixderma.com/cdn/shop/products/Reticuram-serum-2_kstytl_medium.webp?v=1756385564</t>
    </r>
    <r>
      <rPr/>
      <t/>
    </r>
    <r>
      <rPr>
        <color rgb="FF1155CC"/>
        <u/>
      </rPr>
      <t>https://www.fixderma.com/cdn/shop/files/Reticuram-Serum-with-Back-box_jpg_medium.webp?v=1756385564</t>
    </r>
  </si>
  <si>
    <t>Roopsee-F-SU-38</t>
  </si>
  <si>
    <t>Fixderma Shadow SPF 30+ Sunscreen Cream</t>
  </si>
  <si>
    <t>75g</t>
  </si>
  <si>
    <t>O+S, D+S, N+S</t>
  </si>
  <si>
    <t>SPF 30+ (UV Filters)</t>
  </si>
  <si>
    <t>Vitamin E, Aloe Vera</t>
  </si>
  <si>
    <t>A dermatologist-developed sunscreen designed to protect skin from UVA/UVB exposure while staying suitable for daily use. Shadow SPF 30+ Sunscreen Cream supports sun protection with a comfortable skincare finish.</t>
  </si>
  <si>
    <t>Aqua, Glycerin, C12-15 Alkyl Benzoate, Ethylhexyl Methoxycinnamate, Butyl Methoxydibenzoylmethane, Bis-Ethylhexyloxyphenol Methoxyphenyl Triazine, Diethylamino Hydroxybenzoyl Hexyl Benzoate, Caprylic/Capric Triglyceride, Titanium Dioxide, Zinc Oxide, Silica, Carbomer, Triethanolamine, Disodium EDTA, Phenoxyethanol, Ethylhexylglycerin</t>
  </si>
  <si>
    <t>Ingredient caution: UV filters might sting around the eyes or irritate very sensitive skin; preservatives such as phenoxyethanol/benzyl alcohol might sting very sensitive or compromised skin; humectants such as hyaluronic acid/glycerin are usually gentle but might feel sticky or tight if not sealed with moisturiser. Do a patch test before applying. Patch test near the jawline first, avoid the eye corners, and remove gently at night. Do not apply on broken, freshly waxed or irritated skin. Apply on slightly damp skin and follow with moisturiser if dryness occurs. Stop use if irritation persists.</t>
  </si>
  <si>
    <r>
      <rPr>
        <color rgb="FF1155CC"/>
        <u/>
      </rPr>
      <t>https://www.fixderma.com/cdn/shop/files/Shadow-30_-Cream-1024.webp?v=1756197626</t>
    </r>
    <r>
      <rPr/>
      <t/>
    </r>
    <r>
      <rPr>
        <color rgb="FF1155CC"/>
        <u/>
      </rPr>
      <t>https://www.fixderma.com/cdn/shop/products/Shadow30_Cream-1.webp?v=1756197626</t>
    </r>
    <r>
      <rPr/>
      <t/>
    </r>
    <r>
      <rPr>
        <color rgb="FF1155CC"/>
        <u/>
      </rPr>
      <t>https://www.fixderma.com/cdn/shop/products/Shadow30_Cream-2.webp?v=1756197626</t>
    </r>
    <r>
      <rPr/>
      <t/>
    </r>
    <r>
      <rPr>
        <color rgb="FF1155CC"/>
        <u/>
      </rPr>
      <t>https://www.fixderma.com/cdn/shop/files/SPF_30_Cream_75g_ingredients.webp?v=1776427063</t>
    </r>
  </si>
  <si>
    <t>Roopsee-F-SU-39</t>
  </si>
  <si>
    <t>Fixderma Shadow Kids SPF 30+ Lotion</t>
  </si>
  <si>
    <t>Redness/Irritation, Dehydration, Tanning</t>
  </si>
  <si>
    <t>A dermatologist-developed sunscreen designed to protect skin from UVA/UVB exposure while staying suitable for daily use. Shadow Kids SPF 30+ Lotion supports sun protection with a comfortable skincare finish.</t>
  </si>
  <si>
    <r>
      <rPr>
        <color rgb="FF1155CC"/>
        <u/>
      </rPr>
      <t>https://www.fixderma.com/cdn/shop/files/FDSHADOWSPF30LOTIONKIDS75GM36516_1200x.webp?v=1756381126</t>
    </r>
    <r>
      <rPr/>
      <t/>
    </r>
    <r>
      <rPr>
        <color rgb="FF1155CC"/>
        <u/>
      </rPr>
      <t>https://www.fixderma.com/cdn/shop/files/FDSHADOWSPF30LOTIONKIDS75GM36516.webp?v=1756381126</t>
    </r>
    <r>
      <rPr/>
      <t/>
    </r>
    <r>
      <rPr>
        <color rgb="FF1155CC"/>
        <u/>
      </rPr>
      <t>https://www.fixderma.com/cdn/shop/files/Artboard5_jpg_26b02af0-db59-4076-8615-b8e0fec37a79.webp?v=1776686764</t>
    </r>
    <r>
      <rPr/>
      <t/>
    </r>
    <r>
      <rPr>
        <color rgb="FF1155CC"/>
        <u/>
      </rPr>
      <t>https://www.fixderma.com/cdn/shop/files/SPF_30_Lotion_whatdoes.webp?v=1756381126</t>
    </r>
  </si>
  <si>
    <t>Roopsee-F-SU-40</t>
  </si>
  <si>
    <t>Fixderma Shadow Sunscreen Lotion SPF 80+</t>
  </si>
  <si>
    <t>SPF 80+ (UV Filters)</t>
  </si>
  <si>
    <t>A dermatologist-developed sunscreen designed to protect skin from UVA/UVB exposure while staying suitable for daily use. Shadow Sunscreen Lotion SPF 80+ supports sun protection with a comfortable skincare finish.</t>
  </si>
  <si>
    <r>
      <rPr>
        <color rgb="FF1155CC"/>
        <u/>
      </rPr>
      <t>https://www.fixderma.com/cdn/shop/files/shadow-spf-80-sunscreen-lotion-4.webp?v=1776426364</t>
    </r>
    <r>
      <rPr/>
      <t/>
    </r>
    <r>
      <rPr>
        <color rgb="FF1155CC"/>
        <u/>
      </rPr>
      <t>https://www.fixderma.com/cdn/shop/files/shadow-spf-80-sunscreen-lotion-5.webp?v=1776426364</t>
    </r>
    <r>
      <rPr/>
      <t/>
    </r>
    <r>
      <rPr>
        <color rgb="FF1155CC"/>
        <u/>
      </rPr>
      <t>https://www.fixderma.com/cdn/shop/files/shadow-spf-80-sunscreen-lotion-6.webp?v=1776426364</t>
    </r>
    <r>
      <rPr/>
      <t/>
    </r>
    <r>
      <rPr>
        <color rgb="FF1155CC"/>
        <u/>
      </rPr>
      <t>https://www.fixderma.com/cdn/shop/files/shadow-spf-80-sunscreen-lotion-front.webp?v=1776426364</t>
    </r>
  </si>
  <si>
    <t>Roopsee-F-TR-02</t>
  </si>
  <si>
    <t>Fixderma Salyzap Acne Spot Corrector Gel</t>
  </si>
  <si>
    <t>20g</t>
  </si>
  <si>
    <t>Tea Tree Oil, Niacinamide</t>
  </si>
  <si>
    <t>A targeted acne-care treatment from Fixderma designed for blemish-prone skin and localized breakouts.</t>
  </si>
  <si>
    <t>Aqua, Glycerin, Propanediol, CutiBiome, Salicylic Acid, Niacinamide, Aczero, Zinc PCA, Melaleuca Alternifolia (Tea Tree) Leaf Oil, Carbomer, Sodium Hydroxide, Disodium EDTA, Phenoxyethanol, Ethylhexylglycerin</t>
  </si>
  <si>
    <r>
      <rPr>
        <color rgb="FF1155CC"/>
        <u/>
      </rPr>
      <t>https://www.fixderma.com/cdn/shop/files/Salyzap_Acne_Spot_Corrector_4c741819-0572-455b-9e81-a43d1141e16b.webp?v=1758538818</t>
    </r>
    <r>
      <rPr/>
      <t/>
    </r>
    <r>
      <rPr>
        <color rgb="FF1155CC"/>
        <u/>
      </rPr>
      <t>https://www.fixderma.com/cdn/shop/files/FixdermaSalyzapAcneSpotCorrectorGelreview.webp?v=1758538818</t>
    </r>
    <r>
      <rPr/>
      <t/>
    </r>
    <r>
      <rPr>
        <color rgb="FF1155CC"/>
        <u/>
      </rPr>
      <t>https://www.fixderma.com/cdn/shop/files/FixdermaSalyzapAcneSpotCorrectorGelspecial.webp?v=1758538818</t>
    </r>
    <r>
      <rPr/>
      <t/>
    </r>
    <r>
      <rPr>
        <color rgb="FF1155CC"/>
        <u/>
      </rPr>
      <t>https://www.fixderma.com/cdn/shop/files/FixdermaSalyzapAcneSpotCorrectorGelbenefits.webp?v=1758538818</t>
    </r>
  </si>
  <si>
    <t>Roopsee-B-BS-01</t>
  </si>
  <si>
    <t>Fixderma Salyzap Spray for Body Acne</t>
  </si>
  <si>
    <t>Body spray</t>
  </si>
  <si>
    <t>Retinol, Tea Tree Oil</t>
  </si>
  <si>
    <t>Aqua, Alcohol Denat., Propanediol, Salicylic Acid, Retinol, Lipacide C8G, Tea Tree Oil, Zinc PCA, Melaleuca Alternifolia (Tea Tree) Leaf Oil, Tocopheryl Acetate, Squalane, Polysorbate 20, Disodium EDTA, Phenoxyethanol, Fragrance</t>
  </si>
  <si>
    <t>Ingredient caution: retinol/retinoids might cause dryness, peeling, redness, purging and sun sensitivity; salicylic acid/BHA might cause stinging, dryness, peeling, redness and increased sun sensitivity; sulfur/zinc-based oil-control ingredients might feel drying or tight on already dry skin; fragrance, essential oils or fragrance allergens might trigger redness, itching or allergic irritation. Do a patch test before applying. Retinol is not advised for pregnant or breastfeeding women unless approved by a doctor. First-time users should start 3–4 times a week at night, avoid layering with exfoliating acids, and use sunscreen daily. First-time users should start 3–4 times a week, avoid using it with retinol or other exfoliating acids in the same routine, and apply sunscreen daily. Use a moisturiser and reduce frequency if the skin feels tight or flaky. Stop use if irritation persists.</t>
  </si>
  <si>
    <r>
      <rPr>
        <color rgb="FF1155CC"/>
        <u/>
      </rPr>
      <t>https://www.fixderma.com/cdn/shop/files/Anti_acne_Spray_3.webp?v=1774258435</t>
    </r>
    <r>
      <rPr/>
      <t/>
    </r>
    <r>
      <rPr>
        <color rgb="FF1155CC"/>
        <u/>
      </rPr>
      <t>https://www.fixderma.com/cdn/shop/files/Anti_acne_Spray_1.webp?v=1774258435</t>
    </r>
    <r>
      <rPr/>
      <t/>
    </r>
    <r>
      <rPr>
        <color rgb="FF1155CC"/>
        <u/>
      </rPr>
      <t>https://www.fixderma.com/cdn/shop/files/Anti_acne_Spray_2.webp?v=1774258435</t>
    </r>
    <r>
      <rPr/>
      <t/>
    </r>
    <r>
      <rPr>
        <color rgb="FF1155CC"/>
        <u/>
      </rPr>
      <t>https://www.fixderma.com/cdn/shop/files/Anti_acne_Spray_4.webp?v=1756362311</t>
    </r>
  </si>
  <si>
    <t>Roopsee-B-LO-16</t>
  </si>
  <si>
    <t>Fixderma Moisturizing Lotion</t>
  </si>
  <si>
    <t>D, D+S, N+S, C+S</t>
  </si>
  <si>
    <t>Urea</t>
  </si>
  <si>
    <t>Lactic Acid, Aloe Vera</t>
  </si>
  <si>
    <t>A moisturizing care formula from Fixderma designed to hydrate, nourish and support the skin barrier. Moisturizing Lotion helps keep skin soft, comfortable and cared for.</t>
  </si>
  <si>
    <t>Aqua, Glycerin, Caprylic/Capric Triglyceride, Glyceryl Monostearate, Glycerol, Aloe Barbadensis Leaf Juice, Stearic Acid, Cetearyl Alcohol, Phenoxyethanol, Ethylhexylglycerin, Glyceryl Stearate, Dimethicone, Carbomer, Disodium EDTA</t>
  </si>
  <si>
    <t>Ingredient caution: lactic acid/AHA might cause stinging, dryness, peeling, redness and increased sun sensitivity;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Do not apply on broken, freshly waxed or irritated skin. Apply on slightly damp skin and follow with moisturiser if dryness occurs. Stop use if irritation persists.</t>
  </si>
  <si>
    <r>
      <rPr>
        <color rgb="FF1155CC"/>
        <u/>
      </rPr>
      <t>https://www.fixderma.com/cdn/shop/files/Moisturizing_Lotion.webp?v=1757916109</t>
    </r>
    <r>
      <rPr/>
      <t/>
    </r>
    <r>
      <rPr>
        <color rgb="FF1155CC"/>
        <u/>
      </rPr>
      <t>https://www.fixderma.com/cdn/shop/files/2_2097c19a-f239-49bf-8069-5d1eac0b7657.webp?v=1757916109</t>
    </r>
    <r>
      <rPr/>
      <t/>
    </r>
    <r>
      <rPr>
        <color rgb="FF1155CC"/>
        <u/>
      </rPr>
      <t>https://www.fixderma.com/cdn/shop/files/3_f926410a-4db1-4492-8f4d-162a0e5c5362.webp?v=1757916109</t>
    </r>
    <r>
      <rPr/>
      <t/>
    </r>
    <r>
      <rPr>
        <color rgb="FF1155CC"/>
        <u/>
      </rPr>
      <t>https://www.fixderma.com/cdn/shop/files/moisturizing-lotion-150ml_cce76501-6c56-48b8-858f-4b135a6ddd0b.webp?v=1757916109</t>
    </r>
  </si>
  <si>
    <t>Roopsee-F-MO-49</t>
  </si>
  <si>
    <t>Fixderma Face 21 Cream</t>
  </si>
  <si>
    <t>Niacinamide, Bakuchiol, Hyaluronic Acid</t>
  </si>
  <si>
    <t>A moisturizing care formula from Fixderma designed to hydrate, nourish and support the skin barrier. Face 21 Cream helps keep skin soft, comfortable and cared for.</t>
  </si>
  <si>
    <t>Aqua, Glycerin, Caprylic/Capric Triglyceride, Glutathione, Alpha Arbutin, Niacinamide, Vitamin E, Shea Butter, Cetearyl Alcohol, Glyceryl Stearate, Butyrospermum Parkii (Shea) Butter, Dimethicone, Carbomer, Sodium Hydroxide, Disodium EDTA, Phenoxyethanol, Ethylhexylglycerin</t>
  </si>
  <si>
    <t>Ingredient caution: niacinamide is usually gentle but might cause tingling or flushing in very reactive skin; alpha arbutin, glutathione might cause tingling, dryness or redness in sensitive skin; rich oils, butters or occlusive emollients might feel heavy or clog pores in acne-prone/oily skin; preservatives such as phenoxyethanol/benzyl alcohol might sting very sensitive or compromised skin. Do a patch test before applying. Start slowly if your skin is sensitive and avoid combining too many new actives at once. First-time users should start 3–4 times a week and pair with sunscreen, because pigmentation care works best with UV protection. Use a small amount first and avoid applying on active acne if it feels greasy. Do not apply on broken, freshly waxed or irritated skin. Stop use if irritation persists.</t>
  </si>
  <si>
    <r>
      <rPr>
        <color rgb="FF1155CC"/>
        <u/>
      </rPr>
      <t>https://www.fixderma.com/cdn/shop/files/Face_21_Cream.webp?v=1757915562</t>
    </r>
    <r>
      <rPr/>
      <t/>
    </r>
    <r>
      <rPr>
        <color rgb="FF1155CC"/>
        <u/>
      </rPr>
      <t>https://www.fixderma.com/cdn/shop/files/Face21CreamTube2.webp?v=1757915562</t>
    </r>
    <r>
      <rPr/>
      <t/>
    </r>
    <r>
      <rPr>
        <color rgb="FF1155CC"/>
        <u/>
      </rPr>
      <t>https://www.fixderma.com/cdn/shop/files/Face21CreamTube3.webp?v=1757915562</t>
    </r>
    <r>
      <rPr/>
      <t/>
    </r>
    <r>
      <rPr>
        <color rgb="FF1155CC"/>
        <u/>
      </rPr>
      <t>https://www.fixderma.com/cdn/shop/files/Face21CreamTube1.webp?v=1757915562</t>
    </r>
  </si>
  <si>
    <t>Roopsee-F-CL-36</t>
  </si>
  <si>
    <t>Fixderma Dewrav Gentle &amp; Hydrating Face Wash</t>
  </si>
  <si>
    <t>Aloe Vera</t>
  </si>
  <si>
    <t>Panthenol, Probiotics</t>
  </si>
  <si>
    <t>A gentle daily cleanser from Fixderma formulated to cleanse skin impurities without over-drying. Dewrav Gentle &amp; Hydrating Face Wash is designed for targeted skin concerns and daily skincare use.</t>
  </si>
  <si>
    <t>Aqua, Glycerin, Sodium Lauroyl Sarcosinate, 6% Oat Extract, Sodium Hyaluronate, Bisabolol, Vitamin B5, Panthenol, Allantoin, Cocamidopropyl Betaine, Decyl Glucoside, Acrylates Copolymer, Sodium Chloride, Citric Acid, Disodium EDTA, Phenoxyethanol, Ethylhexylglycerin</t>
  </si>
  <si>
    <r>
      <rPr>
        <color rgb="FF1155CC"/>
        <u/>
      </rPr>
      <t>https://www.fixderma.com/cdn/shop/files/DEWRAV_GENTLE_AND_HYDRATING_FACE_WASH.webp?v=1756373275</t>
    </r>
    <r>
      <rPr/>
      <t/>
    </r>
    <r>
      <rPr>
        <color rgb="FF1155CC"/>
        <u/>
      </rPr>
      <t>https://www.fixderma.com/cdn/shop/files/dewrav_gentle_body_wash_key_benefits.webp?v=1769676086</t>
    </r>
    <r>
      <rPr/>
      <t/>
    </r>
    <r>
      <rPr>
        <color rgb="FF1155CC"/>
        <u/>
      </rPr>
      <t>https://www.fixderma.com/cdn/shop/files/dewrav_gentle_body_wash_clinically_proven.webp?v=1769676105</t>
    </r>
    <r>
      <rPr/>
      <t/>
    </r>
    <r>
      <rPr>
        <color rgb="FF1155CC"/>
        <u/>
      </rPr>
      <t>https://www.fixderma.com/cdn/shop/files/dewrav_gentle_body_wash_1.webp?v=1769749364</t>
    </r>
  </si>
  <si>
    <t>Roopsee-F-CL-37</t>
  </si>
  <si>
    <t>Fixderma Vitamin C Face Wash for Oily Skin</t>
  </si>
  <si>
    <t>Niacinamide, Aloe Vera</t>
  </si>
  <si>
    <t>A gentle daily cleanser from Fixderma formulated to cleanse skin impurities without over-drying. Vitamin C Face Wash for Oily Skin is designed for targeted skin concerns and daily skincare use.</t>
  </si>
  <si>
    <t>Aqua, Glycerin, Sodium Lauroyl Sarcosinate, Vitamin C, Sodium Ascorbyl Phosphate, 3-O-Ethyl Ascorbic Acid, Tocopheryl Acetate, Cocamidopropyl Betaine, Decyl Glucoside, Acrylates Copolymer, Sodium Chloride, Citric Acid, Disodium EDTA, Phenoxyethanol, Ethylhexylglycerin</t>
  </si>
  <si>
    <t>Ingredient caution: vitamin C/ascorbic derivatives might cause tingling, redness or irritation in sensitive skin; niacinamide is usually gentle but might cause tingling or flushing in very reactive skin; cleansing surfactants might cause dryness, stinging or tightness if overused;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Use lukewarm water, do not scrub, and follow with moisturiser. Do not apply on broken, freshly waxed or irritated skin. Stop use if irritation persists.</t>
  </si>
  <si>
    <r>
      <rPr>
        <color rgb="FF1155CC"/>
        <u/>
      </rPr>
      <t>https://www.fixderma.com/cdn/shop/files/Vitamin_C_Face_Cleanser.webp?v=1758028168</t>
    </r>
    <r>
      <rPr/>
      <t/>
    </r>
    <r>
      <rPr>
        <color rgb="FF1155CC"/>
        <u/>
      </rPr>
      <t>https://www.fixderma.com/cdn/shop/files/VitamincCleanser2.webp?v=1758028168</t>
    </r>
    <r>
      <rPr/>
      <t/>
    </r>
    <r>
      <rPr>
        <color rgb="FF1155CC"/>
        <u/>
      </rPr>
      <t>https://www.fixderma.com/cdn/shop/files/VitamincCleanser3.webp?v=1758028168</t>
    </r>
    <r>
      <rPr/>
      <t/>
    </r>
    <r>
      <rPr>
        <color rgb="FF1155CC"/>
        <u/>
      </rPr>
      <t>https://www.fixderma.com/cdn/shop/files/VitamincCleanser1.webp?v=1758028168</t>
    </r>
  </si>
  <si>
    <t>Roopsee-F-MO-50</t>
  </si>
  <si>
    <t>Fixderma Dewrav Brightening &amp; Oil Free Face Moisturizer</t>
  </si>
  <si>
    <t xml:space="preserve"> Redness/Irritation, Dehydration</t>
  </si>
  <si>
    <t>ACB Fruit Mix, Panthenol</t>
  </si>
  <si>
    <t>A moisturizing care formula from Fixderma designed to hydrate, nourish and support the skin barrier. Dewrav Brightening &amp; Oil Free Face Moisturizer helps keep skin soft, comfortable and cared for.</t>
  </si>
  <si>
    <t>Aqua, Glycerin, Caprylic/Capric Triglyceride, ACB Fruit Mix, Probiotics, Panthenol, Aloe Barbadensis Leaf Juice, Sodium Ascorbyl Phosphate, 3-O-Ethyl Ascorbic Acid, Tocopheryl Acetate, Sodium Hyaluronate, Allantoin, Cetearyl Alcohol, Glyceryl Stearate, Butyrospermum Parkii (Shea) Butter, Dimethicone, Carbomer, Sodium Hydroxide, Disodium EDTA, Phenoxyethanol, Ethylhexylglycerin</t>
  </si>
  <si>
    <t>Ingredient caution: vitamin C/ascorbic derivatives might cause tingling, redness or irritation in sensitive skin; rich oils, butters or occlusive emollients might feel heavy or clog pores in acne-prone/oily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Use a small amount first and avoid applying on active acne if it feels greasy. Do not apply on broken, freshly waxed or irritated skin. Apply on slightly damp skin and follow with moisturiser if dryness occurs. Stop use if irritation persists.</t>
  </si>
  <si>
    <r>
      <rPr>
        <color rgb="FF1155CC"/>
        <u/>
      </rPr>
      <t>https://www.fixderma.com/cdn/shop/files/brightening_oil_free_face_moisturizer_single_product.webp?v=1770031890</t>
    </r>
    <r>
      <rPr/>
      <t/>
    </r>
    <r>
      <rPr>
        <color rgb="FF1155CC"/>
        <u/>
      </rPr>
      <t>https://www.fixderma.com/cdn/shop/files/brightening_oil_free_face_moisturizer_with_bg.webp?v=1770031890</t>
    </r>
    <r>
      <rPr/>
      <t/>
    </r>
    <r>
      <rPr>
        <color rgb="FF1155CC"/>
        <u/>
      </rPr>
      <t>https://www.fixderma.com/cdn/shop/files/brightening_oil_free_face_moisturizer_key_benefits.webp?v=1770031890</t>
    </r>
    <r>
      <rPr/>
      <t/>
    </r>
    <r>
      <rPr>
        <color rgb="FF1155CC"/>
        <u/>
      </rPr>
      <t>https://www.fixderma.com/cdn/shop/files/brightening_oil_free_face_moisturizer_front_box.webp?v=1770031890</t>
    </r>
  </si>
  <si>
    <t>Roopsee-F-MO-51</t>
  </si>
  <si>
    <t>Fixderma Brightening Gel Cream</t>
  </si>
  <si>
    <t>White Tomato Extract</t>
  </si>
  <si>
    <t>Niacinamide, Alpha Arbutin</t>
  </si>
  <si>
    <t>A moisturizing care formula from Fixderma designed to hydrate, nourish and support the skin barrier. Brightening Gel Cream helps keep skin soft, comfortable and cared for.</t>
  </si>
  <si>
    <t>Aqua, Glycerin, Caprylic/Capric Triglyceride, Brightening Actives, Hydrating Gel Base, Aloe Barbadensis Leaf Juice, Antioxidants, Sodium Ascorbyl Phosphate, 3-O-Ethyl Ascorbic Acid, Tocopheryl Acetate, Cetearyl Alcohol, Glyceryl Stearate, Butyrospermum Parkii (Shea) Butter, Dimethicone, Carbomer, Sodium Hydroxide, Disodium EDTA, Phenoxyethanol, Ethylhexylglycerin</t>
  </si>
  <si>
    <t>Ingredient caution: vitamin C/ascorbic derivatives might cause tingling, redness or irritation in sensitive skin; niacinamide is usually gentle but might cause tingling or flushing in very reactive skin; alpha arbutin might cause tingling, dryness or redness in sensitive skin; rich oils, butters or occlusive emollients might feel heavy or clog pores in acne-prone/oily skin.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Use a small amount first and avoid applying on active acne if it feels greasy. Stop use if irritation persists.</t>
  </si>
  <si>
    <r>
      <rPr>
        <color rgb="FF1155CC"/>
        <u/>
      </rPr>
      <t>https://www.fixderma.com/cdn/shop/files/TOMAGLOW_BRIGHTENING_CREAM_464d7ae3-a8bc-40b6-b62a-30eb7ce3e4ed.webp?v=1756380649</t>
    </r>
    <r>
      <rPr/>
      <t/>
    </r>
    <r>
      <rPr>
        <color rgb="FF1155CC"/>
        <u/>
      </rPr>
      <t>https://www.fixderma.com/cdn/shop/files/tomaglow-brightening-cream-2.webp?v=1756380649</t>
    </r>
    <r>
      <rPr/>
      <t/>
    </r>
    <r>
      <rPr>
        <color rgb="FF1155CC"/>
        <u/>
      </rPr>
      <t>https://www.fixderma.com/cdn/shop/files/tomaglow-brightening-cream-3.webp?v=1756380649</t>
    </r>
    <r>
      <rPr/>
      <t/>
    </r>
    <r>
      <rPr>
        <color rgb="FF1155CC"/>
        <u/>
      </rPr>
      <t>https://www.fixderma.com/cdn/shop/files/tomaglow-brightening-cream-1.webp?v=1756380649</t>
    </r>
  </si>
  <si>
    <t>Roopsee-F-MO-52</t>
  </si>
  <si>
    <t>Fixderma Epifager Ultra Cream</t>
  </si>
  <si>
    <t>Kojic Acid, Glutathione, Niacinamide</t>
  </si>
  <si>
    <t>A moisturizing care formula from Fixderma designed to hydrate, nourish and support the skin barrier. Epifager Ultra Cream helps keep skin soft, comfortable and cared for.</t>
  </si>
  <si>
    <t>Aqua, Glycerin, Caprylic/Capric Triglyceride, Kojic Acid, White Tomato Extract, Glutathione, Niacinamide, Kojic Acid Dipalmitate, Alpha-Arbutin, Tranexamic Acid, Licorice Root Extract, Cetearyl Alcohol, Glyceryl Stearate, Butyrospermum Parkii (Shea) Butter, Dimethicone, Carbomer, Sodium Hydroxide, Disodium EDTA, Phenoxyethanol, Ethylhexylglycerin</t>
  </si>
  <si>
    <t>Ingredient caution: niacinamide is usually gentle but might cause tingling or flushing in very reactive skin; alpha arbutin, glutathione, kojic acid, licorice extract, tranexamic acid might cause tingling, dryness or redness in sensitive skin; rich oils, butters or occlusive emollients might feel heavy or clog pores in acne-prone/oily skin; preservatives such as phenoxyethanol/benzyl alcohol might sting very sensitive or compromised skin. Do a patch test before applying. Start slowly if your skin is sensitive and avoid combining too many new actives at once. First-time users should start 3–4 times a week and pair with sunscreen, because pigmentation care works best with UV protection. Use a small amount first and avoid applying on active acne if it feels greasy. Do not apply on broken, freshly waxed or irritated skin. Stop use if irritation persists.</t>
  </si>
  <si>
    <r>
      <rPr>
        <color rgb="FF1155CC"/>
        <u/>
      </rPr>
      <t>https://www.fixderma.com/cdn/shop/files/Epifager_Ultra_Cream.webp?v=1759217513</t>
    </r>
    <r>
      <rPr/>
      <t/>
    </r>
    <r>
      <rPr>
        <color rgb="FF1155CC"/>
        <u/>
      </rPr>
      <t>https://www.fixderma.com/cdn/shop/files/EpifagerUltraCream2.webp?v=1759217513</t>
    </r>
    <r>
      <rPr/>
      <t/>
    </r>
    <r>
      <rPr>
        <color rgb="FF1155CC"/>
        <u/>
      </rPr>
      <t>https://www.fixderma.com/cdn/shop/files/EpifagerUltraCream3.webp?v=1759217513</t>
    </r>
    <r>
      <rPr/>
      <t/>
    </r>
    <r>
      <rPr>
        <color rgb="FF1155CC"/>
        <u/>
      </rPr>
      <t>https://www.fixderma.com/cdn/shop/files/EpifagerUltraCream4.webp?v=1759217513</t>
    </r>
  </si>
  <si>
    <t>Roopsee-F-SU-41</t>
  </si>
  <si>
    <t>Fixderma Brightening Sunscreen SPF 50+</t>
  </si>
  <si>
    <t>Niacinamide, Vitamin C</t>
  </si>
  <si>
    <t>A dermatologist-developed sunscreen designed to protect skin from UVA/UVB exposure while staying suitable for daily use. Brightening Sunscreen SPF 50+ supports sun protection with a comfortable skincare finish.</t>
  </si>
  <si>
    <t>Aqua, Glycerin, C12-15 Alkyl Benzoate, Ethylhexyl Methoxycinnamate, Butyl Methoxydibenzoylmethane, Bis-Ethylhexyloxyphenol Methoxyphenyl Triazine, Diethylamino Hydroxybenzoyl Hexyl Benzoate, Sodium Ascorbyl Phosphate, 3-O-Ethyl Ascorbic Acid, Tocopheryl Acetate, Caprylic/Capric Triglyceride, Titanium Dioxide, Zinc Oxide, Silica, Carbomer, Triethanolamine, Disodium EDTA, Phenoxyethanol, Ethylhexylglycerin</t>
  </si>
  <si>
    <t>Ingredient caution: vitamin C/ascorbic derivatives might cause tingling, redness or irritation in sensitive skin; niacinamide is usually gentle but might cause tingling or flushing in very reactive skin; UV filters might sting around the eyes or irritate very sensitive skin;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Patch test near the jawline first, avoid the eye corners, and remove gently at night. Do not apply on broken, freshly waxed or irritated skin. Stop use if irritation persists.</t>
  </si>
  <si>
    <r>
      <rPr>
        <color rgb="FF1155CC"/>
        <u/>
      </rPr>
      <t>https://www.fixderma.com/cdn/shop/files/SHADOW_BRIGHTENING_CREAM.webp?v=1756377060</t>
    </r>
    <r>
      <rPr/>
      <t/>
    </r>
    <r>
      <rPr>
        <color rgb="FF1155CC"/>
        <u/>
      </rPr>
      <t>https://www.fixderma.com/cdn/shop/files/shadow-brightening-sunscreen-cream-spf-50-2.webp?v=1756377060</t>
    </r>
    <r>
      <rPr/>
      <t/>
    </r>
    <r>
      <rPr>
        <color rgb="FF1155CC"/>
        <u/>
      </rPr>
      <t>https://www.fixderma.com/cdn/shop/files/shadow-brightening-sunscreen-cream-spf-50-3.webp?v=1756377060</t>
    </r>
    <r>
      <rPr/>
      <t/>
    </r>
    <r>
      <rPr>
        <color rgb="FF1155CC"/>
        <u/>
      </rPr>
      <t>https://www.fixderma.com/cdn/shop/files/shadow-brightening-sunscreen-cream-spf-50-front.webp?v=1756377060</t>
    </r>
  </si>
  <si>
    <t>Roopsee-B-LO-17</t>
  </si>
  <si>
    <t>Fixderma Ceramide Body Lotion</t>
  </si>
  <si>
    <t>A moisturizing care formula from Fixderma designed to hydrate, nourish and support the skin barrier. Ceramide Body Lotion helps keep skin soft, comfortable and cared for.</t>
  </si>
  <si>
    <t>Aqua, Glycerin, Caprylic/Capric Triglyceride, Ceramide, Ceramide NP, Ceramide AP, Ceramide EOP, Cholesterol, Phytosphingosine, Cetearyl Alcohol, Glyceryl Stearate, Dimethicone, Carbomer, Disodium EDTA, Phenoxyethanol, Ethylhexylglycerin</t>
  </si>
  <si>
    <r>
      <rPr>
        <color rgb="FF1155CC"/>
        <u/>
      </rPr>
      <t>https://www.fixderma.com/cdn/shop/files/Dewrav_Deep_Hydration_Body_Lotion.webp?v=1770034141</t>
    </r>
    <r>
      <rPr/>
      <t/>
    </r>
    <r>
      <rPr>
        <color rgb="FF1155CC"/>
        <u/>
      </rPr>
      <t>https://www.fixderma.com/cdn/shop/files/dewrav_deep_hydrating_body_lotion_clinically_proven.webp?v=1770034141</t>
    </r>
    <r>
      <rPr/>
      <t/>
    </r>
    <r>
      <rPr>
        <color rgb="FF1155CC"/>
        <u/>
      </rPr>
      <t>https://www.fixderma.com/cdn/shop/files/dewrav_deep_hydrating_body_lotion_key_benefits.webp?v=1770034141</t>
    </r>
    <r>
      <rPr/>
      <t/>
    </r>
    <r>
      <rPr>
        <color rgb="FF1155CC"/>
        <u/>
      </rPr>
      <t>https://www.fixderma.com/cdn/shop/files/dewrav_deep_hydrating_body_lotion_with_bg.webp?v=1770034141</t>
    </r>
  </si>
  <si>
    <t>Roopsee-B-LO-18</t>
  </si>
  <si>
    <t>Fixderma Brightening Body Lotion</t>
  </si>
  <si>
    <t>D, D+S, N</t>
  </si>
  <si>
    <t>White Mulberry Extract, Ceramide</t>
  </si>
  <si>
    <t>A moisturizing care formula from Fixderma designed to hydrate, nourish and support the skin barrier. Brightening Body Lotion helps keep skin soft, comfortable and cared for.</t>
  </si>
  <si>
    <t>Aqua, Glycerin, Caprylic/Capric Triglyceride, Cybright G, White Mulberry Extract, Niacinamide, Hydrating Actives, Sodium Ascorbyl Phosphate, 3-O-Ethyl Ascorbic Acid, Tocopheryl Acetate, Cetearyl Alcohol, Glyceryl Stearate, Dimethicone, Carbomer, Disodium EDTA, Phenoxyethanol, Ethylhexylglycerin</t>
  </si>
  <si>
    <r>
      <rPr>
        <color rgb="FF1155CC"/>
        <u/>
      </rPr>
      <t>https://www.fixderma.com/cdn/shop/files/brightening_body_lotion.webp?v=1770033372</t>
    </r>
    <r>
      <rPr/>
      <t/>
    </r>
    <r>
      <rPr>
        <color rgb="FF1155CC"/>
        <u/>
      </rPr>
      <t>https://www.fixderma.com/cdn/shop/files/brightening_body_lotion_clinically_proven.webp?v=1770033372</t>
    </r>
    <r>
      <rPr/>
      <t/>
    </r>
    <r>
      <rPr>
        <color rgb="FF1155CC"/>
        <u/>
      </rPr>
      <t>https://www.fixderma.com/cdn/shop/files/brightening_body_lotion_key_benefits.webp?v=1770033372</t>
    </r>
    <r>
      <rPr/>
      <t/>
    </r>
    <r>
      <rPr>
        <color rgb="FF1155CC"/>
        <u/>
      </rPr>
      <t>https://www.fixderma.com/cdn/shop/files/brightening_body_lotion_with_bg.webp?v=1770033372</t>
    </r>
  </si>
  <si>
    <t>Roopsee-B-LO-19</t>
  </si>
  <si>
    <t>Fixderma Dewrav Deep Exfoliating Body Lotion</t>
  </si>
  <si>
    <t>AHA Complex</t>
  </si>
  <si>
    <t>Glycolic Acid, Lactic Acid, Niacinamide</t>
  </si>
  <si>
    <t>A moisturizing care formula from Fixderma designed to hydrate, nourish and support the skin barrier. Dewrav Deep Exfoliating Body Lotion helps keep skin soft, comfortable and cared for.</t>
  </si>
  <si>
    <t>Aqua, Glycerin, Caprylic/Capric Triglyceride, Lactic Acid, Salicylic Acid, Aloe Barbadensis Leaf Juice, Niacinamide, Zinc PCA, Melaleuca Alternifolia (Tea Tree) Leaf Oil, Sodium Hyaluronate, Panthenol, Allantoin, Cetearyl Alcohol, Glyceryl Stearate, Dimethicone, Carbomer, Disodium EDTA, Phenoxyethanol, Ethylhexylglycerin</t>
  </si>
  <si>
    <t>Ingredient caution: glycolic acid/AHA, lactic acid/AHA, salicylic acid/BHA might cause stinging, dryness, peeling, redness and increased sun sensitivity; niacinamide is usually gentle but might cause tingling or flushing in very reactive skin; sulfur/zinc-based oil-control ingredients might feel drying or tight on already dry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Start slowly if your skin is sensitive and avoid combining too many new actives at once. Use a moisturiser and reduce frequency if the skin feels tight or flaky. Avoid this product if you have fragrance allergy, eczema-prone skin or a damaged barrier. Stop use if irritation persists.</t>
  </si>
  <si>
    <r>
      <rPr>
        <color rgb="FF1155CC"/>
        <u/>
      </rPr>
      <t>https://www.fixderma.com/cdn/shop/files/Dewrav_deep_exfoliating_body_lotion_tube.webp?v=1767344796</t>
    </r>
    <r>
      <rPr/>
      <t/>
    </r>
    <r>
      <rPr>
        <color rgb="FF1155CC"/>
        <u/>
      </rPr>
      <t>https://www.fixderma.com/cdn/shop/files/Dewrav_deep_exfoliating_body_lotion_medium.webp?v=1767344796</t>
    </r>
    <r>
      <rPr/>
      <t/>
    </r>
    <r>
      <rPr>
        <color rgb="FF1155CC"/>
        <u/>
      </rPr>
      <t>https://www.fixderma.com/cdn/shop/files/Dewrav_deep_exfoliating_body_lotion_clinically_proven_medium.webp?v=1767344796</t>
    </r>
    <r>
      <rPr/>
      <t/>
    </r>
    <r>
      <rPr>
        <color rgb="FF1155CC"/>
        <u/>
      </rPr>
      <t>https://www.fixderma.com/cdn/shop/files/Dewrav_deep_exfoliating_body_lotion_customers_say_medium.webp?v=1767344796</t>
    </r>
  </si>
  <si>
    <t>Roopsee-B-LO-20</t>
  </si>
  <si>
    <t>Fixderma Teenilicious Bum Body Cream</t>
  </si>
  <si>
    <t>Shea Butter, Kalahari Melon Extract</t>
  </si>
  <si>
    <t>A moisturizing care formula from Fixderma designed to hydrate, nourish and support the skin barrier. Teenilicious Bum Body Cream helps keep skin soft, comfortable and cared for.</t>
  </si>
  <si>
    <t>Aqua, Glycerin, Caprylic/Capric Triglyceride, Shea Butter, Kalahari Melon Extract, Retinol, Vitamin E, Tocopheryl Acetate, Squalane, Cetearyl Alcohol, Glyceryl Stearate, Dimethicone, Carbomer, Disodium EDTA, Phenoxyethanol, Ethylhexylglycerin</t>
  </si>
  <si>
    <t>Ingredient caution: retinol/retinoids might cause dryness, peeling, redness, purging and sun sensitivity; glycolic acid/AHA might cause stinging, dryness, peeling, redness and increased sun sensitivity; rich oils, butters or occlusive emollients might feel heavy or clog pores in acne-prone/oily skin; preservatives such as phenoxyethanol/benzyl alcohol might sting very sensitive or compromised skin. Do a patch test before applying. Retinol is not advised for pregnant or breastfeeding women unless approved by a doctor. First-time users should start 3–4 times a week at night, avoid layering with exfoliating acids, and use sunscreen daily. First-time users should start 3–4 times a week, avoid using it with retinol or other exfoliating acids in the same routine, and apply sunscreen daily. Use a small amount first and avoid applying on active acne if it feels greasy. Stop use if irritation persists.</t>
  </si>
  <si>
    <r>
      <rPr>
        <color rgb="FF1155CC"/>
        <u/>
      </rPr>
      <t>https://www.fixderma.com/cdn/shop/files/bum-body-cream-1.webp?v=1732705295</t>
    </r>
    <r>
      <rPr/>
      <t/>
    </r>
    <r>
      <rPr>
        <color rgb="FF1155CC"/>
        <u/>
      </rPr>
      <t>https://www.fixderma.com/cdn/shop/files/bum-body-cream-2.webp?v=1732705295</t>
    </r>
    <r>
      <rPr/>
      <t/>
    </r>
    <r>
      <rPr>
        <color rgb="FF1155CC"/>
        <u/>
      </rPr>
      <t>https://www.fixderma.com/cdn/shop/files/bum-body-cream-3.webp?v=1732768211</t>
    </r>
    <r>
      <rPr/>
      <t/>
    </r>
    <r>
      <rPr>
        <color rgb="FF1155CC"/>
        <u/>
      </rPr>
      <t>https://www.fixderma.com/cdn/shop/files/bum-body-cream-4.webp?v=1732705295</t>
    </r>
  </si>
  <si>
    <t>Roopsee-B-TR-01</t>
  </si>
  <si>
    <t>Fixderma Underarm Roll-On</t>
  </si>
  <si>
    <t>Body treatment</t>
  </si>
  <si>
    <t>Lactic Acid (6% AHA)</t>
  </si>
  <si>
    <t>Mandelic Acid (1%), Kojic Acid, Niacinamide</t>
  </si>
  <si>
    <t>A Fixderma body treatment formulated for targeted skincare support and daily use.</t>
  </si>
  <si>
    <t>Aqua, Alcohol Denat., Glycerin, Cybright G, Lactic Acid, Kojic Acid, Mandelic Acid, Sodium Ascorbyl Phosphate, 3-O-Ethyl Ascorbic Acid, Tocopheryl Acetate, Kojic Acid Dipalmitate, Alpha-Arbutin, Tranexamic Acid, Licorice Root Extract, Propanediol, Polysorbate 20, Triethanolamine, Disodium EDTA, Phenoxyethanol, Fragrance</t>
  </si>
  <si>
    <t>Ingredient caution: glycolic acid/AHA, lactic acid/AHA, mandelic acid/AHA might cause stinging, dryness, peeling, redness and increased sun sensitivity; vitamin C/ascorbic derivatives might cause tingling, redness or irritation in sensitive skin; niacinamide is usually gentle but might cause tingling or flushing in very reactive skin; alpha arbutin, kojic acid, licorice extract, tranexamic acid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</si>
  <si>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r>
      <rPr>
        <color rgb="FF1155CC"/>
        <u/>
      </rPr>
      <t>https://www.fixderma.com/cdn/shop/files/FDNIGRIFIXROLLONOCEAN60ML90779.webp?v=1756363227</t>
    </r>
    <r>
      <rPr/>
      <t/>
    </r>
    <r>
      <rPr>
        <color rgb="FF1155CC"/>
        <u/>
      </rPr>
      <t>https://www.fixderma.com/cdn/shop/files/roll_on_key.webp?v=1758717892</t>
    </r>
    <r>
      <rPr/>
      <t/>
    </r>
    <r>
      <rPr>
        <color rgb="FF1155CC"/>
        <u/>
      </rPr>
      <t>https://www.fixderma.com/cdn/shop/files/nigrifix_roll_ing.webp?v=1758717892</t>
    </r>
    <r>
      <rPr/>
      <t/>
    </r>
    <r>
      <rPr>
        <color rgb="FF1155CC"/>
        <u/>
      </rPr>
      <t>https://www.fixderma.com/cdn/shop/files/nigrifix-underarm-lightening-roll-on-combo.webp?v=1756363227</t>
    </r>
  </si>
  <si>
    <t>Roopsee-B-LO-21</t>
  </si>
  <si>
    <t>Fixderma Teenilicious Body Lotion Gold Sparkle</t>
  </si>
  <si>
    <t>D, D+S, N+S</t>
  </si>
  <si>
    <t>Glycerin, Vitamin E</t>
  </si>
  <si>
    <t>A moisturizing care formula from Fixderma designed to hydrate, nourish and support the skin barrier. Teenilicious Body Lotion Gold Sparkle helps keep skin soft, comfortable and cared for.</t>
  </si>
  <si>
    <t>Aqua, Glycerin, Caprylic/Capric Triglyceride, Oatmeal, Mango Butter, Jojoba Oil, Mandelic Acid, Antioxidants, Cetearyl Alcohol, Glyceryl Stearate, Dimethicone, Carbomer, Disodium EDTA, Phenoxyethanol, Ethylhexylglycerin</t>
  </si>
  <si>
    <t>Ingredient caution: mandelic acid/AHA might cause stinging, dryness, peeling, redness and increased sun sensitivity;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Do not apply on broken, freshly waxed or irritated skin. Apply on slightly damp skin and follow with moisturiser if dryness occurs. Stop use if irritation persists.</t>
  </si>
  <si>
    <r>
      <rPr>
        <color rgb="FF1155CC"/>
        <u/>
      </rPr>
      <t>https://www.fixderma.com/cdn/shop/files/gold-body-lotion_medium.jpg?v=1721023195</t>
    </r>
    <r>
      <rPr/>
      <t/>
    </r>
    <r>
      <rPr>
        <color rgb="FF1155CC"/>
        <u/>
      </rPr>
      <t>https://www.fixderma.com/cdn/shop/files/benefits-920198_medium.jpg?v=1721023195</t>
    </r>
    <r>
      <rPr/>
      <t/>
    </r>
    <r>
      <rPr>
        <color rgb="FF1155CC"/>
        <u/>
      </rPr>
      <t>https://www.fixderma.com/cdn/shop/files/keyingredients-228789_medium.jpg?v=1721023195</t>
    </r>
    <r>
      <rPr/>
      <t/>
    </r>
    <r>
      <rPr>
        <color rgb="FF1155CC"/>
        <u/>
      </rPr>
      <t>https://www.fixderma.com/cdn/shop/files/howtouse-745850_medium.jpg?v=1721023195</t>
    </r>
  </si>
  <si>
    <t>Roopsee-B-LO-22</t>
  </si>
  <si>
    <t>Fixderma Fidelia Hydrating Body Lotion</t>
  </si>
  <si>
    <t>Avocado Oil, Glycerin</t>
  </si>
  <si>
    <t>A moisturizing care formula from Fixderma designed to hydrate, nourish and support the skin barrier. Fidelia Hydrating Body Lotion helps keep skin soft, comfortable and cared for.</t>
  </si>
  <si>
    <t>Aqua, Glycerin, Caprylic/Capric Triglyceride, Water (Aqua), Sodium Lactate, Persea Gratissima (Avocado) Oil, Glycerine, Cetearyl Alcohol, Ceteareth-20, Salix Alba (Willow) Bark Extract, Beta-Sitosterol, Phenoxy PEG-4 Laurate/Palmitate, Phenoxyethanol, Ethylhexylglycerin, Lathyrus Odoratus (Sweet Pea) Flower Extract, Tocopheryl Acetate, Sodium Gluconate, Glyceryl Stearate, Dimethicone, Carbomer, Disodium EDTA</t>
  </si>
  <si>
    <r>
      <rPr>
        <color rgb="FF1155CC"/>
        <u/>
      </rPr>
      <t>https://www.fixderma.com/cdn/shop/files/Fidelia_Hydrating_Body_Lotion.webp?v=1758027044</t>
    </r>
    <r>
      <rPr/>
      <t/>
    </r>
    <r>
      <rPr>
        <color rgb="FF1155CC"/>
        <u/>
      </rPr>
      <t>https://www.fixderma.com/cdn/shop/files/Fidelia_Hydrating_Body_Lotion_200ml.webp?v=1758109768</t>
    </r>
    <r>
      <rPr/>
      <t/>
    </r>
    <r>
      <rPr>
        <color rgb="FF1155CC"/>
        <u/>
      </rPr>
      <t>https://www.fixderma.com/cdn/shop/files/FideliaHydratingBodyLotionForVeryDrytoScaly4.webp?v=1758109768</t>
    </r>
    <r>
      <rPr/>
      <t/>
    </r>
    <r>
      <rPr>
        <color rgb="FF1155CC"/>
        <u/>
      </rPr>
      <t>https://www.fixderma.com/cdn/shop/files/FideliaHydratingBodyLotionForVeryDrytoScaly3.webp?v=1758109768</t>
    </r>
  </si>
  <si>
    <t>Roopsee-B-LO-23</t>
  </si>
  <si>
    <t>Fixderma Fidelia Nourishing Body Lotion</t>
  </si>
  <si>
    <t>Shea Butter</t>
  </si>
  <si>
    <t>Sweet Almond Oil, Vitamin E</t>
  </si>
  <si>
    <t>A moisturizing care formula from Fixderma designed to hydrate, nourish and support the skin barrier. Fidelia Nourishing Body Lotion helps keep skin soft, comfortable and cared for.</t>
  </si>
  <si>
    <t>Aqua, Glycerin, Caprylic/Capric Triglyceride, RetiStar, Aloe Barbadensis Leaf Juice, Rice Bran Oil, Phytolite Phytosterol, Cetearyl Alcohol, Glyceryl Stearate, Dimethicone, Carbomer, Disodium EDTA, Phenoxyethanol, Ethylhexylglycerin</t>
  </si>
  <si>
    <r>
      <rPr>
        <color rgb="FF1155CC"/>
        <u/>
      </rPr>
      <t>https://www.fixderma.com/cdn/shop/files/Fidelia_Nourishing_Body_Lotion_100_ml.webp?v=1758110072</t>
    </r>
    <r>
      <rPr/>
      <t/>
    </r>
    <r>
      <rPr>
        <color rgb="FF1155CC"/>
        <u/>
      </rPr>
      <t>https://www.fixderma.com/cdn/shop/files/Fidelia_Nourishing_Body_Lotion_200ml.webp?v=1758110072</t>
    </r>
    <r>
      <rPr/>
      <t/>
    </r>
    <r>
      <rPr>
        <color rgb="FF1155CC"/>
        <u/>
      </rPr>
      <t>https://www.fixderma.com/cdn/shop/files/FideliaNourisingBodyLotionForVeryDry_Sensitive4.webp?v=1758110072</t>
    </r>
    <r>
      <rPr/>
      <t/>
    </r>
    <r>
      <rPr>
        <color rgb="FF1155CC"/>
        <u/>
      </rPr>
      <t>https://www.fixderma.com/cdn/shop/files/FideliaNourisingBodyLotionForVeryDry_Sensitive6.webp?v=1758110072</t>
    </r>
  </si>
  <si>
    <t>Roopsee-F-SU-42</t>
  </si>
  <si>
    <t>Fixderma Shadow SPF 50+ Tinted Sunscreen</t>
  </si>
  <si>
    <t>Tinted Pigments, Niacinamide</t>
  </si>
  <si>
    <t>A dermatologist-developed sunscreen designed to protect skin from UVA/UVB exposure while staying suitable for daily use. Shadow SPF 50+ Tinted Sunscreen supports sun protection with a comfortable skincare finish.</t>
  </si>
  <si>
    <r>
      <rPr>
        <color rgb="FF1155CC"/>
        <u/>
      </rPr>
      <t>https://www.fixderma.com/cdn/shop/files/FDSPF50TINTED30GM38251.webp?v=1756381464</t>
    </r>
    <r>
      <rPr/>
      <t/>
    </r>
    <r>
      <rPr>
        <color rgb="FF1155CC"/>
        <u/>
      </rPr>
      <t>https://www.fixderma.com/cdn/shop/files/tinted-sunscreen-benefit.webp?v=1756381464</t>
    </r>
    <r>
      <rPr/>
      <t/>
    </r>
    <r>
      <rPr>
        <color rgb="FF1155CC"/>
        <u/>
      </rPr>
      <t>https://www.fixderma.com/cdn/shop/files/tinted-sunscreen-special.webp?v=1756381464</t>
    </r>
    <r>
      <rPr/>
      <t/>
    </r>
    <r>
      <rPr>
        <color rgb="FF1155CC"/>
        <u/>
      </rPr>
      <t>https://www.fixderma.com/cdn/shop/files/tinted-medium-sunscreen-slide.webp?v=1756381464</t>
    </r>
  </si>
  <si>
    <t>Roopsee-F-SU-43</t>
  </si>
  <si>
    <t>Fixderma Acne Safe Sunscreen SPF 50+</t>
  </si>
  <si>
    <t>Niacinamide, Vitamin E</t>
  </si>
  <si>
    <t>A dermatologist-developed sunscreen designed to protect skin from UVA/UVB exposure while staying suitable for daily use. Acne Safe Sunscreen SPF 50+ supports sun protection with a comfortable skincare finish.</t>
  </si>
  <si>
    <t>Aqua, Glycerin, C12-15 Alkyl Benzoate, Ethylhexyl Methoxycinnamate, Butyl Methoxydibenzoylmethane, Bis-Ethylhexyloxyphenol Methoxyphenyl Triazine, Diethylamino Hydroxybenzoyl Hexyl Benzoate, Salicylic Acid, Zinc PCA, Melaleuca Alternifolia (Tea Tree) Leaf Oil, Caprylic/Capric Triglyceride, Titanium Dioxide, Zinc Oxide, Silica, Carbomer, Triethanolamine, Disodium EDTA, Phenoxyethanol, Ethylhexylglycerin</t>
  </si>
  <si>
    <r>
      <rPr>
        <color rgb="FF1155CC"/>
        <u/>
      </rPr>
      <t>https://www.fixderma.com/cdn/shop/files/FDSHADOW50PLUSGEL75ML.webp?v=1756357335</t>
    </r>
    <r>
      <rPr/>
      <t/>
    </r>
    <r>
      <rPr>
        <color rgb="FF1155CC"/>
        <u/>
      </rPr>
      <t>https://www.fixderma.com/cdn/shop/files/OLD_VS_NEW_jpg.webp?v=1775108579</t>
    </r>
    <r>
      <rPr/>
      <t/>
    </r>
    <r>
      <rPr>
        <color rgb="FF1155CC"/>
        <u/>
      </rPr>
      <t>https://www.fixderma.com/cdn/shop/files/shadow_50_gel_steps.webp?v=1775108579</t>
    </r>
    <r>
      <rPr/>
      <t/>
    </r>
    <r>
      <rPr>
        <color rgb="FF1155CC"/>
        <u/>
      </rPr>
      <t>https://www.fixderma.com/cdn/shop/files/shadow_50_gel_benefits.webp?v=1775108579</t>
    </r>
  </si>
  <si>
    <t>Roopsee-F-CL-38</t>
  </si>
  <si>
    <t>Fixderma Strawberry Face Wash</t>
  </si>
  <si>
    <t>Strawberry Extract</t>
  </si>
  <si>
    <t>Aloe Vera, Vitamin E. Lactic Acid</t>
  </si>
  <si>
    <t>A gentle daily cleanser from Fixderma formulated to cleanse skin impurities without over-drying. Strawberry Face Wash is designed for targeted skin concerns and daily skincare use.</t>
  </si>
  <si>
    <t>Aqua, Glycerin, Sodium Lauroyl Sarcosinate, Fragaria Vesca (Strawberry) Fruit Extract, Glycerol, Aloe Barbadensis Leaf Juice, Lactic Acid, Propanediol, Tocopheryl Acetate, Cocamidopropyl Betaine, Decyl Glucoside, Acrylates Copolymer, Sodium Chloride, Citric Acid, Disodium EDTA, Phenoxyethanol, Ethylhexylglycerin</t>
  </si>
  <si>
    <t>Ingredient caution: lactic acid/AHA might cause stinging, dryness, peeling, redness and increased sun sensitivity;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Use lukewarm water, do not scrub, and follow with moisturiser. Do not apply on broken, freshly waxed or irritated skin. Apply on slightly damp skin and follow with moisturiser if dryness occurs. Stop use if irritation persists.</t>
  </si>
  <si>
    <r>
      <rPr>
        <color rgb="FF1155CC"/>
        <u/>
      </rPr>
      <t>https://www.fixderma.com/cdn/shop/files/Strawberry_Face_Wash.webp?v=1758027891</t>
    </r>
    <r>
      <rPr/>
      <t/>
    </r>
    <r>
      <rPr>
        <color rgb="FF1155CC"/>
        <u/>
      </rPr>
      <t>https://www.fixderma.com/cdn/shop/files/StrawberryFaceWash2_jpg.webp?v=1758027891</t>
    </r>
    <r>
      <rPr/>
      <t/>
    </r>
    <r>
      <rPr>
        <color rgb="FF1155CC"/>
        <u/>
      </rPr>
      <t>https://www.fixderma.com/cdn/shop/files/StrawberryFaceWash3_jpg.webp?v=1758027891</t>
    </r>
    <r>
      <rPr/>
      <t/>
    </r>
    <r>
      <rPr>
        <color rgb="FF1155CC"/>
        <u/>
      </rPr>
      <t>https://www.fixderma.com/cdn/shop/files/StrawberryFaceWash6_jpg.webp?v=1758027891</t>
    </r>
  </si>
  <si>
    <t>Roopsee-F-CL-39</t>
  </si>
  <si>
    <t>Fixderma Skarfix-TX Face Cleanser</t>
  </si>
  <si>
    <t>Uneven Skin Tone, Dark Spots/Pigmentation, Melasma</t>
  </si>
  <si>
    <t>Tranexamic Acid</t>
  </si>
  <si>
    <t>Kojic Acid, Alpha Arbutin</t>
  </si>
  <si>
    <t>A gentle daily cleanser from Fixderma formulated to cleanse skin impurities without over-drying. Skarfix-TX Face Cleanser is designed for targeted skin concerns and daily skincare use.</t>
  </si>
  <si>
    <t>Aqua, Glycerin, Sodium Lauroyl Sarcosinate, Tranexamic Acid, Kojic Acid, Alpha Arbutin, Gentle Cleansing Actives, Kojic Acid Dipalmitate, Alpha-Arbutin, Licorice Root Extract, Cocamidopropyl Betaine, Decyl Glucoside, Acrylates Copolymer, Sodium Chloride, Citric Acid, Disodium EDTA, Phenoxyethanol, Ethylhexylglycerin</t>
  </si>
  <si>
    <t>Ingredient caution: alpha arbutin, kojic acid, licorice extract, tranexamic acid might cause tingling, dryness or redness in sensitive skin;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pair with sunscreen, because pigmentation care works best with UV protection. Use lukewarm water, do not scrub, and follow with moisturiser. Do not apply on broken, freshly waxed or irritated skin. Apply on slightly damp skin and follow with moisturiser if dryness occurs. Stop use if irritation persists.</t>
  </si>
  <si>
    <r>
      <rPr>
        <color rgb="FF1155CC"/>
        <u/>
      </rPr>
      <t>https://www.fixderma.com/cdn/shop/files/SKARFIX_TX_FACE_CLEANSER.webp?v=1756380463</t>
    </r>
    <r>
      <rPr/>
      <t/>
    </r>
    <r>
      <rPr>
        <color rgb="FF1155CC"/>
        <u/>
      </rPr>
      <t>https://www.fixderma.com/cdn/shop/files/Skarfix_Cleanser2.webp?v=1756380463</t>
    </r>
    <r>
      <rPr/>
      <t/>
    </r>
    <r>
      <rPr>
        <color rgb="FF1155CC"/>
        <u/>
      </rPr>
      <t>https://www.fixderma.com/cdn/shop/files/Skarfix_Cleanser5.webp?v=1756380463</t>
    </r>
    <r>
      <rPr/>
      <t/>
    </r>
    <r>
      <rPr>
        <color rgb="FF1155CC"/>
        <u/>
      </rPr>
      <t>https://www.fixderma.com/cdn/shop/files/skarfix-tx-face-cleanser-front.webp?v=1756380463</t>
    </r>
  </si>
  <si>
    <t>Roopsee-F-CL-40</t>
  </si>
  <si>
    <t>Fixderma C Scape Cleanser with Vitamin C</t>
  </si>
  <si>
    <t>Dark Spots/Pigmentation, Dullness</t>
  </si>
  <si>
    <t>AHA Fruit Extracts, Niacinamide, L-Ascorbic Acid</t>
  </si>
  <si>
    <t>A gentle daily cleanser from Fixderma formulated to cleanse skin impurities without over-drying. C Scape Cleanser with Vitamin C is designed for targeted skin concerns and daily skincare use.</t>
  </si>
  <si>
    <t>Ingredient caution: glycolic acid/AHA might cause stinging, dryness, peeling, redness and increased sun sensitivity; vitamin C/ascorbic derivatives might cause tingling, redness or irritation in sensitive skin; niacinamide is usually gentle but might cause tingling or flushing in very reactive skin; cleansing surfactants might cause dryness, stinging or tightness if overused.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Use lukewarm water, do not scrub, and follow with moisturiser. Stop use if irritation persists.</t>
  </si>
  <si>
    <r>
      <rPr>
        <color rgb="FF1155CC"/>
        <u/>
      </rPr>
      <t>https://fclskincare.com/cdn/shop/files/C_Scape_Cleanser_1_ee81fbee-3fd7-475f-a6af-264e9bb0e9b1.png?v=1757667918&amp;width=1946</t>
    </r>
    <r>
      <rPr/>
      <t/>
    </r>
    <r>
      <rPr>
        <color rgb="FF1155CC"/>
        <u/>
      </rPr>
      <t>https://fclskincare.com/cdn/shop/files/C_scape_Cleanser_200ml.webp?v=1764654487&amp;width=1946</t>
    </r>
    <r>
      <rPr/>
      <t/>
    </r>
    <r>
      <rPr>
        <color rgb="FF1155CC"/>
        <u/>
      </rPr>
      <t>https://fclskincare.com/cdn/shop/files/vitamin-c-face-wash-1.webp?v=1756734750&amp;width=1946</t>
    </r>
    <r>
      <rPr/>
      <t/>
    </r>
    <r>
      <rPr>
        <color rgb="FF1155CC"/>
        <u/>
      </rPr>
      <t>https://fclskincare.com/cdn/shop/files/vitamin-c-face-wash-200ml.webp?v=1756734750&amp;width=1946</t>
    </r>
  </si>
  <si>
    <t>Roopsee-F-MO-53</t>
  </si>
  <si>
    <t>Fixderma Dewrav Moisturizing Cream For Dry To Very Dry Skin</t>
  </si>
  <si>
    <t>Magnesium Oil</t>
  </si>
  <si>
    <t>Shea Butter, Aloe Vera, Coconut Oil</t>
  </si>
  <si>
    <t>A moisturizing care formula from Fixderma designed to hydrate, nourish and support the skin barrier. Dewrav Moisturizing Cream For Dry To Very Dry Skin helps keep skin soft, comfortable and cared for.</t>
  </si>
  <si>
    <t>Aqua, Glycerin, Caprylic/Capric Triglyceride, Magnesium Oil, Shea Butter, Aloe Barbadensis Leaf Juice, Coconut Oil, Sodium Hyaluronate, Panthenol, Allantoin, Cetearyl Alcohol, Glyceryl Stearate, Butyrospermum Parkii (Shea) Butter, Dimethicone, Carbomer, Sodium Hydroxide, Disodium EDTA, Phenoxyethanol, Ethylhexylglycerin</t>
  </si>
  <si>
    <r>
      <rPr>
        <color rgb="FF1155CC"/>
        <u/>
      </rPr>
      <t>https://www.fixderma.com/cdn/shop/files/Dewrav_Moisturizing_Cream_50g.webp?v=1757915814</t>
    </r>
    <r>
      <rPr/>
      <t/>
    </r>
    <r>
      <rPr>
        <color rgb="FF1155CC"/>
        <u/>
      </rPr>
      <t>https://www.fixderma.com/cdn/shop/files/dewrav-moisturizing-cream-2.webp?v=1757915814</t>
    </r>
    <r>
      <rPr/>
      <t/>
    </r>
    <r>
      <rPr>
        <color rgb="FF1155CC"/>
        <u/>
      </rPr>
      <t>https://www.fixderma.com/cdn/shop/files/dewrav-moisturizing-cream-3.webp?v=1757915814</t>
    </r>
    <r>
      <rPr/>
      <t/>
    </r>
    <r>
      <rPr>
        <color rgb="FF1155CC"/>
        <u/>
      </rPr>
      <t>https://www.fixderma.com/cdn/shop/files/dewrav-moisturizing-cream-4.webp?v=1757915814</t>
    </r>
  </si>
  <si>
    <t>Roopsee-F-MO-54</t>
  </si>
  <si>
    <t>Fixderma Brightening Moisture Gel</t>
  </si>
  <si>
    <t>A Fixderma moisturizer formulated for targeted skincare support and daily use.</t>
  </si>
  <si>
    <t>Ingredient caution: vitamin C/ascorbic derivatives might cause tingling, redness or irritation in sensitive skin; niacinamide is usually gentle but might cause tingling or flushing in very reactive skin; rich oils, butters or occlusive emollients might feel heavy or clog pores in acne-prone/oily skin;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Use a small amount first and avoid applying on active acne if it feels greasy. Do not apply on broken, freshly waxed or irritated skin. Stop use if irritation persists.</t>
  </si>
  <si>
    <r>
      <rPr>
        <rFont val="Carlito"/>
        <sz val="11.0"/>
      </rPr>
      <t xml:space="preserve">https://www.fixderma.com/cdn/shop/files/brightening_oil_free_face_moisturizer_single_product.webp?v=1770031890
https://www.fixderma.com/cdn/shop/files/brightening_oil_free_face_moisturizer_with_bg.webp?v=1770031890
https://www.fixderma.com/cdn/shop/files/brightening_oil_free_face_moisturizer_key_benefits.webp?v=1770031890
</t>
    </r>
    <r>
      <rPr>
        <rFont val="Carlito"/>
        <color rgb="FF1155CC"/>
        <sz val="11.0"/>
        <u/>
      </rPr>
      <t>https://www.fixderma.com/cdn/shop/files/brightening_oil_free_face_moisturizer_front_box.webp?v=1770031890</t>
    </r>
  </si>
  <si>
    <t>Roopsee-F-SE-66</t>
  </si>
  <si>
    <t>Fixderma 17% Vitamin C Face Serum</t>
  </si>
  <si>
    <t>Vitamin C (17%)</t>
  </si>
  <si>
    <t>Aqua, Glycerin, Butylene Glycol, Vitamin C, Sodium Ascorbyl Phosphate, 3-O-Ethyl Ascorbic Acid, Tocopheryl Acetate, Propanediol, Methylpropanediol, Hydroxyethylcellulose, Xanthan Gum, Disodium EDTA, Phenoxyethanol, Ethylhexylglycerin</t>
  </si>
  <si>
    <r>
      <rPr>
        <color rgb="FF1155CC"/>
        <u/>
      </rPr>
      <t>https://www.fixderma.com/cdn/shop/files/FDVITAMINC17SERUM30GM39845.webp?v=1756381605</t>
    </r>
    <r>
      <rPr/>
      <t/>
    </r>
    <r>
      <rPr>
        <color rgb="FF1155CC"/>
        <u/>
      </rPr>
      <t>https://www.fixderma.com/cdn/shop/files/17-vitamin-c-face-serum-2.webp?v=1758718249</t>
    </r>
    <r>
      <rPr/>
      <t/>
    </r>
    <r>
      <rPr>
        <color rgb="FF1155CC"/>
        <u/>
      </rPr>
      <t>https://www.fixderma.com/cdn/shop/files/17-vitamin-c-face-serum-3.webp?v=1776670300</t>
    </r>
    <r>
      <rPr/>
      <t/>
    </r>
    <r>
      <rPr>
        <color rgb="FF1155CC"/>
        <u/>
      </rPr>
      <t>https://www.fixderma.com/cdn/shop/files/17-vitamin-c-face-serum-6.webp?v=1756381605</t>
    </r>
  </si>
  <si>
    <t>Roopsee-F-MO-55</t>
  </si>
  <si>
    <t>Fixderma Skarfix-TX Cream</t>
  </si>
  <si>
    <t>Kojic Acid, Alpha Arbutin, Niacinamide</t>
  </si>
  <si>
    <t>A moisturizing care formula from Fixderma designed to hydrate, nourish and support the skin barrier. Skarfix-TX Cream helps keep skin soft, comfortable and cared for.</t>
  </si>
  <si>
    <t>Aqua, Glycerin, Caprylic/Capric Triglyceride, Tranexamic Acid, Kojic Acid Dipalmitate, Cetearyl Alcohol, Dicetyl Phosphate, Ceteth-10 Phosphate, Propanediol, Alpha-Arbutin, E-Ascorbic Acid, Tocopheryl Acetate, Ethoxydiglycol, Phenoxyethanol, Ethylhexylglycerin, Licorice Root Extract, Glyceryl Stearate, Butyrospermum Parkii (Shea) Butter, Dimethicone, Carbomer, Sodium Hydroxide, Disodium EDTA</t>
  </si>
  <si>
    <t>Ingredient caution: vitamin C/ascorbic derivatives might cause tingling, redness or irritation in sensitive skin; niacinamide is usually gentle but might cause tingling or flushing in very reactive skin; alpha arbutin, kojic acid, licorice extract, tranexamic acid might cause tingling, dryness or redness in sensitive skin; rich oils, butters or occlusive emollients might feel heavy or clog pores in acne-prone/oily skin.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Use a small amount first and avoid applying on active acne if it feels greasy. Stop use if irritation persists.</t>
  </si>
  <si>
    <r>
      <rPr>
        <color rgb="FF1155CC"/>
        <u/>
      </rPr>
      <t>https://www.fixderma.com/cdn/shop/files/FDSKARFIXTXCREAM15GM34925.webp?v=1756378625</t>
    </r>
    <r>
      <rPr/>
      <t/>
    </r>
    <r>
      <rPr>
        <color rgb="FF1155CC"/>
        <u/>
      </rPr>
      <t>https://www.fixderma.com/cdn/shop/files/Skarfix-TX_30g.webp?v=1775561237</t>
    </r>
    <r>
      <rPr/>
      <t/>
    </r>
    <r>
      <rPr>
        <color rgb="FF1155CC"/>
        <u/>
      </rPr>
      <t>https://www.fixderma.com/cdn/shop/files/skarfix-tx-cream-3.webp?v=1756378625</t>
    </r>
    <r>
      <rPr/>
      <t/>
    </r>
    <r>
      <rPr>
        <color rgb="FF1155CC"/>
        <u/>
      </rPr>
      <t>https://www.fixderma.com/cdn/shop/files/skarfix-tx-cream-front-back.webp?v=1756378625</t>
    </r>
  </si>
  <si>
    <t>Roopsee-F-SU-44</t>
  </si>
  <si>
    <t>Fixderma Brightening Sunscreen Fluid SPF 50+</t>
  </si>
  <si>
    <t>A dermatologist-developed sunscreen designed to protect skin from UVA/UVB exposure while staying suitable for daily use. Brightening Sunscreen Fluid SPF 50+ supports sun protection with a comfortable skincare finish.</t>
  </si>
  <si>
    <r>
      <rPr>
        <color rgb="FF1155CC"/>
        <u/>
      </rPr>
      <t>https://www.fixderma.com/cdn/shop/files/Shadow_Light_Fluid_Sunscreen.webp?v=1780913303</t>
    </r>
    <r>
      <rPr/>
      <t/>
    </r>
    <r>
      <rPr>
        <color rgb="FF1155CC"/>
        <u/>
      </rPr>
      <t>https://www.fixderma.com/cdn/shop/files/Shadow_Light_Fluid_Sunscreen_how_tu_use.webp?v=1776681705</t>
    </r>
    <r>
      <rPr/>
      <t/>
    </r>
    <r>
      <rPr>
        <color rgb="FF1155CC"/>
        <u/>
      </rPr>
      <t>https://www.fixderma.com/cdn/shop/files/Shadow_Light_Fluid_Sunscreen_key_benefits.webp?v=1776681705</t>
    </r>
    <r>
      <rPr/>
      <t/>
    </r>
    <r>
      <rPr>
        <color rgb="FF1155CC"/>
        <u/>
      </rPr>
      <t>https://www.fixderma.com/cdn/shop/files/Shadow_Light_Fluid_Sunscreen_make_it_special.webp?v=1776681705</t>
    </r>
  </si>
  <si>
    <t>Roopsee-F-SU-45</t>
  </si>
  <si>
    <t>Fixderma Shadow Dewy SPF 50 Sunscreen Spray</t>
  </si>
  <si>
    <t>A dermatologist-developed sunscreen designed to protect skin from UVA/UVB exposure while staying suitable for daily use. Shadow Dewy SPF 50 Sunscreen Spray supports sun protection with a comfortable skincare finish.</t>
  </si>
  <si>
    <r>
      <rPr>
        <rFont val="Carlito"/>
        <color rgb="FF1155CC"/>
        <sz val="11.0"/>
        <u/>
      </rPr>
      <t>https://m.media-amazon.com/images/I/51S9HCXKsBL._SL1080_.jpg</t>
    </r>
    <r>
      <rPr>
        <rFont val="Carlito"/>
        <sz val="11.0"/>
      </rPr>
      <t xml:space="preserve">, </t>
    </r>
    <r>
      <rPr>
        <rFont val="Carlito"/>
        <color rgb="FF1155CC"/>
        <sz val="11.0"/>
        <u/>
      </rPr>
      <t>https://m.media-amazon.com/images/I/51EKXsx1PRL._SL1200_.jpg</t>
    </r>
    <r>
      <rPr>
        <rFont val="Carlito"/>
        <sz val="11.0"/>
      </rPr>
      <t xml:space="preserve">, </t>
    </r>
    <r>
      <rPr>
        <rFont val="Carlito"/>
        <color rgb="FF1155CC"/>
        <sz val="11.0"/>
        <u/>
      </rPr>
      <t>https://m.media-amazon.com/images/I/71djvySM9dL._SL1200_.jpg</t>
    </r>
    <r>
      <rPr>
        <rFont val="Carlito"/>
        <sz val="11.0"/>
      </rPr>
      <t xml:space="preserve">, </t>
    </r>
    <r>
      <rPr>
        <rFont val="Carlito"/>
        <color rgb="FF1155CC"/>
        <sz val="11.0"/>
        <u/>
      </rPr>
      <t>https://m.media-amazon.com/images/I/51YLTbKuIoL._SL1200_.jpg</t>
    </r>
  </si>
  <si>
    <t>Roopsee-F-MO-56</t>
  </si>
  <si>
    <t>Fixderma Cleovera Cream for Sensitive Skin</t>
  </si>
  <si>
    <t>Centella Asiatica (Gotu Kola), Vitamin A</t>
  </si>
  <si>
    <t>A moisturizing care formula from Fixderma designed to hydrate, nourish and support the skin barrier. Cleovera Cream for Sensitive Skin helps keep skin soft, comfortable and cared for.</t>
  </si>
  <si>
    <t>Aqua, Glycerin, Caprylic/Capric Triglyceride, Aloe Barbadensis Leaf Juice, Centella Asiatica, Clover Flower Extract, Hydrating Actives, Cetearyl Alcohol, Glyceryl Stearate, Butyrospermum Parkii (Shea) Butter, Dimethicone, Carbomer, Sodium Hydroxide, Disodium EDTA, Phenoxyethanol, Ethylhexylglycerin</t>
  </si>
  <si>
    <r>
      <rPr>
        <color rgb="FF1155CC"/>
        <u/>
      </rPr>
      <t>https://www.fixderma.com/cdn/shop/files/clovera_cica_cream.webp?v=1756374329</t>
    </r>
    <r>
      <rPr/>
      <t/>
    </r>
    <r>
      <rPr>
        <color rgb="FF1155CC"/>
        <u/>
      </rPr>
      <t>https://www.fixderma.com/cdn/shop/files/cleovera_cream_special.webp?v=1756374329</t>
    </r>
    <r>
      <rPr/>
      <t/>
    </r>
    <r>
      <rPr>
        <color rgb="FF1155CC"/>
        <u/>
      </rPr>
      <t>https://www.fixderma.com/cdn/shop/files/CleoveraCicaCream4.webp?v=1756374329</t>
    </r>
    <r>
      <rPr/>
      <t/>
    </r>
    <r>
      <rPr>
        <color rgb="FF1155CC"/>
        <u/>
      </rPr>
      <t>https://www.fixderma.com/cdn/shop/files/CleoveraCicaCream6.webp?v=1756374329</t>
    </r>
  </si>
  <si>
    <t>Roopsee-F-TO-12</t>
  </si>
  <si>
    <t>Anua Heartleaf 77% Soothing Toner</t>
  </si>
  <si>
    <t>Anua</t>
  </si>
  <si>
    <t>South Korea</t>
  </si>
  <si>
    <t>Heartleaf (Houttuynia Cordata) 77%</t>
  </si>
  <si>
    <t>Panthenol, Hyaluronic Acid</t>
  </si>
  <si>
    <t>A soothing toner formulated with Heartleaf Extract, designed to calm irritation and moisturize the skin. Powered by 77% Heartleaf plus Hyaluron to deliver fresh, lightweight hydration for a balanced, dewy look.</t>
  </si>
  <si>
    <t>Water, Water, 1,2-Hexanediol, Glycerin, Betaine, Butylene Glycol, Isopentyldiol, Panthenol, Acrylates/C10-30 Alkyl Acrylate Crosspolymer, Disodium EDTA, Tromethamine, Centella Asiatica Extract, Arctium Lappa Root Extract, Phellinus Linteus Extract, Portulaca Oleracea Extract, Chamomilla Recutita (Matricaria) Flower Extract, Vitex Agnus-Castus Extract, Sodium Hyaluronate, Hydroxypropyltrimonium Hyaluronate, Hydrolyzed Hyaluronic Acid, Sodium Acetylated Hyaluronate, Hyaluronic Acid, Sodium Hyaluronate Crosspolymer, Potassium Hyaluronate</t>
  </si>
  <si>
    <t>Ingredient caution: humectants such as hyaluronic acid/glycerin are usually gentle but might feel sticky or tight if not sealed with moisturiser. Do a patch test before applying. Apply on slightly damp skin and follow with moisturiser if dryness occurs. Stop use if irritation persists.</t>
  </si>
  <si>
    <r>
      <rPr>
        <color rgb="FF1155CC"/>
        <u/>
      </rPr>
      <t>https://anua.com/cdn/shop/files/Group_909.png?v=1781165799</t>
    </r>
    <r>
      <rPr/>
      <t/>
    </r>
    <r>
      <rPr>
        <color rgb="FF1155CC"/>
        <u/>
      </rPr>
      <t>https://anua.com/cdn/shop/files/Group_908.png?v=1781165836</t>
    </r>
    <r>
      <rPr/>
      <t/>
    </r>
    <r>
      <rPr>
        <color rgb="FF1155CC"/>
        <u/>
      </rPr>
      <t>https://anua.com/cdn/shop/files/Heartleaf77SoothingToner_AMZ_Aplus_MO_03_1.jpg?v=1781166013</t>
    </r>
    <r>
      <rPr/>
      <t/>
    </r>
    <r>
      <rPr>
        <color rgb="FF1155CC"/>
        <u/>
      </rPr>
      <t>https://anua.com/cdn/shop/files/heartleaf-77-soothing-toner-250ml.png?v=1779174102</t>
    </r>
  </si>
  <si>
    <t>Roopsee-F-MO-57</t>
  </si>
  <si>
    <t>Anua Heartleaf 70 Intense Calming Cream</t>
  </si>
  <si>
    <t>Heartleaf (Houttuynia Cordata) 70%</t>
  </si>
  <si>
    <t>Centella Asiatica, Ceramide</t>
  </si>
  <si>
    <t>A calming Anua formula powered by Heartleaf to soothe stressed-feeling skin, support hydration and help maintain a balanced, healthy-looking complexion.</t>
  </si>
  <si>
    <t>Aqua, Glycerin, Caprylic/Capric Triglyceride, Houttuynia Cordata Extract, 1,2-Hexanediol, Caprylyl Glycol, Cetearyl Alcohol, Glyceryl Stearate, Butyrospermum Parkii (Shea) Butter, Dimethicone, Carbomer, Sodium Hydroxide, Disodium EDTA, Phenoxyethanol, Ethylhexylglycerin</t>
  </si>
  <si>
    <r>
      <rPr>
        <color rgb="FF1155CC"/>
        <u/>
      </rPr>
      <t>https://anua.com/cdn/shop/files/anua-global-moisturizer-heartleaf-70-intense-calming-cream-1239193697.jpg?v=1779174249&amp;width=2000</t>
    </r>
    <r>
      <rPr/>
      <t/>
    </r>
    <r>
      <rPr>
        <color rgb="FF1155CC"/>
        <u/>
      </rPr>
      <t>https://anua.com/cdn/shop/files/AnuaUS_Heartleaf70DailyLotion_1000x1250_Listing4_cf1ba26a-0db1-410b-a77b-9a2629dafe98.jpg?v=1738615113&amp;width=1000</t>
    </r>
    <r>
      <rPr/>
      <t/>
    </r>
    <r>
      <rPr>
        <color rgb="FF1155CC"/>
        <u/>
      </rPr>
      <t>https://anua.com/cdn/shop/files/AnuaUS_1080x1346_Listing_HeartleafIntenseCalmingCream7.jpg?v=1738641007&amp;width=1000</t>
    </r>
    <r>
      <rPr/>
      <t/>
    </r>
    <r>
      <rPr>
        <color rgb="FF1155CC"/>
        <u/>
      </rPr>
      <t>https://anua.com/cdn/shop/files/AnuaUS_1080x1346_Listing_HeartleafIntenseCalmingCream8.gif?v=1738640909&amp;width=1000</t>
    </r>
  </si>
  <si>
    <t>Roopsee-F-CL-41</t>
  </si>
  <si>
    <t>Anua Heartleaf Quercetinol Pore Deep Cleansing Foam</t>
  </si>
  <si>
    <t>Heartleaf (Houttuynia Cordata)</t>
  </si>
  <si>
    <t>Quercetinol, LHA</t>
  </si>
  <si>
    <t>A rich foaming cleanser that helps deep cleanse pores, remove impurities and excess sebum, gently smooth skin texture and leave a hydrated finish without stripping skin.</t>
  </si>
  <si>
    <t>Water, Glycerin, Sodium Cocoyl Glycinate, Water, Sodium Lauroyl Glutamate, Disodiumn Cocoamphodiacetate, Coco-Glucoside, Decyl Glucoside, Hectorite, Sodium Chloride, 1,2-Hexanediol, Betaine Salicylate, Potassium Benzoate, Houttuynia Cordata Powder, Polyquaternium-67, Acrylates/C10-30 Alkyl Acrylate Crosspolymer, Butylene Glycol, Gardenia Florida Fruit Extract, Dextrin, Disodium EDTA, Eucalyptus Globulus Leaf Oil, Ethylhexylglycerin, Sodium Acetate, Isopropyl Alcohol, Pinus Palustris Leaf Extract, Ulmus Davidiana Root Extract, Oenothera Biennis (Evening Primrose) Flower Extract, Pueraria Lobata Root Extract, Pentylene Glycol, Capryloyl Salicylic Acid, Tocopherol, Hydrolyzed Hyaluronic Acid, Hyaluronic Acid, Hydrolyzed Sodium Hyaluronate, Sodium Hyaluronate, Potassium Hyaluronate, Hydroxypropyltrimonium Hyaluronate, Sodium Hyaluronate Crosspolymer, Sodium Acetylated Hyaluronate, Quercetin</t>
  </si>
  <si>
    <t>Ingredient caution: salicylic acid/BHA might cause stinging, dryness, peeling, redness and increased sun sensitivity; fragrance, essential oils or fragrance allergens might trigger redness, itching or allergic irritation; cleansing surfactants might cause dryness, stinging or tightness if overused;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Apply on slightly damp skin and follow with moisturiser if dryness occurs. Stop use if irritation persists.</t>
  </si>
  <si>
    <r>
      <rPr>
        <color rgb="FF1155CC"/>
        <u/>
      </rPr>
      <t>https://anua.com/cdn/shop/files/anua-us-cleanser-heartleaf-quercetinol-pore-deep-cleansing-foam-1239193718.jpg?v=1779181814&amp;width=2000</t>
    </r>
    <r>
      <rPr/>
      <t/>
    </r>
    <r>
      <rPr>
        <color rgb="FF1155CC"/>
        <u/>
      </rPr>
      <t>https://anua.com/cdn/shop/files/anua-us-cleanser-heartleaf-quercetinol-pore-deep-cleansing-foam-1239362098.jpg?v=1779269591&amp;width=2000</t>
    </r>
    <r>
      <rPr/>
      <t/>
    </r>
    <r>
      <rPr>
        <color rgb="FF1155CC"/>
        <u/>
      </rPr>
      <t>https://anua.com/cdn/shop/files/anua-us-cleanser-heartleaf-quercetinol-pore-deep-cleansing-foam-1239362124.png?v=1779269532&amp;width=1200</t>
    </r>
    <r>
      <rPr/>
      <t/>
    </r>
    <r>
      <rPr>
        <color rgb="FF1155CC"/>
        <u/>
      </rPr>
      <t>https://anua.com/cdn/shop/files/anua-us-cleanser-heartleaf-quercetinol-pore-deep-cleansing-foam-1239362115.jpg?v=1779269471&amp;width=2000</t>
    </r>
  </si>
  <si>
    <t>CDN image URLs</t>
  </si>
  <si>
    <t>Roopsee-F-SE-67</t>
  </si>
  <si>
    <t>Anua Heartleaf 80% Moisture Soothing Ampoule</t>
  </si>
  <si>
    <t>Heartleaf (Houttuynia Cordata) 80%</t>
  </si>
  <si>
    <t>Hyaluronic Acid, Panthenol</t>
  </si>
  <si>
    <t>Aqua, Glycerin, Butylene Glycol, Houttuynia Cordata Extract, 1,2-Hexanediol, Caprylyl Glycol, Propanediol, Methylpropanediol, Hydroxyethylcellulose, Xanthan Gum, Disodium EDTA, Phenoxyethanol, Ethylhexylglycerin</t>
  </si>
  <si>
    <r>
      <rPr>
        <color rgb="FF1155CC"/>
        <u/>
      </rPr>
      <t>https://anua.com/cdn/shop/files/anua-global-ampoule-serum-heartleaf-80-moisture-soothing-ampoule-1239193699.jpg?v=1779174130&amp;width=2000</t>
    </r>
    <r>
      <rPr/>
      <t/>
    </r>
    <r>
      <rPr>
        <color rgb="FF1155CC"/>
        <u/>
      </rPr>
      <t>https://anua.com/cdn/shop/files/anua-us-ampoule-serum-30ml-heartleaf-80-moisture-soothing-ampoule-1161173072.jpg?v=1746609573&amp;width=1000</t>
    </r>
    <r>
      <rPr/>
      <t/>
    </r>
    <r>
      <rPr>
        <color rgb="FF1155CC"/>
        <u/>
      </rPr>
      <t>https://anua.com/cdn/shop/files/anua-us-ampoule-serum-30ml-heartleaf-80-moisture-soothing-ampoule-1161173074.jpg?v=1746609580&amp;width=1000</t>
    </r>
    <r>
      <rPr/>
      <t/>
    </r>
    <r>
      <rPr>
        <color rgb="FF1155CC"/>
        <u/>
      </rPr>
      <t>https://anua.com/cdn/shop/files/anua-us-ampoule-serum-30ml-heartleaf-80-moisture-soothing-ampoule-1161173070.jpg?v=1746609568&amp;width=1000</t>
    </r>
  </si>
  <si>
    <t>Roopsee-F-SE-68</t>
  </si>
  <si>
    <t>Anua Niacinamide 10% + TXA 4% Serum</t>
  </si>
  <si>
    <t>Acne, Uneven Skin Tone, Dark Spots/Pigmentation, Melasma, Dullness</t>
  </si>
  <si>
    <t>Tranexamic Acid (4%)</t>
  </si>
  <si>
    <t>An Anua skincare formula designed to support hydration, soothing and healthy-looking skin.</t>
  </si>
  <si>
    <t>Aqua, Glycerin, Butylene Glycol, Niacinamide, 1,2-Hexanediol, Caprylyl Glycol, Propanediol, Methylpropanediol, Hydroxyethylcellulose, Xanthan Gum, Disodium EDTA, Phenoxyethanol, Ethylhexylglycerin</t>
  </si>
  <si>
    <t>Ingredient caution: high-strength niacinamide might cause flushing, tingling or small bumps in reactive skin; tranexamic acid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reduce frequency if redness or bumps appear.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</si>
  <si>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https://anua.com/cdn/shop/files/anua-global-ampoule-serum-niacinamide-10-txa-4-serum-for-brightening-and-dark-spots-1239193722.jpg?v=1779177130&amp;width=2000</t>
    </r>
    <r>
      <rPr/>
      <t/>
    </r>
    <r>
      <rPr>
        <color rgb="FF1155CC"/>
        <u/>
      </rPr>
      <t>https://anua.com/cdn/shop/files/anua-us-ampoule-serum-niacinamide-10-txa-4-serum-for-brightening-and-dark-spots-1239362102.png?v=1779269051&amp;width=1200</t>
    </r>
    <r>
      <rPr/>
      <t/>
    </r>
    <r>
      <rPr>
        <color rgb="FF1155CC"/>
        <u/>
      </rPr>
      <t>https://anua.com/cdn/shop/files/anua-us-ampoule-serum-niacinamide-10-txa-4-serum-for-brightening-and-dark-spots-1239362099.jpg?v=1779268990&amp;width=2000</t>
    </r>
    <r>
      <rPr/>
      <t/>
    </r>
    <r>
      <rPr>
        <color rgb="FF1155CC"/>
        <u/>
      </rPr>
      <t>https://anua.com/cdn/shop/files/anua-us-ampoule-serum-niacinamide-10-txa-4-serum-for-brightening-and-dark-spots-1239362100.png?v=1779268932&amp;width=1200</t>
    </r>
  </si>
  <si>
    <t>Roopsee-F-SE-69</t>
  </si>
  <si>
    <t>Anua Peach 70 Niacin Serum</t>
  </si>
  <si>
    <t>Uneven Skin Tone, Dark Spots/Pigmentation, Redness/Irritation, Dehydration, Dullness</t>
  </si>
  <si>
    <t>Niacinamide (Niacin)</t>
  </si>
  <si>
    <t>Peach Extract 70%, Hyaluronic Acid</t>
  </si>
  <si>
    <t>A brightening serum powered by peach extract and niacinamide to hydrate, smooth, support radiance and improve the appearance of uneven tone.</t>
  </si>
  <si>
    <t>Water, 1,2-Hexanediol, Lactobacillus Ferment, Sodium Hyaluronate, Sphingomonas Ferment Extract, Alpha-Arbutin, Melia Azadirachta Flower Extract, Ocimum Sanctum Leaf Extract, Melia Azadirachta Leaf Extract, Carthamus Tinctorius (Safflower) Seed Oil, Salvia Hispanica Seed Oil, Curcuma Longa (Turmeric) Root Extract, Corallina Officinalis Extract, Hydrolyzed Hyaluronic Acid, Chamaecyparis Obtusa Leaf Extract, Prunus Persica (Peach) Flower Extract, Centella Asiatica Extract, Artemisia Princeps Leaf Extract, Pentylene Glycol, Panthenol, Polyglutamic Acid, Linoleic Acid, Linolenic Acid, 3-O-Ethyl Ascorbic Acid, Ceramide NP, Lactobionic Acid, Asiaticoside, Madecassic Acid, Asiatic Acid, Xanthan Gum, Fragrance</t>
  </si>
  <si>
    <t>Ingredient caution: PHA might cause stinging, dryness, peeling, redness and increased sun sensitivity; vitamin C/ascorbic derivatives might cause tingling, redness or irritation in sensitive skin; niacinamide is usually gentle but might cause tingling or flushing in very reactive skin; alpha arbutin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</si>
  <si>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r>
      <rPr>
        <color rgb="FF1155CC"/>
        <u/>
      </rPr>
      <t>https://anua.com/cdn/shop/files/anua-global-ampoule-serum-peach-70-niacinamide-serum-1239193727.jpg?v=1779177611&amp;width=2000</t>
    </r>
    <r>
      <rPr/>
      <t/>
    </r>
    <r>
      <rPr>
        <color rgb="FF1155CC"/>
        <u/>
      </rPr>
      <t>https://anua.com/cdn/shop/files/anua-us-ampoule-serum-30ml-peach-70-niacinamide-serum-1161189370.jpg?v=1748544223&amp;width=1080</t>
    </r>
    <r>
      <rPr/>
      <t/>
    </r>
    <r>
      <rPr>
        <color rgb="FF1155CC"/>
        <u/>
      </rPr>
      <t>https://anua.com/cdn/shop/files/anua-us-ampoule-serum-30ml-peach-70-niacinamide-serum-1161189369.jpg?v=1748544220&amp;width=1080</t>
    </r>
    <r>
      <rPr/>
      <t/>
    </r>
    <r>
      <rPr>
        <color rgb="FF1155CC"/>
        <u/>
      </rPr>
      <t>https://anua.com/cdn/shop/files/anua-us-ampoule-serum-30ml-peach-70-niacinamide-serum-1161189368.jpg?v=1748544216&amp;width=1080</t>
    </r>
  </si>
  <si>
    <t>Roopsee-F-MO-58</t>
  </si>
  <si>
    <t>Anua Peach 77 Niacin Enriched Cream</t>
  </si>
  <si>
    <t>Dryness, Uneven Skin Tone, Dark Spots/Pigmentation, Barrier Repair, Redness/Irritation, Dehydration, Dullness</t>
  </si>
  <si>
    <t>Peach Extract 77%, Ceramide</t>
  </si>
  <si>
    <t>An enriched cream with 77% peach fruit water and niacinamide to deliver moisture, radiance and a smoother-looking complexion.</t>
  </si>
  <si>
    <t>Prunus Persica (Peach) Fruit Water (77%), Glycerin, Methylpropanediol, Niacinamide, 1,2-Hexanediol, Isododecane, Lactobacillus Ferment, Propanediol, Panthenol, Polyglyceryl-3 Methylglucose Distearate, Polymethylsilsesquioxane, Hydrogenated Polydecene, Coptis Japonica Root Extract, Prunus Persica (Peach) Fruit Extract, Prunus Persica (Peach) Flower Extract, Sodium Hyaluronate, Soluble Collagen, Jojoba Esters, Water, Dimethiconol, Hydroxyacetophenone, Tromethamine, Ethylhexylglycerin, Butylene Glycol, Adenosine, Disodium EDTA, Cyanocobalamin, Ceramide NP, Tocopherol, Fragrance</t>
  </si>
  <si>
    <t>Ingredient caution: niacinamide is usually gentle but might cause tingling or flushing in very reactive skin; fragrance, essential oils or fragrance allergens might trigger redness, itching or allergic irritation; humectants such as hyaluronic acid/glycerin are usually gentle but might feel sticky or tight if not sealed with moisturiser. Do a patch test before applying. Start slowly if your skin is sensitive and avoid combining too many new actives at once. Avoid this product if you have fragrance allergy, eczema-prone skin or a damaged barrier. Apply on slightly damp skin and follow with moisturiser if dryness occurs. Stop use if irritation persists.</t>
  </si>
  <si>
    <r>
      <rPr>
        <color rgb="FF1155CC"/>
        <u/>
      </rPr>
      <t>https://anua.com/cdn/shop/files/anua-us-moisturizer-peach-77-niacin-enriched-cream-1239193728.jpg?v=1779177492&amp;width=2000</t>
    </r>
    <r>
      <rPr/>
      <t/>
    </r>
    <r>
      <rPr>
        <color rgb="FF1155CC"/>
        <u/>
      </rPr>
      <t>https://anua.com/cdn/shop/files/anua-us-moisturizer-50-ml-peach-77-niacin-enriched-cream-1161173333.jpg?v=1746614013&amp;width=1000</t>
    </r>
    <r>
      <rPr/>
      <t/>
    </r>
    <r>
      <rPr>
        <color rgb="FF1155CC"/>
        <u/>
      </rPr>
      <t>https://anua.com/cdn/shop/files/anua-us-moisturizer-50-ml-peach-77-niacin-enriched-cream-1161173334.jpg?v=1746614016&amp;width=1000</t>
    </r>
    <r>
      <rPr/>
      <t/>
    </r>
    <r>
      <rPr>
        <color rgb="FF1155CC"/>
        <u/>
      </rPr>
      <t>https://anua.com/cdn/shop/files/anua-us-moisturizer-50-ml-peach-77-niacin-enriched-cream-1161173335.jpg?v=1746614020&amp;width=1000</t>
    </r>
  </si>
  <si>
    <t>Roopsee-F-TO-13</t>
  </si>
  <si>
    <t>Anua Rice 70 Glow Milky Toner</t>
  </si>
  <si>
    <t>O, O+S, D, D+S, N, N+S, C+S</t>
  </si>
  <si>
    <t>Rice Extract (70%)</t>
  </si>
  <si>
    <t>A nourishing Anua rice-care formula designed to hydrate, support the skin barrier and improve the appearance of dullness.</t>
  </si>
  <si>
    <t>Aqua, Glycerin, Butylene Glycol, Oryza Sativa (Rice) Extract, Sodium Ascorbyl Phosphate, 3-O-Ethyl Ascorbic Acid, Tocopheryl Acetate, 1,2-Hexanediol, Caprylyl Glycol, Betaine, Propanediol, Panthenol, Sodium Hyaluronate, Allantoin, Disodium EDTA, Phenoxyethanol, Ethylhexylglycerin</t>
  </si>
  <si>
    <r>
      <rPr>
        <color rgb="FF1155CC"/>
        <u/>
      </rPr>
      <t>https://anua.com/cdn/shop/files/anua-us-toner-rice-70-glow-milky-toner-1239193716.jpg?v=1779178210&amp;width=2000</t>
    </r>
    <r>
      <rPr/>
      <t/>
    </r>
    <r>
      <rPr>
        <color rgb="FF1155CC"/>
        <u/>
      </rPr>
      <t>https://anua.com/cdn/shop/files/anua-us-toner-250ml-rice-70-glow-milky-toner-1161173169.jpg?v=1746611135&amp;width=1080</t>
    </r>
    <r>
      <rPr/>
      <t/>
    </r>
    <r>
      <rPr>
        <color rgb="FF1155CC"/>
        <u/>
      </rPr>
      <t>https://anua.com/cdn/shop/files/anua-us-toner-250ml-rice-70-glow-milky-toner-1161173168.jpg?v=1757400180&amp;width=1080</t>
    </r>
    <r>
      <rPr/>
      <t/>
    </r>
    <r>
      <rPr>
        <color rgb="FF1155CC"/>
        <u/>
      </rPr>
      <t>https://anua.com/cdn/shop/files/anua-us-toner-250ml-rice-70-glow-milky-toner-1161173165.jpg?v=1757400180&amp;width=1080</t>
    </r>
  </si>
  <si>
    <t>Roopsee-F-SU-46</t>
  </si>
  <si>
    <t>Anua Heartleaf Silky Moisture Sun Cream SPF 50+ PA++++</t>
  </si>
  <si>
    <t>Aqua, Glycerin, C12-15 Alkyl Benzoate, Houttuynia Cordata Extract, Ethylhexyl Methoxycinnamate, Butyl Methoxydibenzoylmethane, Bis-Ethylhexyloxyphenol Methoxyphenyl Triazine, Diethylamino Hydroxybenzoyl Hexyl Benzoate, 1,2-Hexanediol, Caprylyl Glycol, Caprylic/Capric Triglyceride, Titanium Dioxide, Zinc Oxide, Silica, Carbomer, Triethanolamine, Disodium EDTA, Phenoxyethanol, Ethylhexylglycerin</t>
  </si>
  <si>
    <r>
      <rPr>
        <rFont val="Carlito"/>
        <sz val="11.0"/>
      </rPr>
      <t xml:space="preserve">https://images-static.nykaa.com/media/catalog/product/d/0/d088d5a8809640733185_1.jpg
https://images-static.nykaa.com/media/catalog/product/d/0/d088d5a8809640733185_2.jpg
https://images-static.nykaa.com/media/catalog/product/d/0/d088d5a8809640733185_3.jpg
https://images-static.nykaa.com/media/catalog/product/d/0/d088d5a8809640733185_4.jpg
</t>
    </r>
    <r>
      <rPr>
        <rFont val="Carlito"/>
        <color rgb="FF1155CC"/>
        <sz val="11.0"/>
        <u/>
      </rPr>
      <t>https://images-static.nykaa.com/media/catalog/product/d/0/d088d5a8809640733185_5.jpg</t>
    </r>
  </si>
  <si>
    <t>Roopsee-F-TO-14</t>
  </si>
  <si>
    <t>Anua Peach 77 Niacin Conditioning Milk</t>
  </si>
  <si>
    <t>Dryness, Dark Spots/Pigmentation, Barrier Repair, Redness/Irritation, Dehydration, Dullness</t>
  </si>
  <si>
    <t>Peach Extract 77%, Panthenol</t>
  </si>
  <si>
    <t>A radiance-focused Anua formula with peach and niacinamide to hydrate, brighten and support smoother-looking skin.</t>
  </si>
  <si>
    <t>Aqua, Glycerin, Butylene Glycol, Prunus Persica (Peach) Fruit Extract, 1,2-Hexanediol, Caprylyl Glycol, Betaine, Propanediol, Panthenol, Sodium Hyaluronate, Allantoin, Disodium EDTA, Phenoxyethanol, Ethylhexylglycerin</t>
  </si>
  <si>
    <r>
      <rPr>
        <color rgb="FF1155CC"/>
        <u/>
      </rPr>
      <t>https://anua.com/cdn/shop/files/anua-us-moisturizer-peach-77-niacin-conditioning-milk-1239193729.jpg?v=1779177442&amp;width=2000</t>
    </r>
    <r>
      <rPr/>
      <t/>
    </r>
    <r>
      <rPr>
        <color rgb="FF1155CC"/>
        <u/>
      </rPr>
      <t>https://anua.com/cdn/shop/files/anua-us-moisturizer-150ml-peach-77-niacin-conditioning-milk-1161173290.jpg?v=1746613346&amp;width=1000</t>
    </r>
    <r>
      <rPr/>
      <t/>
    </r>
    <r>
      <rPr>
        <color rgb="FF1155CC"/>
        <u/>
      </rPr>
      <t>https://anua.com/cdn/shop/files/anua-us-moisturizer-150ml-peach-77-niacin-conditioning-milk-1161173291.jpg?v=1746613349&amp;width=1000</t>
    </r>
    <r>
      <rPr/>
      <t/>
    </r>
    <r>
      <rPr>
        <color rgb="FF1155CC"/>
        <u/>
      </rPr>
      <t>https://anua.com/cdn/shop/files/anua-us-moisturizer-peach-77-niacin-conditioning-milk-1239193729.jpg?v=1779177442&amp;width=1000</t>
    </r>
  </si>
  <si>
    <t>Roopsee-F-MA-20</t>
  </si>
  <si>
    <t>Anua Heartleaf LHA Moisture Peeling Gel</t>
  </si>
  <si>
    <t>120ml</t>
  </si>
  <si>
    <t>Open Pores, Comedones, Redness/Irritation</t>
  </si>
  <si>
    <t>LHA</t>
  </si>
  <si>
    <t>Heartleaf Extract, Hyaluronic Acid</t>
  </si>
  <si>
    <t>Aqua, Glycerin, Butylene Glycol, Houttuynia Cordata Extract, 1,2-Hexanediol, Caprylyl Glycol, Carbomer, Xanthan Gum, Allantoin, Disodium EDTA, Phenoxyethanol, Ethylhexylglycerin</t>
  </si>
  <si>
    <t>Ingredient caution: salicylic acid/BHA might cause stinging, dryness, peeling, redness and increased sun sensitivity; preservatives such as phenoxyethanol/benzyl alcohol might sting very sensitive or compromised skin; humectants such as hyaluronic acid/glycerin are usually gentle but might feel sticky or tight if not sealed with moisturiser; clay/charcoal ingredients might over-dry sensitive, dry or barrier-damaged skin. Do a patch test before applying. First-time users should start 3–4 times a week, avoid using it with retinol or other exfoliating acids in the same routine, and apply sunscreen daily. Do not apply on broken, freshly waxed or irritated skin. Apply on slightly damp skin and follow with moisturiser if dryness occurs. Do not leave on longer than directed and moisturise after rinsing. Stop use if irritation persists.</t>
  </si>
  <si>
    <r>
      <rPr>
        <color rgb="FF1155CC"/>
        <u/>
      </rPr>
      <t>https://anua.com/cdn/shop/files/anua-global-cleanser-heartleaf-lha-moisture-peeling-gel-1239193740.jpg?v=1779177731&amp;width=2000</t>
    </r>
    <r>
      <rPr/>
      <t/>
    </r>
    <r>
      <rPr>
        <color rgb="FF1155CC"/>
        <u/>
      </rPr>
      <t>https://anua.com/cdn/shop/files/anua-us-cleanser-200ml-heartleaf-lha-moisture-peeling-gel-1161189361.png?v=1748544102&amp;width=2000</t>
    </r>
    <r>
      <rPr/>
      <t/>
    </r>
    <r>
      <rPr>
        <color rgb="FF1155CC"/>
        <u/>
      </rPr>
      <t>https://anua.com/cdn/shop/files/anua-us-cleanser-200ml-heartleaf-lha-moisture-peeling-gel-1161189362.png?v=1748544104&amp;width=2000</t>
    </r>
    <r>
      <rPr/>
      <t/>
    </r>
    <r>
      <rPr>
        <color rgb="FF1155CC"/>
        <u/>
      </rPr>
      <t>https://anua.com/cdn/shop/files/anua-us-cleanser-200ml-heartleaf-lha-moisture-peeling-gel-1161189359.png?v=1748544097&amp;width=2000</t>
    </r>
  </si>
  <si>
    <t>Roopsee-F-CL-42</t>
  </si>
  <si>
    <t>Anua Heartleaf Pore Control Cleansing Oil</t>
  </si>
  <si>
    <t>LHA, Jojoba Oil, Vitamin E</t>
  </si>
  <si>
    <t>Aqua, Glycerin, Sodium Lauroyl Sarcosinate, Houttuynia Cordata Extract, 1,2-Hexanediol, Caprylyl Glycol, Cocamidopropyl Betaine, Decyl Glucoside, Acrylates Copolymer, Sodium Chloride, Citric Acid, Disodium EDTA, Phenoxyethanol, Ethylhexylglycerin</t>
  </si>
  <si>
    <t>Ingredient caution: salicylic acid/BHA might cause stinging, dryness, peeling, redness and increased sun sensitivity; cleansing surfactants might cause dryness, stinging or tightness if overused;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Use lukewarm water, do not scrub, and follow with moisturiser. Do not apply on broken, freshly waxed or irritated skin. Apply on slightly damp skin and follow with moisturiser if dryness occurs. Stop use if irritation persists.</t>
  </si>
  <si>
    <r>
      <rPr>
        <color rgb="FF1155CC"/>
        <u/>
      </rPr>
      <t>https://anua.com/cdn/shop/files/anua-us-cleanser-heartleaf-pore-control-cleansing-oil-1239193742.jpg?v=1779181871&amp;width=2000</t>
    </r>
    <r>
      <rPr/>
      <t/>
    </r>
    <r>
      <rPr>
        <color rgb="FF1155CC"/>
        <u/>
      </rPr>
      <t>https://anua.com/cdn/shop/files/anua-us-cleanser-heartleaf-pore-control-cleansing-oil-1244398150.jpg?v=1781507170&amp;width=2000</t>
    </r>
    <r>
      <rPr/>
      <t/>
    </r>
    <r>
      <rPr>
        <color rgb="FF1155CC"/>
        <u/>
      </rPr>
      <t>https://anua.com/cdn/shop/files/anua-us-cleanser-heartleaf-pore-control-cleansing-oil-1239362097.png?v=1779270252&amp;width=1200</t>
    </r>
    <r>
      <rPr/>
      <t/>
    </r>
    <r>
      <rPr>
        <color rgb="FF1155CC"/>
        <u/>
      </rPr>
      <t>https://anua.com/cdn/shop/files/anua-us-cleanser-heartleaf-pore-control-cleansing-oil-1239362103.png?v=1779270190&amp;width=1200</t>
    </r>
  </si>
  <si>
    <t>Roopsee-F-SU-47</t>
  </si>
  <si>
    <t>Anua Zero-Cast Moisturizing Finish Sunscreen SPF50+ PA++++</t>
  </si>
  <si>
    <t>A daily Anua sunscreen designed to give SPF50+ PA++++ protection with a comfortable, moisturizing finish and minimal cast.</t>
  </si>
  <si>
    <t>Aqua, Glycerin, C12-15 Alkyl Benzoate, Ethylhexyl Methoxycinnamate, Butyl Methoxydibenzoylmethane, Bis-Ethylhexyloxyphenol Methoxyphenyl Triazine, Diethylamino Hydroxybenzoyl Hexyl Benzoate, 1,2-Hexanediol, Caprylyl Glycol, Caprylic/Capric Triglyceride, Titanium Dioxide, Zinc Oxide, Silica, Carbomer, Triethanolamine, Disodium EDTA, Phenoxyethanol, Ethylhexylglycerin</t>
  </si>
  <si>
    <r>
      <rPr>
        <color rgb="FF1155CC"/>
        <u/>
      </rPr>
      <t>https://anua.com/cdn/shop/files/anua-us-sunscreen-zero-cast-moisturizing-finish-sunscreen-1244398149.jpg?v=1781507109&amp;width=2000</t>
    </r>
    <r>
      <rPr/>
      <t/>
    </r>
    <r>
      <rPr>
        <color rgb="FF1155CC"/>
        <u/>
      </rPr>
      <t>https://anua.com/cdn/shop/files/anua-us-sunscreen-zero-cast-moisturizing-sunscreen-spf-50-1219139642.png?v=1770124450&amp;width=2000</t>
    </r>
    <r>
      <rPr/>
      <t/>
    </r>
    <r>
      <rPr>
        <color rgb="FF1155CC"/>
        <u/>
      </rPr>
      <t>https://anua.com/cdn/shop/files/anua-us-sunscreen-50-ml-zero-cast-moisturizing-finish-sunscreen-1161173254.png?v=1746612691&amp;width=2000</t>
    </r>
    <r>
      <rPr/>
      <t/>
    </r>
    <r>
      <rPr>
        <color rgb="FF1155CC"/>
        <u/>
      </rPr>
      <t>https://anua.com/cdn/shop/files/anua-us-sunscreen-zero-cast-moisturizing-finish-sunscreen-zero-cast-moisturizing-finish-sunscreen-1191980629.jpg?v=1757401901&amp;width=2000</t>
    </r>
  </si>
  <si>
    <t>Roopsee-F-MO-59</t>
  </si>
  <si>
    <t>Anua 3 Ceramide Panthenol Moisture Barrier Cream with Hyaluronic Acid, Barrier Care &amp; 48H Hydration</t>
  </si>
  <si>
    <t>Ceramide (3 types)</t>
  </si>
  <si>
    <t>Aqua, Glycerin, Caprylic/Capric Triglyceride, Ceramide, Panthenol, Sodium Hyaluronate, Ceramide NP, Ceramide AP, Ceramide EOP, Cholesterol, Phytosphingosine, Allantoin, 1,2-Hexanediol, Caprylyl Glycol, Cetearyl Alcohol, Glyceryl Stearate, Butyrospermum Parkii (Shea) Butter, Dimethicone, Carbomer, Sodium Hydroxide, Disodium EDTA, Phenoxyethanol, Ethylhexylglycerin</t>
  </si>
  <si>
    <r>
      <rPr>
        <color rgb="FF1155CC"/>
        <u/>
      </rPr>
      <t>https://anua.com/cdn/shop/files/anua-us-moisturizer-3-ceramide-panthenol-moisture-barrier-cream-1239193739.jpg?v=1779177070&amp;width=2000</t>
    </r>
    <r>
      <rPr/>
      <t/>
    </r>
    <r>
      <rPr>
        <color rgb="FF1155CC"/>
        <u/>
      </rPr>
      <t>https://anua.com/cdn/shop/files/anua-us-moisturizer-100-ml-3-ceramide-panthenol-moisture-barrier-cream-1161173222.jpg?v=1767577530&amp;width=2000</t>
    </r>
    <r>
      <rPr/>
      <t/>
    </r>
    <r>
      <rPr>
        <color rgb="FF1155CC"/>
        <u/>
      </rPr>
      <t>https://anua.com/cdn/shop/files/anua-us-moisturizer-100-ml-3-ceramide-panthenol-moisture-barrier-cream-1161173220.jpg?v=1767577530&amp;width=2000</t>
    </r>
    <r>
      <rPr/>
      <t/>
    </r>
    <r>
      <rPr>
        <color rgb="FF1155CC"/>
        <u/>
      </rPr>
      <t>https://anua.com/cdn/shop/files/anua-us-moisturizer-100-ml-3-ceramide-panthenol-moisture-barrier-cream-1161173219.jpg?v=1767577530&amp;width=2000</t>
    </r>
  </si>
  <si>
    <t>Roopsee-F-SE-70</t>
  </si>
  <si>
    <t>Anua 7 Rice Ceramide Hydrating Barrier Serum</t>
  </si>
  <si>
    <t>Rice Ceramide (7 types)</t>
  </si>
  <si>
    <t>A hydrating barrier serum formulated with rice extracts, ceramide and panthenol to nourish, support the skin barrier and improve resilience.</t>
  </si>
  <si>
    <t>Water, Dipropylene Glycol, Glycerin, Methylpropanediol, Water, Butylene Glycol, Methyl Gluceth-10, Niacinamide, 1,2-Hexanediol, Panthenol, Hydroxyethyl Urea, Pentylene Glycol, Sodium Polyacrylate, Oryza Sativa (Rice) Extract, Caprylic/Capric Triglyceride, Carbomer, Hydrogenated Lecithin, Ethylhexylglycerin, Polyquaternium-51, Adenosine, Allantoin, Sodium Phytate, Xanthan Gum, Ceramide NP, Sodium Hyaluronate, Alpha-Arbutin, Beta-Glucan, Tocopherol, Hydrolyzed Rice Protein, Oryza Sativa (Rice) Seed Protein, Honey Extract, Hyaluronic Acid, Hydrolyzed Hyaluronic Acid</t>
  </si>
  <si>
    <t>Ingredient caution: niacinamide is usually gentle but might cause tingling or flushing in very reactive skin; alpha arbutin might cause tingling, dryness or redness in sensitive skin; humectants such as hyaluronic acid/glycerin are usually gentle but might feel sticky or tight if not sealed with moisturiser. Do a patch test before applying. Start slowly if your skin is sensitive and avoid combining too many new actives at once. First-time users should start 3–4 times a week and pair with sunscreen, because pigmentation care works best with UV protection. Apply on slightly damp skin and follow with moisturiser if dryness occurs. Stop use if irritation persists.</t>
  </si>
  <si>
    <r>
      <rPr>
        <color rgb="FF1155CC"/>
        <u/>
      </rPr>
      <t>https://anua.com/cdn/shop/files/anua-us-ampoule-serum-rice-ceramide-7-hydrating-barrier-serum-1239193730.jpg?v=1779178029&amp;width=2000</t>
    </r>
    <r>
      <rPr/>
      <t/>
    </r>
    <r>
      <rPr>
        <color rgb="FF1155CC"/>
        <u/>
      </rPr>
      <t>https://anua.com/cdn/shop/files/anua-us-ampoule-serum-50ml-rice-ceramide-7-hydrating-barrier-serum-1161173285.jpg?v=1757397526&amp;width=1080</t>
    </r>
    <r>
      <rPr/>
      <t/>
    </r>
    <r>
      <rPr>
        <color rgb="FF1155CC"/>
        <u/>
      </rPr>
      <t>https://anua.com/cdn/shop/files/anua-us-ampoule-serum-50ml-rice-ceramide-7-hydrating-barrier-serum-1161173291.jpg?v=1757397526&amp;width=1080</t>
    </r>
    <r>
      <rPr/>
      <t/>
    </r>
    <r>
      <rPr>
        <color rgb="FF1155CC"/>
        <u/>
      </rPr>
      <t>https://anua.com/cdn/shop/files/anua-us-ampoule-serum-rice-ceramide-7-hydrating-barrier-serum-rice-ceramide-7-hydrating-barrier-serum-1191980625.jpg?v=1757401889&amp;width=2000</t>
    </r>
  </si>
  <si>
    <t>Roopsee-F-CL-43</t>
  </si>
  <si>
    <t>The Face Shop Rice Water Bright Cleansing Foam</t>
  </si>
  <si>
    <t>The Face Shop</t>
  </si>
  <si>
    <t>100 ml</t>
  </si>
  <si>
    <t>Rice Water</t>
  </si>
  <si>
    <t>Rice Bran Extract, Ceramide</t>
  </si>
  <si>
    <t>A brightening and hydrating cleansing foam enriched with rice water extract that deeply cleanses, removes dead skin cells and leaves skin refreshed and radiant.</t>
  </si>
  <si>
    <t>Rice Water Extract, Soapwort Extract, Moringa Oil, Stearic Acid, Lauric Acid, Rice Bran Oil and mild cleansing agents</t>
  </si>
  <si>
    <t>Ingredient caution: cleansing surfactants might cause dryness, stinging or tightness if overused. Do a patch test before applying. Use lukewarm water, do not scrub, and follow with moisturiser. Stop use if irritation persists.</t>
  </si>
  <si>
    <r>
      <rPr>
        <color rgb="FF1155CC"/>
        <u/>
      </rPr>
      <t>https://thefaceshop.in/cdn/shop/files/1_45d3536e-45b9-403a-b226-90e09909daf9.jpg?v=1760510738&amp;width=1500</t>
    </r>
    <r>
      <rPr/>
      <t/>
    </r>
    <r>
      <rPr>
        <color rgb="FF1155CC"/>
        <u/>
      </rPr>
      <t>https://thefaceshop.in/cdn/shop/files/2_9d9121b7-a853-47b8-962a-6817e6f034b2.jpg?v=1760510739&amp;width=1500</t>
    </r>
    <r>
      <rPr/>
      <t/>
    </r>
    <r>
      <rPr>
        <color rgb="FF1155CC"/>
        <u/>
      </rPr>
      <t>https://thefaceshop.in/cdn/shop/files/3_b8fcbd9d-6e4d-4d68-9d5c-5e03f4453780.jpg?v=1760510739&amp;width=1500</t>
    </r>
  </si>
  <si>
    <t>Roopsee-F-CL-44</t>
  </si>
  <si>
    <t>The Face Shop Rice Water Bright Light Cleansing Oil</t>
  </si>
  <si>
    <t>55ml</t>
  </si>
  <si>
    <t>O, D+S, N, C</t>
  </si>
  <si>
    <t>Ceramide, Mineral Oil</t>
  </si>
  <si>
    <t>A brightening deep cleansing oil that effectively cleanses away impurities and heavy makeup with a light watery texture. Plant-based ingredients such as rice bran oil and jojoba oil keep skin looking clean and bright.</t>
  </si>
  <si>
    <t>Caprylic/Capric Triglyceride, Sorbeth-30 Tetraoleate, Polyglyceryl-10 Diisostearate, Oryza Sativa (Rice) Bran Oil, Simmondsia Chinensis (Jojoba) Seed Oil, Water/Eau, Glycerin, Oryza Sativa (Rice) Extract, Saponaria Officinalis Leaf Extract, Perfume/Fragrance</t>
  </si>
  <si>
    <t>Ingredient caution: fragrance, essential oils or fragrance allergens might trigger redness, itching or allergic irritation; cleansing surfactants might cause dryness, stinging or tightness if overused; rich oils, butters or occlusive emollients might feel heavy or clog pores in acne-prone/oily skin; humectants such as hyaluronic acid/glycerin are usually gentle but might feel sticky or tight if not sealed with moisturiser. Do a patch test before applying. Avoid this product if you have fragrance allergy, eczema-prone skin or a damaged barrier. Use lukewarm water, do not scrub, and follow with moisturiser. Use a small amount first and avoid applying on active acne if it feels greasy. Apply on slightly damp skin and follow with moisturiser if dryness occurs. Stop use if irritation persists.</t>
  </si>
  <si>
    <r>
      <rPr>
        <color rgb="FF1155CC"/>
        <u/>
      </rPr>
      <t>https://thefaceshop.in/cdn/shop/files/1_16a51294-1eeb-466c-88c0-870bb0d13be9.jpg?v=1760512625&amp;width=1500</t>
    </r>
    <r>
      <rPr/>
      <t/>
    </r>
    <r>
      <rPr>
        <color rgb="FF1155CC"/>
        <u/>
      </rPr>
      <t>https://thefaceshop.in/cdn/shop/files/2_ff12e2a5-d19c-4ead-8718-b6ce4efa3402.jpg?v=1760512625&amp;width=1500</t>
    </r>
    <r>
      <rPr/>
      <t/>
    </r>
    <r>
      <rPr>
        <color rgb="FF1155CC"/>
        <u/>
      </rPr>
      <t>https://thefaceshop.in/cdn/shop/files/3_bffbe52a-aab7-44a7-8776-531939e5b7a7.jpg?v=1760512625&amp;width=1500</t>
    </r>
  </si>
  <si>
    <t>Roopsee-F-TO-15</t>
  </si>
  <si>
    <t>The Face Shop Rice Ceramide Moisturizing Emulsion</t>
  </si>
  <si>
    <t>Rice Ceramide</t>
  </si>
  <si>
    <t>Rice Bran Extract, Hyaluronic Acid</t>
  </si>
  <si>
    <t>A THE FACE SHOP skincare formula designed for daily skin care and targeted concern support.</t>
  </si>
  <si>
    <t>Aqua, Glycerin, Butylene Glycol, Ceramide, Oryza Sativa (Rice) Extract, Ceramide NP, Ceramide AP, Ceramide EOP, Cholesterol, Phytosphingosine, 1,2-Hexanediol, Caprylyl Glycol, Betaine, Propanediol, Panthenol, Sodium Hyaluronate, Allantoin, Disodium EDTA, Phenoxyethanol, Ethylhexylglycerin</t>
  </si>
  <si>
    <r>
      <rPr>
        <color rgb="FF1155CC"/>
        <u/>
      </rPr>
      <t>https://thefaceshop.in/cdn/shop/files/1_77548062-2d9a-4309-ba4a-f32748c3938c.jpg?v=1760521859&amp;width=1500</t>
    </r>
    <r>
      <rPr/>
      <t/>
    </r>
    <r>
      <rPr>
        <color rgb="FF1155CC"/>
        <u/>
      </rPr>
      <t>https://thefaceshop.in/cdn/shop/files/2_dcbfbefb-b048-45bf-8247-86859bfcee01.jpg?v=1760521859&amp;width=1500</t>
    </r>
    <r>
      <rPr/>
      <t/>
    </r>
    <r>
      <rPr>
        <color rgb="FF1155CC"/>
        <u/>
      </rPr>
      <t>https://thefaceshop.in/cdn/shop/files/3_5663553c-dcb0-470f-825a-0b910bb59404.jpg?v=1760521859&amp;width=1500</t>
    </r>
  </si>
  <si>
    <t>Roopsee-F-MO-60</t>
  </si>
  <si>
    <t>The Face Shop Rice Ceramide Moisturizing Cream</t>
  </si>
  <si>
    <t>Rice Bran Extract, Glycerin</t>
  </si>
  <si>
    <t>Aqua, Glycerin, Caprylic/Capric Triglyceride, Ceramide, Oryza Sativa (Rice) Extract, Ceramide NP, Ceramide AP, Ceramide EOP, Cholesterol, Phytosphingosine, 1,2-Hexanediol, Caprylyl Glycol, Cetearyl Alcohol, Glyceryl Stearate, Butyrospermum Parkii (Shea) Butter, Dimethicone, Carbomer, Sodium Hydroxide, Disodium EDTA, Phenoxyethanol, Ethylhexylglycerin</t>
  </si>
  <si>
    <r>
      <rPr>
        <color rgb="FF1155CC"/>
        <u/>
      </rPr>
      <t>https://thefaceshop.in/cdn/shop/files/1_e1f753a2-b048-44f9-8b64-574633099485.jpg?v=1759488346&amp;width=1500</t>
    </r>
    <r>
      <rPr/>
      <t/>
    </r>
    <r>
      <rPr>
        <color rgb="FF1155CC"/>
        <u/>
      </rPr>
      <t>https://thefaceshop.in/cdn/shop/files/2_3da961d4-5a57-4632-9770-7eb0ecb774ed.jpg?v=1759488346&amp;width=1500</t>
    </r>
    <r>
      <rPr/>
      <t/>
    </r>
    <r>
      <rPr>
        <color rgb="FF1155CC"/>
        <u/>
      </rPr>
      <t>https://thefaceshop.in/cdn/shop/files/3_bb440119-86a4-4829-92c8-be3f031334ca.jpg?v=1759488346&amp;width=1500</t>
    </r>
  </si>
  <si>
    <t>Roopsee-F-SU-48</t>
  </si>
  <si>
    <t>The Face Shop Natural Sun Eco Super Perfect Sun Cream SPF 50+ PA++++</t>
  </si>
  <si>
    <t>45ml</t>
  </si>
  <si>
    <t>O+S, D, D+S, N+S</t>
  </si>
  <si>
    <t>Ceramide, Vitamin E</t>
  </si>
  <si>
    <t>A THE FACE SHOP sun-care formula designed to protect skin with SPF while keeping skin comfortable for daily use.</t>
  </si>
  <si>
    <r>
      <rPr>
        <color rgb="FF1155CC"/>
        <u/>
      </rPr>
      <t>https://thefaceshop.in/cdn/shop/files/1_1131c206-edb4-4c8c-85ba-14e47759c8c1.jpg?v=1758870401&amp;width=1500</t>
    </r>
    <r>
      <rPr/>
      <t/>
    </r>
    <r>
      <rPr>
        <color rgb="FF1155CC"/>
        <u/>
      </rPr>
      <t>https://thefaceshop.in/cdn/shop/files/2_786862a9-8d95-49cf-8ff0-2ff1a0356b70.jpg?v=1758870401&amp;width=1500</t>
    </r>
    <r>
      <rPr/>
      <t/>
    </r>
    <r>
      <rPr>
        <color rgb="FF1155CC"/>
        <u/>
      </rPr>
      <t>https://thefaceshop.in/cdn/shop/files/3_8628b564-eab2-4834-90e9-282e31fdedf5.jpg?v=1758870401&amp;width=1500</t>
    </r>
    <r>
      <rPr/>
      <t/>
    </r>
    <r>
      <rPr>
        <color rgb="FF1155CC"/>
        <u/>
      </rPr>
      <t>https://thefaceshop.in/cdn/shop/files/4_74d7d4dc-7acd-4c09-9587-fc356bb19198.jpg?v=1758870400&amp;width=1500</t>
    </r>
  </si>
  <si>
    <t>Roopsee-F-MO-61</t>
  </si>
  <si>
    <t>The Face Shop Jeju Aloe Fresh Soothing Gel</t>
  </si>
  <si>
    <t>300ml</t>
  </si>
  <si>
    <t>Aloe Vera (Jeju)</t>
  </si>
  <si>
    <t>Hyaluronic Acid, Glycerin</t>
  </si>
  <si>
    <t>A multipurpose soothing gel formulated with Jeju aloe to hydrate, soothe and refresh skin with a lightweight, non-sticky feel.</t>
  </si>
  <si>
    <t>95% Jeju Aloe Barbadensis Leaf Extract, Panthenol, Allantoin, Betaine, Glycerin, Chamomile Extract, Rosemary Extract, Lavender Extract, Basil Extract and other soothing herbal extracts</t>
  </si>
  <si>
    <t>Ingredient caution: fragrance, essential oils or fragrance allergens might trigger redness, itching or allergic irritation; humectants such as hyaluronic acid/glycerin are usually gentle but might feel sticky or tight if not sealed with moisturiser. Do a patch test before applying. Avoid this product if you have fragrance allergy, eczema-prone skin or a damaged barrier. Apply on slightly damp skin and follow with moisturiser if dryness occurs. Stop use if irritation persists.</t>
  </si>
  <si>
    <r>
      <rPr>
        <color rgb="FF1155CC"/>
        <u/>
      </rPr>
      <t>https://thefaceshop.in/cdn/shop/files/1_8456f122-ca7b-40c6-bd35-63d9b41c48db.jpg?v=1781692956&amp;width=1500</t>
    </r>
    <r>
      <rPr/>
      <t/>
    </r>
    <r>
      <rPr>
        <color rgb="FF1155CC"/>
        <u/>
      </rPr>
      <t>https://thefaceshop.in/cdn/shop/files/2_7ab1a870-7857-4430-985d-aa93f1689d44.jpg?v=1781692956&amp;width=1500</t>
    </r>
    <r>
      <rPr/>
      <t/>
    </r>
    <r>
      <rPr>
        <color rgb="FF1155CC"/>
        <u/>
      </rPr>
      <t>https://thefaceshop.in/cdn/shop/files/3_9fac323a-d04b-4be7-af8a-3add94e4d6d7.jpg?v=1781692956&amp;width=1500</t>
    </r>
    <r>
      <rPr/>
      <t/>
    </r>
    <r>
      <rPr>
        <color rgb="FF1155CC"/>
        <u/>
      </rPr>
      <t>https://thefaceshop.in/cdn/shop/files/4_c68b3d54-9552-435e-a49a-8c9a5ac16433.jpg?v=1781692956&amp;width=1500</t>
    </r>
  </si>
  <si>
    <t>Roopsee-F-SU-49</t>
  </si>
  <si>
    <t>The Face Shop Natural Sun Eco No Shine Hydrating Sun Cream SPF 50+ PA++++</t>
  </si>
  <si>
    <r>
      <rPr>
        <color rgb="FF1155CC"/>
        <u/>
      </rPr>
      <t>https://thefaceshop.in/cdn/shop/files/1_2ce9db99-5f47-4305-9c8b-00f3eb8c4b61.jpg?v=1760591917&amp;width=1500</t>
    </r>
    <r>
      <rPr/>
      <t/>
    </r>
    <r>
      <rPr>
        <color rgb="FF1155CC"/>
        <u/>
      </rPr>
      <t>https://thefaceshop.in/cdn/shop/files/2_c05f758c-b748-492f-a8a9-86a40d22f9e2.jpg?v=1760591917&amp;width=1500</t>
    </r>
    <r>
      <rPr/>
      <t/>
    </r>
    <r>
      <rPr>
        <color rgb="FF1155CC"/>
        <u/>
      </rPr>
      <t>https://thefaceshop.in/cdn/shop/files/3_993eb9ca-7b34-41bb-bd7d-f7595c37f7eb.jpg?v=1760591917&amp;width=1500</t>
    </r>
    <r>
      <rPr/>
      <t/>
    </r>
    <r>
      <rPr>
        <color rgb="FF1155CC"/>
        <u/>
      </rPr>
      <t>https://thefaceshop.in/cdn/shop/files/4_a4b20de3-4a91-4704-818b-e0809003cfe2.jpg?v=1760591917&amp;width=1500</t>
    </r>
  </si>
  <si>
    <t>Roopsee-F-SU-50</t>
  </si>
  <si>
    <t>The Face Shop Rice Water Bright Moisture Sunscreen SPF50+ PA++++</t>
  </si>
  <si>
    <t>Ceramide, SPF 50+ UV Filters, Hyaluronic Acid</t>
  </si>
  <si>
    <t>A Rice Water Bright formula from THE FACE SHOP designed to cleanse, brighten and leave skin looking refreshed and radiant.</t>
  </si>
  <si>
    <t>Aqua, Glycerin, C12-15 Alkyl Benzoate, Oryza Sativa (Rice) Extract, Ethylhexyl Methoxycinnamate, Butyl Methoxydibenzoylmethane, Bis-Ethylhexyloxyphenol Methoxyphenyl Triazine, Diethylamino Hydroxybenzoyl Hexyl Benzoate, Sodium Ascorbyl Phosphate, 3-O-Ethyl Ascorbic Acid, Tocopheryl Acetate, 1,2-Hexanediol, Caprylyl Glycol, Caprylic/Capric Triglyceride, Titanium Dioxide, Zinc Oxide, Silica, Carbomer, Triethanolamine, Disodium EDTA, Phenoxyethanol, Ethylhexylglycerin</t>
  </si>
  <si>
    <t>Ingredient caution: vitamin C/ascorbic derivatives might cause tingling, redness or irritation in sensitive skin; UV filters might sting around the eyes or irritate very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Patch test near the jawline first, avoid the eye corners, and remove gently at night. Do not apply on broken, freshly waxed or irritated skin. Apply on slightly damp skin and follow with moisturiser if dryness occurs. Stop use if irritation persists.</t>
  </si>
  <si>
    <r>
      <rPr>
        <color rgb="FF1155CC"/>
        <u/>
      </rPr>
      <t>https://thefaceshop.in/cdn/shop/files/2_a02ceb82-72d0-43ed-b4ea-e58592471778.jpg?v=1774352004&amp;width=1500</t>
    </r>
    <r>
      <rPr/>
      <t/>
    </r>
    <r>
      <rPr>
        <color rgb="FF1155CC"/>
        <u/>
      </rPr>
      <t>https://thefaceshop.in/cdn/shop/files/3_1_d7345b45-5201-49a6-884f-16409e1cee61.jpg?v=1779714709&amp;width=1500</t>
    </r>
    <r>
      <rPr/>
      <t/>
    </r>
    <r>
      <rPr>
        <color rgb="FF1155CC"/>
        <u/>
      </rPr>
      <t>https://thefaceshop.in/cdn/shop/files/4_fa635df6-b351-4a4f-a9b4-b47ae54028c7.jpg?v=1774352004&amp;width=1500</t>
    </r>
  </si>
  <si>
    <t>Roopsee-F-TO-16</t>
  </si>
  <si>
    <t>The Face Shop Ceramide &amp; Rice Face Toner - Korean Beauty Skincare for Brightness &amp; Minimizes Pores</t>
  </si>
  <si>
    <t>Rice Extract, Niacinamide</t>
  </si>
  <si>
    <t>A toner from THE FACE SHOP designed to prep, hydrate and refresh skin while supporting a smoother-looking complexion.</t>
  </si>
  <si>
    <t>Aqua, Glycerin, Butylene Glycol, Ceramide, Oryza Sativa (Rice) Extract, Ceramide NP, Ceramide AP, Ceramide EOP, Cholesterol, Phytosphingosine, Sodium Ascorbyl Phosphate, 3-O-Ethyl Ascorbic Acid, Tocopheryl Acetate, 1,2-Hexanediol, Caprylyl Glycol, Betaine, Propanediol, Panthenol, Sodium Hyaluronate, Allantoin, Disodium EDTA, Phenoxyethanol, Ethylhexylglycerin</t>
  </si>
  <si>
    <r>
      <rPr>
        <color rgb="FF1155CC"/>
        <u/>
      </rPr>
      <t>https://thefaceshop.in/cdn/shop/files/2_96feab55-a209-4153-a18e-e36d6c4030f7.jpg?v=1760522281&amp;width=3840</t>
    </r>
    <r>
      <rPr/>
      <t/>
    </r>
    <r>
      <rPr>
        <color rgb="FF1155CC"/>
        <u/>
      </rPr>
      <t>https://thefaceshop.in/cdn/shop/files/3_bb84005f-f414-4638-9eb1-ed77e04e0f81.jpg?v=1760522281&amp;width=3840</t>
    </r>
    <r>
      <rPr/>
      <t/>
    </r>
    <r>
      <rPr>
        <color rgb="FF1155CC"/>
        <u/>
      </rPr>
      <t>https://thefaceshop.in/cdn/shop/files/4_e94f7c50-d325-4aa6-9552-2c7385efa573.jpg?v=1760522281&amp;width=3840</t>
    </r>
    <r>
      <rPr/>
      <t/>
    </r>
    <r>
      <rPr>
        <color rgb="FF1155CC"/>
        <u/>
      </rPr>
      <t>https://thefaceshop.in/cdn/shop/files/5_402400d9-f59f-41a0-b868-b2cb4f05d314.jpg?v=1760522326&amp;width=3840</t>
    </r>
  </si>
  <si>
    <t>Roopsee-F-SE-71</t>
  </si>
  <si>
    <t>The Face Shop Collagen &amp; Pomegranate Serum - Best Anti Aging Korean Serum with Panthenol</t>
  </si>
  <si>
    <t>Wrinkles/Fine lines, Redness/Irritation, Dehydration</t>
  </si>
  <si>
    <t>Collagen</t>
  </si>
  <si>
    <t>Pomegranate Extract, Panthenol</t>
  </si>
  <si>
    <t>A collagen and pomegranate skincare formula from THE FACE SHOP designed to nourish, moisturize and support firmer-looking skin.</t>
  </si>
  <si>
    <t>Aqua, Glycerin, Butylene Glycol, Panthenol, Pomegranate, Collagen, 1,2-Hexanediol, Caprylyl Glycol, Propanediol, Methylpropanediol, Hydroxyethylcellulose, Xanthan Gum, Disodium EDTA, Phenoxyethanol, Ethylhexylglycerin</t>
  </si>
  <si>
    <r>
      <rPr>
        <color rgb="FF1155CC"/>
        <u/>
      </rPr>
      <t>https://thefaceshop.in/cdn/shop/files/1_78eccdbd-a3c9-4a18-917c-5c5a3bc282b2.jpg?v=1760596124&amp;width=3840</t>
    </r>
    <r>
      <rPr/>
      <t/>
    </r>
    <r>
      <rPr>
        <color rgb="FF1155CC"/>
        <u/>
      </rPr>
      <t>https://thefaceshop.in/cdn/shop/files/2_6d58ade6-63e5-42b9-b55a-fa38cba08e48.jpg?v=1760596124&amp;width=3840</t>
    </r>
    <r>
      <rPr/>
      <t/>
    </r>
    <r>
      <rPr>
        <color rgb="FF1155CC"/>
        <u/>
      </rPr>
      <t>https://thefaceshop.in/cdn/shop/files/3_41a94767-6e75-45ff-a715-740ca2044e28.jpg?v=1760596124&amp;width=3840</t>
    </r>
    <r>
      <rPr/>
      <t/>
    </r>
    <r>
      <rPr>
        <color rgb="FF1155CC"/>
        <u/>
      </rPr>
      <t>https://thefaceshop.in/cdn/shop/files/4_292f685b-1bf7-4d47-9e2f-5cabcbd5515e.jpg?v=1760596124&amp;width=3840</t>
    </r>
  </si>
  <si>
    <t>Roopsee-F-MO-62</t>
  </si>
  <si>
    <t>The Face Shop Collagen &amp; Pomegranate Moisturizer Anti Aging Korean Beauty Day &amp; Night Cream</t>
  </si>
  <si>
    <t>Dryness, Wrinkles/Fine lines, Redness/Irritation, Dehydration</t>
  </si>
  <si>
    <t>Pomegranate Extract, Hyaluronic Acid</t>
  </si>
  <si>
    <t>Aqua, Glycerin, Caprylic/Capric Triglyceride, Pomegranate, Collagen, 1,2-Hexanediol, Caprylyl Glycol, Cetearyl Alcohol, Glyceryl Stearate, Butyrospermum Parkii (Shea) Butter, Dimethicone, Carbomer, Sodium Hydroxide, Disodium EDTA, Phenoxyethanol, Ethylhexylglycerin</t>
  </si>
  <si>
    <r>
      <rPr>
        <color rgb="FF1155CC"/>
        <u/>
      </rPr>
      <t>https://thefaceshop.in/cdn/shop/files/2_1_aa5e5baf-5ec5-446c-9fce-727342d481a2.jpg?v=1760592292&amp;width=1500</t>
    </r>
    <r>
      <rPr/>
      <t/>
    </r>
    <r>
      <rPr>
        <color rgb="FF1155CC"/>
        <u/>
      </rPr>
      <t>https://thefaceshop.in/cdn/shop/files/3_1_f2595d1b-b969-4eca-adb1-c9543ab5f9d2.jpg?v=1760592292&amp;width=1500</t>
    </r>
    <r>
      <rPr/>
      <t/>
    </r>
    <r>
      <rPr>
        <color rgb="FF1155CC"/>
        <u/>
      </rPr>
      <t>https://thefaceshop.in/cdn/shop/files/4_1_fc7e304d-01b0-4b5d-8bc0-6e19398325a6.jpg?v=1760592292&amp;width=1500</t>
    </r>
    <r>
      <rPr/>
      <t/>
    </r>
    <r>
      <rPr>
        <color rgb="FF1155CC"/>
        <u/>
      </rPr>
      <t>https://thefaceshop.in/cdn/shop/files/5_1_60b31261-0e9b-47af-88fa-2daf306709d9.jpg?v=1760592292&amp;width=1500</t>
    </r>
  </si>
  <si>
    <t>Roopsee-F-SE-72</t>
  </si>
  <si>
    <t>The Face Shop White Seed Brightening Korean Serum With Niacinamide &amp; Hyaluronic Acid for Dark Spots</t>
  </si>
  <si>
    <t>White Seed Extract, Hyaluronic Acid</t>
  </si>
  <si>
    <t>A brightening serum that helps fade dullness, refine skin tone, restore natural radiance and minimize the appearance of pores.</t>
  </si>
  <si>
    <t>HR Hexylresorcinol, Niacinamide, Panthenol, Hyaluronic Acid, White Daisy, Lupine Seeds, White Willow Bark, Propanediol, Dimethicone and Squalane</t>
  </si>
  <si>
    <t>Ingredient caution: niacinamide is usually gentle but might cause tingling or flushing in very reactive skin; humectants such as hyaluronic acid/glycerin are usually gentle but might feel sticky or tight if not sealed with moisturiser. Do a patch test before applying. Start slowly if your skin is sensitive and avoid combining too many new actives at once. Apply on slightly damp skin and follow with moisturiser if dryness occurs. Stop use if irritation persists.</t>
  </si>
  <si>
    <r>
      <rPr>
        <color rgb="FF1155CC"/>
        <u/>
      </rPr>
      <t>https://thefaceshop.in/cdn/shop/files/5_2_915dc06a-9925-4c3b-88bc-5e189d7c90cb.jpg?v=1765773662&amp;width=3840</t>
    </r>
  </si>
  <si>
    <t>Roopsee-F-MA-21</t>
  </si>
  <si>
    <t>The Face Shop Smart Peeling White Jewel Perle - Brightening For Tan Removal</t>
  </si>
  <si>
    <t>O,C</t>
  </si>
  <si>
    <t>AHA (Glycolic Acid)</t>
  </si>
  <si>
    <t>White Pearl Extract, Niacinamide</t>
  </si>
  <si>
    <t>Aqua, Glycerin, Butylene Glycol, Cellulose, Synthetic Fluorphlogopite, Titanium Dioxide, Pearl Powder, Fragrance, Sodium Ascorbyl Phosphate, 3-O-Ethyl Ascorbic Acid, Tocopheryl Acetate, 1,2-Hexanediol, Caprylyl Glycol, Carbomer, Xanthan Gum, Allantoin, Disodium EDTA, Phenoxyethanol, Ethylhexylglycerin</t>
  </si>
  <si>
    <t>Ingredient caution: glycolic acid/AHA might cause stinging, dryness, peeling, redness and increased sun sensitivity;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Stop use if irritation persists.</t>
  </si>
  <si>
    <r>
      <rPr>
        <rFont val="Carlito"/>
        <sz val="11.0"/>
      </rPr>
      <t xml:space="preserve">https://images-static.nykaa.com/media/catalog/product/8/8/8806182552373.jpg
https://images-static.nykaa.com/media/catalog/product/8/8/8806182552373a.jpg
https://images-static.nykaa.com/media/catalog/product/8/8/8806182552373b.jpg
</t>
    </r>
    <r>
      <rPr>
        <rFont val="Carlito"/>
        <color rgb="FF1155CC"/>
        <sz val="11.0"/>
        <u/>
      </rPr>
      <t>https://images-static.nykaa.com/media/catalog/product/8/8/8806182552373c.jpg</t>
    </r>
  </si>
  <si>
    <t>Roopsee-F-CL-45</t>
  </si>
  <si>
    <t>Innisfree Green Tea Amino Hydrating Cleansing Foam</t>
  </si>
  <si>
    <t>Innisfree</t>
  </si>
  <si>
    <t>Green Tea Extract</t>
  </si>
  <si>
    <t>Amino Acids, Hyaluronic Acid</t>
  </si>
  <si>
    <t>A hydrating cleansing foam formulated with green tea extract and Amino Acid Complex to keep skin hydrated even after cleansing.</t>
  </si>
  <si>
    <t>Water / Aqua / Eau, Glycerin, Myristic Acid, Lauric Acid, Potassium Hydroxide, Stearic Acid, Glyceryl Stearate, Palmitic Acid, Glycol Distearate, Lauryl Hydroxysultaine, Propanediol, Polyquaternium-22, Fragrance / Parfum, Lauryl Glucoside, Sodium Chloride, Disodium Cocoyl Glutamate, 1,2-Hexanediol, Hydrolyzed Corn Starch, Pinus Densiflora Leaf Extract, Sodium Metaphosphate, Arginine, Aspartic Acid, Glutamic Acid, Ethylhexylglycerin, Camellia Sinensis Leaf Extract, Butylene Glycol, Acorus Calamus Root Extract</t>
  </si>
  <si>
    <t>Ingredient caution: fragrance, essential oils or fragrance allergens might trigger redness, itching or allergic irritation; cleansing surfactants might cause dryness, stinging or tightness if overused; humectants such as hyaluronic acid/glycerin are usually gentle but might feel sticky or tight if not sealed with moisturiser. Do a patch test before applying. Avoid this product if you have fragrance allergy, eczema-prone skin or a damaged barrier. Use lukewarm water, do not scrub, and follow with moisturiser. Apply on slightly damp skin and follow with moisturiser if dryness occurs. Stop use if irritation persists.</t>
  </si>
  <si>
    <r>
      <rPr>
        <rFont val="Carlito"/>
        <sz val="11.0"/>
      </rPr>
      <t xml:space="preserve">https://cdn.tirabeauty.com/v2/billowing-snowflake-434234/tira-p/wrkr/products/pictures/item/free/resize-w%3A540/Koz4GKkjlgR-1128569_1.jpg
https://cdn.tirabeauty.com/v2/billowing-snowflake-434234/tira-p/wrkr/products/pictures/item/free/resize-w%3A540/FBaZAzL4UY--1128569_2.jpg
https://cdn.tirabeauty.com/v2/billowing-snowflake-434234/tira-p/wrkr/products/pictures/item/free/resize-w%3A540/NLN86fSXS-1128569_3.jpg
https://cdn.tirabeauty.com/v2/billowing-snowflake-434234/tira-p/wrkr/products/pictures/item/free/resize-w%3A540/KPmNM7r38a-1128569_4.jpg
</t>
    </r>
    <r>
      <rPr>
        <rFont val="Carlito"/>
        <color rgb="FF1155CC"/>
        <sz val="11.0"/>
        <u/>
      </rPr>
      <t>https://cdn.tirabeauty.com/v2/billowing-snowflake-434234/tira-p/wrkr/products/pictures/item/free/resize-w%3A540/4Tqoo_OpTv-1128569_5.jpg</t>
    </r>
  </si>
  <si>
    <t>Roopsee-F-MO-63</t>
  </si>
  <si>
    <t>Innisfree Green Tea Seed Hyaluronic Cream</t>
  </si>
  <si>
    <t>Green Tea Seed</t>
  </si>
  <si>
    <t>Hyaluronic Acid, Ceramide</t>
  </si>
  <si>
    <t>A moisturising cream with Beauty Green Tea and 5 types of hyaluronic acid that helps soothe and hydrate skin for a healthy-looking, glowing complexion.</t>
  </si>
  <si>
    <t>Water / Aqua / Eau, Propanediol, Glycerin, Stearyl Dimethicone, Methyl Trimethicone, Butylene Glycol Dicaprylate/Dicaprate, Pentaerythrityl Tetraethylhexanoate, Camellia Sinensis Seed Oil, 1,2-Hexanediol, Glyceryl Polymethacrylate, Polymethylsilsesquioxane, Squalane, Hydroxyethyl Acrylate/Sodium Acryloyldimethyl Taurate Copolymer, Polyglyceryl-3 Methylglucose Distearate, Carbomer, Triethyl Citrate, Hydrogenated Lecithin, Cholesterol, Glyceryl Stearate, Tromethamine, Limonene, Lactobacillus Ferment Lysate, Hyaluronic Acid, Panthenol, Allantoin, Cetearyl Alcohol, Xanthan Gum, Glyceryl Caprylate, Sodium Stearoyl Glutamate, Butylene Glycol, Ethylhexylglycerin, Disodium EDTA, Citrus Limon (Lemon) Peel Oil, Sorbitan Isostearate, Camellia Sinensis Leaf Extract, Ilex Paraguariensis Leaf Extract, Sodium Hyaluronate, Madecassoside, Lactic Acid, Citral, Dextrin, Theobroma Cacao (Cocoa) Extract, Elettaria Cardamomum Seed Oil, Mentha Viridis (Spearmint) Leaf Oil, Linalool, Cymbopogon Nardus (Citronella) Oil, Hydrolyzed Hyaluronic Acid, Ferula Galbaniflua (Galbanum) Resin Oil, Sodium Hyaluronate Crosspolymer, Camellia Sinensis Seed Extract, Ceramide NP, Tocopherol, Phytosphingosine, Sodium Acetylated Hyaluronate</t>
  </si>
  <si>
    <t>Ingredient caution: lactic acid/AHA might cause stinging, dryness, peeling, redness and increased sun sensitivity; fragrance, essential oils or fragrance allergens might trigger redness, itching or allergic irritation;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Avoid this product if you have fragrance allergy, eczema-prone skin or a damaged barrier. Apply on slightly damp skin and follow with moisturiser if dryness occurs. Stop use if irritation persists.</t>
  </si>
  <si>
    <r>
      <rPr>
        <color rgb="FF1155CC"/>
        <u/>
      </rPr>
      <t>https://in.innisfree.com/cdn/shop/files/131174323_medium.jpg?v=1754914068</t>
    </r>
    <r>
      <rPr/>
      <t/>
    </r>
    <r>
      <rPr>
        <color rgb="FF1155CC"/>
        <u/>
      </rPr>
      <t>https://in.innisfree.com/cdn/shop/files/WhatsApp_Image_2024-11-27_at_10.44.22_medium.jpg?v=1754914068</t>
    </r>
    <r>
      <rPr/>
      <t/>
    </r>
    <r>
      <rPr>
        <color rgb="FF1155CC"/>
        <u/>
      </rPr>
      <t>https://in.innisfree.com/cdn/shop/files/GTSSThumbnail3_e8519318-ce0b-4160-b08f-fd7b95a3b666_medium.jpg?v=1754914068</t>
    </r>
    <r>
      <rPr/>
      <t/>
    </r>
    <r>
      <rPr>
        <color rgb="FF1155CC"/>
        <u/>
      </rPr>
      <t>https://in.innisfree.com/cdn/shop/files/GTSSThumbnail4_4ee151ec-da50-45e6-ba70-caad55af8d94_medium.jpg?v=1754914068</t>
    </r>
  </si>
  <si>
    <t>Roopsee-F-SE-73</t>
  </si>
  <si>
    <t>Innisfree Retinol Cica Repair Ampoule</t>
  </si>
  <si>
    <t>Acne, Barrier Repair, Wrinkles/Fine lines</t>
  </si>
  <si>
    <t>Cica (Centella Asiatica), Ceramide</t>
  </si>
  <si>
    <t>A high-efficacy, low-irritant repairing ampoule with retinol and Jeju Cica-Liposomlogy™ to soothe skin troubles and retexturise skin for smooth, clear and blemish-free skin in 4 weeks.</t>
  </si>
  <si>
    <t>Water, Glycerin, Butylene Glycol, Niacinamide, Dibutyl Adipate, Caprylic/Capric Triglyceride, 1,2-Hexanediol, Hydrogenated Lecithin, Ammonium Acryloyldimethyltaurate/VP Copolymer, Sunflower Seed Oil, Cholesterol, Allantoin, Soybean Oil, Tocopherol, Tocopheryl Acetate, Sodium Methyl Stearoyl Taurate, Propanediol, Carrot Root Extract, Ethylhexylglycerin, Adenosine, Asiaticoside, Madecassic Acid, Camellia Sinensis Seed Extract, Asiatic Acid, Retinol, Stearyl Glycyrrhetinate, Hyaluronic Acid, Mannitol, Ceramide NP, Beta Glucan, Betacarotene, Phytosphingosine, BHT, Salicylic Acid, Acetyl Tetrapeptide-11</t>
  </si>
  <si>
    <t>Ingredient caution: retinol/retinoids might cause dryness, peeling, redness, purging and sun sensitivity; salicylic acid/BHA might cause stinging, dryness, peeling, redness and increased sun sensitivity; niacinamide is usually gentle but might cause tingling or flushing in very reactive skin; humectants such as hyaluronic acid/glycerin are usually gentle but might feel sticky or tight if not sealed with moisturiser. Do a patch test before applying. Retinol is not advised for pregnant or breastfeeding women unless approved by a doctor. First-time users should start 3–4 times a week at night, avoid layering with exfoliating acids, and use sunscreen daily. First-time users should start 3–4 times a week, avoid using it with retinol or other exfoliating acids in the same routine, and apply sunscreen daily. Start slowly if your skin is sensitive and avoid combining too many new actives at once. Stop use if irritation persists.</t>
  </si>
  <si>
    <r>
      <rPr>
        <color rgb="FF1155CC"/>
        <u/>
      </rPr>
      <t>https://in.innisfree.com/cdn/shop/files/131174634_medium.jpg?v=1754914368</t>
    </r>
    <r>
      <rPr/>
      <t/>
    </r>
    <r>
      <rPr>
        <color rgb="FF1155CC"/>
        <u/>
      </rPr>
      <t>https://in.innisfree.com/cdn/shop/files/RCAThumbnail3_5be9e65d-d1e4-449b-8361-678574ef4f73_medium.jpg?v=1754914368</t>
    </r>
    <r>
      <rPr/>
      <t/>
    </r>
    <r>
      <rPr>
        <color rgb="FF1155CC"/>
        <u/>
      </rPr>
      <t>https://in.innisfree.com/cdn/shop/files/RCAThumbnail4_3c721bb7-b586-4424-a853-2bc6b0604aeb_medium.jpg?v=1754914368</t>
    </r>
    <r>
      <rPr/>
      <t/>
    </r>
    <r>
      <rPr>
        <color rgb="FF1155CC"/>
        <u/>
      </rPr>
      <t>https://in.innisfree.com/cdn/shop/files/RCAThumbnail7_90c3ebb0-8aed-4a2b-a33f-461ef9019f75_medium.jpg?v=1754914368</t>
    </r>
  </si>
  <si>
    <t>Roopsee-F-SE-74</t>
  </si>
  <si>
    <t>Innisfree Vitamin C Green Tea Enzyme Brightening Serum</t>
  </si>
  <si>
    <t>Green Tea Enzyme, Niacinamide</t>
  </si>
  <si>
    <t>A dual brightening and refining serum formulated with dual vitamin C derivatives and Jeju Green Tea Enzyme to target dark spots, dullness and rough skin texture.</t>
  </si>
  <si>
    <t>Aqua, Glycerin, Butylene Glycol, Dual Vitamin C Derivatives, Jeju Green Tea Enzyme, Niacinamide, Green Tea Extract, Sodium Ascorbyl Phosphate, 3-O-Ethyl Ascorbic Acid, Tocopheryl Acetate, 1,2-Hexanediol, Caprylyl Glycol, Propanediol, Methylpropanediol, Hydroxyethylcellulose, Xanthan Gum, Disodium EDTA, Phenoxyethanol, Ethylhexylglycerin</t>
  </si>
  <si>
    <r>
      <rPr>
        <color rgb="FF1155CC"/>
        <u/>
      </rPr>
      <t>https://in.innisfree.com/cdn/shop/files/131174905_medium.jpg?v=1754914603</t>
    </r>
    <r>
      <rPr/>
      <t/>
    </r>
    <r>
      <rPr>
        <color rgb="FF1155CC"/>
        <u/>
      </rPr>
      <t>https://in.innisfree.com/cdn/shop/files/VCGEThumbnail3_02506373-2104-4cb4-af53-8f62b48d2762_medium.jpg?v=1754914603</t>
    </r>
    <r>
      <rPr/>
      <t/>
    </r>
    <r>
      <rPr>
        <color rgb="FF1155CC"/>
        <u/>
      </rPr>
      <t>https://in.innisfree.com/cdn/shop/files/VCESThumbnail4_fdac5a72-c4f8-4860-8309-8f7d5b5706d3_medium.jpg?v=1754914603</t>
    </r>
    <r>
      <rPr/>
      <t/>
    </r>
    <r>
      <rPr>
        <color rgb="FF1155CC"/>
        <u/>
      </rPr>
      <t>https://in.innisfree.com/cdn/shop/files/VCGEThumbnail6_d303f702-1e2d-49df-b156-565220720de9_medium.jpg?v=1754914603</t>
    </r>
  </si>
  <si>
    <t>Roopsee-F-CL-46</t>
  </si>
  <si>
    <t>Innisfree Volcanic BHA Pore Cleansing Foam</t>
  </si>
  <si>
    <t>Volcanic Ash (BHA)</t>
  </si>
  <si>
    <t>Salicylic Acid, Niacinamide, Zinc PHA</t>
  </si>
  <si>
    <t>A deep-cleansing foam that contains Jeju Volcanic Clusters and BHA to absorb excess sebum and cleanse pores.</t>
  </si>
  <si>
    <t>Aqua, Glycerin, Sodium Lauroyl Sarcosinate, Jeju Volcanic Clusters, Salicylic Acid (BHA), cleansing surfactants, Salicylic Acid, Zinc PCA, Melaleuca Alternifolia (Tea Tree) Leaf Oil, 1,2-Hexanediol, Caprylyl Glycol, Cocamidopropyl Betaine, Decyl Glucoside, Acrylates Copolymer, Sodium Chloride, Citric Acid, Disodium EDTA, Phenoxyethanol, Ethylhexylglycerin</t>
  </si>
  <si>
    <r>
      <rPr>
        <color rgb="FF1155CC"/>
        <u/>
      </rPr>
      <t>https://in.innisfree.com/cdn/shop/files/131174790_medium.jpg?v=1754914454</t>
    </r>
    <r>
      <rPr/>
      <t/>
    </r>
    <r>
      <rPr>
        <color rgb="FF1155CC"/>
        <u/>
      </rPr>
      <t>https://in.innisfree.com/cdn/shop/files/8809612864336_3_d8709d2c-6ea7-494b-83f4-2d9c9f19332e_medium.jpg?v=1754914454</t>
    </r>
  </si>
  <si>
    <t>Roopsee-F-TO-17</t>
  </si>
  <si>
    <t>Innisfree Bija Trouble Skin Toner</t>
  </si>
  <si>
    <t>170ml</t>
  </si>
  <si>
    <t>Bija (Torreya) Extract</t>
  </si>
  <si>
    <t>Salicylic Acid, Tea Tree Oil</t>
  </si>
  <si>
    <t>This wipe-off astringent toner, formulated with bija seed oil, helps exfoliate flaky skin and remove impurities for a clear-looking skin.</t>
  </si>
  <si>
    <t>Aqua, Glycerin, Butylene Glycol, Bija Seed Oil, White Willow Bark Extract, Salicylic Acid, Zinc PCA, Melaleuca Alternifolia (Tea Tree) Leaf Oil, 1,2-Hexanediol, Caprylyl Glycol, Betaine, Propanediol, Panthenol, Sodium Hyaluronate, Allantoin, Disodium EDTA, Phenoxyethanol, Ethylhexylglycerin</t>
  </si>
  <si>
    <t>Ingredient caution: salicylic acid/BHA might cause stinging, dryness, peeling, redness and increased sun sensitivity; sulfur/zinc-based oil-control ingredients might feel drying or tight on already dry skin; fragrance, essential oils or fragrance allergens might trigger redness, itching or allergic irritation; preservatives such as phenoxyethanol/benzyl alcohol might sting very sensitive or compromised skin. Do a patch test before applying. First-time users should start 3–4 times a week, avoid using it with retinol or other exfoliating acids in the same routine, and apply sunscreen daily. Use a moisturiser and reduce frequency if the skin feels tight or flaky. Avoid this product if you have fragrance allergy, eczema-prone skin or a damaged barrier. Do not apply on broken, freshly waxed or irritated skin. Stop use if irritation persists.</t>
  </si>
  <si>
    <r>
      <rPr>
        <color rgb="FF1155CC"/>
        <u/>
      </rPr>
      <t>https://images-static.nykaa.com/media/catalog/product/6/7/67640498809612864725_1x.jpg</t>
    </r>
    <r>
      <rPr/>
      <t/>
    </r>
    <r>
      <rPr>
        <color rgb="FF1155CC"/>
        <u/>
      </rPr>
      <t>https://images-static.nykaa.com/media/catalog/product/6/7/67640498809612864725_2x.jpg</t>
    </r>
    <r>
      <rPr/>
      <t/>
    </r>
    <r>
      <rPr>
        <color rgb="FF1155CC"/>
        <u/>
      </rPr>
      <t>https://images-static.nykaa.com/media/catalog/product/6/7/67640498809612864725_3x.jpg</t>
    </r>
  </si>
  <si>
    <t>Roopsee-F-MO-64</t>
  </si>
  <si>
    <t>Innisfree Bija Trouble Lotion</t>
  </si>
  <si>
    <t>O, N, C, C+S</t>
  </si>
  <si>
    <t>Acne, Dehydration</t>
  </si>
  <si>
    <t>Salicylic Acid, Hyaluronic Acid</t>
  </si>
  <si>
    <t>A lightweight lotion from the Bija Trouble line that helps care for troubled skin while refreshing and balancing the skin.</t>
  </si>
  <si>
    <t>Aqua, Glycerin, Caprylic/Capric Triglyceride, Bija Seed Oil, Salicylic Acid/BHA, botanical extracts, Salicylic Acid, Zinc PCA, Melaleuca Alternifolia (Tea Tree) Leaf Oil, 1,2-Hexanediol, Caprylyl Glycol, Cetearyl Alcohol, Glyceryl Stearate, Butyrospermum Parkii (Shea) Butter, Dimethicone, Carbomer, Sodium Hydroxide, Disodium EDTA, Phenoxyethanol, Ethylhexylglycerin</t>
  </si>
  <si>
    <t>Ingredient caution: salicylic acid/BHA might cause stinging, dryness, peeling, redness and increased sun sensitivity; sulfur/zinc-based oil-control ingredients might feel drying or tight on already dry skin; fragrance, essential oils or fragrance allergens might trigger redness, itching or allergic irritation; rich oils, butters or occlusive emollients might feel heavy or clog pores in acne-prone/oily skin. Do a patch test before applying. First-time users should start 3–4 times a week, avoid using it with retinol or other exfoliating acids in the same routine, and apply sunscreen daily. Use a moisturiser and reduce frequency if the skin feels tight or flaky. Avoid this product if you have fragrance allergy, eczema-prone skin or a damaged barrier. Use a small amount first and avoid applying on active acne if it feels greasy. Stop use if irritation persists.</t>
  </si>
  <si>
    <r>
      <rPr>
        <color rgb="FF1155CC"/>
        <u/>
      </rPr>
      <t>https://images-static.nykaa.com/media/catalog/product/a/9/a96a0408809612864732a_1.jpg</t>
    </r>
    <r>
      <rPr/>
      <t/>
    </r>
    <r>
      <rPr>
        <color rgb="FF1155CC"/>
        <u/>
      </rPr>
      <t>https://images-static.nykaa.com/media/catalog/product/f/4/f4e2dde8809612864732_2LK.jpg</t>
    </r>
    <r>
      <rPr/>
      <t/>
    </r>
    <r>
      <rPr>
        <color rgb="FF1155CC"/>
        <u/>
      </rPr>
      <t>https://images-static.nykaa.com/media/catalog/product/f/4/f4e2dde8809612864732_3LK.jpg</t>
    </r>
  </si>
  <si>
    <t>Roopsee-F-SE-75</t>
  </si>
  <si>
    <t>Innisfree Black Tea Youth Enhancing Ampoule</t>
  </si>
  <si>
    <t>Dryness, Barrier Repair, Wrinkles/Fine lines, Redness/Irritation, Dehydration</t>
  </si>
  <si>
    <t>Black Tea Ferment</t>
  </si>
  <si>
    <t>Adenosine, Niacinamide</t>
  </si>
  <si>
    <t>An anti-aging ampoule with Reset Concentrate™ that relieves signs of skin fatigue and boosts skin vitality and radiance.</t>
  </si>
  <si>
    <t>Aqua, Glycerin, Butylene Glycol, Reset Concentrate™, Black Tea Extract, Niacinamide, Sodium Hyaluronate, Panthenol, Allantoin, 1,2-Hexanediol, Caprylyl Glycol, Propanediol, Methylpropanediol, Hydroxyethylcellulose, Xanthan Gum, Disodium EDTA, Phenoxyethanol, Ethylhexylglycerin</t>
  </si>
  <si>
    <r>
      <rPr>
        <color rgb="FF1155CC"/>
        <u/>
      </rPr>
      <t>https://in.innisfree.com/cdn/shop/files/131174333.jpg?v=1693472264</t>
    </r>
    <r>
      <rPr/>
      <t/>
    </r>
    <r>
      <rPr>
        <color rgb="FF1155CC"/>
        <u/>
      </rPr>
      <t>https://in.innisfree.com/cdn/shop/files/BTAThumbnail3_1.jpg?v=1693472264</t>
    </r>
    <r>
      <rPr/>
      <t/>
    </r>
    <r>
      <rPr>
        <color rgb="FF1155CC"/>
        <u/>
      </rPr>
      <t>https://in.innisfree.com/cdn/shop/files/BTAThumbnail4_1.jpg?v=1693472264</t>
    </r>
    <r>
      <rPr/>
      <t/>
    </r>
    <r>
      <rPr>
        <color rgb="FF000000"/>
      </rPr>
      <t>https://in.innisfree.com/cdn/shop/files/BTAThumbnail7_1.jpg?v=1693472264</t>
    </r>
  </si>
  <si>
    <t>Roopsee-F-MO-65</t>
  </si>
  <si>
    <t>Innisfree Black Tea Youth Enhancing Cream</t>
  </si>
  <si>
    <t>Adenosine, Ceramide</t>
  </si>
  <si>
    <t>An intensive anti-aging cream formulated with Reset Concentrate™ to help deliver firm, healthy-looking skin that looks vibrant and well-rested.</t>
  </si>
  <si>
    <t>Aqua, Glycerin, Caprylic/Capric Triglyceride, Reset Concentrate™, Black Tea Extract, Ceramide, Squalane, Ceramide NP, Ceramide AP, Ceramide EOP, Cholesterol, Phytosphingosine, 1,2-Hexanediol, Caprylyl Glycol, Cetearyl Alcohol, Glyceryl Stearate, Butyrospermum Parkii (Shea) Butter, Dimethicone, Carbomer, Sodium Hydroxide, Disodium EDTA, Phenoxyethanol, Ethylhexylglycerin</t>
  </si>
  <si>
    <r>
      <rPr>
        <color rgb="FF1155CC"/>
        <u/>
      </rPr>
      <t>https://in.innisfree.com/cdn/shop/files/01.png?v=1693472271</t>
    </r>
    <r>
      <rPr/>
      <t/>
    </r>
    <r>
      <rPr>
        <color rgb="FF1155CC"/>
        <u/>
      </rPr>
      <t>https://in.innisfree.com/cdn/shop/files/BTAThumbnail3.jpg?v=1693472271</t>
    </r>
    <r>
      <rPr/>
      <t/>
    </r>
    <r>
      <rPr>
        <color rgb="FF1155CC"/>
        <u/>
      </rPr>
      <t>https://in.innisfree.com/cdn/shop/files/BTAThumbnail4.jpg?v=1693472271</t>
    </r>
    <r>
      <rPr/>
      <t/>
    </r>
    <r>
      <rPr>
        <color rgb="FF1155CC"/>
        <u/>
      </rPr>
      <t>https://in.innisfree.com/cdn/shop/files/BTAThumbnail7.jpg?v=1693472271</t>
    </r>
  </si>
  <si>
    <t>Roopsee-F-MO-66</t>
  </si>
  <si>
    <t>Innisfree Cherry Blossom Glow Jelly Cream</t>
  </si>
  <si>
    <t>Cherry Blossom Extract</t>
  </si>
  <si>
    <t>A clear water-jelly cream with a bouncy texture, Jeju Cherry Blossom leaf extract and naturally-derived Betaine for a dewy, glowing finish.</t>
  </si>
  <si>
    <t>Aqua, Glycerin, Caprylic/Capric Triglyceride, Jeju Cherry Blossom Leaf Extract, Betaine, Niacinamide, Sodium Ascorbyl Phosphate, 3-O-Ethyl Ascorbic Acid, Tocopheryl Acetate, 1,2-Hexanediol, Caprylyl Glycol, Cetearyl Alcohol, Glyceryl Stearate, Butyrospermum Parkii (Shea) Butter, Dimethicone, Carbomer, Sodium Hydroxide, Disodium EDTA, Phenoxyethanol, Ethylhexylglycerin</t>
  </si>
  <si>
    <r>
      <rPr>
        <color rgb="FF1155CC"/>
        <u/>
      </rPr>
      <t>https://in.innisfree.com/cdn/shop/files/131174343.jpg?v=1707818600</t>
    </r>
    <r>
      <rPr/>
      <t/>
    </r>
    <r>
      <rPr>
        <color rgb="FF1155CC"/>
        <u/>
      </rPr>
      <t>https://in.innisfree.com/cdn/shop/files/B07Q9K45MZ.PT01.jpg?v=1707818673</t>
    </r>
    <r>
      <rPr/>
      <t/>
    </r>
    <r>
      <rPr>
        <color rgb="FF1155CC"/>
        <u/>
      </rPr>
      <t>https://in.innisfree.com/cdn/shop/files/0R5A6290.jpg?v=1707818673</t>
    </r>
    <r>
      <rPr/>
      <t/>
    </r>
    <r>
      <rPr>
        <color rgb="FF000000"/>
      </rPr>
      <t>https://in.innisfree.com/cdn/shop/files/B07Q9K45MZ.FRNT.jpg?v=1707818673</t>
    </r>
  </si>
  <si>
    <t>Roopsee-F-MO-67</t>
  </si>
  <si>
    <t>Innisfree Cherry Blossom Glow Tone-Up Cream</t>
  </si>
  <si>
    <t>Uneven Skin Tone, Redness/Irritation, Dullness</t>
  </si>
  <si>
    <t>Niacinamide, SPF UV Filters</t>
  </si>
  <si>
    <t>A dewy natural tone-up cream with SPF50+ PA++++, Jeju cherry blossom leaf extract, niacinamide, betaine and green tea water.</t>
  </si>
  <si>
    <t>Aqua, Glycerin, Caprylic/Capric Triglyceride, Ethylhexyl Methoxycinnamate, Butyl Methoxydibenzoylmethane, Bis-Ethylhexyloxyphenol Methoxyphenyl Triazine, Diethylamino Hydroxybenzoyl Hexyl Benzoate, Sodium Ascorbyl Phosphate, 3-O-Ethyl Ascorbic Acid, Tocopheryl Acetate, 1,2-Hexanediol, Caprylyl Glycol, Cetearyl Alcohol, Glyceryl Stearate, Butyrospermum Parkii (Shea) Butter, Dimethicone, Carbomer, Sodium Hydroxide, Disodium EDTA, Phenoxyethanol, Ethylhexylglycerin</t>
  </si>
  <si>
    <t>Ingredient caution: vitamin C/ascorbic derivatives might cause tingling, redness or irritation in sensitive skin; niacinamide is usually gentle but might cause tingling or flushing in very reactive skin; UV filters might sting around the eyes or irritate very sensitive skin; rich oils, butters or occlusive emollients might feel heavy or clog pores in acne-prone/oily skin. Do a patch test before applying. First-time users should start 3–4 times a week and avoid layering with strong exfoliating acids if the skin stings. Start slowly if your skin is sensitive and avoid combining too many new actives at once. Patch test near the jawline first, avoid the eye corners, and remove gently at night. Use a small amount first and avoid applying on active acne if it feels greasy. Stop use if irritation persists.</t>
  </si>
  <si>
    <r>
      <rPr>
        <color rgb="FF1155CC"/>
        <u/>
      </rPr>
      <t>https://in.innisfree.com/cdn/shop/files/131174342_e5ed64fc-d16d-47e0-bd70-6f984af99e4d.png?v=1699008291</t>
    </r>
    <r>
      <rPr/>
      <t/>
    </r>
    <r>
      <rPr>
        <color rgb="FF1155CC"/>
        <u/>
      </rPr>
      <t>https://in.innisfree.com/cdn/shop/files/2_7ae1d490-842b-4b90-b2da-d65c696ce3b5.jpg?v=1707116958</t>
    </r>
    <r>
      <rPr/>
      <t/>
    </r>
    <r>
      <rPr>
        <color rgb="FF1155CC"/>
        <u/>
      </rPr>
      <t>https://in.innisfree.com/cdn/shop/files/B07Q64RFKN.BACK.jpg?v=1707116957</t>
    </r>
    <r>
      <rPr/>
      <t/>
    </r>
    <r>
      <rPr>
        <color rgb="FF1155CC"/>
        <u/>
      </rPr>
      <t>https://in.innisfree.com/cdn/shop/files/B07Q64RFKN.FRNT.jpg?v=1707116957</t>
    </r>
  </si>
  <si>
    <t>Roopsee-F-MO-68</t>
  </si>
  <si>
    <t>Innisfree Aloe Revital Soothing Gel</t>
  </si>
  <si>
    <t>A moisture-rich soothing gel with organic aloe flesh extract from Jeju to soothe and hydrate tired or sun-damaged skin.</t>
  </si>
  <si>
    <t>Aqua, Glycerin, Caprylic/Capric Triglyceride, Aloe Flesh Extract, Madecassoside, 1,2-Hexanediol, Caprylyl Glycol, Cetearyl Alcohol, Glyceryl Stearate, Butyrospermum Parkii (Shea) Butter, Dimethicone, Carbomer, Sodium Hydroxide, Disodium EDTA, Phenoxyethanol, Ethylhexylglycerin</t>
  </si>
  <si>
    <r>
      <rPr>
        <color rgb="FF1155CC"/>
        <u/>
      </rPr>
      <t>https://images-static.nykaa.com/media/catalog/product/2/1/210d9568806173556632_r1.jpg</t>
    </r>
    <r>
      <rPr/>
      <t/>
    </r>
    <r>
      <rPr>
        <color rgb="FF1155CC"/>
        <u/>
      </rPr>
      <t>https://images-static.nykaa.com/media/catalog/product/2/1/210d9568806173556632_r2.jpg</t>
    </r>
    <r>
      <rPr/>
      <t/>
    </r>
    <r>
      <rPr>
        <color rgb="FF1155CC"/>
        <u/>
      </rPr>
      <t>https://images-static.nykaa.com/media/catalog/product/2/1/210d9568806173556632_r3.jpg</t>
    </r>
  </si>
  <si>
    <t>Roopsee-F-SU-52</t>
  </si>
  <si>
    <t>Innisfree Tone Up No Sebum Sunscreen EX SPF 50+ PA++++ For Oil Control - Matte Finish</t>
  </si>
  <si>
    <t>Sebum Control Powder, Niacinamide</t>
  </si>
  <si>
    <t>A tone-up sunscreen that helps control sebum and gives a matte finish while protecting skin from UV rays.</t>
  </si>
  <si>
    <t>Aqua, Glycerin, C12-15 Alkyl Benzoate, Ethylhexyl Methoxycinnamate, Butyl Methoxydibenzoylmethane, Bis-Ethylhexyloxyphenol Methoxyphenyl Triazine, Diethylamino Hydroxybenzoyl Hexyl Benzoate, Mineral Powder/No Sebum Complex, Tone-Up Pigments, Kojic Acid Dipalmitate, Alpha-Arbutin, Tranexamic Acid, Licorice Root Extract, 1,2-Hexanediol, Caprylyl Glycol, Caprylic/Capric Triglyceride, Titanium Dioxide, Zinc Oxide, Silica, Carbomer, Triethanolamine, Disodium EDTA, Phenoxyethanol, Ethylhexylglycerin</t>
  </si>
  <si>
    <t>Ingredient caution: niacinamide is usually gentle but might cause tingling or flushing in very reactive skin; alpha arbutin, kojic acid, licorice extract, tranexamic acid might cause tingling, dryness or redness in sensitive skin; UV filters might sting around the eyes or irritate very sensitive skin; preservatives such as phenoxyethanol/benzyl alcohol might sting very sensitive or compromised skin. Do a patch test before applying. Start slowly if your skin is sensitive and avoid combining too many new actives at once. First-time users should start 3–4 times a week and pair with sunscreen, because pigmentation care works best with UV protection. Patch test near the jawline first, avoid the eye corners, and remove gently at night. Do not apply on broken, freshly waxed or irritated skin. Stop use if irritation persists.</t>
  </si>
  <si>
    <r>
      <rPr>
        <color rgb="FF1155CC"/>
        <u/>
      </rPr>
      <t>https://in.innisfree.com/cdn/shop/files/131174483_1.jpg?v=1693472608</t>
    </r>
    <r>
      <rPr/>
      <t/>
    </r>
    <r>
      <rPr>
        <color rgb="FF1155CC"/>
        <u/>
      </rPr>
      <t>https://in.innisfree.com/cdn/shop/files/ToneUpNoSebumSunscreenSPF50_2.jpg?v=1693472608</t>
    </r>
    <r>
      <rPr/>
      <t/>
    </r>
    <r>
      <rPr>
        <color rgb="FF1155CC"/>
        <u/>
      </rPr>
      <t>https://in.innisfree.com/cdn/shop/files/ToneUpNoSebumSunscreenSPF50_3.jpg?v=1693472608</t>
    </r>
  </si>
  <si>
    <t>Roopsee-F-SE-76</t>
  </si>
  <si>
    <t>Celimax The Real Noni Energy Ampoule</t>
  </si>
  <si>
    <t>Celimax</t>
  </si>
  <si>
    <t>Noni Fruit Extract</t>
  </si>
  <si>
    <t>Noni Seed Oil, Panthenol, Vegan Fermented Collagen</t>
  </si>
  <si>
    <t>A concentrated ampoule with noni extract that delivers nourishing moisture and helps improve skin vitality.</t>
  </si>
  <si>
    <t>Aqua, Glycerin, Butylene Glycol, Noni Fruit Extract, Noni Seed Oil, Adenosine, Amino Acids, Plant Extracts, 1,2-Hexanediol, Caprylyl Glycol, Propanediol, Methylpropanediol, Hydroxyethylcellulose, Xanthan Gum, Disodium EDTA, Phenoxyethanol, Ethylhexylglycerin</t>
  </si>
  <si>
    <r>
      <rPr>
        <color rgb="FF1155CC"/>
        <u/>
      </rPr>
      <t>https://celimax.us/cdn/shop/files/celimax-serum-ampoule-the-real-noni-energy-ampoule-1234217388.jpg?v=1777022710&amp;width=1500</t>
    </r>
    <r>
      <rPr/>
      <t/>
    </r>
    <r>
      <rPr>
        <color rgb="FF1155CC"/>
        <u/>
      </rPr>
      <t>https://celimax.us/cdn/shop/files/celimax-serum-ampoule-the-real-noni-energy-ampoule-1234217387.jpg?v=1777022769&amp;width=1500</t>
    </r>
    <r>
      <rPr/>
      <t/>
    </r>
    <r>
      <rPr>
        <color rgb="FF1155CC"/>
        <u/>
      </rPr>
      <t>https://celimax.us/cdn/shop/files/celimax-serum-ampoule-celimax-the-real-noni-energy-ampoule-36500491829398.jpg?v=1721669056&amp;width=828</t>
    </r>
  </si>
  <si>
    <t>Roopsee-F-TO-18</t>
  </si>
  <si>
    <t>Celimax The Real Noni Moisture Balancing Toner</t>
  </si>
  <si>
    <t>Noni Seed Oil, Amino Acid Complex, HYDROVANCE</t>
  </si>
  <si>
    <t>A moisture-balancing toner from the Real Noni line that hydrates and helps prepare skin for the next steps of care.</t>
  </si>
  <si>
    <t>Aqua, Glycerin, Butylene Glycol, Noni Fruit Extract, Noni Seed Oil, Panthenol, Betaine, 1,2-Hexanediol, Caprylyl Glycol, Propanediol, Sodium Hyaluronate, Allantoin, Disodium EDTA, Phenoxyethanol, Ethylhexylglycerin</t>
  </si>
  <si>
    <r>
      <rPr>
        <color rgb="FF1155CC"/>
        <u/>
      </rPr>
      <t>https://celimax.us/cdn/shop/files/sdaf.jpg?v=1737875148&amp;width=1500</t>
    </r>
    <r>
      <rPr/>
      <t/>
    </r>
    <r>
      <rPr>
        <color rgb="FF1155CC"/>
        <u/>
      </rPr>
      <t>https://celimax.us/cdn/shop/files/celimax_The_Real_Noni_Moisture_Balancing_Toner_Effective_Formulation3.jpg?v=1737869391&amp;width=300</t>
    </r>
  </si>
  <si>
    <t>Roopsee-F-MO-69</t>
  </si>
  <si>
    <t>Celimax The Real Noni Hydra Firming Lotion</t>
  </si>
  <si>
    <t>3-Complex Hyaluronic Acid</t>
  </si>
  <si>
    <t>Noni Fruit Extract, Noni Seed Oil</t>
  </si>
  <si>
    <t>A hydrating lotion from the Real Noni line that helps balance moisture and leave skin feeling firm and comfortable.</t>
  </si>
  <si>
    <t>Aqua, Glycerin, Caprylic/Capric Triglyceride, Noni Fruit Extract, Noni Seed Oil, Botanical Extracts, 1,2-Hexanediol, Caprylyl Glycol, Cetearyl Alcohol, Glyceryl Stearate, Butyrospermum Parkii (Shea) Butter, Dimethicone, Carbomer, Sodium Hydroxide, Disodium EDTA, Phenoxyethanol, Ethylhexylglycerin</t>
  </si>
  <si>
    <r>
      <rPr>
        <color rgb="FF1155CC"/>
        <u/>
      </rPr>
      <t>https://celimax.us/cdn/shop/files/celimax-the-real-noni-hydra-firming-lotion-150ml-pdp1-828X828.jpg</t>
    </r>
    <r>
      <rPr/>
      <t/>
    </r>
    <r>
      <rPr>
        <color rgb="FF1155CC"/>
        <u/>
      </rPr>
      <t>https://celimax.us/cdn/shop/files/celimax-the-real-noni-hydra-firming-lotion-150ml-pdp2-828X828.jpg</t>
    </r>
  </si>
  <si>
    <t>Roopsee-F-MO-70</t>
  </si>
  <si>
    <t>Celimax Dual Barrier Skin Wearable Cream</t>
  </si>
  <si>
    <t>Ceramide Complex</t>
  </si>
  <si>
    <t>Panthenol, Sodium Hyaluronate, Cholesterol</t>
  </si>
  <si>
    <t>A barrier-supporting cream designed to wrap skin in long-lasting moisture and support a healthier skin barrier.</t>
  </si>
  <si>
    <t>Aqua, Glycerin, Caprylic/Capric Triglyceride, Ceramide NP, Panthenol, Aquatide, Cholesterol, Fatty Acids, Ceramide AP, Ceramide EOP, Phytosphingosine, 1,2-Hexanediol, Caprylyl Glycol, Cetearyl Alcohol, Glyceryl Stearate, Butyrospermum Parkii (Shea) Butter, Dimethicone, Carbomer, Sodium Hydroxide, Disodium EDTA, Phenoxyethanol, Ethylhexylglycerin</t>
  </si>
  <si>
    <r>
      <rPr>
        <color rgb="FF1155CC"/>
        <u/>
      </rPr>
      <t>https://celimax.us/cdn/shop/files/celimax-50ml-celimax-dual-barrier-skin-wearable-cream-36500675952790.jpg?v=1721669759&amp;width=828</t>
    </r>
    <r>
      <rPr/>
      <t/>
    </r>
    <r>
      <rPr>
        <color rgb="FF1155CC"/>
        <u/>
      </rPr>
      <t>https://celimax.us/cdn/shop/files/celimax-50ml-celimax-dual-barrier-skin-wearable-cream-36500675920022.jpg?v=1721669762&amp;width=828</t>
    </r>
  </si>
  <si>
    <t>Roopsee-F-SE-77</t>
  </si>
  <si>
    <t>Celimax Dual Barrier Boosting Serum</t>
  </si>
  <si>
    <t>Aquatide, Panthenol, Biosaccharide Gum-1</t>
  </si>
  <si>
    <t>A boosting serum created to strengthen the skin barrier and improve hydration with a lightweight texture.</t>
  </si>
  <si>
    <t>Aqua, Glycerin, Butylene Glycol, Ceramide NP, Panthenol, Aquatide, Sodium Hyaluronate, Ceramide AP, Ceramide EOP, Cholesterol, Phytosphingosine, Allantoin, 1,2-Hexanediol, Caprylyl Glycol, Propanediol, Methylpropanediol, Hydroxyethylcellulose, Xanthan Gum, Disodium EDTA, Phenoxyethanol, Ethylhexylglycerin</t>
  </si>
  <si>
    <r>
      <rPr>
        <color rgb="FF1155CC"/>
        <u/>
      </rPr>
      <t>https://celimax.us/cdn/shop/files/celimax-30ml-celimax-dual-barrier-boosting-serum-36500661469334.jpg?v=1721669583&amp;width=828</t>
    </r>
    <r>
      <rPr/>
      <t/>
    </r>
    <r>
      <rPr>
        <color rgb="FF1155CC"/>
        <u/>
      </rPr>
      <t>https://celimax.us/cdn/shop/files/celimax-30ml-celimax-dual-barrier-boosting-serum-36500661502102.jpg?v=1721669587&amp;width=828</t>
    </r>
  </si>
  <si>
    <t>Roopsee-F-TO-19</t>
  </si>
  <si>
    <t>Celimax Ji Woo Gae Heartleaf BHA Peeling Pad</t>
  </si>
  <si>
    <t>Salicylic Acid (BHA)</t>
  </si>
  <si>
    <t>Heartleaf Extract, Tea Tree Extract</t>
  </si>
  <si>
    <t>A peeling pad with Heartleaf and BHA that helps remove dead skin cells, clear sebum and refresh pores.</t>
  </si>
  <si>
    <t>Aqua, Glycerin, Butylene Glycol, Heartleaf Extract, Betaine Salicylate/BHA, Cica Extract, Salicylic Acid, Zinc PCA, Melaleuca Alternifolia (Tea Tree) Leaf Oil, 1,2-Hexanediol, Caprylyl Glycol, Betaine, Propanediol, Panthenol, Sodium Hyaluronate, Allantoin, Disodium EDTA, Phenoxyethanol, Ethylhexylglycerin</t>
  </si>
  <si>
    <r>
      <rPr>
        <color rgb="FF1155CC"/>
        <u/>
      </rPr>
      <t>https://celimax.us/cdn/shop/files/celimax-exfoliant-60pcs-125ml-celimax-ji-woo-gae-heartleaf-bha-peeling-pad-36500726710422.jpg?v=1721669406&amp;width=828</t>
    </r>
    <r>
      <rPr/>
      <t/>
    </r>
    <r>
      <rPr>
        <color rgb="FF1155CC"/>
        <u/>
      </rPr>
      <t>https://celimax.us/cdn/shop/files/celimax-exfoliant-60pcs-125ml-celimax-ji-woo-gae-heartleaf-bha-peeling-pad-36500726743190.jpg?v=1721669410&amp;width=828</t>
    </r>
  </si>
  <si>
    <t>Roopsee-F-TO-20</t>
  </si>
  <si>
    <t>Celimax Ji Woo Gae Cica BHA Blemish Toner</t>
  </si>
  <si>
    <t>BHA + PHA + LHA</t>
  </si>
  <si>
    <t>Cica Biome Complex, Hepta-cne Complex, Panthenol</t>
  </si>
  <si>
    <t>A blemish toner with Cica and BHA that helps calm troubled skin while removing excess sebum and dead skin cells.</t>
  </si>
  <si>
    <t>Aqua, Glycerin, Butylene Glycol, Centella Asiatica Extract, Betaine Salicylate/BHA, Heartleaf Extract, Salicylic Acid, Zinc PCA, Melaleuca Alternifolia (Tea Tree) Leaf Oil, 1,2-Hexanediol, Caprylyl Glycol, Betaine, Propanediol, Panthenol, Sodium Hyaluronate, Allantoin, Disodium EDTA, Phenoxyethanol, Ethylhexylglycerin</t>
  </si>
  <si>
    <r>
      <rPr>
        <color rgb="FF1155CC"/>
        <u/>
      </rPr>
      <t>https://celimax.us/cdn/shop/files/celimax-celimax-ji-woo-gae-cica-bha-blemish-toner-pad-36500319010966.jpg?v=1721669399&amp;width=828</t>
    </r>
    <r>
      <rPr/>
      <t/>
    </r>
    <r>
      <rPr>
        <color rgb="FF1155CC"/>
        <u/>
      </rPr>
      <t>https://celimax.us/cdn/shop/files/celimax-celimax-ji-woo-gae-cica-bha-blemish-toner-pad-36500319043734.jpg?v=1721669402&amp;width=828</t>
    </r>
  </si>
  <si>
    <t>Roopsee-F-CL-47</t>
  </si>
  <si>
    <t>Celimax Derma Nature Fresh Blackhead Jojoba Cleansing Oil</t>
  </si>
  <si>
    <t>Open Pores, Comedones</t>
  </si>
  <si>
    <t>Jojoba Seed Oil</t>
  </si>
  <si>
    <t>Bergamot Fruit Oil, Meadowfoam Seed Oil, Sunflower Seed Oil, Sweet Almond Oil, Olive Fruit Oil</t>
  </si>
  <si>
    <t>A cleansing oil with jojoba oil designed to melt makeup, sunscreen, excess sebum and blackheads without stripping skin.</t>
  </si>
  <si>
    <t>Aqua, Glycerin, Sodium Lauroyl Sarcosinate, Jojoba Seed Oil, Plant Oils, Emulsifying Cleansing Agents, 1,2-Hexanediol, Caprylyl Glycol, Cocamidopropyl Betaine, Decyl Glucoside, Acrylates Copolymer, Sodium Chloride, Citric Acid, Disodium EDTA, Phenoxyethanol, Ethylhexylglycerin</t>
  </si>
  <si>
    <r>
      <rPr>
        <color rgb="FF1155CC"/>
        <u/>
      </rPr>
      <t>https://celimax.us/cdn/shop/files/celimax-cleanser-150ml-derma-nature-fresh-blackhead-jojoba-cleansing-oil-1234217389.jpg?v=1777022649&amp;width=1500</t>
    </r>
    <r>
      <rPr/>
      <t/>
    </r>
    <r>
      <rPr>
        <color rgb="FF1155CC"/>
        <u/>
      </rPr>
      <t>https://celimax.us/cdn/shop/products/celimax-cleanser-derma-nature-fresh-blackhead-jojoba-cleansing-oil-150ml-20807799373974.jpg?v=1721627952&amp;width=828</t>
    </r>
  </si>
  <si>
    <t>Roopsee-F-MO-71</t>
  </si>
  <si>
    <t>Celimax The Real Noni Energy Repair Cream</t>
  </si>
  <si>
    <t>Noni Extract</t>
  </si>
  <si>
    <t>Ceramide, Adenosine, Noni Seed Oil</t>
  </si>
  <si>
    <t>A nourishing repair cream from the Real Noni line that helps moisturize and care for tired, dry skin.</t>
  </si>
  <si>
    <t>Aqua, Glycerin, Caprylic/Capric Triglyceride, Noni Fruit Extract, Noni Seed Oil, Ceramide, Panthenol, Ceramide NP, Ceramide AP, Ceramide EOP, Cholesterol, Phytosphingosine, 1,2-Hexanediol, Caprylyl Glycol, Cetearyl Alcohol, Glyceryl Stearate, Butyrospermum Parkii (Shea) Butter, Dimethicone, Carbomer, Sodium Hydroxide, Disodium EDTA, Phenoxyethanol, Ethylhexylglycerin</t>
  </si>
  <si>
    <r>
      <rPr>
        <color rgb="FF1155CC"/>
        <u/>
      </rPr>
      <t>https://celimax.us/cdn/shop/products/celimax-moisturizer-primer-the-real-noni-energy-repair-cream-50ml-20807340753046.jpg?v=1721110870&amp;width=828</t>
    </r>
    <r>
      <rPr/>
      <t/>
    </r>
    <r>
      <rPr>
        <color rgb="FF1155CC"/>
        <u/>
      </rPr>
      <t>https://celimax.us/cdn/shop/files/celimax-moisturizer-primer-50ml-celimax-the-real-noni-energy-repair-cream-36500589346966.jpg?v=1721668861&amp;width=828</t>
    </r>
  </si>
  <si>
    <t>Roopsee-F-SU-53</t>
  </si>
  <si>
    <t>Celimax Dual Barrier Watery Sun Cream SPF 50+ PA++++</t>
  </si>
  <si>
    <t>40ml</t>
  </si>
  <si>
    <t>Zinc Oxide</t>
  </si>
  <si>
    <t>Ceramide Complex, Panthenol, Aquatide</t>
  </si>
  <si>
    <t>A lightweight watery sun cream with SPF 50+ PA++++ that supports skin barrier care while protecting from UV rays.</t>
  </si>
  <si>
    <t>Aqua, Glycerin, C12-15 Alkyl Benzoate, Ethylhexyl Methoxycinnamate, Butyl Methoxydibenzoylmethane, Bis-Ethylhexyloxyphenol Methoxyphenyl Triazine, Diethylamino Hydroxybenzoyl Hexyl Benzoate, Ceramide NP, Panthenol, Aquatide, Ceramide AP, Ceramide EOP, Cholesterol, Phytosphingosine, 1,2-Hexanediol, Caprylyl Glycol, Caprylic/Capric Triglyceride, Titanium Dioxide, Zinc Oxide, Silica, Carbomer, Triethanolamine, Disodium EDTA, Phenoxyethanol, Ethylhexylglycerin</t>
  </si>
  <si>
    <r>
      <rPr>
        <color rgb="FF1155CC"/>
        <u/>
      </rPr>
      <t>https://images-static.nykaa.com/media/catalog/product/f/8/f81292a8809686388172_1.jpg</t>
    </r>
    <r>
      <rPr/>
      <t/>
    </r>
    <r>
      <rPr>
        <color rgb="FF1155CC"/>
        <u/>
      </rPr>
      <t>https://images-static.nykaa.com/media/catalog/product/f/8/f81292a8809686388172_2.jpg</t>
    </r>
    <r>
      <rPr/>
      <t/>
    </r>
    <r>
      <rPr>
        <color rgb="FF1155CC"/>
        <u/>
      </rPr>
      <t>https://images-static.nykaa.com/media/catalog/product/f/8/f81292a8809686388172_3.jpg</t>
    </r>
  </si>
  <si>
    <t>Roopsee-F-CL-48</t>
  </si>
  <si>
    <t>Celimax Dual Barrier Mild Gel Cleanser</t>
  </si>
  <si>
    <t>Selaginella Lepidophylla Extract, Botanical Antioxidants</t>
  </si>
  <si>
    <t>A mild gel cleanser from the Dual Barrier line that gently cleanses while supporting the moisture barrier.</t>
  </si>
  <si>
    <t>Aqua, Glycerin, Sodium Lauroyl Sarcosinate, Mild Surfactants, Ceramide NP, Panthenol, Sodium Hyaluronate, Ceramide AP, Ceramide EOP, Cholesterol, Phytosphingosine, Allantoin, 1,2-Hexanediol, Caprylyl Glycol, Cocamidopropyl Betaine, Decyl Glucoside, Acrylates Copolymer, Sodium Chloride, Citric Acid, Disodium EDTA, Phenoxyethanol, Ethylhexylglycerin</t>
  </si>
  <si>
    <r>
      <rPr>
        <color rgb="FF1155CC"/>
        <u/>
      </rPr>
      <t>https://celimax.us/cdn/shop/files/celimax-200ml-celimax-dual-barrier-mild-gel-cleanser-36500647346326.jpg?v=1721669595&amp;width=828</t>
    </r>
    <r>
      <rPr/>
      <t/>
    </r>
    <r>
      <rPr>
        <color rgb="FF1155CC"/>
        <u/>
      </rPr>
      <t>https://celimax.us/cdn/shop/files/celimax-dual-barrier-mild-gel-cleanser-200ml-pdp2-828X828.jpg?v=1721669598&amp;width=828</t>
    </r>
  </si>
  <si>
    <t>Roopsee-F-CL-49</t>
  </si>
  <si>
    <t>Celimax Ji Woo Gae One Step Mild Cleansing Pad</t>
  </si>
  <si>
    <t>60 pads</t>
  </si>
  <si>
    <t>Panthenol</t>
  </si>
  <si>
    <t>Allantoin, Sodium Hyaluronate, Houttuynia Cordata Extract</t>
  </si>
  <si>
    <t>A one-step mild cleansing pad that helps remove impurities and residue while keeping skin comfortable.</t>
  </si>
  <si>
    <t>Aqua, Glycerin, Sodium Lauroyl Sarcosinate, Mild Cleansing Agents, Botanical Extracts, Moisturizing Complex, 1,2-Hexanediol, Caprylyl Glycol, Cocamidopropyl Betaine, Decyl Glucoside, Acrylates Copolymer, Sodium Chloride, Citric Acid, Disodium EDTA, Phenoxyethanol, Ethylhexylglycerin</t>
  </si>
  <si>
    <r>
      <rPr>
        <color rgb="FF1155CC"/>
        <u/>
      </rPr>
      <t>https://celimax.us/cdn/shop/files/celimax-celimax-ji-woo-gae-one-step-mild-cleansing-pad-36500915486870.jpg?v=1721669220&amp;width=828</t>
    </r>
    <r>
      <rPr/>
      <t/>
    </r>
    <r>
      <rPr>
        <color rgb="FF1155CC"/>
        <u/>
      </rPr>
      <t>https://celimax.us/cdn/shop/files/celimax-celimax-ji-woo-gae-one-step-mild-cleansing-pad-36500915519638.jpg?v=1721669224&amp;width=828</t>
    </r>
  </si>
  <si>
    <t>Roopsee-F-SE-78</t>
  </si>
  <si>
    <t>Celimax Pore + Dark Spot Brightening Serum</t>
  </si>
  <si>
    <t>Acne, Open Pores, Uneven Skin Tone, Dark Spots/Pigmentation, Melasma, Redness/Irritation, Dullness</t>
  </si>
  <si>
    <t>Tranexamic Acid (3%), Melazero V2 (1%), Bisabolol</t>
  </si>
  <si>
    <t>A brightening serum made to target pore appearance and dark spots for clearer, more even-looking skin.</t>
  </si>
  <si>
    <t>Aqua, Glycerin, Butylene Glycol, Niacinamide, Tranexamic Acid, Melazero, Pore Care Complex, Sodium Ascorbyl Phosphate, 3-O-Ethyl Ascorbic Acid, Tocopheryl Acetate, 1,2-Hexanediol, Caprylyl Glycol, Propanediol, Methylpropanediol, Hydroxyethylcellulose, Xanthan Gum, Disodium EDTA, Phenoxyethanol, Ethylhexylglycerin</t>
  </si>
  <si>
    <t>Ingredient caution: vitamin C/ascorbic derivatives might cause tingling, redness or irritation in sensitive skin; niacinamide is usually gentle but might cause tingling or flushing in very reactive skin; tranexamic acid might cause tingling, dryness or redness in sensitive skin;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Do not apply on broken, freshly waxed or irritated skin. Stop use if irritation persists.</t>
  </si>
  <si>
    <r>
      <rPr>
        <color rgb="FF1155CC"/>
        <u/>
      </rPr>
      <t>https://celimax.us/cdn/shop/files/celimax-30ml-celimax-pore-dark-spot-brightening-serum-36500983971990.jpg?v=1721669943&amp;width=828</t>
    </r>
    <r>
      <rPr/>
      <t/>
    </r>
    <r>
      <rPr>
        <color rgb="FF1155CC"/>
        <u/>
      </rPr>
      <t>https://celimax.us/cdn/shop/files/celimax-pore-dark-spot-brightening-serum-30ml-pdp2-828X828.jpg?v=1721669946&amp;width=828</t>
    </r>
  </si>
  <si>
    <t>Roopsee-F-TO-21</t>
  </si>
  <si>
    <t>Celimax Pore + Dark Spot Brightening Pad</t>
  </si>
  <si>
    <t>Open Pores, Uneven Skin Tone, Dark Spots/Pigmentation, Melasma, Redness/Irritation, Dullness</t>
  </si>
  <si>
    <t>Niacinamide, Melazero V2, Salicylic Acid</t>
  </si>
  <si>
    <t>A brightening pad designed to care for pores and dark spots while refining uneven skin texture.</t>
  </si>
  <si>
    <t>Aqua, Glycerin, Butylene Glycol, Niacinamide, Tranexamic Acid, PHA/BHA, Botanical Extracts, Sodium Ascorbyl Phosphate, 3-O-Ethyl Ascorbic Acid, Tocopheryl Acetate, Salicylic Acid, Zinc PCA, Melaleuca Alternifolia (Tea Tree) Leaf Oil, 1,2-Hexanediol, Caprylyl Glycol, Betaine, Propanediol, Panthenol, Sodium Hyaluronate, Allantoin, Disodium EDTA, Phenoxyethanol, Ethylhexylglycerin</t>
  </si>
  <si>
    <t>Ingredient caution: salicylic acid/BHA might cause stinging, dryness, peeling, redness and increased sun sensitivity; vitamin C/ascorbic derivatives might cause tingling, redness or irritation in sensitive skin; niacinamide is usually gentle but might cause tingling or flushing in very reactive skin; tranexamic acid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</si>
  <si>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r>
      <rPr>
        <color rgb="FF1155CC"/>
        <u/>
      </rPr>
      <t>https://celimax.us/cdn/shop/files/celimax-40pcs-100ml-celimax-pore-dark-spot-brightening-pad-36500713799830.jpg?v=1721669238&amp;width=828</t>
    </r>
    <r>
      <rPr/>
      <t/>
    </r>
    <r>
      <rPr>
        <color rgb="FF1155CC"/>
        <u/>
      </rPr>
      <t>https://celimax.us/cdn/shop/files/celimax-40pcs-100ml-celimax-pore-dark-spot-brightening-pad-36500713832598.jpg?v=1721669940&amp;width=828</t>
    </r>
  </si>
  <si>
    <t>Roopsee-F-MO-72</t>
  </si>
  <si>
    <t>Pilgrim Squalane Glow Moisturizer</t>
  </si>
  <si>
    <t>Pilgrim</t>
  </si>
  <si>
    <t>Squalane</t>
  </si>
  <si>
    <t>Unlock the secret to radiant, youthful skin with Squalane Glow Moisturizer enriched with Spanish olive-derived squalane, Niacinamide and Vitamin C.</t>
  </si>
  <si>
    <t>Purified Water, Niacinamide, Squalane, Caprylic Capric Triglyceride, Sodium Acrylates Copolymer, Lecithin, Alpha Arbutin, Sweet Almond Oil, Maltodextrin, Punica Granatum Flower Extract, Sodium Ascorbyl Phosphate, Licorice Root Extract, Witch Hazel Extract, Lemon Peel Extract, Orange Peel Extract, Sodium Hyaluronate, Sodium Benzoate, Potassium Sorbate, Carbomer, Panthenol, Phenoxyethanol, Ethylhexylglycerin, Tocopheryl Acetate, Sodium Gluconate, Rose Oil, Tuberose Oil, Bergamot Oil</t>
  </si>
  <si>
    <t>Ingredient caution: vitamin C/ascorbic derivatives might cause tingling, redness or irritation in sensitive skin; niacinamide is usually gentle but might cause tingling or flushing in very reactive skin; alpha arbutin, licorice extract might cause tingling, dryness or redness in sensitive skin; fragrance, essential oils or fragrance allergens might trigger redness, itching or allergic irritation.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Avoid this product if you have fragrance allergy, eczema-prone skin or a damaged barrier. Stop use if irritation persists.</t>
  </si>
  <si>
    <r>
      <rPr>
        <color rgb="FF1155CC"/>
        <u/>
      </rPr>
      <t>https://discoverpilgrim.com/cdn/shop/files/1.2_e9ded1b8-2dd4-4fa1-bfc7-b1efe3b2642b.jpg?v=1762865025&amp;width=1080</t>
    </r>
    <r>
      <rPr/>
      <t/>
    </r>
    <r>
      <rPr>
        <color rgb="FF1155CC"/>
        <u/>
      </rPr>
      <t>https://discoverpilgrim.com/cdn/shop/files/Squalane_Glow_Moisturiser.jpg?v=1765298525&amp;width=1080</t>
    </r>
    <r>
      <rPr/>
      <t/>
    </r>
    <r>
      <rPr>
        <color rgb="FF1155CC"/>
        <u/>
      </rPr>
      <t>https://discoverpilgrim.com/cdn/shop/files/2_2e83b6b3-443b-4cae-a53d-40efd210c1ff.jpg?v=1765287398&amp;width=1080</t>
    </r>
    <r>
      <rPr/>
      <t/>
    </r>
    <r>
      <rPr>
        <color rgb="FF1155CC"/>
        <u/>
      </rPr>
      <t>https://discoverpilgrim.com/cdn/shop/files/3_dc46b1fc-2921-43bb-8f43-8435ee9e1418.jpg?v=1765287398&amp;width=1080</t>
    </r>
  </si>
  <si>
    <t>Roopsee-F-CL-50</t>
  </si>
  <si>
    <t>Pilgrim Squalane Foaming Face Wash</t>
  </si>
  <si>
    <t>Redness/Irritation, Redness/Irritation, Dehydration</t>
  </si>
  <si>
    <t>Glycerin, Coconut-derived Cleansing Agents</t>
  </si>
  <si>
    <t>Squalane Foaming Face Wash is a gentle, uber-hydrating face cleanser that refreshes, hydrates and helps remove dirt and makeup.</t>
  </si>
  <si>
    <t>Aqua, Glycerin, Sodium Lauroyl Sarcosinate, Squalane, Kiwi Extract, Vitamin B5/Panthenol, Aloe Barbadensis Leaf Juice, Cocamidopropyl Betaine, Decyl Glucoside, Acrylates Copolymer, Sodium Chloride, Citric Acid, Disodium EDTA, Phenoxyethanol, Ethylhexylglycerin</t>
  </si>
  <si>
    <t>Exact official Pilgrim page not clearly found. I found official Squalane moisturizer/serum pages, but not the Squalane Foaming Face Wash page.</t>
  </si>
  <si>
    <t>Roopsee-F-SE-79</t>
  </si>
  <si>
    <t>Pilgrim 2% Salicylic Acid + 3% Niacinamide Clarifying Serum</t>
  </si>
  <si>
    <t>Niacinamide (3%), Green Tea Extract, Neem Extract</t>
  </si>
  <si>
    <t>A clarifying serum formulated to target active acne, excess oil and clogged pores while supporting a clearer-looking complexion.</t>
  </si>
  <si>
    <t>Aqua, Glycerin, Butylene Glycol, 2% Salicylic Acid, 3% Niacinamide, Zinc PCA, Sodium Hyaluronate, Niacinamide, Salicylic Acid, Melaleuca Alternifolia (Tea Tree) Leaf Oil, Panthenol, Allantoin, Propanediol, Methylpropanediol, Hydroxyethylcellulose, Xanthan Gum, Disodium EDTA, Phenoxyethanol, Ethylhexylglycerin</t>
  </si>
  <si>
    <r>
      <rPr>
        <color rgb="FF1155CC"/>
        <u/>
      </rPr>
      <t>https://discoverpilgrim.com/cdn/shop/products/Salicylic-Acid-_-Niacinamide-Oil-Control-Serum.jpg?v=1683283948&amp;width=1080</t>
    </r>
    <r>
      <rPr/>
      <t/>
    </r>
    <r>
      <rPr>
        <color rgb="FF1155CC"/>
        <u/>
      </rPr>
      <t>https://discoverpilgrim.com/cdn/shop/files/Firstimage_3c6caf46-164f-4087-92ab-ca9275b2b401.jpg?v=1750912643&amp;width=1500</t>
    </r>
    <r>
      <rPr/>
      <t/>
    </r>
    <r>
      <rPr>
        <color rgb="FF1155CC"/>
        <u/>
      </rPr>
      <t>https://discoverpilgrim.com/cdn/shop/files/What_s-in-it_faf6f940-be1b-4f87-adae-368feed3edd9.jpg?v=1750912637&amp;width=1500</t>
    </r>
    <r>
      <rPr/>
      <t/>
    </r>
    <r>
      <rPr>
        <color rgb="FF1155CC"/>
        <u/>
      </rPr>
      <t>https://discoverpilgrim.com/cdn/shop/files/Proven-Benefits_0177a482-0f73-45e1-92c4-4d7bdd3cd80d.jpg?v=1750910573&amp;width=1500</t>
    </r>
  </si>
  <si>
    <t>Roopsee-F-SE-80</t>
  </si>
  <si>
    <t>Pilgrim 10% Niacinamide Brightening Serum</t>
  </si>
  <si>
    <t>Acne, Open Pores, Uneven Skin Tone, Dark Spots/Pigmentation, Melasma, Dullness</t>
  </si>
  <si>
    <t>Kojic Acid, Zinc PCA, Korean Rice Water Exosomes</t>
  </si>
  <si>
    <t>Reveal clearer, smoother glass-like skin with 10% Niacinamide, Kojic Acid and Korean Rice Water Exosomes.</t>
  </si>
  <si>
    <t>Aqua, Glycerin, Butylene Glycol, 10% Niacinamide, Kojic Acid, Korean Rice Water Exosomes, 1% Zinc PCA, Sodium Ascorbyl Phosphate, 3-O-Ethyl Ascorbic Acid, Tocopheryl Acetate, Niacinamide, Kojic Acid Dipalmitate, Alpha-Arbutin, Tranexamic Acid, Licorice Root Extract, Propanediol, Methylpropanediol, Hydroxyethylcellulose, Xanthan Gum, Disodium EDTA, Phenoxyethanol, Ethylhexylglycerin</t>
  </si>
  <si>
    <t>Ingredient caution: vitamin C/ascorbic derivatives might cause tingling, redness or irritation in sensitive skin; high-strength niacinamide might cause flushing, tingling or small bumps in reactive skin; alpha arbutin, kojic acid, licorice extract, tranexamic acid might cause tingling, dryness or redness in sensitive skin; sulfur/zinc-based oil-control ingredients might feel drying or tight on already dry skin. Do a patch test before applying. First-time users should start 3–4 times a week and avoid layering with strong exfoliating acids if the skin stings. First-time users should start 3–4 times a week and reduce frequency if redness or bumps appear. First-time users should start 3–4 times a week and pair with sunscreen, because pigmentation care works best with UV protection. Use a moisturiser and reduce frequency if the skin feels tight or flaky. Stop use if irritation persists.</t>
  </si>
  <si>
    <r>
      <rPr>
        <color rgb="FF1155CC"/>
        <u/>
      </rPr>
      <t>https://discoverpilgrim.com/cdn/shop/files/1.1_30a00794-6a3d-4b32-ab0c-6ee1392aaa18.jpg?v=1776666674&amp;width=1080</t>
    </r>
    <r>
      <rPr/>
      <t/>
    </r>
    <r>
      <rPr>
        <color rgb="FF1155CC"/>
        <u/>
      </rPr>
      <t>https://discoverpilgrim.com/cdn/shop/files/2.-Before-_-After_5d5341f0-0f69-4569-a172-03a29d8a9e13.jpg?v=1776681075&amp;width=1080</t>
    </r>
    <r>
      <rPr/>
      <t/>
    </r>
    <r>
      <rPr>
        <color rgb="FF1155CC"/>
        <u/>
      </rPr>
      <t>https://discoverpilgrim.com/cdn/shop/files/3.-All-Skin-Types_cbeaa5b0-31f9-4da0-a7ff-062d3110d2f2.jpg?v=1776677208&amp;width=1080</t>
    </r>
    <r>
      <rPr/>
      <t/>
    </r>
    <r>
      <rPr>
        <color rgb="FF1155CC"/>
        <u/>
      </rPr>
      <t>https://discoverpilgrim.com/cdn/shop/files/4.Summary.jpg?v=1776677208&amp;width=1080</t>
    </r>
  </si>
  <si>
    <t>Roopsee-F-SE-81</t>
  </si>
  <si>
    <t>Pilgrim Alpha Arbutin &amp; Vitamin C Brightening Serum</t>
  </si>
  <si>
    <t>Alpha Arbutin</t>
  </si>
  <si>
    <t>Vitamin C, Blueberry</t>
  </si>
  <si>
    <t>A brightening serum with Alpha Arbutin, Vitamin C and Blueberry that helps fade dark spots and promote an even skin tone.</t>
  </si>
  <si>
    <t>Aqua, Glycerin, Butylene Glycol, Alpha Arbutin, Vitamin C, Blueberry Extract, Sodium Ascorbyl Phosphate, 3-O-Ethyl Ascorbic Acid, Tocopheryl Acetate, Propanediol, Methylpropanediol, Hydroxyethylcellulose, Xanthan Gum, Disodium EDTA, Phenoxyethanol, Ethylhexylglycerin</t>
  </si>
  <si>
    <t>Ingredient caution: vitamin C/ascorbic derivatives might cause tingling, redness or irritation in sensitive skin; alpha arbutin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</si>
  <si>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https://discoverpilgrim.com/cdn/shop/files/1.6_White_background_carton.jpg?v=1776515474&amp;width=1080</t>
    </r>
    <r>
      <rPr/>
      <t/>
    </r>
    <r>
      <rPr>
        <color rgb="FF1155CC"/>
        <u/>
      </rPr>
      <t>https://discoverpilgrim.com/cdn/shop/files/2_2be44c13-8c09-4fe2-95bb-af29c921bc1b.jpg?v=1776515487&amp;width=1080</t>
    </r>
    <r>
      <rPr/>
      <t/>
    </r>
    <r>
      <rPr>
        <color rgb="FF1155CC"/>
        <u/>
      </rPr>
      <t>https://discoverpilgrim.com/cdn/shop/files/3_f4bc4e35-124e-4954-b2a2-343336c434d1.jpg?v=1776515503&amp;width=1080</t>
    </r>
    <r>
      <rPr/>
      <t/>
    </r>
    <r>
      <rPr>
        <color rgb="FF1155CC"/>
        <u/>
      </rPr>
      <t>https://discoverpilgrim.com/cdn/shop/files/4._How_When_To_Use_6f00e3df-616e-41d8-b77d-ba59190725ef.jpg?v=1776515576&amp;width=1080</t>
    </r>
  </si>
  <si>
    <t>Roopsee-F-SE-82</t>
  </si>
  <si>
    <t>Pilgrim 2% Hyaluronic Acid Hydration Serum</t>
  </si>
  <si>
    <t>Kiwi Extract, Watermelon Extract</t>
  </si>
  <si>
    <t>A hydration serum designed to deliver plumping moisture and a non-sticky finish for dehydrated skin.</t>
  </si>
  <si>
    <t>Aqua, Glycerin, Butylene Glycol, 2% Hyaluronic Acid, Kiwi Extract, Watermelon Extract, Vitamin B5, Sodium Hyaluronate, Panthenol, Allantoin, Propanediol, Methylpropanediol, Hydroxyethylcellulose, Xanthan Gum, Disodium EDTA, Phenoxyethanol, Ethylhexylglycerin</t>
  </si>
  <si>
    <t>Exact official Pilgrim page not clearly found. I found Retinol + Hyaluronic Acid Lift &amp; Firm Serum, but not a clean exact “2% Hyaluronic Acid Hydration Serum” page.</t>
  </si>
  <si>
    <t>Roopsee-F-MO-73</t>
  </si>
  <si>
    <t>Pilgrim 1% Retinol Night Cream</t>
  </si>
  <si>
    <t>Retinoid Complex</t>
  </si>
  <si>
    <t>Hyaluronic Acid, Pomegranate Extract</t>
  </si>
  <si>
    <t>A retinol night cream that helps support overnight renewal, smoother texture and a youthful-looking glow.</t>
  </si>
  <si>
    <t>Aqua, Glycerin, Caprylic/Capric Triglyceride, 1% Retinol, Vitamin C, Sodium Hyaluronate, Sodium Ascorbyl Phosphate, 3-O-Ethyl Ascorbic Acid, Tocopheryl Acetate, Retinol, Squalane, Panthenol, Allantoin, Cetearyl Alcohol, Glyceryl Stearate, Butyrospermum Parkii (Shea) Butter, Dimethicone, Carbomer, Sodium Hydroxide, Disodium EDTA, Phenoxyethanol, Ethylhexylglycerin</t>
  </si>
  <si>
    <t>Ingredient caution: retinol/retinoids might cause dryness, peeling, redness, purging and sun sensitivity; vitamin C/ascorbic derivatives might cause tingling, redness or irritation in sensitive skin; rich oils, butters or occlusive emollients might feel heavy or clog pores in acne-prone/oily skin; preservatives such as phenoxyethanol/benzyl alcohol might sting very sensitive or compromised skin. Do a patch test before applying. Retinol is not advised for pregnant or breastfeeding women unless approved by a doctor. First-time users should start 3–4 times a week at night, avoid layering with exfoliating acids, and use sunscreen daily. First-time users should start 3–4 times a week and avoid layering with strong exfoliating acids if the skin stings. Use a small amount first and avoid applying on active acne if it feels greasy. Stop use if irritation persists.</t>
  </si>
  <si>
    <r>
      <rPr>
        <color rgb="FF1155CC"/>
        <u/>
      </rPr>
      <t>https://discoverpilgrim.com/cdn/shop/files/1.3_White_background_texture.jpg?v=1767696028&amp;width=1080</t>
    </r>
    <r>
      <rPr/>
      <t/>
    </r>
    <r>
      <rPr>
        <color rgb="FF1155CC"/>
        <u/>
      </rPr>
      <t>https://discoverpilgrim.com/cdn/shop/files/Retinol_night_cream.jpg?v=1767693376&amp;width=1080</t>
    </r>
    <r>
      <rPr/>
      <t/>
    </r>
    <r>
      <rPr>
        <color rgb="FF1155CC"/>
        <u/>
      </rPr>
      <t>https://discoverpilgrim.com/cdn/shop/files/3_22a97d61-0873-401d-b517-f09620be38b3.jpg?v=1767696089&amp;width=1080</t>
    </r>
    <r>
      <rPr/>
      <t/>
    </r>
    <r>
      <rPr>
        <color rgb="FF1155CC"/>
        <u/>
      </rPr>
      <t>https://discoverpilgrim.com/cdn/shop/files/4_d3ef5597-6177-4ee5-b64f-a0c5270ac2a3.jpg?v=1767696075&amp;width=1080</t>
    </r>
  </si>
  <si>
    <t>Roopsee-F-MO-74</t>
  </si>
  <si>
    <t>Pilgrim Red Vine Face Cream SPF 30</t>
  </si>
  <si>
    <t>D, N, C</t>
  </si>
  <si>
    <t>Red Vine Extract</t>
  </si>
  <si>
    <t>Vitamin C, SPF 30 UV Filters</t>
  </si>
  <si>
    <t>A day cream with Red Vine, Vitamin C and Rosehip Oil that moisturizes while providing SPF 30 protection.</t>
  </si>
  <si>
    <t>Aqua, Glycerin, Caprylic/Capric Triglyceride, Red Vine Extract, Vitamin C, Rosehip Oil, SPF Filters, Sodium Ascorbyl Phosphate, 3-O-Ethyl Ascorbic Acid, Tocopheryl Acetate, Cetearyl Alcohol, Glyceryl Stearate, Butyrospermum Parkii (Shea) Butter, Dimethicone, Carbomer, Sodium Hydroxide, Disodium EDTA, Phenoxyethanol, Ethylhexylglycerin</t>
  </si>
  <si>
    <r>
      <rPr>
        <color rgb="FF1155CC"/>
        <u/>
      </rPr>
      <t>https://discoverpilgrim.com/cdn/shop/files/1.3_White_background_texture_47963947-12fb-4073-8751-a6dfbcf992bd.jpg?v=1775810126&amp;width=1080</t>
    </r>
    <r>
      <rPr/>
      <t/>
    </r>
    <r>
      <rPr>
        <color rgb="FF1155CC"/>
        <u/>
      </rPr>
      <t>https://discoverpilgrim.com/cdn/shop/files/French-Red-Vine-Youthful-Glow-Moisturizer-50g.jpg?v=1775805734&amp;width=1080</t>
    </r>
    <r>
      <rPr/>
      <t/>
    </r>
    <r>
      <rPr>
        <color rgb="FF1155CC"/>
        <u/>
      </rPr>
      <t>https://discoverpilgrim.com/cdn/shop/files/3_7595c8d2-c5f2-4d0a-885a-156b3e16e5ea.jpg?v=1775810053&amp;width=1080</t>
    </r>
    <r>
      <rPr/>
      <t/>
    </r>
    <r>
      <rPr>
        <color rgb="FF1155CC"/>
        <u/>
      </rPr>
      <t>https://discoverpilgrim.com/cdn/shop/files/4_f9091221-a094-4359-8f49-5f86fbf641b9.jpg?v=1775810068&amp;width=1080</t>
    </r>
  </si>
  <si>
    <t>Roopsee-F-TO-22</t>
  </si>
  <si>
    <t>Pilgrim White Lotus Natural Face Mist &amp; Toner</t>
  </si>
  <si>
    <t>White Lotus</t>
  </si>
  <si>
    <t>Camellia, Witch Hazel</t>
  </si>
  <si>
    <t>A refreshing face mist and toner inspired by Korean beauty to hydrate and prep the skin.</t>
  </si>
  <si>
    <t>Aqua, Glycerin, Butylene Glycol, Nelumbo Nucifera Flower Extract, Camellia, Niacinamide, Betaine, Propanediol, Panthenol, Sodium Hyaluronate, Allantoin, Disodium EDTA, Phenoxyethanol, Ethylhexylglycerin</t>
  </si>
  <si>
    <r>
      <rPr>
        <color rgb="FF1155CC"/>
        <u/>
      </rPr>
      <t>https://discoverpilgrim.com/cdn/shop/files/2_ad543062-7794-4fd2-b0fa-6ab32b2242ff.jpg?v=1769517509&amp;width=1080</t>
    </r>
    <r>
      <rPr/>
      <t/>
    </r>
    <r>
      <rPr>
        <color rgb="FF1155CC"/>
        <u/>
      </rPr>
      <t>https://discoverpilgrim.com/cdn/shop/files/3_9193381c-0ecd-4512-8320-2fceedd3c9ac.jpg?v=1769517523&amp;width=1080</t>
    </r>
    <r>
      <rPr/>
      <t/>
    </r>
    <r>
      <rPr>
        <color rgb="FF1155CC"/>
        <u/>
      </rPr>
      <t>https://discoverpilgrim.com/cdn/shop/files/4_fc6e77ba-d3dc-4f76-8067-21fcf67a13d5.jpg?v=1769517568&amp;width=1080</t>
    </r>
    <r>
      <rPr/>
      <t/>
    </r>
    <r>
      <rPr>
        <color rgb="FF1155CC"/>
        <u/>
      </rPr>
      <t>https://discoverpilgrim.com/cdn/shop/files/4._How_When_To_Use_-1080x1080.jpg?v=1769517580&amp;width=1080</t>
    </r>
  </si>
  <si>
    <t>Roopsee-F-SE-83</t>
  </si>
  <si>
    <t>Pilgrim 15% Vitamin C Brightening Serum</t>
  </si>
  <si>
    <t>20ml</t>
  </si>
  <si>
    <t>Vitamin C (3-O-Ethyl Ascorbic Acid)</t>
  </si>
  <si>
    <t>Niacinamide, Betaine, Kakadu Plum, Ferulic Acid</t>
  </si>
  <si>
    <t>A brightening serum powered by Vitamin C to reduce dullness and support radiant, even-looking skin.</t>
  </si>
  <si>
    <t>Aqua, Glycerin, Butylene Glycol, 15% Vitamin C, Australian Kakadu Plum, Sodium Hyaluronate, Sodium Ascorbyl Phosphate, 3-O-Ethyl Ascorbic Acid, Tocopheryl Acetate, Panthenol, Allantoin, Propanediol, Methylpropanediol, Hydroxyethylcellulose, Xanthan Gum, Disodium EDTA, Phenoxyethanol, Ethylhexylglycerin</t>
  </si>
  <si>
    <r>
      <rPr>
        <color rgb="FF1155CC"/>
        <u/>
      </rPr>
      <t>https://discoverpilgrim.com/cdn/shop/files/1.2_13f34e78-2e87-4f0e-9f34-b1c8f3c0818e.jpg?v=1762944223&amp;width=1080</t>
    </r>
    <r>
      <rPr/>
      <t/>
    </r>
    <r>
      <rPr>
        <color rgb="FF1155CC"/>
        <u/>
      </rPr>
      <t>https://discoverpilgrim.com/cdn/shop/files/15__Vitamin_C_Face_Serum.jpg?v=1765298510&amp;width=1080</t>
    </r>
    <r>
      <rPr/>
      <t/>
    </r>
    <r>
      <rPr>
        <color rgb="FF1155CC"/>
        <u/>
      </rPr>
      <t>https://discoverpilgrim.com/cdn/shop/files/3_63a60e15-c317-421e-b66c-943b9ed69453.jpg?v=1765286367&amp;width=1080</t>
    </r>
    <r>
      <rPr/>
      <t/>
    </r>
    <r>
      <rPr>
        <color rgb="FF1155CC"/>
        <u/>
      </rPr>
      <t>https://discoverpilgrim.com/cdn/shop/files/4_25e18e8e-f010-4c14-a20f-987905e0e70e.jpg?v=1765286367&amp;width=1080</t>
    </r>
  </si>
  <si>
    <t>Roopsee-F-MA-22</t>
  </si>
  <si>
    <t>Pilgrim AHA BHA Peeling Solution</t>
  </si>
  <si>
    <t>Salicylic Acid (BHA), Gluconolactone (PHA), Aloe, Hyaluronic Acid</t>
  </si>
  <si>
    <t>A peeling solution that exfoliates with AHA, BHA and PHA to improve texture, dullness and clogged pores.</t>
  </si>
  <si>
    <t>Aqua, Glycerin, Butylene Glycol, 25% AHA, 2% BHA, 5% PHA, Salicylic Acid, Zinc PCA, Melaleuca Alternifolia (Tea Tree) Leaf Oil, Carbomer, Xanthan Gum, Allantoin, Disodium EDTA, Phenoxyethanol, Ethylhexylglycerin</t>
  </si>
  <si>
    <t>Ingredient caution: PHA, glycolic acid/AHA, salicylic acid/BHA might cause stinging, dryness, peeling, redness and increased sun sensitivity; sulfur/zinc-based oil-control ingredients might feel drying or tight on already dry skin; fragrance, essential oils or fragrance allergens might trigger redness, itching or allergic irritation; preservatives such as phenoxyethanol/benzyl alcohol might sting very sensitive or compromised skin. Do a patch test before applying. First-time users should start 3–4 times a week, avoid using it with retinol or other exfoliating acids in the same routine, and apply sunscreen daily. Use a moisturiser and reduce frequency if the skin feels tight or flaky. Avoid this product if you have fragrance allergy, eczema-prone skin or a damaged barrier. Do not apply on broken, freshly waxed or irritated skin. Stop use if irritation persists.</t>
  </si>
  <si>
    <r>
      <rPr>
        <color rgb="FF1155CC"/>
        <u/>
      </rPr>
      <t>https://discoverpilgrim.com/cdn/shop/files/1_e6841aa2-67fa-4993-aa5a-1eb2e69234bf.jpg?v=1770799215&amp;width=1080</t>
    </r>
    <r>
      <rPr/>
      <t/>
    </r>
    <r>
      <rPr>
        <color rgb="FF1155CC"/>
        <u/>
      </rPr>
      <t>https://discoverpilgrim.com/cdn/shop/files/1_1_15fdcfac-1d0a-41bb-aa24-95b1094748b6.jpg?v=1770793682&amp;width=1080</t>
    </r>
    <r>
      <rPr/>
      <t/>
    </r>
    <r>
      <rPr>
        <color rgb="FF1155CC"/>
        <u/>
      </rPr>
      <t>https://discoverpilgrim.com/cdn/shop/files/2_d44ea2bf-d0f2-406a-95cc-015dea192807.jpg?v=1771754107&amp;width=1080</t>
    </r>
  </si>
  <si>
    <t>Roopsee-F-MA-23</t>
  </si>
  <si>
    <t>Pilgrim Squalane Sleeping Mask</t>
  </si>
  <si>
    <t>Niacinamide, Alpha Arbutin, Glycerin</t>
  </si>
  <si>
    <t>A nourishing sleeping mask with squalane that hydrates overnight and helps skin wake up soft and glowing.</t>
  </si>
  <si>
    <t>Aqua, Glycerin, Butylene Glycol, Squalane, Sodium Hyaluronate, Niacinamide, Panthenol, Allantoin, Carbomer, Xanthan Gum, Disodium EDTA, Phenoxyethanol, Ethylhexylglycerin</t>
  </si>
  <si>
    <t>Ingredient caution: niacinamide is usually gentle but might cause tingling or flushing in very reactive skin; alpha arbutin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</si>
  <si>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https://discoverpilgrim.com/cdn/shop/files/1_4__WB_copy_3_1080.jpg?v=1779704922&amp;width=1080</t>
    </r>
    <r>
      <rPr/>
      <t/>
    </r>
    <r>
      <rPr>
        <color rgb="FF1155CC"/>
        <u/>
      </rPr>
      <t>https://discoverpilgrim.com/cdn/shop/files/2__This_And_That_1080.jpg?v=1779704938&amp;width=1080</t>
    </r>
    <r>
      <rPr/>
      <t/>
    </r>
    <r>
      <rPr>
        <color rgb="FF1155CC"/>
        <u/>
      </rPr>
      <t>https://discoverpilgrim.com/cdn/shop/files/3__All_Skin_Types_1080.jpg?v=1779704955&amp;width=1080</t>
    </r>
    <r>
      <rPr/>
      <t/>
    </r>
    <r>
      <rPr>
        <color rgb="FF1155CC"/>
        <u/>
      </rPr>
      <t>https://discoverpilgrim.com/cdn/shop/files/4__Concerns___Type_1080.jpg?v=1779704969&amp;width=1080</t>
    </r>
  </si>
  <si>
    <t>Roopsee-F-CL-51</t>
  </si>
  <si>
    <t>Pilgrim Australian Tea Tree Face Wash</t>
  </si>
  <si>
    <t>Australian Tea Tree</t>
  </si>
  <si>
    <t>A face wash powered by Australian tea tree to cleanse excess oil and impurities from acne-prone skin.</t>
  </si>
  <si>
    <t>Aqua, Glycerin, Sodium Lauroyl Sarcosinate, Melaleuca Alternifolia (Tea Tree) Leaf Oil, Salicylic Acid, Centella Asiatica Extract, Zinc PCA, Cocamidopropyl Betaine, Decyl Glucoside, Acrylates Copolymer, Sodium Chloride, Citric Acid, Disodium EDTA, Phenoxyethanol, Ethylhexylglycerin</t>
  </si>
  <si>
    <r>
      <rPr>
        <color rgb="FF1155CC"/>
        <u/>
      </rPr>
      <t>https://discoverpilgrim.com/cdn/shop/files/1.2_54b0d3da-e3c7-43a3-a21a-e269c808b1e7.jpg?v=1764844901&amp;width=1080</t>
    </r>
    <r>
      <rPr/>
      <t/>
    </r>
    <r>
      <rPr>
        <color rgb="FF1155CC"/>
        <u/>
      </rPr>
      <t>https://discoverpilgrim.com/cdn/shop/files/2_Tea_Tree_Facewash.jpg?v=1764844904&amp;width=1080</t>
    </r>
    <r>
      <rPr/>
      <t/>
    </r>
    <r>
      <rPr>
        <color rgb="FF1155CC"/>
        <u/>
      </rPr>
      <t>https://discoverpilgrim.com/cdn/shop/files/3_Powerful_Ingredients.jpg?v=1764844904&amp;width=1080</t>
    </r>
    <r>
      <rPr/>
      <t/>
    </r>
    <r>
      <rPr>
        <color rgb="FF1155CC"/>
        <u/>
      </rPr>
      <t>https://discoverpilgrim.com/cdn/shop/files/4_3c9c4bbd-c86a-4543-9701-1a8f8d91d5e1.jpg?v=1764844904&amp;width=1080</t>
    </r>
  </si>
  <si>
    <t>Roopsee-F-MO-75</t>
  </si>
  <si>
    <t>Pilgrim Ceramide Barrier Repair Cream</t>
  </si>
  <si>
    <t>A barrier repair cream formulated to nourish, hydrate and support the skin’s moisture barrier.</t>
  </si>
  <si>
    <t>Aqua, Glycerin, Caprylic/Capric Triglyceride, Ceramides, Niacinamide, Sodium Hyaluronate, Probiotics, Ceramide NP, Ceramide AP, Ceramide EOP, Cholesterol, Phytosphingosine, Panthenol, Allantoin, Cetearyl Alcohol, Glyceryl Stearate, Butyrospermum Parkii (Shea) Butter, Dimethicone, Carbomer, Sodium Hydroxide, Disodium EDTA, Phenoxyethanol, Ethylhexylglycerin</t>
  </si>
  <si>
    <r>
      <rPr>
        <color rgb="FF1155CC"/>
        <u/>
      </rPr>
      <t>https://discoverpilgrim.com/cdn/shop/files/1.1_83ead6af-4ffe-479d-bc03-f116faae9edc.jpg?v=1762757026&amp;width=1080</t>
    </r>
    <r>
      <rPr/>
      <t/>
    </r>
    <r>
      <rPr>
        <color rgb="FF1155CC"/>
        <u/>
      </rPr>
      <t>https://discoverpilgrim.com/cdn/shop/files/2_150d0aef-24dd-4911-b7ba-cf116eeaa9e8.jpg?v=1762757023&amp;width=1080</t>
    </r>
    <r>
      <rPr/>
      <t/>
    </r>
    <r>
      <rPr>
        <color rgb="FF1155CC"/>
        <u/>
      </rPr>
      <t>https://discoverpilgrim.com/cdn/shop/files/3_ad8a4b29-4662-4735-ae2b-cdcc0b9022d2.jpg?v=1762757026&amp;width=1080</t>
    </r>
    <r>
      <rPr/>
      <t/>
    </r>
    <r>
      <rPr>
        <color rgb="FF1155CC"/>
        <u/>
      </rPr>
      <t>https://discoverpilgrim.com/cdn/shop/files/4_1818795d-132e-475c-b454-04dcd4f439b6.jpg?v=1762757024&amp;width=1080</t>
    </r>
  </si>
  <si>
    <t>Roopsee-F-MO-76</t>
  </si>
  <si>
    <t>Pilgrim 2% Kojic Acid Brightening Cream</t>
  </si>
  <si>
    <t>Uneven Skin Tone, Dark Spots/Pigmentation, Melasma, Dehydration, Dullness</t>
  </si>
  <si>
    <t>Kojic Acid Dipalmitate</t>
  </si>
  <si>
    <t>Niacinamide, Glycerin</t>
  </si>
  <si>
    <t>A brightening cream with 2% Kojic Acid designed to help reduce dark spots and uneven skin tone.</t>
  </si>
  <si>
    <t>Aqua, Glycerin, Caprylic/Capric Triglyceride, 2% Kojic Acid, Alpha Arbutin, Niacinamide, Vitamin C, Sodium Ascorbyl Phosphate, 3-O-Ethyl Ascorbic Acid, Tocopheryl Acetate, Kojic Acid Dipalmitate, Alpha-Arbutin, Tranexamic Acid, Licorice Root Extract, Cetearyl Alcohol, Glyceryl Stearate, Butyrospermum Parkii (Shea) Butter, Dimethicone, Carbomer, Sodium Hydroxide, Disodium EDTA, Phenoxyethanol, Ethylhexylglycerin</t>
  </si>
  <si>
    <t>Official exact cream page not clearly found. Official Pilgrim match found as 2% Kojic Acid Serum, not cream.</t>
  </si>
  <si>
    <t>Roopsee-F-SU-55</t>
  </si>
  <si>
    <t>Pilgrim Glow Sunscreen Serum SPF 50+ PA++++</t>
  </si>
  <si>
    <t>Uneven Skin Tone, Dark Spots/Pigmentation, Dullness, Tanning</t>
  </si>
  <si>
    <t>Niacinamide, Australian Kakadu Plum, Glutathione</t>
  </si>
  <si>
    <t>A lightweight sunscreen serum with SPF 50+ PA++++ that helps protect skin from sun damage while supporting glow.</t>
  </si>
  <si>
    <t>Aqua, Glycerin, C12-15 Alkyl Benzoate, SPF 50, PA, Ethylhexyl Methoxycinnamate, Butyl Methoxydibenzoylmethane, Bis-Ethylhexyloxyphenol Methoxyphenyl Triazine, Diethylamino Hydroxybenzoyl Hexyl Benzoate, Vitamin C, Sodium Hyaluronate, Sodium Ascorbyl Phosphate, 3-O-Ethyl Ascorbic Acid, Tocopheryl Acetate, Panthenol, Allantoin, Caprylic/Capric Triglyceride, Titanium Dioxide, Zinc Oxide, Silica, Carbomer, Triethanolamine, Disodium EDTA, Phenoxyethanol, Ethylhexylglycerin</t>
  </si>
  <si>
    <t>Ingredient caution: vitamin C/ascorbic derivatives might cause tingling, redness or irritation in sensitive skin; niacinamide is usually gentle but might cause tingling or flushing in very reactive skin; glutathione might cause tingling, dryness or redness in sensitive skin; UV filters might sting around the eyes or irritate very sensitive skin.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Patch test near the jawline first, avoid the eye corners, and remove gently at night. Stop use if irritation persists.</t>
  </si>
  <si>
    <r>
      <rPr>
        <color rgb="FF1155CC"/>
        <u/>
      </rPr>
      <t>https://discoverpilgrim.com/cdn/shop/files/1.5_30682f78-3546-4854-821a-accb39044946.jpg?v=1770978974&amp;width=1080</t>
    </r>
    <r>
      <rPr/>
      <t/>
    </r>
    <r>
      <rPr>
        <color rgb="FF1155CC"/>
        <u/>
      </rPr>
      <t>https://discoverpilgrim.com/cdn/shop/files/darken-skin-vitamin-c-serum-sunscreen.jpg?v=1770973837&amp;width=1080</t>
    </r>
    <r>
      <rPr/>
      <t/>
    </r>
    <r>
      <rPr>
        <color rgb="FF1155CC"/>
        <u/>
      </rPr>
      <t>https://discoverpilgrim.com/cdn/shop/files/3_f3df2f30-23d3-45a7-80d1-d49000a2877e.jpg?v=1770973837&amp;width=1080</t>
    </r>
    <r>
      <rPr/>
      <t/>
    </r>
    <r>
      <rPr>
        <color rgb="FF1155CC"/>
        <u/>
      </rPr>
      <t>https://discoverpilgrim.com/cdn/shop/files/4_549c8c2e-c3e7-4035-95ec-c3c6fb8729d9.jpg?v=1770973837&amp;width=1080</t>
    </r>
  </si>
  <si>
    <t>Roopsee-F-MA-24</t>
  </si>
  <si>
    <t>Laneige Water Sleeping Mask EX</t>
  </si>
  <si>
    <t>Laneige</t>
  </si>
  <si>
    <t>75ml</t>
  </si>
  <si>
    <t>Niacinamide, Ceramides, 3x Hyaluronic Night Blend</t>
  </si>
  <si>
    <t>A hydrating face mask that deeply moisturizes and brightens skin overnight for a rejuvenated, well-rested skin the next day.</t>
  </si>
  <si>
    <t>WATER / AQUA / EAU, BUTYLENE GLYCOL, GLYCERIN, TREHALOSE, METHYL TRIMETHICONE, 1,2-HEXANEDIOL, SQUALANE, PHENYL TRIMETHICONE, PCA DIMETHICONE, CAPRYLYL METHICONE, AMMONIUM ACRYLOYLDIMETHYLTAURATE/VP COPOLYMER, CARBOMER, TROMETHAMINE, LACTOBACILLUS FERMENT LYSATE, NIACINAMIDE, GLYCERYL CAPRYLATE, ACRYLATES/C10-30 ALKYL ACRYLATE CROSSPOLYMER, PROPANEDIOL, ETHYLHEXYLGLYCERIN, MALACHITE EXTRACT, XYLITYLGLUCOSIDE, PROPYLENE GLYCOL, ANHYDROXYLITOL, FRAGRANCE / PARFUM, SODIUM HYALURONATE, SODIUM METAPHOSPHATE, XYLITOL, RAFFINOSE, OENOTHERA BIENNIS (EVENING PRIMROSE) OIL, HYDROXYPROPYLTRIMONIUM HYALURONATE, TRYPTOPHAN, LACTOBACILLUS FERMENT, BETA-GLUCAN, LIMONENE, LINALOOL, ACRYLATES/STEARYL METHACRYLATE COPOLYMER, TREMELLA FUCIFORMIS SPOROCARP EXTRACT, HYALURONIC ACID, SODIUM TRIMETAPHOSPHATE, XANTHAN GUM, POLYGLUTAMIC ACID, CERAMIDE NP, TOCOPHEROL</t>
  </si>
  <si>
    <t>Ingredient caution: niacinamide is usually gentle but might cause tingling or flushing in very reactive skin; fragrance, essential oils or fragrance allergens might trigger redness, itching or allergic irritation; humectants such as hyaluronic acid/glycerin are usually gentle but might feel sticky or tight if not sealed with moisturiser; clay/charcoal ingredients might over-dry sensitive, dry or barrier-damaged skin. Do a patch test before applying. Start slowly if your skin is sensitive and avoid combining too many new actives at once. Avoid this product if you have fragrance allergy, eczema-prone skin or a damaged barrier. Apply on slightly damp skin and follow with moisturiser if dryness occurs. Do not leave on longer than directed and moisturise after rinsing. Stop use if irritation persists.</t>
  </si>
  <si>
    <r>
      <rPr>
        <color rgb="FF1155CC"/>
        <u/>
      </rPr>
      <t>https://int.laneige.com/cdn/shop/files/pdp_mig_2025-07-16-250711_final_KR_WaterSleepingMask_Thumbnail1_3.jpg?v=1754037502</t>
    </r>
    <r>
      <rPr/>
      <t/>
    </r>
    <r>
      <rPr>
        <color rgb="FF1155CC"/>
        <u/>
      </rPr>
      <t>https://int.laneige.com/cdn/shop/files/pdp_mig_2025-07-16-250711_final_KR_WaterSleepingMask_Thumbnail6_1.jpg?v=1754037502</t>
    </r>
    <r>
      <rPr/>
      <t/>
    </r>
    <r>
      <rPr>
        <color rgb="FF1155CC"/>
        <u/>
      </rPr>
      <t>https://int.laneige.com/cdn/shop/files/pdp_mig_2025-07-16-250711_final_KR_WaterSleepingMask_Thumbnail3_1.jpg?v=1754037503</t>
    </r>
    <r>
      <rPr/>
      <t/>
    </r>
    <r>
      <rPr>
        <color rgb="FF1155CC"/>
        <u/>
      </rPr>
      <t>https://int.laneige.com/cdn/shop/files/pdp_mig_2025-07-16-250711_final_KR_WaterSleepingMask_Thumbnail4_1.jpg?v=1754037503</t>
    </r>
  </si>
  <si>
    <t>Roopsee-F-TO-23</t>
  </si>
  <si>
    <t>Laneige Cream Skin Cerapeptide Refiner</t>
  </si>
  <si>
    <t>Cerapeptide™</t>
  </si>
  <si>
    <t>Ceramide, Peptide</t>
  </si>
  <si>
    <t>A milky cream-to-toner formula with nourishing ceramides and peptides for hydrated visibly firm skin.</t>
  </si>
  <si>
    <t>WATER / AQUA / EAU, BUTYLENE GLYCOL, GLYCERIN, LIMNANTHES ALBA (MEADOWFOAM) SEED OIL, ISOPENTYLDIOL, 1,2-HEXANEDIOL, SQUALANE, POLYGLYCERYL-10 STEARATE, GLYCERYL STEARATE CITRATE, SODIUM STEAROYL GLUTAMATE, INULIN LAURYL CARBAMATE, GLYCERYL CAPRYLATE, ETHYLHEXYLGLYCERIN, PROPANEDIOL, DISODIUM EDTA, CARBOMER, MANNITOL, ACRYLATES/STEARYL METHACRYLATE COPOLYMER, TREMELLA FUCIFORMIS SPOROCARP EXTRACT, HYALURONIC ACID, CAMELLIA SINENSIS LEAF EXTRACT, XANTHAN GUM, CERAMIDE NP, CAMELLIA JAPONICA FLOWER EXTRACT, TOCOPHEROL, ACETYL TETRAPEPTIDE-11</t>
  </si>
  <si>
    <r>
      <rPr>
        <color rgb="FF1155CC"/>
        <u/>
      </rPr>
      <t>https://int.laneige.com/cdn/shop/files/pdp_mig_2024-05-07-240416_final_INT_CREAM-SKIN_thumbnail_01_4.jpg?v=1754037599</t>
    </r>
    <r>
      <rPr/>
      <t/>
    </r>
    <r>
      <rPr>
        <color rgb="FF1155CC"/>
        <u/>
      </rPr>
      <t>https://int.laneige.com/cdn/shop/files/pdp_mig_2024-05-07-240416_final_INT_CREAM-SKIN_thumbnail_02.jpg?v=1754037600</t>
    </r>
    <r>
      <rPr/>
      <t/>
    </r>
    <r>
      <rPr>
        <color rgb="FF1155CC"/>
        <u/>
      </rPr>
      <t>https://int.laneige.com/cdn/shop/files/pdp_mig_2024-04-16-240416_final_INT_CREAM-SKIN_thumbnail_03.jpg?v=1754037600</t>
    </r>
  </si>
  <si>
    <t>Roopsee-F-MO-77</t>
  </si>
  <si>
    <t>Laneige Water Bank Blue Hyaluronic Cream Moisturizer</t>
  </si>
  <si>
    <t>Blue Hyaluronic Acid</t>
  </si>
  <si>
    <t>Ceramide, Squalane, Pepta-Panthenol Complex</t>
  </si>
  <si>
    <t>Fortifying skin barrier and gives healthy glow for dry and dull skin.</t>
  </si>
  <si>
    <t>WATER / AQUA / 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UNDARIA PINNATIFIDA EXTRACT</t>
  </si>
  <si>
    <r>
      <rPr>
        <color rgb="FF1155CC"/>
        <u/>
      </rPr>
      <t>https://int.laneige.com/cdn/shop/files/pdp_mig_2023-12-20-20230100_final_INT_WATER-BANK-BLUE-HYALURONIC-MOISTURE-CREAM_thumbnail01_1.jpg?v=1754037597</t>
    </r>
    <r>
      <rPr/>
      <t/>
    </r>
    <r>
      <rPr>
        <color rgb="FF1155CC"/>
        <u/>
      </rPr>
      <t>https://int.laneige.com/cdn/shop/files/pdp_mig_2023-12-20-20230100_final_INT_WATER-BANK-BLUE-HYALURONIC-MOISTURE-CREAM_thumbnail02.jpg?v=1754037597</t>
    </r>
    <r>
      <rPr/>
      <t/>
    </r>
    <r>
      <rPr>
        <color rgb="FF1155CC"/>
        <u/>
      </rPr>
      <t>https://int.laneige.com/cdn/shop/files/pdp_mig_2023-12-15-20230100_final_KR_WATER-BANK-BLUE-HYALURONIC-MOISTURIZER-CREAM_thumbnail03_1.jpg?v=1754037598</t>
    </r>
    <r>
      <rPr/>
      <t/>
    </r>
    <r>
      <rPr>
        <color rgb="FF1155CC"/>
        <u/>
      </rPr>
      <t>https://int.laneige.com/cdn/shop/files/pdp_mig_2023-12-15-20230100_final_INT_WATER-BANK-BLUE-HYALURONIC-MOISTURE-CREAM_thumbnail03.jpg?v=1754037598</t>
    </r>
  </si>
  <si>
    <t>Roopsee-F-SE-84</t>
  </si>
  <si>
    <t>Laneige Water Bank Blue Hyaluronic Serum</t>
  </si>
  <si>
    <t>Peptide, Squalane, Beta-Glucan</t>
  </si>
  <si>
    <t>Instant hydrating serum with a soft-melting formula that instantly replenishes the skin with moisture and boosts firmness to reveal a lively look.</t>
  </si>
  <si>
    <t>WATER / AQUA / 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</si>
  <si>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r>
      <rPr>
        <color rgb="FF1155CC"/>
        <u/>
      </rPr>
      <t>https://int.laneige.com/cdn/shop/files/pdp_mig_2025-01-06-250106_final_INT_waterbank_blue_hyaluronic_serum_PDP_Thumbnail_01_1.jpg?v=1754037536</t>
    </r>
    <r>
      <rPr/>
      <t/>
    </r>
    <r>
      <rPr>
        <color rgb="FF1155CC"/>
        <u/>
      </rPr>
      <t>https://int.laneige.com/cdn/shop/files/pdp_mig_2025-01-06-250106_final_INT_waterbank_blue_hyaluronic_serum_PDP_Thumbnail_02.jpg?v=1754037536</t>
    </r>
    <r>
      <rPr/>
      <t/>
    </r>
    <r>
      <rPr>
        <color rgb="FF1155CC"/>
        <u/>
      </rPr>
      <t>https://int.laneige.com/cdn/shop/files/pdp_mig_2025-01-06-250106_final_INT_waterbank_blue_hyaluronic_serum_PDP_Thumbnail_03.jpg?v=1754037537</t>
    </r>
    <r>
      <rPr/>
      <t/>
    </r>
    <r>
      <rPr>
        <color rgb="FF1155CC"/>
        <u/>
      </rPr>
      <t>https://int.laneige.com/cdn/shop/files/pdp_mig_2025-01-06-250106_final_INT_waterbank_blue_hyaluronic_serum_PDP_Thumbnail_04.jpg?v=1754037537</t>
    </r>
  </si>
  <si>
    <t>Roopsee-F-CL-52</t>
  </si>
  <si>
    <t>Laneige Water Bank Gentle Gel Cleanser</t>
  </si>
  <si>
    <t>Allantoin, Amino Acid Complex</t>
  </si>
  <si>
    <t>A pH 5.0, non-drying gel cleanser formulated to remove daily makeup and sunscreen while keeping skin balanced, hydrated, and resilient.</t>
  </si>
  <si>
    <t>WATER / AQUA / EAU, GLYCERIN, LAURYL HYDROXYSULTAINE, SODIUM COCOYL ISETHIONATE, SODIUM METHYL COCOYL TAURATE, GLYCERYL STEARATE SE, CAPRYLYL/CAPRYL GLUCOSIDE, LAURYL BETAINE, SODIUM CHLORIDE, HYDROXYPROPYL STARCH PHOSPHATE, POLYGLYCERYL-6 CAPRYLATE, POLYGLYCERYL-4 CAPRATE, TRIHYDROXYSTEARIN, GLYCOL DISTEARATE, 1,2-HEXANEDIOL, POLYQUATERNIUM-7, CITRIC ACID, XANTHAN GUM, CETEARYL OLIVATE, SORBITAN OLIVATE, ALLANTOIN, HYDROLYZED HYALURONIC ACID, ARGININE, ASPARTIC ACID, GLUTAMIC ACID, SODIUM BENZOATE, PANTHENOL</t>
  </si>
  <si>
    <r>
      <rPr>
        <color rgb="FF1155CC"/>
        <u/>
      </rPr>
      <t>https://int.laneige.com/cdn/shop/files/pdp_mig_2024-11-13-241107_final_INT_Gel_cleanser_Thumbnail_500x600_01_1.jpg?v=1754037637</t>
    </r>
    <r>
      <rPr/>
      <t/>
    </r>
    <r>
      <rPr>
        <color rgb="FF1155CC"/>
        <u/>
      </rPr>
      <t>https://int.laneige.com/cdn/shop/files/pdp_mig_2024-11-13-241107_final_INT_Gel_cleanser_Thumbnail_500x600_06.jpg?v=1754037638</t>
    </r>
    <r>
      <rPr/>
      <t/>
    </r>
    <r>
      <rPr>
        <color rgb="FF1155CC"/>
        <u/>
      </rPr>
      <t>https://int.laneige.com/cdn/shop/files/pdp_mig_2024-11-13-241107_final_INT_Gel_cleanser_Thumbnail_500x600_05.jpg?v=1754037638</t>
    </r>
    <r>
      <rPr/>
      <t/>
    </r>
    <r>
      <rPr>
        <color rgb="FF1155CC"/>
        <u/>
      </rPr>
      <t>https://int.laneige.com/cdn/shop/files/pdp_mig_2024-11-13-241107_final_INT_Gel_cleanser_Thumbnail_500x600_04.jpg?v=1754037639</t>
    </r>
  </si>
  <si>
    <t>Roopsee-F-MA-25</t>
  </si>
  <si>
    <t>Laneige Bouncy &amp; Firm Sleeping Mask</t>
  </si>
  <si>
    <t>Peony &amp; Collagen Complex™</t>
  </si>
  <si>
    <t>Peptides, Hydro-Melt Glow Capsules, Hyaluronic Acids, Green Tea Probiotic Lysate</t>
  </si>
  <si>
    <t>A plumping and firming overnight sleeping face mask for bouncy, glowing, hydrated skin.</t>
  </si>
  <si>
    <t>WATER / AQUA / EAU, BUTYLENE GLYCOL, GLYCERIN, DIMETHICONE, 1,2-HEXANEDIOL, SQUALANE, DIISOSTEARYL MALATE, C12-16 ALCOHOLS, AMMONIUM ACRYLOYLDIMETHYLTAURATE/BEHENETH-25 METHACRYLATE CROSSPOLYMER, CETEARYL ALCOHOL, PALMITIC ACID, HYDROGENATED LECITHIN, DIMETHICONE/VINYL DIMETHICONE CROSSPOLYMER, SODIUM POLYACRYLATE STARCH, STEARIC ACID, HYDROXYPROPYL BISPALMITAMIDE MEA, MANNITOL, LACTOBACILLUS FERMENT LYSATE, PROPANEDIOL, AMMONIUM ACRYLOYLDIMETHYLTAURATE/VP COPOLYMER, CETEARYL GLUCOSIDE, XANTHAN GUM, GLYCERYL CAPRYLATE, DISODIUM EDTA, ETHYLHEXYLGLYCERIN, ALLANTOIN, ADENOSINE, FRAGRANCE / PARFUM, ACRYLATES/AMMONIUM METHACRYLATE COPOLYMER, CAPRYLYL GLYCOL, CARBOMER, CHOLESTEROL, LINALOOL, SILICA, MALACHITE EXTRACT, CITRONELLOL, GERANIOL, HYDROXYCITRONELLAL, CARTHAMUS TINCTORIUS (SAFFLOWER) FLOWER EXTRACT, DEXTRIN, BENZYL SALICYLATE, CYANOCOBALAMIN, HYDROLYZED COLLAGEN, SODIUM HYALURONATE, PAEONIA ALBIFLORA ROOT EXTRACT, TOCOPHEROL, HYDROLYZED HYALURONIC ACID, ACETYL TETRAPEPTIDE-2, SODIUM HYALURONATE CROSSPOLYMER, HYALURONIC ACID, PAEONIA ALBIFLORA FLOWER EXTRACT, SODIUM ACETYLATED HYALURONATE</t>
  </si>
  <si>
    <t>Ingredient caution: fragrance, essential oils or fragrance allergens might trigger redness, itching or allergic irritation; humectants such as hyaluronic acid/glycerin are usually gentle but might feel sticky or tight if not sealed with moisturiser; clay/charcoal ingredients might over-dry sensitive, dry or barrier-damaged skin. Do a patch test before applying. Avoid this product if you have fragrance allergy, eczema-prone skin or a damaged barrier. Apply on slightly damp skin and follow with moisturiser if dryness occurs. Do not leave on longer than directed and moisturise after rinsing. Stop use if irritation persists.</t>
  </si>
  <si>
    <r>
      <rPr>
        <color rgb="FF1155CC"/>
        <u/>
      </rPr>
      <t>https://int.laneige.com/cdn/shop/files/pdp_mig_2024-02-08-bouncy_firm_sleeping_mask_thumbnail01_20040208.jpg?v=1754037619</t>
    </r>
    <r>
      <rPr/>
      <t/>
    </r>
    <r>
      <rPr>
        <color rgb="FF1155CC"/>
        <u/>
      </rPr>
      <t>https://int.laneige.com/cdn/shop/files/pdp_mig_2024-02-08-bouncy_firm_sleeping_mask_thumbnail02_20040208.jpg?v=1754037620</t>
    </r>
    <r>
      <rPr/>
      <t/>
    </r>
    <r>
      <rPr>
        <color rgb="FF1155CC"/>
        <u/>
      </rPr>
      <t>https://int.laneige.com/cdn/shop/files/pdp_mig_2024-02-08-bouncy_firm_sleeping_mask_thumbnail03_20040208.jpg?v=1754037620</t>
    </r>
    <r>
      <rPr/>
      <t/>
    </r>
    <r>
      <rPr>
        <color rgb="FF1155CC"/>
        <u/>
      </rPr>
      <t>https://int.laneige.com/cdn/shop/files/pdp_mig_2024-02-08-bouncy_firm_sleeping_mask_thumbnail04_20040208.jpg?v=1754037621</t>
    </r>
  </si>
  <si>
    <t>Roopsee-F-SE-85</t>
  </si>
  <si>
    <t>WishCare Super Bright C16 10% Vitamin C Serum</t>
  </si>
  <si>
    <t>WishCare</t>
  </si>
  <si>
    <t>Vitamin C (10% Boosted Vitamin C)</t>
  </si>
  <si>
    <t>Kojic Acid (1%)</t>
  </si>
  <si>
    <t>For acne marks, pigmentation &amp; dull skin. Formulated with 10% Boosted Vitamin C and 1% Kojic Acid, it is clinically tested to reduce melanin and helps visibly brighten dull skin.</t>
  </si>
  <si>
    <t>Aqua, Propylene Glycol, Butylene Glycol, Glycerine, 3-0-Ethyl Ascorbic Acid. Aloe Vera Extract, L-Ascorbic Acid, Niacinamide, CICA Extract, Kojic Acid. Licorice Extract, Polysorbate 20, Hyaluronic Acid, Neopentyl Glycol Diheptanoate, Ferulic Acid, Phenoxyethanol, Ethylhexylglycerine, Hydroxyethylcellulose, Xanthan Gum, Tocopherol Acetate, 4-n-Butylresorcinol</t>
  </si>
  <si>
    <t>Ingredient caution: vitamin C/ascorbic derivatives might cause tingling, redness or irritation in sensitive skin; niacinamide is usually gentle but might cause tingling or flushing in very reactive skin; kojic acid, licorice extract might cause tingling, dryness or redness in sensitive skin; preservatives such as phenoxyethanol/benzyl alcohol might sting very sensitive or compromised skin.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Do not apply on broken, freshly waxed or irritated skin. Stop use if irritation persists.</t>
  </si>
  <si>
    <r>
      <rPr>
        <color rgb="FF1155CC"/>
        <u/>
      </rPr>
      <t>https://www.mywishcare.com/cdn/shop/files/SUPERBRIGHTC16VITAMINCSERUM.png?v=1728119688&amp;width=1080</t>
    </r>
    <r>
      <rPr/>
      <t/>
    </r>
    <r>
      <rPr>
        <color rgb="FF1155CC"/>
        <u/>
      </rPr>
      <t>https://www.mywishcare.com/cdn/shop/files/3_93d86ed7-95b0-45dc-a105-8f0fb08d4c22.png?v=1742383288&amp;width=1080</t>
    </r>
    <r>
      <rPr/>
      <t/>
    </r>
    <r>
      <rPr>
        <color rgb="FF1155CC"/>
        <u/>
      </rPr>
      <t>https://www.mywishcare.com/cdn/shop/files/6_7e03287e-b906-4dcd-b959-52c23b029dee.png?v=1742383288&amp;width=1080</t>
    </r>
    <r>
      <rPr/>
      <t/>
    </r>
    <r>
      <rPr>
        <color rgb="FF1155CC"/>
        <u/>
      </rPr>
      <t>https://www.mywishcare.com/cdn/shop/files/8_3539f066-9608-49cb-b817-1307e4865d1a.png?v=1742383288&amp;width=1080</t>
    </r>
  </si>
  <si>
    <t>Roopsee-F-SU-56</t>
  </si>
  <si>
    <t>WishCare Niacinamide Oil Balance Fluid Sunscreen SPF 50 PA++++</t>
  </si>
  <si>
    <t>Ceramides, Zinc PCA</t>
  </si>
  <si>
    <t>In-vivo tested, photostable lightweight sunscreen with SPF 50 PA++++ and 8 hrs+ sun protection. Enriched with ceramides, niacinamide and Zinc PCA, it helps control oil, gives a matte fluid finish and supports brighter-looking skin.</t>
  </si>
  <si>
    <t>Aqua, Cyclopentasiloxane, Octyl Salicylate, Niacinamide, Silica, Avobenzone, Octocrylene, Butylene Glycol, Glycerine, Homosalate, Tapioca Starch, Neopentyl Glycol Diheptanoate, AMPS/HEMA Crosspolymer(and) C13-15 Alkane (and) Coco-Glucoside, Octyldodecanol, Polysorbate-20, Zinc Oxide, Titanium Dioxide, Oats Extract, Zinc PCA, Cetearyl Olivate &amp; Sorbitan Olivate, Ceramide AP, Ceramide NP, Ceramide EOS, D-Panthenol, Centella Asiatica Extract, Ethylhexyl Glycerine, Phenoxyethanol, Coco-Glucoside, Xanthan Gum, Tocopherol Acetate, Hyaluronic Acid, Citric Acid</t>
  </si>
  <si>
    <t>Ingredient caution: niacinamide is usually gentle but might cause tingling or flushing in very reactive skin; sulfur/zinc-based oil-control ingredients might feel drying or tight on already dry skin; UV filters might sting around the eyes or irritate very sensitive skin; cleansing surfactants might cause dryness, stinging or tightness if overused. Do a patch test before applying. Start slowly if your skin is sensitive and avoid combining too many new actives at once. Use a moisturiser and reduce frequency if the skin feels tight or flaky. Patch test near the jawline first, avoid the eye corners, and remove gently at night. Use lukewarm water, do not scrub, and follow with moisturiser. Stop use if irritation persists.</t>
  </si>
  <si>
    <r>
      <rPr>
        <color rgb="FF1155CC"/>
        <u/>
      </rPr>
      <t>https://www.mywishcare.com/cdn/shop/files/1_1.jpg?v=1780657511&amp;width=1200</t>
    </r>
    <r>
      <rPr/>
      <t/>
    </r>
    <r>
      <rPr>
        <color rgb="FF1155CC"/>
        <u/>
      </rPr>
      <t>https://www.mywishcare.com/cdn/shop/files/2_2_e4859428-f79e-40c1-869b-f5d2a771f13b.jpg?v=1780657571&amp;width=1200</t>
    </r>
    <r>
      <rPr/>
      <t/>
    </r>
    <r>
      <rPr>
        <color rgb="FF1155CC"/>
        <u/>
      </rPr>
      <t>https://www.mywishcare.com/cdn/shop/files/nobfs_2.jpg?v=1772263369&amp;width=1500</t>
    </r>
    <r>
      <rPr/>
      <t/>
    </r>
    <r>
      <rPr>
        <color rgb="FF1155CC"/>
        <u/>
      </rPr>
      <t>https://www.mywishcare.com/cdn/shop/files/NOB_In_Vivo.jpg?v=1772263369&amp;width=1080</t>
    </r>
  </si>
  <si>
    <t>Roopsee-B-LO-24</t>
  </si>
  <si>
    <t>WishCare 10% AHA + 1% BHA Body Lotion</t>
  </si>
  <si>
    <t>AHA (10%)</t>
  </si>
  <si>
    <t>BHA (1%)</t>
  </si>
  <si>
    <t>A lightweight, non-sticky serum-infused body lotion with 10% AHA and 1% BHA that gently exfoliates dull, bumpy skin to reveal smoother-looking skin.</t>
  </si>
  <si>
    <t>Aqua, CocoGlucoside, Acrylate Cross Polymer, Sodium Cocoyl Glutamate, Glycerine, CAPB, Sodium Lactate, Aloe-Vera Extract, Propylene Glycol, Salicylic Acid(BHA), Green Tea Extract, Lactic Acid (AHA), Glycolic Acid (AHA), Hydrogenated Castor Oil, Tea Tree Oil, Chamomile Extract, Xantham Gum, Ethyl Hexyl Glycerine</t>
  </si>
  <si>
    <t>Ingredient caution: glycolic acid/AHA, lactic acid/AHA, salicylic acid/BHA might cause stinging, dryness, peeling, redness and increased sun sensitivity; fragrance, essential oils or fragrance allergens might trigger redness, itching or allergic irritation; cleansing surfactants might cause dryness, stinging or tightness if overused;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Apply on slightly damp skin and follow with moisturiser if dryness occurs. Stop use if irritation persists.</t>
  </si>
  <si>
    <r>
      <rPr>
        <color rgb="FF1155CC"/>
        <u/>
      </rPr>
      <t>https://cdn.shopify.com/s/files/1/0231/6609/1311/files/aha_bha.jpg?v=1707212623</t>
    </r>
    <r>
      <rPr/>
      <t/>
    </r>
    <r>
      <rPr>
        <color rgb="FF1155CC"/>
        <u/>
      </rPr>
      <t>https://cdn.shopify.com/s/files/1/0231/6609/1311/files/aha_1.jpg?v=1707211638</t>
    </r>
    <r>
      <rPr/>
      <t/>
    </r>
    <r>
      <rPr>
        <color rgb="FF1155CC"/>
        <u/>
      </rPr>
      <t>https://cdn.shopify.com/s/files/1/0231/6609/1311/files/aha_2.jpg?v=1707211638</t>
    </r>
    <r>
      <rPr/>
      <t/>
    </r>
    <r>
      <rPr>
        <color rgb="FF1155CC"/>
        <u/>
      </rPr>
      <t>https://cdn.shopify.com/s/files/1/0231/6609/1311/files/aha_3.jpg?v=1707211638</t>
    </r>
  </si>
  <si>
    <t>Roopsee-F-CL-53</t>
  </si>
  <si>
    <t>Plum Green Tea Pore Cleansing Face Wash</t>
  </si>
  <si>
    <t>Plum</t>
  </si>
  <si>
    <t>Formulated with Green Tea &amp; Glycolic Acid, this gentle cleanser deeply cleanses pores, controls excess oil and helps fight pimples without drying out skin.</t>
  </si>
  <si>
    <t>Aqua (Water), Sodium Laureth Sulphate, Acrylates Copolymer, Glycerin, Cocamidopropyl Betaine, Cocamide DEA, Triethanolamine, Camellia Sinensis (Green Tea) Leaf Extract, Glycolic Acid, Cellulose Beads, Phenoxyethanol, Sodium Gluconate, Ethylhexylglycerin, Fragrance, CI 19140, CI 42090</t>
  </si>
  <si>
    <t>Ingredient caution: glycolic acid/AHA might cause stinging, dryness, peeling, redness and increased sun sensitivity; fragrance, essential oils or fragrance allergens might trigger redness, itching or allergic irritation;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Do not apply on broken, freshly waxed or irritated skin. Stop use if irritation persists.</t>
  </si>
  <si>
    <r>
      <rPr>
        <color rgb="FF1155CC"/>
        <u/>
      </rPr>
      <t>https://plumgoodness.com/cdn/shop/files/Listing_1st_Tile_GT_FW_150ml_1001x1001_px.webp?v=1779351297&amp;width=1001</t>
    </r>
    <r>
      <rPr/>
      <t/>
    </r>
    <r>
      <rPr>
        <color rgb="FF1155CC"/>
        <u/>
      </rPr>
      <t>https://plumgoodness.com/cdn/shop/files/02_f7ea497e-9986-4b8a-a638-513aa10cad18.jpg?v=1771581308&amp;width=1001</t>
    </r>
    <r>
      <rPr/>
      <t/>
    </r>
    <r>
      <rPr>
        <color rgb="FF1155CC"/>
        <u/>
      </rPr>
      <t>https://plumgoodness.com/cdn/shop/files/03_8120df2e-2ddb-4f53-98b6-9a9bda3e675d.jpg?v=1771581308&amp;width=1001</t>
    </r>
    <r>
      <rPr/>
      <t/>
    </r>
    <r>
      <rPr>
        <color rgb="FF1155CC"/>
        <u/>
      </rPr>
      <t>https://plumgoodness.com/cdn/shop/files/GT_FW_6608b886-4a3b-4fae-8a24-a81a96c30d97_600x.webp?v=1775469572</t>
    </r>
  </si>
  <si>
    <t>Roopsee-F-MO-78</t>
  </si>
  <si>
    <t>Plum Green Tea Oil-Free Moisturizer</t>
  </si>
  <si>
    <t>Green Tea</t>
  </si>
  <si>
    <t>A lightweight, non-comedogenic moisturizer formulated for oily and acne-prone skin. Packed with Green Tea, Hyaluronic Acid and other skin-loving ingredients, it delivers balanced hydration while preventing breakouts.</t>
  </si>
  <si>
    <t>Aqua, Aloe Barbadensis Leaf Juice, Betaine, Isodecyl Neopentanoate, Niacinamide, Willow Bark Extract, Camellia Sinensis (Green Tea) Leaf Extract, Terminalia Ferdinandiana (Kakadu Plum) Fruit Extract, Sodium Hyaluronate, Benzyl Alcohol, Hydroxyacetophenone, Caprylyl Glycol, Glycerin, Sodium Polyacryloyldimethyl Taurate, Squalane, Cyclodextrin, Glyceryl Stearate, PEG-100 Stearate, Sorbitol, Sodium Gluconate</t>
  </si>
  <si>
    <r>
      <rPr>
        <color rgb="FF1155CC"/>
        <u/>
      </rPr>
      <t>https://plumgoodness.com/cdn/shop/files/Listing_1st_Tile_GTOFM_1001x1001_px_b3122998-de05-4161-9645-057264e3eaa2.webp?v=1782458593&amp;width=1001</t>
    </r>
    <r>
      <rPr/>
      <t/>
    </r>
    <r>
      <rPr>
        <color rgb="FF1155CC"/>
        <u/>
      </rPr>
      <t>https://plumgoodness.com/cdn/shop/files/02_cedb6846-22f9-4e61-aa30-87f06bc496ab.webp?v=1776689883&amp;width=1000</t>
    </r>
    <r>
      <rPr/>
      <t/>
    </r>
    <r>
      <rPr>
        <color rgb="FF1155CC"/>
        <u/>
      </rPr>
      <t>https://plumgoodness.com/cdn/shop/files/Amazon_GTOFM_monsturizer_claim_1100x1100px.jpg?v=1776689883&amp;width=1001</t>
    </r>
  </si>
  <si>
    <t>Roopsee-F-MO-79</t>
  </si>
  <si>
    <t>Plum Green Tea Renewed Clarity Night Gel</t>
  </si>
  <si>
    <t>Skin-renewing Actives</t>
  </si>
  <si>
    <t>A lightweight night gel that helps clarify and rebalance skin while keeping it hydrated and comfortable. Green Tea fights pimple-causing bacteria while Glycolic Acid and Licorice gently exfoliate to support clearer, smoother skin by morning.</t>
  </si>
  <si>
    <t>Aqua (water), aloe barbadensis leaf juice, ammonium acryloyldimethyltaurate/vp copolymer, argania spinsosa (argan) oil, betaine, camellia sinensis (green tea) leaf extract, fragrance, ci 19140, ci 42090, glycolic acid, ethylhexylglycerin, glycyrrhiza glabra (licorice) root extract, ginkgo biloba leaf extract, lycium barbarum (goji) fruit extract, phenoxyethanol, willow bark extract</t>
  </si>
  <si>
    <t>Ingredient caution: glycolic acid/AHA might cause stinging, dryness, peeling, redness and increased sun sensitivity; licorice extract might cause tingling, dryness or redness in sensitive skin; fragrance, essential oils or fragrance allergens might trigger redness, itching or allergic irritation; preservatives such as phenoxyethanol/benzyl alcohol might sting very sensitive or compromised skin. Do a patch test before applying. First-time users should start 3–4 times a week, avoid using it with retinol or other exfoliating acids in the same routine, and apply sunscreen daily. First-time users should start 3–4 times a week and pair with sunscreen, because pigmentation care works best with UV protection. Avoid this product if you have fragrance allergy, eczema-prone skin or a damaged barrier. Do not apply on broken, freshly waxed or irritated skin. Stop use if irritation persists.</t>
  </si>
  <si>
    <r>
      <rPr>
        <color rgb="FF1155CC"/>
        <u/>
      </rPr>
      <t>https://plumgoodness.com/cdn/shop/files/Listing_1st_Tile_GT_Night_Gel_1001x1001_px_1.webp?v=1782114106&amp;width=1001</t>
    </r>
    <r>
      <rPr/>
      <t/>
    </r>
    <r>
      <rPr>
        <color rgb="FF1155CC"/>
        <u/>
      </rPr>
      <t>https://plumgoodness.com/cdn/shop/files/03_01a8d4a1-7991-482d-bf4f-8ef74ea0549e.jpg?v=1732282341&amp;width=1001</t>
    </r>
    <r>
      <rPr/>
      <t/>
    </r>
    <r>
      <rPr>
        <color rgb="FF1155CC"/>
        <u/>
      </rPr>
      <t>https://plumgoodness.com/cdn/shop/files/04_9e2368ce-960b-45d1-82ba-39926b97035f.jpg?v=1732282341&amp;width=1001</t>
    </r>
    <r>
      <rPr/>
      <t/>
    </r>
    <r>
      <rPr>
        <color rgb="FF1155CC"/>
        <u/>
      </rPr>
      <t>https://plumgoodness.com/cdn/shop/files/06_9d9c043f-f10f-42f6-a4b3-c0f0729336df.jpg?v=1732282341&amp;width=1001</t>
    </r>
  </si>
  <si>
    <t>Roopsee-F-SE-86</t>
  </si>
  <si>
    <t>Plum 15% Vitamin C Face Serum</t>
  </si>
  <si>
    <t>Vitamin C (Ethyl Ascorbic Acid)</t>
  </si>
  <si>
    <t>Japanese Mandarin, Kakadu Plum</t>
  </si>
  <si>
    <t>Powered by Ethyl Ascorbic Acid &amp; Kakadu Plum, this serum is formulated to boost glow, reduce dark spots and promote even-looking skin. Lightweight and quick-absorbing.</t>
  </si>
  <si>
    <t>Aqua, Ethyl Ascorbic Acid, Propanediol, Betaine, Isodecyl Neopentanoate, Ethoxy Diglycol, Sodium Citrate, Citric Acid, Citrus Reticulata (Mandarin) Peel Extract, Terminalia Ferdinandiana (Kakadu Plum) Fruit Extract, Rosa Damascena (Rose) Extract, Benzyl Alcohol, Hydroxyacetophenone, Caprylyl Glycol, Trilaureth-4 Phosphate, Sodium Polyacryloyldimethyl Taurate, Xanthan Gum, Sodium Gluconate</t>
  </si>
  <si>
    <r>
      <rPr>
        <color rgb="FF1155CC"/>
        <u/>
      </rPr>
      <t>https://images-static.nykaa.com/media/catalog/product/7/0/7078024PLUMX00000068_01.jpg</t>
    </r>
    <r>
      <rPr/>
      <t/>
    </r>
    <r>
      <rPr>
        <color rgb="FF1155CC"/>
        <u/>
      </rPr>
      <t>https://images-static.nykaa.com/media/catalog/product/7/0/7078024PLUMX00000068_02.jpg</t>
    </r>
    <r>
      <rPr/>
      <t/>
    </r>
    <r>
      <rPr>
        <color rgb="FF1155CC"/>
        <u/>
      </rPr>
      <t>https://images-static.nykaa.com/media/catalog/product/7/0/7078024PLUMX00000068_03.jpg</t>
    </r>
  </si>
  <si>
    <t>Roopsee-F-TO-24</t>
  </si>
  <si>
    <t>Plum 3% Niacinamide Toner</t>
  </si>
  <si>
    <t>Barrier Repair, Redness/Irritation</t>
  </si>
  <si>
    <t>Niacinamide (3%)</t>
  </si>
  <si>
    <t>A gentle, alcohol-free toner designed to refine pores, brighten skin and smooth skin texture while keeping it balanced and comfortable for everyday use.</t>
  </si>
  <si>
    <t>Aqua, Niacinamide, Pentylene Glycol, Oryza Sativa (Rice) Extract, Rice Ferment Filtrate (Sake), Butylene Glycol, Rosa Damascena (Rose) Flower Water, Methyl Gluceth-20, Sorbitol, Cyclodextrin, Avena Sativa (Oat) Kernel Extract, Hydroxyethyl Acrylate/Sodium Acryloyldimethyl Taurate Copolymer, Xylitylglucoside, Panthenol Sodium Gluconate, Anhydroxylitol, Xylitol, Phenoxyethanol, Ethylhexyglycerin, PEG-40 Hydrogenated Castor Oil</t>
  </si>
  <si>
    <r>
      <rPr>
        <color rgb="FF1155CC"/>
        <u/>
      </rPr>
      <t>https://images-static.nykaa.com/media/catalog/product/6/1/614ba9bPLUMX00000229_v01.jpg</t>
    </r>
    <r>
      <rPr/>
      <t/>
    </r>
    <r>
      <rPr>
        <color rgb="FF1155CC"/>
        <u/>
      </rPr>
      <t>https://images-static.nykaa.com/media/catalog/product/6/1/614ba9bPLUMX00000229_v02.jpg</t>
    </r>
    <r>
      <rPr/>
      <t/>
    </r>
    <r>
      <rPr>
        <color rgb="FF1155CC"/>
        <u/>
      </rPr>
      <t>https://images-static.nykaa.com/media/catalog/product/6/1/614ba9bPLUMX00000229_v03.jpg</t>
    </r>
  </si>
  <si>
    <t>Roopsee-F-SU-57</t>
  </si>
  <si>
    <t>Plum Rice Water &amp; Niacinamide Sunscreen SPF 50 PA++++</t>
  </si>
  <si>
    <t>Rice Water, UV Filters</t>
  </si>
  <si>
    <t>A hybrid SPF 50 PA++++ sunscreen formulated with 2% Niacinamide &amp; Rice Water. It delivers broad-spectrum UVA/UVB protection while helping brighten skin, fade blemishes and give a no-white-cast finish.</t>
  </si>
  <si>
    <t>Aqua, Ethylhexyl Methoxycinnamate, Butyl Methoxydibenzoylmethane, Benzophenone-3, Phospholipids, 1,3-Butylene Glycol, Propanediol, Niacinamide, Glycerin, Titanium Dioxide, Rice Ferment Filtrate, Oryza Sativa (Rice) Extract, Aluminum Hydroxide, Benzyl Alcohol, Hydroxyacetophenone, Stearic Acid, Caprylyl Glycol, Ammonium Acryloyldimethyltaurate/VP Copolymer, Sodium Polyacryloyldimethyl Taurate, Sodium Benzoate, Potassium Sorbate, Sodium Gluconate, D-Panthenol</t>
  </si>
  <si>
    <r>
      <rPr>
        <color rgb="FF1155CC"/>
        <u/>
      </rPr>
      <t>https://plumgoodness.com/cdn/shop/files/Listing_1st_Tile_Nia_SPF_80g_1001x1001_px.webp?v=1777964426&amp;width=1001</t>
    </r>
    <r>
      <rPr/>
      <t/>
    </r>
    <r>
      <rPr>
        <color rgb="FF1155CC"/>
        <u/>
      </rPr>
      <t>https://plumgoodness.com/cdn/shop/files/02_Nia_SPF_1001x1001_px.webp?v=1777964426&amp;width=1001</t>
    </r>
    <r>
      <rPr/>
      <t/>
    </r>
    <r>
      <rPr>
        <color rgb="FF1155CC"/>
        <u/>
      </rPr>
      <t>https://plumgoodness.com/cdn/shop/files/03_Nia_SPF_1001x1001_px.webp?v=1777964426&amp;width=1001</t>
    </r>
    <r>
      <rPr/>
      <t/>
    </r>
    <r>
      <rPr>
        <color rgb="FF1155CC"/>
        <u/>
      </rPr>
      <t>https://plumgoodness.com/cdn/shop/files/04_Nia_SPF_1001x1001_px.webp?v=1777964426&amp;width=1001</t>
    </r>
  </si>
  <si>
    <t>Roopsee-F-MO-80</t>
  </si>
  <si>
    <t>Plum E-Luminence Deep Moisturizing Creme</t>
  </si>
  <si>
    <t>Calendula Extract</t>
  </si>
  <si>
    <t>Sea Buckthorn Oil, Kokum Butter, Niacinamide, Willow Bark</t>
  </si>
  <si>
    <t>A rich moisturizing crème that quenches skin with deep, lasting hydration. It combats dryness while delivering rich nourishment and long-lasting comfort for soft, smooth, supple skin.</t>
  </si>
  <si>
    <t>Aqua (Water), Glycerin, Helianthus Annuus (Sunflower) Seed Oil, Caprylic/Capric Triglyceride, Betaine, Propanediol, Glyceryl Stearate Citrate, Glyceryl Stearate, Garcinia Indica (Kokum) Seed Butter, Cetearyl Alcohol, Simmondsia Chinensis (Jojoba) Seed Oil, Vitis Vinifera (Grape) Seed Oil, Tocopheryl Acetate, Niacinamide, Benzylalcohol dehydroacetic acid, Potassium Sorbate, Fragrance, Calendula Officinalis (Calendula) Flower Extract, Matricaria Recutita (Chamomile) Flower Extract, Sambucus Nigra (Elder) Flower Extract, Salix Alba (White Willow) Bark Extract, Trifolium Pretense (Red Clover) Flower Extract, Rosa (Rose) Flower Extract, Xanthan Gum, Hippophae Rhamnoides (Sea Buckthorn) Fruit Oil</t>
  </si>
  <si>
    <r>
      <rPr>
        <color rgb="FF1155CC"/>
        <u/>
      </rPr>
      <t>https://plumgoodness.com/cdn/shop/files/Listing_1st_Tile_E-Lum_Creme_1001x1001_px.webp?v=1777969914&amp;width=1001</t>
    </r>
    <r>
      <rPr/>
      <t/>
    </r>
    <r>
      <rPr>
        <color rgb="FF1155CC"/>
        <u/>
      </rPr>
      <t>https://plumgoodness.com/cdn/shop/products/2.ELumCream-2.jpg?v=1689144923&amp;width=1100</t>
    </r>
    <r>
      <rPr/>
      <t/>
    </r>
    <r>
      <rPr>
        <color rgb="FF1155CC"/>
        <u/>
      </rPr>
      <t>https://plumgoodness.com/cdn/shop/products/2.ELumCream-3.jpg?v=1689144926&amp;width=1100</t>
    </r>
    <r>
      <rPr/>
      <t/>
    </r>
    <r>
      <rPr>
        <color rgb="FF1155CC"/>
        <u/>
      </rPr>
      <t>https://plumgoodness.com/cdn/shop/products/2.ELumCream-4.png?v=1689144930&amp;width=1100</t>
    </r>
  </si>
  <si>
    <t>Roopsee-F-MO-81</t>
  </si>
  <si>
    <t>Plum Saffron &amp; Kumkumadi Oil Glow Bright Moisturizer with SPF 35</t>
  </si>
  <si>
    <t>Dullness, Dehydration</t>
  </si>
  <si>
    <t>Saffron</t>
  </si>
  <si>
    <t>Kumkumadi Oil, Niacinamide, Papaya Extract</t>
  </si>
  <si>
    <t>Glow, care, and sun protection in one step. Formulated with Saffron and Kumkumadi Oil to help fade dark spots, enhance glow and provide SPF 35 protection.</t>
  </si>
  <si>
    <t>Aqua, Ethylhexyl Methoxycinnamate, Butyl Methoxydibenzoylmethane, Benzophenone-3, Phospholipids, 1,3-Butylene Glycol, Aloe Barbadensis (Aloe) Leaf Juice, Glycerin, Argania Spinosa (Argan) Kernel Oil, Crocus Sativus (Saffron) Oil, Kumkumadi Oil, Carica Papaya Extract, Ammonium Acryloyldimethyltaurate/VP Copolymer, Phenoxyethanol, Ethylhexylglycerin, Niacinamide, Isodecyl Neopentanoate, Fragrance, Sodium Gluconate, CI 15510</t>
  </si>
  <si>
    <r>
      <rPr>
        <color rgb="FF1155CC"/>
        <u/>
      </rPr>
      <t>https://plumgoodness.com/cdn/shop/files/Listing_1st_Tile_Saffron_Gel_1001x1001_px.webp?v=1775811368&amp;width=1001</t>
    </r>
    <r>
      <rPr/>
      <t/>
    </r>
    <r>
      <rPr>
        <color rgb="FF1155CC"/>
        <u/>
      </rPr>
      <t>https://plumgoodness.com/cdn/shop/files/2-Reasonstolove_4.jpg?v=1775811368&amp;width=1100</t>
    </r>
    <r>
      <rPr/>
      <t/>
    </r>
    <r>
      <rPr>
        <color rgb="FF1155CC"/>
        <u/>
      </rPr>
      <t>https://plumgoodness.com/cdn/shop/products/3-GoodnessInside_26c66447-ddd1-4239-b807-14ccf7169704.jpg?v=1775811368&amp;width=1100</t>
    </r>
    <r>
      <rPr/>
      <t/>
    </r>
    <r>
      <rPr>
        <color rgb="FF1155CC"/>
        <u/>
      </rPr>
      <t>https://plumgoodness.com/cdn/shop/products/6-ScienceTile.jpg?v=1775811368&amp;width=1100</t>
    </r>
  </si>
  <si>
    <t>Roopsee-F-SE-87</t>
  </si>
  <si>
    <t>Plum 1% Retinol Face Serum</t>
  </si>
  <si>
    <t>Retinol (1%)</t>
  </si>
  <si>
    <t>Squalane, Tocopherol</t>
  </si>
  <si>
    <t>A lightweight serum that boosts collagen while accelerating cellular turnover to improve elasticity, bounce and overall youthfulness. Formulated with 1% Retinol and Bakuchiol for visible signs of aging.</t>
  </si>
  <si>
    <t>Aqua, Aloe Barbadensis Leaf Juice, Sucrose, Propanediol, Squalane, Isodecyl Neopentanoate, Retinyl Palmitate, Malus Domestica Fruit Cell Culture Extract, Hydrolyzed Rice Protein, Hydrolyzed Pea Protein, Glycine, Proline, Hydrolyzed Sodium Hyaluronate, Psoralea Corylifolia (Bakuchi) Oil, Benzyl Alcohol, Hydroxyacetophenone, Caprylyl Glycol, Xanthan Gum, Glycerin, Lecithin, Phenoxyethanol, Sorbitol, Cyclodextrin, Hydroxyethyl Acrylate/Sodium Acryloyldimethyl Taurate Copolymer, Isohexadecane, Polysorbate 60, Sodium Gluconate, Sodium Polyacryloyldimethyl Taurate, Ammonium Acryloyldimethyltaurate/VP Copolymer</t>
  </si>
  <si>
    <r>
      <rPr>
        <color rgb="FF1155CC"/>
        <u/>
      </rPr>
      <t>https://plumgoodness.com/cdn/shop/files/Listing_1st_Tile_Retinol_Serum_1001x1001_px_a696a89c-b09d-4772-a26f-cf656d4eb326.webp?v=1781098227&amp;width=1001</t>
    </r>
    <r>
      <rPr/>
      <t/>
    </r>
    <r>
      <rPr>
        <color rgb="FF1155CC"/>
        <u/>
      </rPr>
      <t>https://plumgoodness.com/cdn/shop/files/02_6269d25f-93db-451e-a6d2-d9827da0f476.jpg?v=1776772927&amp;width=1100</t>
    </r>
    <r>
      <rPr/>
      <t/>
    </r>
    <r>
      <rPr>
        <color rgb="FF1155CC"/>
        <u/>
      </rPr>
      <t>https://plumgoodness.com/cdn/shop/files/04_0c780f2d-92f2-4e48-8c44-1d579d4a1583.jpg?v=1776772927&amp;width=1100</t>
    </r>
    <r>
      <rPr/>
      <t/>
    </r>
    <r>
      <rPr>
        <color rgb="FF1155CC"/>
        <u/>
      </rPr>
      <t>https://plumgoodness.com/cdn/shop/files/05_da38e215-80dd-4f9e-ad92-ddb9d4b3a451.jpg?v=1776772927&amp;width=1100</t>
    </r>
  </si>
  <si>
    <t>Roopsee-F-MO-82</t>
  </si>
  <si>
    <t>Plum 5% Niacinamide Moisturizer</t>
  </si>
  <si>
    <t>Official Plum page verifies this as 2% Niacinamide &amp; Rice Water Brightening Gel Moisturizer. A lightweight gel moisturizer that hydrates without heaviness, controls excess oil and helps maintain an even, smooth complexion.</t>
  </si>
  <si>
    <t>Aqua, Glycerin, Pseudoalteromonas Ferment Extract, Niacinamide, Oryza Sativa (Rice) Extract, Caprylyl Methicone, PEG-12 Dimethicone/PPG-20 Crosspolymer, Triolein, Opuntia Ficus-Indica (Prickly Pear) Stem Water, Squalane, Ammonium Acryloyldimethyltaurate/VP Copolymer, Ethoxydiglycol, Cyclopentasiloxane, Phenoxyethanol, Ethylhexylglycerin, Disodium EDTA</t>
  </si>
  <si>
    <r>
      <rPr>
        <color rgb="FF1155CC"/>
        <u/>
      </rPr>
      <t>https://plumgoodness.com/cdn/shop/files/Listing_1st_Tile_Nia_Moisturizer_1001x1001_px.webp?v=1773147598&amp;width=1001</t>
    </r>
    <r>
      <rPr/>
      <t/>
    </r>
    <r>
      <rPr>
        <color rgb="FF1155CC"/>
        <u/>
      </rPr>
      <t>https://plumgoodness.com/cdn/shop/files/06_2b0cf540-ec86-40b1-9643-834e71b0a77d.jpg?v=1773147598&amp;width=1001</t>
    </r>
    <r>
      <rPr/>
      <t/>
    </r>
    <r>
      <rPr>
        <color rgb="FF1155CC"/>
        <u/>
      </rPr>
      <t>https://plumgoodness.com/cdn/shop/files/03_Nia_Moisturizer_1001x1001_px.webp?v=1773147598&amp;width=1001</t>
    </r>
    <r>
      <rPr/>
      <t/>
    </r>
    <r>
      <rPr>
        <color rgb="FF1155CC"/>
        <u/>
      </rPr>
      <t>https://plumgoodness.com/cdn/shop/files/04_Nia_Moisturizer_1001x1001_px.webp?v=1773147598&amp;width=1001</t>
    </r>
  </si>
  <si>
    <t>Roopsee-F-TO-25</t>
  </si>
  <si>
    <t>Plum Bulgarian Valley Rose Water Toner</t>
  </si>
  <si>
    <t>Bulgarian Rose Water</t>
  </si>
  <si>
    <t>An alcohol-free, daily-use toner that hydrates and balances skin pH. Gives instant freshness, helps hydrate and plump skin, soothes and balances pH while minimizing the look of pores.</t>
  </si>
  <si>
    <t>Aqua, Rosa Damascena (Rose) Flower Extract, Glycerin, Sodium Hyaluronate, Calendula Officinalis (Calendula) Flower Extract, Hamamelis Virginiana (Witch Hazel) Leaf Extract, Sodium Benzoate, Potassium Sorbate, Sodium Gluconate, Sorbitan Oleate Decylglucoside Crosspolymer, Citric Acid</t>
  </si>
  <si>
    <r>
      <rPr>
        <color rgb="FF1155CC"/>
        <u/>
      </rPr>
      <t>https://plumgoodness.com/cdn/shop/files/Listing_1st_Tile_HA_Toner_100ml_1001x1001_px.webp?v=1776939460&amp;width=1001</t>
    </r>
    <r>
      <rPr/>
      <t/>
    </r>
    <r>
      <rPr>
        <color rgb="FF1155CC"/>
        <u/>
      </rPr>
      <t>https://plumgoodness.com/cdn/shop/files/02_BV_Rose_Water_Toner_1001x1001_px.webp?v=1776939460&amp;width=1001</t>
    </r>
    <r>
      <rPr/>
      <t/>
    </r>
    <r>
      <rPr>
        <color rgb="FF1155CC"/>
        <u/>
      </rPr>
      <t>https://plumgoodness.com/cdn/shop/files/03_BV_Rose_Water_Toner_1001x1001_px.webp?v=1776939460&amp;width=1001</t>
    </r>
    <r>
      <rPr/>
      <t/>
    </r>
    <r>
      <rPr>
        <color rgb="FF1155CC"/>
        <u/>
      </rPr>
      <t>https://plumgoodness.com/cdn/shop/files/04_BV_Rose_Water_Toner_1001x1001_px.webp?v=1776939460&amp;width=1001</t>
    </r>
  </si>
  <si>
    <t>Roopsee-F-CL-54</t>
  </si>
  <si>
    <t>Simple Moisturising Facial Wash</t>
  </si>
  <si>
    <t>Simple</t>
  </si>
  <si>
    <t>UK</t>
  </si>
  <si>
    <t>D+S, N+S, C+S</t>
  </si>
  <si>
    <t>Glycerin</t>
  </si>
  <si>
    <t>Pro-Vitamin B5, Vitamin E, Bisabolol</t>
  </si>
  <si>
    <t>A 100% soap-free moisturising face wash for dry/dehydrated skin. It gently cleanses without causing dryness or irritation and is infused with Pro-Vitamin B5, Vitamin E and Bisabolol to hydrate while removing makeup, dirt and impurities.</t>
  </si>
  <si>
    <t>Aqua, Glycerin, Aqua, Sodium Laureth Sulfate, Decyl Glucoside, Cocamidopropyl Betaine, Glycerin, PEG-55 Propylene Glycol Oleate, Propylene Glycol, Panthenol, PEG-7 Glyceryl Cocoate, Sodium Chloride, Phenoxyethanol, Glycol Distearate, Cocamide MEA, Disodium EDTA, Bisabolol, Iodopropynyl Butylcarbamate, Laureth-10, Polyquaternium-39, Tocopheryl Acetate, Citric acid</t>
  </si>
  <si>
    <r>
      <rPr>
        <color rgb="FF1155CC"/>
        <u/>
      </rPr>
      <t>https://images-static.nykaa.com/media/catalog/product/0/a/0a388085011451103870_1x.jpg</t>
    </r>
    <r>
      <rPr/>
      <t/>
    </r>
    <r>
      <rPr>
        <color rgb="FF1155CC"/>
        <u/>
      </rPr>
      <t>https://images-static.nykaa.com/media/catalog/product/0/a/0a388085011451103870_2x.jpg</t>
    </r>
    <r>
      <rPr/>
      <t/>
    </r>
    <r>
      <rPr>
        <color rgb="FF1155CC"/>
        <u/>
      </rPr>
      <t>https://images-static.nykaa.com/media/catalog/product/0/a/0a388085011451103870_3x.jpg</t>
    </r>
  </si>
  <si>
    <t>Roopsee-F-MO-83</t>
  </si>
  <si>
    <t>Simple Kind To Skin Hydrating Light Moisturiser</t>
  </si>
  <si>
    <t>D+S, N, N+S, C+S</t>
  </si>
  <si>
    <t>Borage Seed Oil</t>
  </si>
  <si>
    <t>Pro-Vitamin B5, Vitamin E</t>
  </si>
  <si>
    <t>A lightweight, fast-absorbing, non-greasy moisturiser for all skin types. Enriched with Borage Seed Oil, Pro-Vitamin B5 and Vitamin E to nourish skin, combat dryness and keep skin hydrated through the day.</t>
  </si>
  <si>
    <t>Aqua, Glycerin, Mineral Oil, Polyglyceryl-3 Methylglucose Distearate, Cetyl Palmitate, Niacinamide, Dimethicone, Acrylates/C10-30 Alkyl Acrylate Crosspolymer, Stearic acid, Borago Officinalis Seed Oil, Caprylyl Glycol, Carbomer, Cetyl Alcohol, Disodium EDTA, Lactic Acid, Panthenol, Pentylene Glycol, Phenoxyethanol, Potassium Carbonate, Potassium Hydroxide, Citric acid, Bisabolol, Serine, Sodium Lactate, Sorbitol, Tocopheryl Acetate, Urea, Allantoin, Sodium Chloride</t>
  </si>
  <si>
    <t>Ingredient caution: lactic acid/AHA might cause stinging, dryness, peeling, redness and increased sun sensitivity; niacinamide is usually gentle but might cause tingling or flushing in very reactive skin; rich oils, butters or occlusive emollients might feel heavy or clog pores in acne-prone/oily skin; preservatives such as phenoxyethanol/benzyl alcohol might sting very sensitive or compromised skin. Do a patch test before applying. First-time users should start 3–4 times a week, avoid using it with retinol or other exfoliating acids in the same routine, and apply sunscreen daily. Start slowly if your skin is sensitive and avoid combining too many new actives at once. Use a small amount first and avoid applying on active acne if it feels greasy. Do not apply on broken, freshly waxed or irritated skin. Stop use if irritation persists.</t>
  </si>
  <si>
    <r>
      <rPr>
        <color rgb="FF1155CC"/>
        <u/>
      </rPr>
      <t>https://images-static.nykaa.com/media/catalog/product/8/8/88e09af5011451103931_1.jpg</t>
    </r>
    <r>
      <rPr/>
      <t/>
    </r>
    <r>
      <rPr>
        <color rgb="FF1155CC"/>
        <u/>
      </rPr>
      <t>https://images-static.nykaa.com/media/catalog/product/8/8/88e09af5011451103931_2.jpg</t>
    </r>
    <r>
      <rPr/>
      <t/>
    </r>
    <r>
      <rPr>
        <color rgb="FF1155CC"/>
        <u/>
      </rPr>
      <t>https://images-static.nykaa.com/media/catalog/product/8/8/88e09af5011451103931_3.jpg</t>
    </r>
  </si>
  <si>
    <t>Roopsee-F-CL-55</t>
  </si>
  <si>
    <t>Simple Micellar Cleansing Water</t>
  </si>
  <si>
    <t>O+S, N, N+S, C+S, D+S</t>
  </si>
  <si>
    <t>Pro-Vitamin B3</t>
  </si>
  <si>
    <t>Vitamin C, Glycerin, Pro-Vitamin B5</t>
  </si>
  <si>
    <t>A gentle micellar cleansing water and makeup remover for all skin types, including sensitive skin. It uses micelles to lift away dirt, makeup and impurities without disturbing the skin’s natural barrier, while supporting hydration with Vitamin B3, Vitamin C and triple-purified water.</t>
  </si>
  <si>
    <t>Aqua, Hexylene Glycol, Glycerin, PEG-6 Caprylic/Capric Glycerides, Phenoxyethanol, Cetrimonium Chloride, Tetrasodium EDTA, Propylene Glycol, Citric Acid, Cetylpyridinium Chloride, Sodium Chloride, Niacinamide, Sodium Ascorbyl Phosphate, Potassium Chloride, Panthenol</t>
  </si>
  <si>
    <r>
      <rPr>
        <color rgb="FF1155CC"/>
        <u/>
      </rPr>
      <t>https://images-static.nykaa.com/media/catalog/product/0/d/0df681b27280_H-8901030954061.jpg</t>
    </r>
    <r>
      <rPr/>
      <t/>
    </r>
    <r>
      <rPr>
        <color rgb="FF1155CC"/>
        <u/>
      </rPr>
      <t>https://images-static.nykaa.com/media/catalog/product/0/d/0df681b27280_S1-8901030954061.jpg</t>
    </r>
    <r>
      <rPr/>
      <t/>
    </r>
    <r>
      <rPr>
        <color rgb="FF1155CC"/>
        <u/>
      </rPr>
      <t>https://images-static.nykaa.com/media/catalog/product/0/d/0df681b27280_S2-8901030954061.jpg</t>
    </r>
  </si>
  <si>
    <t>Roopsee-F-CL-56</t>
  </si>
  <si>
    <t>Simple Water Boost Micellar Gel Wash</t>
  </si>
  <si>
    <t>Pentavitin</t>
  </si>
  <si>
    <t>Panthenol, Glycerin, Vitamin E</t>
  </si>
  <si>
    <t>A 100% soap-free Water Boost micellar facial gel wash for dehydrated/sensitive skin. It cleanses without over-drying, removes makeup, impurities and pollutants, and helps maintain the skin’s natural moisture balance with hydrating Vitamin E, Pro-Vitamin B5 and Pentavitin.</t>
  </si>
  <si>
    <t>Water, Cocamidopropyl Betaine, Propylene Glycol, Hydroxypropyl Methylcellulose, Panthenol, Phenoxyethanol, Disodium EDTA, Iodopropynyl Butylcarbamate, Sodium Hydroxide, Saccharide Isomerate (Pentavitin), Glycerin, Tocopheryl Acetate, Potassium Chloride, Sodium Chloride</t>
  </si>
  <si>
    <r>
      <rPr>
        <color rgb="FF1155CC"/>
        <u/>
      </rPr>
      <t>https://images-static.nykaa.com/media/catalog/product/7/4/74e66e6SIMPL00000077_1.jpg</t>
    </r>
    <r>
      <rPr/>
      <t/>
    </r>
    <r>
      <rPr>
        <color rgb="FF1155CC"/>
        <u/>
      </rPr>
      <t>https://images-static.nykaa.com/media/catalog/product/7/4/74e66e6SIMPL00000077_2.jpg</t>
    </r>
    <r>
      <rPr/>
      <t/>
    </r>
    <r>
      <rPr>
        <color rgb="FF1155CC"/>
        <u/>
      </rPr>
      <t>https://images-static.nykaa.com/media/catalog/product/7/4/74e66e6SIMPL00000077_3.jpg</t>
    </r>
    <r>
      <rPr/>
      <t/>
    </r>
    <r>
      <rPr>
        <color rgb="FF1155CC"/>
        <u/>
      </rPr>
      <t>https://images-static.nykaa.com/media/catalog/product/7/4/74e66e6SIMPL00000077_4.jpg</t>
    </r>
  </si>
  <si>
    <t>Roopsee-F-MO-84</t>
  </si>
  <si>
    <t>Simple Water Boost Hydrating Gel Cream</t>
  </si>
  <si>
    <t>An oil-free Water Boost hydrating gel crème moisturiser for dry and dehydrated skin. The lightweight, non-greasy formula provides up to 100-hour hydration, absorbs quickly, and is infused with 11% hydrating actives, Pentavitin, glycerin and Vitamin E.</t>
  </si>
  <si>
    <t>Aqua, Glycerine, Dimethicone, Butylene Glycol, Isohexadecane, Propylene Glycol, Ammonium Acryloyldimethyltaurate/VP Copolymer, Caprylic/Capric Triglyceride, Phenoxyethanol, Caprylyl Glycol, Tocopheryl Acetate, Hydrogenated Poly(C6-14 Olefin), Ammonium Acryloyldimethyltaurate/Beheneth-25 MA Crosspolymer, Linoleamidopropyl PG-Dimonium Chloride Phosphate, Stearic Acid, Sodium PCA, Disodium EDTA, Butylated Hydroxytoluene, Saccharide Isomerate (Pentavitin), Sodium Citrate, Citric Acid, Potassium Chloride, Sodium Chloride</t>
  </si>
  <si>
    <r>
      <rPr>
        <color rgb="FF1155CC"/>
        <u/>
      </rPr>
      <t>https://www.simpleskincare.in/cdn/shop/files/Module1_403394c1-593f-43db-a512-b879a0cf6200_1000x1000.jpg?v=1769517443</t>
    </r>
    <r>
      <rPr/>
      <t/>
    </r>
    <r>
      <rPr>
        <color rgb="FF1155CC"/>
        <u/>
      </rPr>
      <t>https://www.simpleskincare.in/cdn/shop/files/Module2_21194bda-2a00-4d75-8d5c-cb7e5b6bde7b_1000x1000.jpg?v=1769517443</t>
    </r>
    <r>
      <rPr/>
      <t/>
    </r>
    <r>
      <rPr>
        <color rgb="FF1155CC"/>
        <u/>
      </rPr>
      <t>https://www.simpleskincare.in/cdn/shop/files/Module3_ab225656-bf67-4cef-b11a-4a3a760f9014_1000x1000.jpg?v=1769517443</t>
    </r>
    <r>
      <rPr/>
      <t/>
    </r>
    <r>
      <rPr>
        <color rgb="FF1155CC"/>
        <u/>
      </rPr>
      <t>https://www.simpleskincare.in/cdn/shop/files/Module4_9b630867-bd66-4923-8e9d-6cf77af0b5cb_1000x1000.jpg?v=1769517443</t>
    </r>
    <r>
      <rPr/>
      <t/>
    </r>
    <r>
      <rPr>
        <color rgb="FF1155CC"/>
        <u/>
      </rPr>
      <t>https://www.simpleskincare.in/cdn/shop/files/Module5_d0323daa-89f7-47c1-bc8b-f8e97222bdfc_1000x1000.jpg?v=1769517443</t>
    </r>
  </si>
  <si>
    <t>Roopsee-F-MO-85</t>
  </si>
  <si>
    <t>Bioderma Atoderm Intensive Ultra Soothing Baume-Ceramides &amp; Canola Oil-Eczema Prone Skin</t>
  </si>
  <si>
    <t>Bioderma</t>
  </si>
  <si>
    <t>France</t>
  </si>
  <si>
    <t>PEA (Palmitoyl Ethanolamide)</t>
  </si>
  <si>
    <t>Ceramides, Cholesterol, &amp; Phytosphingosine</t>
  </si>
  <si>
    <t>Atoderm Intensive Baume is an ultra-soothing balm for atopic eczema-prone skin. It rapidly relieves itching, reduces the urge to scratch, intensely nourishes and restores lipids while helping reconstruct the skin barrier for lasting comfort.</t>
  </si>
  <si>
    <t>AQUA/WATER/EAU, GLYCERIN, PARAFFINUM LIQUIDUM/MINERAL OIL/HUILE MINERALE, HELIANTHUS ANNUUS (SUNFLOWER) SEED OIL, BEHENYL ALCOHOL, SUCROSE STEARATE, CANOLA/CANOLA OIL/HUILE DE COLZA, HYDROXYETHYL ACRYLATE/SODIUM ACRYLOYLDIMETHYL TAURATE COPOLYMER, PENTYLENE GLYCOL, BETA-SITOSTEROL, XYLITOL, ZINC GLUCONATE, ACRYLATES/C10-30 ALKYL ACRYLATE CROSSPOLYMER, PALMITAMIDE MEA, 1,2-HEXANEDIOL, CAPRYLYL GLYCOL, SODIUM CITRATE, MANNITOL, RHAMNOSE, SODIUM LAUROYL LACTYLATE, SODIUM HYDROXIDE, POLYSORBATE 60, SORBITAN ISOSTEARATE, TOCOPHEROL, PHYTOSPHINGOSINE, CERAMIDE NP, ETHYLHEXYLGLYCERIN, CERAMIDE AP, CHOLESTEROL, CARBOMER, XANTHAN GUM, FRUCTOOLIGOSACCHARIDES, CAPRYLIC/CAPRIC TRIGLYCERIDE, LAMINARIA OCHROLEUCA EXTRACT, CITRIC ACID, CERAMIDE EOP</t>
  </si>
  <si>
    <t>Ingredient caution: cleansing surfactants might cause dryness, stinging or tightness if overused; rich oils, butters or occlusive emollients might feel heavy or clog pores in acne-prone/oily skin; humectants such as hyaluronic acid/glycerin are usually gentle but might feel sticky or tight if not sealed with moisturiser. Do a patch test before applying. Use lukewarm water, do not scrub, and follow with moisturiser. Use a small amount first and avoid applying on active acne if it feels greasy. Apply on slightly damp skin and follow with moisturiser if dryness occurs. Stop use if irritation persists.</t>
  </si>
  <si>
    <r>
      <rPr>
        <color rgb="FF1155CC"/>
        <u/>
      </rPr>
      <t>https://bioderma.naosindia.in/cdn/shop/files/Atoderm-Intensive-Baume.jpg?v=1720078824</t>
    </r>
    <r>
      <rPr/>
      <t/>
    </r>
    <r>
      <rPr>
        <color rgb="FF1155CC"/>
        <u/>
      </rPr>
      <t>https://bioderma.naosindia.in/cdn/shop/files/13_b0506cba-11d9-498a-97af-5e52bba82bca.jpg?v=1774588879&amp;width=1946</t>
    </r>
    <r>
      <rPr/>
      <t/>
    </r>
    <r>
      <rPr>
        <color rgb="FF1155CC"/>
        <u/>
      </rPr>
      <t>https://bioderma.naosindia.in/cdn/shop/files/6_c24f2fac-bafd-4f1a-a083-c79772da84d4.jpg?v=1774588879&amp;width=1946</t>
    </r>
    <r>
      <rPr/>
      <t/>
    </r>
    <r>
      <rPr>
        <color rgb="FF1155CC"/>
        <u/>
      </rPr>
      <t>https://bioderma.naosindia.in/cdn/shop/files/7_b4f8d15a-3f33-4969-8a9f-ecf752e4ddf1.jpg?v=1774588879&amp;width=1946</t>
    </r>
    <r>
      <rPr/>
      <t/>
    </r>
    <r>
      <rPr>
        <color rgb="FF1155CC"/>
        <u/>
      </rPr>
      <t>https://bioderma.naosindia.in/cdn/shop/files/5_ea8eb9ba-c5bc-441e-8658-69c0b66fff40.jpg?v=1774588879&amp;width=1946</t>
    </r>
  </si>
  <si>
    <t>Roopsee-F-MO-86</t>
  </si>
  <si>
    <t>Bioderma Atoderm Creme Ultra-Nourising Moisturising Cream Boosts Hyaluronic Acid, Ceramides</t>
  </si>
  <si>
    <t>D, D+S, N, N+S</t>
  </si>
  <si>
    <t>Dryness, Barrier Repair, Dehydration</t>
  </si>
  <si>
    <t>Tocopherol</t>
  </si>
  <si>
    <t>A dermatologist-tested, hypoallergenic cream that provides long-lasting hydration while supporting the skin barrier. Formulated with niacinamide, hyaluronic acid and ceramides in a fragrance-free, paraben-free base; suitable for normal to dry sensitive skin, including babies and children.</t>
  </si>
  <si>
    <t>Aqua/Water/Eau, Paraffinum Liquidum / Mineral Oil / Huile Minerale, Glycerin, Cetearyl Isononanoate, Glyceryl Stearate, Peg-100 Stearate, Myreth-3 Myristate, Steareth-21, Cyclopentasiloxane, Pentylene Glycol, Cyclohexasiloxane, Acrylates/C10-30 Alkyl Acrylate Crosspolymer, Caprylyl Glycol, Cetyl Alcohol, Disodium EDTA, Palmitic Acid, Stearic Acid, Xylitol, Mannitol, Rhamnose, Sodium Hydroxide, Sodium Dehydroacetate, Xylitylglucoside, Anhydroxylitol, Niacinamide, Glucose, Fructooligosaccharides, Caprylic/Capric Triglyceride, Laminaria Ochroleuca Extract</t>
  </si>
  <si>
    <t>Ingredient caution: niacinamide is usually gentle but might cause tingling or flushing in very reactive skin; fragrance, essential oils or fragrance allergens might trigger redness, itching or allergic irritation; rich oils, butters or occlusive emollients might feel heavy or clog pores in acne-prone/oily skin; humectants such as hyaluronic acid/glycerin are usually gentle but might feel sticky or tight if not sealed with moisturiser. Do a patch test before applying. Start slowly if your skin is sensitive and avoid combining too many new actives at once. Avoid this product if you have fragrance allergy, eczema-prone skin or a damaged barrier. Use a small amount first and avoid applying on active acne if it feels greasy. Apply on slightly damp skin and follow with moisturiser if dryness occurs. Stop use if irritation persists.</t>
  </si>
  <si>
    <r>
      <rPr>
        <color rgb="FF1155CC"/>
        <u/>
      </rPr>
      <t>https://bioderma.naosindia.in/cdn/shop/files/490x560-01.jpg?v=1764163528&amp;width=1445</t>
    </r>
    <r>
      <rPr/>
      <t/>
    </r>
    <r>
      <rPr>
        <color rgb="FF1155CC"/>
        <u/>
      </rPr>
      <t>https://bioderma.naosindia.in/cdn/shop/files/490x560-15.jpg?v=1764163528&amp;width=1445</t>
    </r>
    <r>
      <rPr/>
      <t/>
    </r>
    <r>
      <rPr>
        <color rgb="FF1155CC"/>
        <u/>
      </rPr>
      <t>https://bioderma.naosindia.in/cdn/shop/files/490x560-02.jpg?v=1764163528&amp;width=1445</t>
    </r>
    <r>
      <rPr/>
      <t/>
    </r>
    <r>
      <rPr>
        <color rgb="FF1155CC"/>
        <u/>
      </rPr>
      <t>https://bioderma.naosindia.in/cdn/shop/files/490x560-04.jpg?v=1764163528&amp;width=1445</t>
    </r>
    <r>
      <rPr/>
      <t/>
    </r>
    <r>
      <rPr>
        <color rgb="FF1155CC"/>
        <u/>
      </rPr>
      <t>https://bioderma.naosindia.in/cdn/shop/files/490x560-11.jpg?v=1764163528&amp;width=1445</t>
    </r>
  </si>
  <si>
    <t>Roopsee-F-MO-87</t>
  </si>
  <si>
    <t>Bioderma Atoderm Intensive Gel Creme Moisturizer - Dry to Very Dry Skin</t>
  </si>
  <si>
    <t>Barrier Repair, Dehydration</t>
  </si>
  <si>
    <t>Ceramide NP</t>
  </si>
  <si>
    <t>Atoderm Intensive Gel-Cream is a nourishing, ultra-fresh treatment for very dry skin or skin prone to atopic eczema. It quickly and durably soothes itching sensations, helps reduce the urge to scratch, supports hydration and reinforces the skin barrier with niacinamide and Skin Barrier Therapy technology.</t>
  </si>
  <si>
    <t>Aqua/Water/Eau, Glycerin, Niacinamide, Sodium Polyacrylate, Dipotassium Glycyrrhizate, Hydrogenated Polydecene, Pentylene Glycol, 1,2-Hexanediol, Caprylyl Glycol, Mannitol, Polysorbate 20, Xylitol, Rhamnosis, Sodium Citrate, Polyquaternium-51, Fructooligosaccharides, Caprylic/Capric Triglyceride, Laminaria Ochroleuca Extract</t>
  </si>
  <si>
    <r>
      <rPr>
        <color rgb="FF1155CC"/>
        <u/>
      </rPr>
      <t>https://bioderma.naosindia.in/cdn/shop/files/1_9f1a7d02-7bb4-4c72-9d11-6bbdbf4cfc2d.jpg</t>
    </r>
    <r>
      <rPr/>
      <t/>
    </r>
    <r>
      <rPr>
        <color rgb="FF1155CC"/>
        <u/>
      </rPr>
      <t>https://bioderma.naosindia.in/cdn/shop/files/2_2d1c3f7a.jpg</t>
    </r>
    <r>
      <rPr/>
      <t/>
    </r>
    <r>
      <rPr>
        <color rgb="FF1155CC"/>
        <u/>
      </rPr>
      <t>https://bioderma.naosindia.in/cdn/shop/files/3_2b8d3c.jpg</t>
    </r>
    <r>
      <rPr/>
      <t/>
    </r>
    <r>
      <rPr>
        <color rgb="FF1155CC"/>
        <u/>
      </rPr>
      <t>https://bioderma.naosindia.in/cdn/shop/files/4_7b.jpg</t>
    </r>
    <r>
      <rPr/>
      <t/>
    </r>
    <r>
      <rPr>
        <color rgb="FF1155CC"/>
        <u/>
      </rPr>
      <t>https://bioderma.naosindia.in/cdn/shop/files/5_0.jpg</t>
    </r>
  </si>
  <si>
    <t>Roopsee-F-MO-88</t>
  </si>
  <si>
    <t>Physiogel Daily Moisture Therapy Cream</t>
  </si>
  <si>
    <t>Physiogel</t>
  </si>
  <si>
    <t>Ceramide NP, Squalane, Coconut Oil</t>
  </si>
  <si>
    <t>A daily moisturising cream for dry and sensitive skin that hydrates, repairs and restores skin. It works naturally and gently with the skin’s barrier to make skin stronger, smoother and visibly healthier, while providing long-lasting hydration.</t>
  </si>
  <si>
    <t>Aqua, Caprylic/Capric Triglyceride, Glycerin, Pentylene Glycol, Cocos Nucifera Oil, Hydrogenated Lecithin, Butyrospermum Parki Butter, Hydroxyethylcelulose, Squalane, Carbomer, Xanthan Gum, Sodium Carbomer, Ceramide NP</t>
  </si>
  <si>
    <t>Ingredient caution: rich oils, butters or occlusive emollients might feel heavy or clog pores in acne-prone/oily skin; humectants such as hyaluronic acid/glycerin are usually gentle but might feel sticky or tight if not sealed with moisturiser. Do a patch test before applying. Use a small amount first and avoid applying on active acne if it feels greasy. Apply on slightly damp skin and follow with moisturiser if dryness occurs. Stop use if irritation persists.</t>
  </si>
  <si>
    <r>
      <rPr>
        <sz val="11.0"/>
      </rPr>
      <t xml:space="preserve">
</t>
    </r>
    <r>
      <rPr>
        <color rgb="FF1155CC"/>
        <sz val="11.0"/>
        <u/>
      </rPr>
      <t>https://cdn01.pharmeasy.in/dam/products_otc/O88124/physiogel-daily-moisture-therapy-tube-of-75gm-cream-6.5-1775912796.jpg?dim=480x480&amp;q=75https://cdn01.pharmeasy.in/dam/products_otc/O88124/physiogel-daily-moisture-therapy-tube-of-75gm-cream-6.2-1775912783.jpg?dim=480x480&amp;q=75https://cdn01.pharmeasy.in/dam/products_otc/O88124/physiogel-daily-moisture-therapy-tube-of-75gm-cream-6.3-1775912871.jpg?dim=480x480&amp;q=75https://cdn01.pharmeasy.in/dam/products_otc/O88124/physiogel-daily-moisture-therapy-tube-of-75gm-cream-6.4-1775912860.jpg?dim=480x480&amp;q=75https://cdn01.pharmeasy.in/dam/products_otc/O88124/physiogel-daily-moisture-therapy-tube-of-75gm-cream-6.5-1775912796.jpg?dim=480x480&amp;q=75https://cdn01.pharmeasy.in/dam/products_otc/O88124/physiogel-daily-moisture-therapy-tube-of-75gm-cream-6.6-1775912711.jpg?dim=480x480&amp;q=75</t>
    </r>
  </si>
  <si>
    <t>Roopsee-F-MO-89</t>
  </si>
  <si>
    <t>Venusia Max Intensive Moisturizing Cream</t>
  </si>
  <si>
    <t>Dr. Reddy's Laboratories</t>
  </si>
  <si>
    <t>Polyglutamic Acid</t>
  </si>
  <si>
    <t>A dermatologist-recommended intensive moisturizing cream for dry to very dry skin, now in a new &amp; improved formula for deepest hydration within 15 minutes. Clinically proven and powered with advanced hydrating ingredients and nourishing butters to enhance skin’s natural moisturizing factor.</t>
  </si>
  <si>
    <t>Polyglutamic Acid, 4D Hyaluronic Acid, Shea Butter, Aloe, Mango Butter, Cocoa Butter</t>
  </si>
  <si>
    <t>https://www.drreddysvenusia.com/cdn/shop/files/VENUS00000002_1.jpg?v=1768983816&amp;width=2000https://www.drreddysvenusia.com/cdn/shop/files/VENUS00000002_2.jpg?v=1768983816&amp;width=2000https://www.drreddysvenusia.com/cdn/shop/files/VENUS00000002_3.jpg?v=1768983816&amp;width=2000https://www.drreddysvenusia.com/cdn/shop/files/VENUS00000002_4.jpg?v=1768983816&amp;width=2000https://www.drreddysvenusia.com/cdn/shop/files/VENUS00000002_5.jpg?v=1768983816&amp;width=2000</t>
  </si>
  <si>
    <t>Roopsee-B-LO-25</t>
  </si>
  <si>
    <t>Aveeno Daily Moisturizing Lotion</t>
  </si>
  <si>
    <t>Johnson &amp; Johnson</t>
  </si>
  <si>
    <t>354 ml</t>
  </si>
  <si>
    <t>Colloidal Oatmeal</t>
  </si>
  <si>
    <t>A daily moisturizing lotion with prebiotic oat formula that nourishes normal to dry sensitive skin. It helps replenish skin’s natural moisture, provides clinically proven long-lasting hydration for 48 hours, and helps protect the skin barrier with a non-greasy, fragrance-free formula.</t>
  </si>
  <si>
    <t>Aqua, Glycerin, Distearyldimonium Chloride, Petrolatum, Isopropyl Palmitate, Cetyl Alcohol, Dimethicone, Avena Sativa (Oat) Kernel Flour, Benzyl Alcohol, Sodium Chloride</t>
  </si>
  <si>
    <r>
      <rPr>
        <color rgb="FF1155CC"/>
        <u/>
      </rPr>
      <t>https://images.ctfassets.net/j7jv1vcgqjb4/5g9WdT0zRAK9FS8M6nbX6K/28fa9423a0f92f1256d55e507ff03fce/dm_lotion-_354ml_front-en-in?fm=avif&amp;q=80&amp;w=3840</t>
    </r>
    <r>
      <rPr/>
      <t/>
    </r>
    <r>
      <rPr>
        <color rgb="FF1155CC"/>
        <u/>
      </rPr>
      <t>https://images.ctfassets.net/j7jv1vcgqjb4/2r7UmKLBM9cEvbwwfGjblm/bca86f201f8c7938ff9f3af8ea914e86/dm_lotion-_354ml_back-en-in?fm=avif&amp;q=80&amp;w=3840</t>
    </r>
    <r>
      <rPr/>
      <t/>
    </r>
    <r>
      <rPr>
        <color rgb="FF1155CC"/>
        <u/>
      </rPr>
      <t>https://images.ctfassets.net/j7jv1vcgqjb4/32e9H3QuaUvkeVyZsRevyj/d6750d8e58fdb519484d4a4b9b555079/image-dm-lotion-01f-en-in?fm=avif&amp;q=80&amp;w=256</t>
    </r>
    <r>
      <rPr/>
      <t/>
    </r>
    <r>
      <rPr>
        <color rgb="FF1155CC"/>
        <u/>
      </rPr>
      <t>https://images.ctfassets.net/j7jv1vcgqjb4/2dDq3g71dNVbV0oXDqEERl/873e088c70861d463f1de8c08b2aeac9/image-dm-lotion-01b-en-in?fm=avif&amp;q=80&amp;w=3840</t>
    </r>
    <r>
      <rPr/>
      <t/>
    </r>
    <r>
      <rPr>
        <color rgb="FF1155CC"/>
        <u/>
      </rPr>
      <t>https://images.ctfassets.net/j7jv1vcgqjb4/5HYBNmwTzK7DDy7fRVtwyb/6104b205ea6cce93e2b914b431d0b73d/image-dm-lotion-01e-en-in?fm=avif&amp;q=80&amp;w=256</t>
    </r>
  </si>
  <si>
    <t>Roopsee-F-CL-57</t>
  </si>
  <si>
    <t>OOTD Papaya Enzyme Gentle Cleanser [150g]</t>
  </si>
  <si>
    <t>OOTD</t>
  </si>
  <si>
    <t>Papaya Extract (Papain)</t>
  </si>
  <si>
    <t>A gentle daily cleanser with Kale, Papaya and Blueberry extracts for clear, smooth skin. The mild lather removes impurities, sweat and dirt without causing dryness or irritation, while removing light makeup and skincare residue for clean, fresh and brighter skin.</t>
  </si>
  <si>
    <t>Water, Glycerin, Sodium C14-16 Olefin Sulfonate, Lauramide DEA, Cocamidopropyl Betaine, Sodium Chloride, Glycol Distearate, 1,2-Hexanediol, Fragrance, Tetradecene, Polyquaternium-10, Hexadecene, Chlorphenesin, Citric Acid, Sodium Citrate, Ethylhexylglycerin, Disodium EDTA, Butylene Glycol, Brassica Oleracea Acephala Leaf Extract, Euterpe Oleracea Fruit Extract, Vaccinium Angustifolium (Blueberry) Fruit Extract, Carica Papaya (Papaya) Fruit Extract, Vaccinium Macrocarpon (Cranberry) Fruit Extract, Phyllanthus Emblica Fruit Extract, Mannitol, Papain, Bromelain</t>
  </si>
  <si>
    <r>
      <rPr>
        <color rgb="FF1155CC"/>
        <u/>
      </rPr>
      <t>https://limese.com/cdn/shop/files/PapayaCleanser_2_9913e1ca-6360-4769-be77-f18d8661e838_1800x1800.jpg?v=1730093760</t>
    </r>
    <r>
      <rPr/>
      <t/>
    </r>
    <r>
      <rPr>
        <color rgb="FF1155CC"/>
        <u/>
      </rPr>
      <t>https://limese.com/cdn/shop/files/PapayaCleanser_3_05288790-eadc-463d-b3f8-7a79e0aee5ff_1800x1800.jpg?v=1730093760</t>
    </r>
    <r>
      <rPr/>
      <t/>
    </r>
    <r>
      <rPr>
        <color rgb="FF1155CC"/>
        <u/>
      </rPr>
      <t>https://limese.com/cdn/shop/files/PapayaCleanser_4_0c9d56b4-4493-4c0a-a633-6670af3a2b05_1800x1800.jpg?v=1730093760</t>
    </r>
    <r>
      <rPr/>
      <t/>
    </r>
    <r>
      <rPr>
        <color rgb="FF1155CC"/>
        <u/>
      </rPr>
      <t>https://limese.com/cdn/shop/files/PapayaCleanser_5_05cd7ee6-3a62-4267-959a-8b561520f8f3_1800x1800.jpg?v=1730093760</t>
    </r>
    <r>
      <rPr/>
      <t/>
    </r>
    <r>
      <rPr>
        <color rgb="FF1155CC"/>
        <u/>
      </rPr>
      <t>https://limese.com/cdn/shop/files/PapayaCleanser_6_b488da2b-87d3-41c4-9115-1c9a1ed9e56c_1800x1800.jpg?v=1730093760</t>
    </r>
  </si>
  <si>
    <t>Roopsee-RX-SE-01</t>
  </si>
  <si>
    <t>Kojivit plus</t>
  </si>
  <si>
    <t>Micro Labs Limited</t>
  </si>
  <si>
    <t>Kojic Acid Dipalmitate (2.5%)</t>
  </si>
  <si>
    <t>Arbutin (1.5%), Glycolic Acid (3%), Mulberry Extract (1.0%), Octinoxate (7.5%)</t>
  </si>
  <si>
    <t>Aqua, Kojic Acid Dipalmitate, Arbutin, Morus Alba (Mulberry) Extract, Vitis Vinifera (Grape) Seed Extract, Allantoin, Glycolic Acid, Tocopheryl Acetate, Ethylhexyl Methoxycinnamate, Glycerin, Cetearyl Alcohol, Glyceryl Stearate, Cetyl Alcohol, Stearic Acid, Dimethicone, Phenoxyethanol, Methylparaben, Propylparaben, Disodium EDTA, Fragrance</t>
  </si>
  <si>
    <t>Ingredient caution: glycolic acid/AHA might cause stinging, dryness, peeling, redness and increased sun sensitivity; alpha arbutin, kojic acid might cause tingling, dryness or redness in sensitive skin; fragrance, essential oils or fragrance allergens might trigger redness, itching or allergic irritation; UV filters might sting around the eyes or irritate very sensitive skin. Do a patch test before applying. First-time users should start 3–4 times a week, avoid using it with retinol or other exfoliating acids in the same routine, and apply sunscreen daily. First-time users should start 3–4 times a week and pair with sunscreen, because pigmentation care works best with UV protection. Avoid this product if you have fragrance allergy, eczema-prone skin or a damaged barrier. Patch test near the jawline first, avoid the eye corners, and remove gently at night. Stop use if irritation persists.</t>
  </si>
  <si>
    <r>
      <rPr>
        <color rgb="FF1155CC"/>
        <u/>
      </rPr>
      <t>https://cdn01.pharmeasy.in/dam/productsnowatermark/246333/kojivit-plus-advanced-tube-of-15gm-gel-box-front-1-1756884866-non-watermarked.jpg?dim=320x320&amp;dpr=1&amp;q=100</t>
    </r>
    <r>
      <rPr/>
      <t/>
    </r>
    <r>
      <rPr>
        <color rgb="FF1155CC"/>
        <u/>
      </rPr>
      <t>https://cdn01.pharmeasy.in/dam/productsnowatermark/246333/kojivit-plus-advanced-tube-of-15gm-gel-front-2-1756884866-non-watermarked.jpg?dim=640x640&amp;q=75</t>
    </r>
    <r>
      <rPr/>
      <t/>
    </r>
    <r>
      <rPr>
        <color rgb="FF1155CC"/>
        <u/>
      </rPr>
      <t>https://cdn01.pharmeasy.in/dam/productsnowatermark/246333/kojivit-plus-advanced-tube-of-15gm-gel-box-back-4-1756884866-non-watermarked.jpg?dim=640x640&amp;q=75</t>
    </r>
    <r>
      <rPr/>
      <t/>
    </r>
    <r>
      <rPr>
        <color rgb="FF1155CC"/>
        <u/>
      </rPr>
      <t>https://cdn01.pharmeasy.in/dam/productsnowatermark/246333/kojivit-plus-advanced-tube-of-15gm-gel-side-6.1-1756884866-non-watermarked.jpg?dim=640x640&amp;q=75</t>
    </r>
  </si>
  <si>
    <t>Roopsee-RX-SE-02</t>
  </si>
  <si>
    <t>Demelan cream</t>
  </si>
  <si>
    <t>Glenmark Pharmaceuticals Ltd</t>
  </si>
  <si>
    <t>20gm</t>
  </si>
  <si>
    <t>Glycolic Acid (10%)</t>
  </si>
  <si>
    <t>Arbutin (5%), Kojic Acid Dipalmitate (2%)</t>
  </si>
  <si>
    <t>Aqua, Glycolic Acid, Arbutin, Kojic Acid Dipalmitate, Glycerin, Cetearyl Alcohol, Glyceryl Stearate, Cetyl Alcohol, Stearic Acid, Light Liquid Paraffin, Dimethicone, Triethanolamine, Methylparaben, Propylparaben, Disodium EDTA, Fragrance</t>
  </si>
  <si>
    <t>Ingredient caution: glycolic acid/AHA might cause stinging, dryness, peeling, redness and increased sun sensitivity; alpha arbutin, kojic acid might cause tingling, dryness or redness in sensitive skin; fragrance, essential oils or fragrance allergens might trigger redness, itching or allergic irritation;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First-time users should start 3–4 times a week and pair with sunscreen, because pigmentation care works best with UV protection. Avoid this product if you have fragrance allergy, eczema-prone skin or a damaged barrier. Apply on slightly damp skin and follow with moisturiser if dryness occurs. Stop use if irritation persists.</t>
  </si>
  <si>
    <r>
      <rPr>
        <color rgb="FF1155CC"/>
        <u/>
      </rPr>
      <t>https://cdn01.pharmeasy.in/dam/productsnowatermark/329894/demelan-tube-of-20gm-cream-box-front-1-1773157357-non-watermark.jpg?dim=320x320&amp;dpr=1&amp;q=100</t>
    </r>
    <r>
      <rPr/>
      <t/>
    </r>
    <r>
      <rPr>
        <color rgb="FF1155CC"/>
        <u/>
      </rPr>
      <t>https://cdn01.pharmeasy.in/dam/productsnowatermark/329894/demelan-tube-of-20gm-cream-front-2-1773157363-non-watermark.jpg?dim=640x640&amp;q=75</t>
    </r>
    <r>
      <rPr/>
      <t/>
    </r>
    <r>
      <rPr>
        <color rgb="FF1155CC"/>
        <u/>
      </rPr>
      <t>https://cdn01.pharmeasy.in/dam/productsnowatermark/329894/demelan-tube-of-20gm-cream-combo-3-1773157367-non-watermark.jpg?dim=640x640&amp;q=75</t>
    </r>
    <r>
      <rPr/>
      <t/>
    </r>
    <r>
      <rPr>
        <color rgb="FF1155CC"/>
        <u/>
      </rPr>
      <t>https://cdn01.pharmeasy.in/dam/productsnowatermark/329894/demelan-tube-of-20gm-cream-box-back-4-1773157359-non-watermark.jpg?dim=640x640&amp;q=75</t>
    </r>
    <r>
      <rPr/>
      <t/>
    </r>
    <r>
      <rPr>
        <color rgb="FF1155CC"/>
        <u/>
      </rPr>
      <t>https://cdn01.pharmeasy.in/dam/productsnowatermark/329894/demelan-tube-of-20gm-cream-box-side-5.1-1773157365-non-watermark.jpg?dim=640x640&amp;q=75</t>
    </r>
  </si>
  <si>
    <t>Roopsee-RX-SE-03</t>
  </si>
  <si>
    <t>Biluma Advance Skin Brightening Lotion</t>
  </si>
  <si>
    <t>Encube Ethicals</t>
  </si>
  <si>
    <t>45 gm</t>
  </si>
  <si>
    <t>Arbutin (Alpha Arbutin)</t>
  </si>
  <si>
    <t>Purified Water, Octinoxate, Propylene Glycol, Light Liquid Paraffin, Cosmowax D, Cetostearyl Alcohol, Kojic Acid Dipalmitate, Olivem 700 (PEG-4 Olivate), Arbutin, Sorbitan Monostearate, Arlacel 165, Mulberry Extract, Tocopheryl Acetate, White Soft Paraffin, Glycerin, Dimethicone 350, Cyclopentasiloxane, Stearic Acid, Tetrahydrocurcumin, Methyl Paraben, Butylated Hydroxy Toluene, Disodium Edetate, Triethanolamine, Licorice Extract, Propyl Paraben, Fragrance, Artocarpus Extract, Butylated Hydroxy Anisole</t>
  </si>
  <si>
    <t>Ingredient caution: alpha arbutin, kojic acid, licorice extract might cause tingling, dryness or redness in sensitive skin; fragrance, essential oils or fragrance allergens might trigger redness, itching or allergic irritation; UV filters might sting around the eyes or irritate very sensitive skin; humectants such as hyaluronic acid/glycerin are usually gentle but might feel sticky or tight if not sealed with moisturiser. Do a patch test before applying. First-time users should start 3–4 times a week and pair with sunscreen, because pigmentation care works best with UV protection. Avoid this product if you have fragrance allergy, eczema-prone skin or a damaged barrier. Patch test near the jawline first, avoid the eye corners, and remove gently at night. Apply on slightly damp skin and follow with moisturiser if dryness occurs. Stop use if irritation persists.</t>
  </si>
  <si>
    <r>
      <rPr>
        <color rgb="FF1155CC"/>
        <u/>
      </rPr>
      <t xml:space="preserve"> </t>
    </r>
    <r>
      <rPr>
        <color rgb="FF1155CC"/>
        <u/>
      </rPr>
      <t>https://m.media-amazon.com/images/I/61RXS2LhV2L._SL1500_.jpg</t>
    </r>
    <r>
      <rPr>
        <color rgb="FF1155CC"/>
        <u/>
      </rPr>
      <t xml:space="preserve">, </t>
    </r>
    <r>
      <rPr>
        <color rgb="FF1155CC"/>
        <u/>
      </rPr>
      <t>https://m.media-amazon.com/images/I/716+QOHzUSL._SL1500_.jpg</t>
    </r>
    <r>
      <rPr>
        <color rgb="FF1155CC"/>
        <u/>
      </rPr>
      <t xml:space="preserve">, </t>
    </r>
    <r>
      <rPr>
        <color rgb="FF1155CC"/>
        <u/>
      </rPr>
      <t>https://m.media-amazon.com/images/I/717ypWomyyL._SL1500_.jpg</t>
    </r>
    <r>
      <rPr>
        <color rgb="FF1155CC"/>
        <u/>
      </rPr>
      <t xml:space="preserve">, </t>
    </r>
    <r>
      <rPr>
        <color rgb="FF1155CC"/>
        <u/>
      </rPr>
      <t>https://m.media-amazon.com/images/I/81lidoOFsAL._SL1500_.jpg</t>
    </r>
    <r>
      <rPr>
        <color rgb="FF1155CC"/>
        <u/>
      </rPr>
      <t xml:space="preserve">, </t>
    </r>
    <r>
      <rPr>
        <color rgb="FF1155CC"/>
        <u/>
      </rPr>
      <t>https://m.media-amazon.com/images/I/81NXWn0-+IL._SL1500_.jpg</t>
    </r>
    <r>
      <rPr>
        <color rgb="FF1155CC"/>
        <u/>
      </rPr>
      <t xml:space="preserve">, </t>
    </r>
    <r>
      <rPr>
        <color rgb="FF1155CC"/>
        <u/>
      </rPr>
      <t>https://m.media-amazon.com/images/I/71U1wKbRw0L._SL1500_.jpg</t>
    </r>
    <r>
      <rPr>
        <color rgb="FF1155CC"/>
        <u/>
      </rPr>
      <t xml:space="preserve">, </t>
    </r>
    <r>
      <rPr>
        <color rgb="FF1155CC"/>
        <u/>
      </rPr>
      <t>https://m.media-amazon.com/images/I/71zyHI8ra+L._SL1500_.jpg</t>
    </r>
  </si>
  <si>
    <t>Roopsee-RX-SE-04</t>
  </si>
  <si>
    <t>Aziderm 20%</t>
  </si>
  <si>
    <t>15g</t>
  </si>
  <si>
    <t>Acne, Uneven Skin Tone, Dark Spots/Pigmentation, Melasma</t>
  </si>
  <si>
    <t>azelaic acid 20%</t>
  </si>
  <si>
    <t>Propylene Glycol, White Soft Paraffin</t>
  </si>
  <si>
    <t>Azelaic Acid 20% w/w, Benzoic Acid, Dimethicone, Disodium EDTA, Glycerol, Glyceryl Stearate, Macrogol Stearate, Medium Chain Triglycerides, Purified Water</t>
  </si>
  <si>
    <t>Ingredient caution: azelaic acid might cause tingling, dryness or redness in sensitive skin. Do a patch test before applying. First-time users should start 3–4 times a week and pair with sunscreen, because pigmentation care works best with UV protection. Stop use if irritation persists.</t>
  </si>
  <si>
    <r>
      <rPr>
        <color rgb="FF1155CC"/>
        <u/>
      </rPr>
      <t>https://cdn01.pharmeasy.in/dam/productsnowatermark/018915/aziderm-20-tube-of-15gm-cream-front-2-1756894133-non-watermarked.jpg?dim=320x320&amp;dpr=1&amp;q=100</t>
    </r>
    <r>
      <rPr/>
      <t/>
    </r>
    <r>
      <rPr>
        <color rgb="FF1155CC"/>
        <u/>
      </rPr>
      <t>https://cdn01.pharmeasy.in/dam/productsnowatermark/018915/aziderm-20-tube-of-15gm-cream-front-2.1-1756894133-non-watermarked.jpg?dim=640x640&amp;q=75</t>
    </r>
    <r>
      <rPr/>
      <t/>
    </r>
    <r>
      <rPr>
        <color rgb="FF1155CC"/>
        <u/>
      </rPr>
      <t>https://cdn01.pharmeasy.in/dam/productsnowatermark/018915/aziderm-20-tube-of-15gm-cream-combo-3-1756894133-non-watermarked.jpg?dim=640x640&amp;q=75</t>
    </r>
    <r>
      <rPr/>
      <t/>
    </r>
    <r>
      <rPr>
        <color rgb="FF1155CC"/>
        <u/>
      </rPr>
      <t>https://cdn01.pharmeasy.in/dam/productsnowatermark/018915/aziderm-20-tube-of-15gm-cream-combo-3.1-1756894133-non-watermarked.jpg?dim=640x640&amp;q=75</t>
    </r>
    <r>
      <rPr/>
      <t/>
    </r>
    <r>
      <rPr>
        <color rgb="FF1155CC"/>
        <u/>
      </rPr>
      <t>https://cdn01.pharmeasy.in/dam/productsnowatermark/018915/aziderm-20-tube-of-15gm-cream-back-7-1756894133-non-watermarked.jpg?dim=640x640&amp;q=75</t>
    </r>
  </si>
  <si>
    <t>Roopsee-F-SE-88</t>
  </si>
  <si>
    <t>Eucerin anti pigment dual serum</t>
  </si>
  <si>
    <t>Eucerin</t>
  </si>
  <si>
    <t>O, D, D+S, N, N+S, C, C+S</t>
  </si>
  <si>
    <t>Thiamidol</t>
  </si>
  <si>
    <t>Hyaluronic Acid, Licochalcone A</t>
  </si>
  <si>
    <t>An anti-pigment dual serum designed to reduce dark spots, help prevent their re-appearance and smooth fine lines for firmer, radiant skin. The lightweight, non-greasy formula targets uneven skin tone and supports a more uniform complexion.</t>
  </si>
  <si>
    <t>Aqua, Glycerin, Isopropyl Palmitate, Alcohol Denat., Butylene Glycol Dicaprylate/Dicaprate, Octocrylene, Methylpropanediol, Butyl Methoxydibenzoylmethane, Cetyl Alcohol, Dibutyl Adipate, Glyceryl Stearate Citrate, Isobutylamido Thiazolyl Resorcinol, Sodium Hyaluronate, Glycyrrhiza Inflata Root Extract, Tocopherol, Carbomer, Dimethicone, Phenoxyethanol, Trisodium EDTA, Fragrance</t>
  </si>
  <si>
    <t>https://images-1.eucerin.com/~/media/eucerin%20relaunch%20media/media-center-items/5/8/b/31c775884cd24d5ea395580fad180905-screen.jpg?db=web&amp;hash=878ffaf14c7c59996336f535a7d34fa4</t>
  </si>
  <si>
    <t>Roopsee-F-SE-89</t>
  </si>
  <si>
    <t>The derma co 10% Cica-Glow Face Serum with Tranexamic Acid &amp; Kojic Acid - 30ml</t>
  </si>
  <si>
    <t>The derma co</t>
  </si>
  <si>
    <t>Cica Extract</t>
  </si>
  <si>
    <t>2% Kojic Acid, Tranexamic Acid</t>
  </si>
  <si>
    <t>A super lightweight face serum with Cica extract, Kojic Acid and Tranexamic Acid to help even skin tone, fade dark spots and control melanin production. The formula also helps fight free-radical damage with anti-inflammatory and antioxidant benefits.</t>
  </si>
  <si>
    <t>Water, Cica Extract, Niacinamide, Tranexamic Acid, Alpha Arbutin, 1,3 - Propanediol, 3-O-Ethyl Ascorbic acid, Gluconolactone, Diethylene Glycol Monoethyl Ether, Phenoxyethanol, Kojic Acid, Citric Acid, Hydroxy Ethyl Cellulose, Ethylhexylglycerin, Sodium Metabisulphite, Xanthan Gum, Sodium Gluconate, Sclerotium Gum, Lecithin, Pullulan, Ferulic Acid, Licorice Extract, Goji Berry Extract &amp; Silica</t>
  </si>
  <si>
    <t>Ingredient caution: PHA might cause stinging, dryness, peeling, redness and increased sun sensitivity; vitamin C/ascorbic derivatives might cause tingling, redness or irritation in sensitive skin; niacinamide is usually gentle but might cause tingling or flushing in very reactive skin; alpha arbutin, kojic acid, licorice extract, tranexamic acid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</si>
  <si>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r>
      <rPr>
        <color rgb="FF1155CC"/>
        <u/>
      </rPr>
      <t>https://thedermaco.com/cdn/shop/files/cica-glow-fs-2.jpg?v=1758286646&amp;width=1080</t>
    </r>
    <r>
      <rPr/>
      <t/>
    </r>
    <r>
      <rPr>
        <color rgb="FF1155CC"/>
        <u/>
      </rPr>
      <t>https://thedermaco.com/cdn/shop/files/cica-glow-fs-7.jpg?v=1772475004&amp;width=1080</t>
    </r>
    <r>
      <rPr/>
      <t/>
    </r>
    <r>
      <rPr>
        <color rgb="FF1155CC"/>
        <u/>
      </rPr>
      <t>https://thedermaco.com/cdn/shop/files/cica-glow-fs-3.jpg?v=1772475004&amp;width=1080</t>
    </r>
    <r>
      <rPr/>
      <t/>
    </r>
    <r>
      <rPr>
        <color rgb="FF1155CC"/>
        <u/>
      </rPr>
      <t>https://thedermaco.com/cdn/shop/files/cica-glow-fs-5.jpg?v=1772475004&amp;width=1080</t>
    </r>
    <r>
      <rPr/>
      <t/>
    </r>
    <r>
      <rPr>
        <color rgb="FF1155CC"/>
        <u/>
      </rPr>
      <t>https://thedermaco.com/cdn/shop/files/cica-glow-fw.jpg?v=1772475004&amp;width=1080</t>
    </r>
  </si>
  <si>
    <t>Roopsee-F-SE-90</t>
  </si>
  <si>
    <t>The derma co 3% Kojic Acid Dark Spot Corrector Gel with Azelaic &amp; Tranexamic Acid - 30g</t>
  </si>
  <si>
    <t>Kojic Acid (3%)</t>
  </si>
  <si>
    <t>Azelaic Acid, Tranexamic Acid</t>
  </si>
  <si>
    <t>A dark spot corrector gel with Kojic Acid, Azelaic Acid and Tranexamic Acid that helps remove dead and dark cells while promoting a clearer skin tone. Regular use helps reduce melanin formation and targets acne scars, pigmentation, age spots and blemishes.</t>
  </si>
  <si>
    <t>Aqua, Caprylic/Capric Triglycerides, Glycolic Acid, Kojic Acid Dipalmitate, Butyrospermum Parkii (Shea) Butter, Sodium Acrylate/Sodium Acryloyldimethyl Taurate Copolymer, Hydrogenated Polydecene, Trideceth-6, Sorbitan Laurate, 4-n-Butyl Resorcinol, Butylene Glycol, Cetearyl Alcohol, Dicetyl Phosphate, Ceteth-10 Phosphate, Azelaic Acid, Tranexamic Acid, Cetyl Acetate, Arbutin, Lecithin, Cetearyl Alcohol, Ceteareth-20, Glycyrrhiza Glabra (Licorice) Root Extract, Morus Alba (Mulberry) Extract, Laminaria Digitata Extract, Cetyl-PG Hydroxyethyl Palmitamide, Ceramide 1, Ceramide 2, Ceramide 3, Ceramide 4, Ceramide 6 II, Propylene Glycol, L-Arginine, Phenoxyethanol, Ethylhexylglycerin, Sodium Hyaluronate, Xanthan Gum, Sodium Hydroxide, Sodium Metabisulfite, Pentaerythrityl Tetra-di-t-butyl Hydroxyhydrocinnamate</t>
  </si>
  <si>
    <t>Ingredient caution: glycolic acid/AHA might cause stinging, dryness, peeling, redness and increased sun sensitivity; alpha arbutin, azelaic acid, kojic acid, licorice extract, tranexamic acid might cause tingling, dryness or redness in sensitive skin; rich oils, butters or occlusive emollients might feel heavy or clog pores in acne-prone/oily skin; preservatives such as phenoxyethanol/benzyl alcohol might sting very sensitive or compromised skin. Do a patch test before applying. First-time users should start 3–4 times a week, avoid using it with retinol or other exfoliating acids in the same routine, and apply sunscreen daily. First-time users should start 3–4 times a week and pair with sunscreen, because pigmentation care works best with UV protection. Use a small amount first and avoid applying on active acne if it feels greasy. Do not apply on broken, freshly waxed or irritated skin. Stop use if irritation persists.</t>
  </si>
  <si>
    <r>
      <rPr>
        <color rgb="FF1155CC"/>
        <u/>
      </rPr>
      <t>https://thedermaco.com/cdn/shop/files/1st-image_2_6.jpg?v=1758286736&amp;width=1080</t>
    </r>
    <r>
      <rPr/>
      <t/>
    </r>
    <r>
      <rPr>
        <color rgb="FF1155CC"/>
        <u/>
      </rPr>
      <t>https://thedermaco.com/cdn/shop/files/kojic-darkspot-gel..jpg?v=1772449944&amp;width=1080</t>
    </r>
    <r>
      <rPr/>
      <t/>
    </r>
    <r>
      <rPr>
        <color rgb="FF1155CC"/>
        <u/>
      </rPr>
      <t>https://thedermaco.com/cdn/shop/files/kojic-darkspot-gel_3.jpg?v=1772449944&amp;width=1200</t>
    </r>
    <r>
      <rPr/>
      <t/>
    </r>
    <r>
      <rPr>
        <color rgb="FF1155CC"/>
        <u/>
      </rPr>
      <t>https://thedermaco.com/cdn/shop/files/kojic-darkspot-gel_6.jpg?v=1772449944&amp;width=1080</t>
    </r>
    <r>
      <rPr/>
      <t/>
    </r>
    <r>
      <rPr>
        <color rgb="FF1155CC"/>
        <u/>
      </rPr>
      <t>https://thedermaco.com/cdn/shop/files/kojic-darkspot-gel_7.jpg?v=1772449944&amp;width=1080</t>
    </r>
  </si>
  <si>
    <t>Roopsee-F-TO-26</t>
  </si>
  <si>
    <t>Cosrx BHA Blackhead Power Liquid (Pack Size:100ml)</t>
  </si>
  <si>
    <t>Cosrx</t>
  </si>
  <si>
    <t>Betaine Salicylate (4%)</t>
  </si>
  <si>
    <t>Niacinamide, Willow Bark Water, Sodium Hyaluronate, Panthenol</t>
  </si>
  <si>
    <t>An exfoliating liquid with BHA and Niacinamide for gentle exfoliation and oil control. It helps clear clogged pores, prevent breakouts, reduce marks from spots and balance oil production, making it suitable for mid-level acid users.</t>
  </si>
  <si>
    <t>Water, Butylene Glycol, Betaine Salicylate, Niacinamide, 1,2-Hexanediol, Arginine, Panthenol, Sodium Hyaluronate, Xanthan Gum, Ethyl Hexanediol</t>
  </si>
  <si>
    <t>Ingredient caution: salicylic acid/BHA might cause stinging, dryness, peeling, redness and increased sun sensitivity; niacinamide is usually gentle but might cause tingling or flushing in very reactive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Start slowly if your skin is sensitive and avoid combining too many new actives at once. Apply on slightly damp skin and follow with moisturiser if dryness occurs. Stop use if irritation persists.</t>
  </si>
  <si>
    <t>Could verify product page, but the clean direct CDN image links were not exposed properly in the page view.</t>
  </si>
  <si>
    <t>Roopsee-F-SE-91</t>
  </si>
  <si>
    <t xml:space="preserve">OOTD Intensive Moisture Face Serum [50ml]
</t>
  </si>
  <si>
    <t>8 Hyaluronan Molecules (Hyaluronic Acid Complex)</t>
  </si>
  <si>
    <t xml:space="preserve">Glycerin &amp; Glycereth-26, Caprylic/Capric Triglyceride, Tocopherol/Vitamin E </t>
  </si>
  <si>
    <r>
      <rPr>
        <color rgb="FF1155CC"/>
        <u/>
      </rPr>
      <t>https://limese.com/cdn/shop/files/IntensiveMoistureSerum_1_dc617f23-44bb-454f-a7d4-63873e6ba73c_1800x1800.jpg?v=1730093481</t>
    </r>
    <r>
      <rPr/>
      <t/>
    </r>
    <r>
      <rPr>
        <color rgb="FF1155CC"/>
        <u/>
      </rPr>
      <t>https://limese.com/cdn/shop/files/IntensiveMoistureSerum_2_fba34d18-ba17-43bd-a0e8-067a41348e7a_1800x1800.jpg?v=1730093481</t>
    </r>
    <r>
      <rPr/>
      <t/>
    </r>
    <r>
      <rPr>
        <color rgb="FF1155CC"/>
        <u/>
      </rPr>
      <t>https://limese.com/cdn/shop/files/IntensiveMoistureSerum_3_5cd9130b-3650-4dc7-96b6-20936c916e33_1800x1800.jpg?v=1730093481</t>
    </r>
  </si>
  <si>
    <t>Roopsee-F-SE-92</t>
  </si>
  <si>
    <t>OOTD Overnight Exfoliating Face Serum [50ml]</t>
  </si>
  <si>
    <t>AHA (Glycolic Acid), BHA (Salicylic Acid)</t>
  </si>
  <si>
    <t>PHA Complex (Gluconic Acid, Lactobionic Acid, Mandelic Acid), Hyaluronic Acid, Papain</t>
  </si>
  <si>
    <t>An overnight face serum formulated with AHA, BHA, PHA Complex and Papain as effective ingredients. It gives mild yet effective exfoliation to promote skin cell renewal overnight, leaving skin smooth and refined.</t>
  </si>
  <si>
    <t>Water, Glycerin, Caprylic/Capric Triglyceride, Polypropylsilsesquioxane, Propanediol, C14-22 Alcohols, C12-20 Alkyl Glucoside, Glucose, Methylpropanediol, 1,2-Hexanediol, Cetearyl Alcohol, Tromethamine, Potassium Cetyl Phosphate, Butylene Glycol, Carbomer, Hydroxyethyl Acrylate/Sodium Acryloyldimethyl Taurate Copolymer, Sorbitan Isostearate, Butylene Glycol, Hydrolyzed Corn Starch, Sucrose, Ethylhexylglycerin, Fragrance, Disodium EDTA, Mannitol, Papain, Bromelain, Salicylic Acid Gluconolactone, Glycolic Acid</t>
  </si>
  <si>
    <t>Ingredient caution: PHA, glycolic acid/AHA, mandelic acid/AHA, salicylic acid/BHA might cause stinging, dryness, peeling, redness and increased sun sensitivity; fragrance, essential oils or fragrance allergens might trigger redness, itching or allergic irritation;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Avoid this product if you have fragrance allergy, eczema-prone skin or a damaged barrier. Apply on slightly damp skin and follow with moisturiser if dryness occurs. Avoid during pregnancy or breastfeeding unless your doctor approves. Stop use if irritation persists.</t>
  </si>
  <si>
    <r>
      <rPr>
        <color rgb="FF1155CC"/>
        <u/>
      </rPr>
      <t>https://limese.com/cdn/shop/files/ExfoliatingFaceSerum_1_c7860130-3d5c-4bfb-bf5a-b3e2985e5855_1800x1800.jpg?v=1730093127</t>
    </r>
  </si>
  <si>
    <t>Roopsee-F-TO-27</t>
  </si>
  <si>
    <t>OOTD Glycolic Exfoliating Toner [250ml]</t>
  </si>
  <si>
    <t>Dullness, Open Pores, Comedones</t>
  </si>
  <si>
    <t>A night-use AHA BHA Vitamin C Daily Clarifying Treatment Toner formulated with Glycolic Acid, Salicylic Acid, Peptide and Jasmine Water. It is fast absorbing, non-sticky, and made for sensitive skin and all skin types.</t>
  </si>
  <si>
    <t>Water, Butylene Glycol, 1,2-Hexanediol, Glycerin, Sodium Citrate, Ethylhexylglycerin, Allantoin, Propanediol, Polyglyceryl-10 Laurate, Citric Acid, Disodium EDTA, Salicylic Acid, Gluconolactone, Jasminum Officinale (Jasmine) Flower Extract, Glycolic Acid, Copper Tripeptide-1, Acetyl Hexapeptide-8, Oligopeptide-32, Oligopeptide-29, Palmitoyl Pentapeptide-4</t>
  </si>
  <si>
    <t>Ingredient caution: PHA, glycolic acid/AHA, salicylic acid/BHA might cause stinging, dryness, peeling, redness and increased sun sensitivity; vitamin C/ascorbic derivatives might cause tingling, redness or irritation in sensitive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Apply on slightly damp skin and follow with moisturiser if dryness occurs. Avoid during pregnancy or breastfeeding unless your doctor approves. Stop use if irritation persists.</t>
  </si>
  <si>
    <r>
      <rPr>
        <color rgb="FF1155CC"/>
        <u/>
      </rPr>
      <t>https://limese.com/cdn/shop/files/GlycolicToner_1_f27a92aa-b6af-43c8-bcec-57be6c7e1eb2_1800x1800.jpg?v=1730093254</t>
    </r>
  </si>
  <si>
    <t>Roopsee-RX-CL-01</t>
  </si>
  <si>
    <t>Benzac ac wash</t>
  </si>
  <si>
    <t>Galderma</t>
  </si>
  <si>
    <t>Acne, Body Acne, Comedones</t>
  </si>
  <si>
    <t>Benzoyl Peroxide</t>
  </si>
  <si>
    <t>A highly effective acne treatment wash with 5% benzoyl peroxide that helps kill acne-causing bacteria, unclog pores, blackheads and whiteheads, and reduce inflammation while acrylates copolymer beads absorb excess oil and glycerin helps leave skin feeling smooth and soft.</t>
  </si>
  <si>
    <t>Active: Benzoyl peroxide 50 mg/g. Inactives: Acrylates copolymer, glycerol, carbomer 940, sodium C14 - C16 olefin sulfonate, sodium hydroxide q.s. or citric acid q.s. for pH adjustment, purified water to 100g</t>
  </si>
  <si>
    <t>Ingredient caution: benzoyl peroxide might cause dryness, burning, peeling and fabric bleaching; cleansing surfactants might cause dryness, stinging or tightness if overused; humectants such as hyaluronic acid/glycerin are usually gentle but might feel sticky or tight if not sealed with moisturiser. Do a patch test before applying. First-time users should start 3–4 times a week or as tolerated, moisturise well, and avoid using it in the same routine as strong retinoids/acids. Use lukewarm water, do not scrub, and follow with moisturiser. Apply on slightly damp skin and follow with moisturiser if dryness occurs. Stop use if irritation persists.</t>
  </si>
  <si>
    <r>
      <rPr>
        <color rgb="FF1155CC"/>
        <u/>
      </rPr>
      <t>https://www.clinikally.com/cdn/shop/products/Benzacgelwash100ml.jpg?v=1677840273&amp;width=1000</t>
    </r>
    <r>
      <rPr/>
      <t/>
    </r>
    <r>
      <rPr>
        <color rgb="FF1155CC"/>
        <u/>
      </rPr>
      <t>https://www.clinikally.com/cdn/shop/products/Benzacgelwash100ml_1.jpg?v=1677840273&amp;width=1000</t>
    </r>
    <r>
      <rPr/>
      <t/>
    </r>
    <r>
      <rPr>
        <color rgb="FF1155CC"/>
        <u/>
      </rPr>
      <t>https://www.clinikally.com/cdn/shop/files/benzac-ac-5-gel-wash1.jpg?v=1741252547&amp;width=1000</t>
    </r>
    <r>
      <rPr/>
      <t/>
    </r>
    <r>
      <rPr>
        <color rgb="FF1155CC"/>
        <u/>
      </rPr>
      <t>https://cdn.shopify.com/s/files/1/0624/7265/0825/files/b8e71d84c79a34a895ae8fec027ec806.jpg?v=1731223985</t>
    </r>
    <r>
      <rPr/>
      <t/>
    </r>
    <r>
      <rPr>
        <color rgb="FF1155CC"/>
        <u/>
      </rPr>
      <t>https://cdn.shopify.com/s/files/1/0624/7265/0825/files/199631c3ae8774715edf48d48d9c4ea3.jpg?v=1731223985</t>
    </r>
  </si>
  <si>
    <t>Roopsee-F-SE-93</t>
  </si>
  <si>
    <t>OOTD Wrinkle Lift Retinol Serum [50ml]</t>
  </si>
  <si>
    <t>O+S, C, C+S, D, D+S, N, N+S</t>
  </si>
  <si>
    <t>Retinyl Palmitate</t>
  </si>
  <si>
    <t>Hippophae Rhamnoides Fruit Extract (Vitamin Tree Water), Vitamin E</t>
  </si>
  <si>
    <t>An intensive anti-wrinkle serum formulated with Retinol and Vitamin Tree Water to fade the appearance of age spots, reduce the look of fine lines and wrinkles, and nourish and renew the look of skin for a youthful look.</t>
  </si>
  <si>
    <t>Water, Isopentyldiol, Glycerin, 1,2-Hexanediol, Butylene Glycol, Betaine, Hydroxyethylcellulose, Propanediol, Polyglyceryl-10 Laurate, Ethylhexylglycerin, Dipotassium Glycyrrhizate, Disodium EDTA, Sodium Hyaluronate, Hippophae Rhamnoides Fruit Extract, Phaseolus Radiatus Seed Extract, Beta-Glucan, Retinyl Palmitate, Arachis Hypogaea (Peanut) Oil, Tocopheryl Acetate, Tocopherol</t>
  </si>
  <si>
    <t>Ingredient caution: retinol/retinoids might cause dryness, peeling, redness, purging and sun sensitivity; humectants such as hyaluronic acid/glycerin are usually gentle but might feel sticky or tight if not sealed with moisturiser. Do a patch test before applying. Retinol is not advised for pregnant or breastfeeding women unless approved by a doctor. First-time users should start 3–4 times a week at night, avoid layering with exfoliating acids, and use sunscreen daily. Apply on slightly damp skin and follow with moisturiser if dryness occurs. Stop use if irritation persists.</t>
  </si>
  <si>
    <r>
      <rPr>
        <color rgb="FF1155CC"/>
        <u/>
      </rPr>
      <t>https://limese.com/cdn/shop/files/RetinolSerum_1_eb63828b-fb3f-439f-bee4-c262f2621a7d_1800x1800.jpg?v=1730093850</t>
    </r>
    <r>
      <rPr/>
      <t/>
    </r>
    <r>
      <rPr>
        <color rgb="FF1155CC"/>
        <u/>
      </rPr>
      <t>https://limese.com/cdn/shop/files/RetinolSerum_2_31f3acc1-4985-4ba1-a6e5-b27455dc5692_1800x1800.jpg?v=1730093850</t>
    </r>
    <r>
      <rPr/>
      <t/>
    </r>
    <r>
      <rPr>
        <color rgb="FF1155CC"/>
        <u/>
      </rPr>
      <t>https://limese.com/cdn/shop/files/RetinolSerum_3_dae57d56-2b10-40ea-bd88-c10919bbda7a_1800x1800.jpg?v=1730093850</t>
    </r>
    <r>
      <rPr/>
      <t/>
    </r>
    <r>
      <rPr>
        <color rgb="FF1155CC"/>
        <u/>
      </rPr>
      <t>https://limese.com/cdn/shop/files/RetinolSerum_4_dfa65511-f1f8-4f15-8a42-c2f844a6784a_1800x1800.jpg?v=1730093850</t>
    </r>
    <r>
      <rPr/>
      <t/>
    </r>
    <r>
      <rPr>
        <color rgb="FF1155CC"/>
        <u/>
      </rPr>
      <t>https://limese.com/cdn/shop/files/RetinolSerum_6_65ae6653-86d6-4dd5-9a24-4917af3e28c9_1800x1800.jpg?v=1730093850</t>
    </r>
  </si>
  <si>
    <t>Roopsee-F-MA-26</t>
  </si>
  <si>
    <t>OOTD Cica Soothing Mask [25*10ea]</t>
  </si>
  <si>
    <t xml:space="preserve">10 pieces </t>
  </si>
  <si>
    <t>Centella Asiatica (Cica)</t>
  </si>
  <si>
    <t>Hyaluronic Acid, Chamomile (Chamomilla Recutita)</t>
  </si>
  <si>
    <t>An advanced nourishing and rejuvenating Cica sheet mask for troubled skin that helps soothe and rejuvenate with Cica, Hyaluronic Acid and Chamomile. It visibly firms the skin to appear luminous, rejuvenated and healthier looking.</t>
  </si>
  <si>
    <t>Water(Aqua), Glycerin, Methylpropanediol, 1,2-Hexanediol, Butylene Glycol, Carbomer, Tromethamine, Ethylhexylglycerin, Propanediol, Polyglyceryl-10 Laurate, Allantoin, Rosmarinus Officinalis (Rosemary) Leaf Oil, Lavandula Angustifolia (Lavender) Extract, Rosmarinus Officinalis (Rosemary) Extract, Calendula Officinalis Extract, Jasminum Officinale (Jasmine) Extract, Melissa Officinalis Extract, Chamomilla Recutita (Matricaria) Extract, Thymus Vulgaris (Thyme) Extract, Rosa Canina Fruit Extract, Hibiscus Sabdariffa Flower Extract, Cymbopogon Citratus Extract, Aspalathus Linearis Extract, Mentha Piperita (Peppermint) Extract, Centella Asiatica Extract, Hyaluronic Acid</t>
  </si>
  <si>
    <r>
      <rPr>
        <color rgb="FF1155CC"/>
        <u/>
      </rPr>
      <t>https://limese.com/cdn/shop/files/CicaSoothingMask_1_8ad18d3b-19f4-452f-bf17-1e7030db4986_1800x1800.jpg?v=1730092500</t>
    </r>
    <r>
      <rPr/>
      <t/>
    </r>
    <r>
      <rPr>
        <color rgb="FF1155CC"/>
        <u/>
      </rPr>
      <t>https://limese.com/cdn/shop/files/CicaSoothingMask_2_b400d16d-1529-4533-a9b5-f48435f1ff3e_1800x1800.jpg?v=1730092500</t>
    </r>
    <r>
      <rPr/>
      <t/>
    </r>
    <r>
      <rPr>
        <color rgb="FF1155CC"/>
        <u/>
      </rPr>
      <t>https://limese.com/cdn/shop/files/CicaSoothingMask_3_7a1abf27-4884-447e-a9f3-95993b98e5d6_1800x1800.jpg?v=1730092501</t>
    </r>
    <r>
      <rPr/>
      <t/>
    </r>
    <r>
      <rPr>
        <color rgb="FF1155CC"/>
        <u/>
      </rPr>
      <t>https://limese.com/cdn/shop/files/CicaSoothingMask_4_4c0a223c-334d-4fc9-b7f0-fde759a2b1b5_1800x1800.jpg?v=1730092501</t>
    </r>
    <r>
      <rPr/>
      <t/>
    </r>
    <r>
      <rPr>
        <color rgb="FF1155CC"/>
        <u/>
      </rPr>
      <t>https://limese.com/cdn/shop/files/CicaSoothingMask_5_b388b2f6-1f39-40f4-9e1a-d952bd6c22d3_1800x1800.jpg?v=1730092500</t>
    </r>
  </si>
  <si>
    <t>Roopsee-B-LO-01</t>
  </si>
  <si>
    <t>Be Bodywise 5 Lactic Acid Body Lotion - For 24H Moisturization, Improved Skin Texture, Smooth Skin</t>
  </si>
  <si>
    <t>Be Bodywise</t>
  </si>
  <si>
    <t>Lactic Acid 5%</t>
  </si>
  <si>
    <t>Aloe Vera Extract, Cica Extract, Vitamin E &amp; Botanical Oils</t>
  </si>
  <si>
    <t>Be Bodywise 5% Lactic Acid Body Lotion - For 24H Moisturization, Improved Skin Texture, Smooth Skin is a body lotion designed to hydrate, smooth and support the skin barrier for softer-feeling skin.</t>
  </si>
  <si>
    <t>Aqua, Glycerin, Lactic Acid, Shea Butter, Niacinamide, Cetearyl Alcohol, Glyceryl Stearate, Dimethicone, Phenoxyethanol, Fragrance.</t>
  </si>
  <si>
    <t>â€¢ Apply after cleansing while skin is slightly damp for better comfort.
 â€¢ Use a thin, even layer and add more only on dry areas if required.
 â€¢ Use daily to support softness and reduce tightness.
 â€¢ Apply extra care to rough areas such as elbows, knees, hands, or dry patches.
 â€¢ In the morning, follow with sunscreen on exposed areas.</t>
  </si>
  <si>
    <t>â€¢ Do not apply with wet or unclean hands into jars or tubs.
 â€¢ Do not use a very thick layer if it feels heavy, greasy, or pore-clogging.
 â€¢ Do not skip sunscreen in the daytime just because the skin feels moisturised.
 â€¢ Do not apply over irritated skin if it stings repeatedly.
 â€¢ Do not dilute with water inside the container.</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</si>
  <si>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Use a clean spatula or clean fingertip for jar formats whenever possible.</t>
  </si>
  <si>
    <t>â€¢ Use after cleansing and after lighter leave-on steps.
 â€¢ Massage gently until the layer feels even and comfortable.
 â€¢ Use morning and/or night depending on dryness.
 â€¢ Adjust quantity by season: lighter in humid weather, slightly more in dry weather.
 â€¢ Apply sunscreen after it in the morning when skin is exposed.</t>
  </si>
  <si>
    <t>Ingredient caution: lactic acid/AHA might cause stinging, dryness, peeling, redness and increased sun sensitivity; niacinamide is usually gentle but might cause tingling or flushing in very reactive skin; fragrance, essential oils or fragrance allergens might trigger redness, itching or allergic irritation; rich oils, butters or occlusive emollients might feel heavy or clog pores in acne-prone/oily skin.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Use a small amount first and avoid applying on active acne if it feels greasy. Stop use if irritation persists.</t>
  </si>
  <si>
    <r>
      <rPr>
        <color rgb="FF1155CC"/>
        <u/>
      </rPr>
      <t>https://i.mscwlns.co/media/misc/pdp_rcl/5-lactic-acid-body-lotion/IntroPage_ep3sog.jpg?tr=w-1080%2Cc-at_max</t>
    </r>
    <r>
      <rPr/>
      <t/>
    </r>
    <r>
      <rPr>
        <color rgb="FF1155CC"/>
        <u/>
      </rPr>
      <t>https://i.mscwlns.co/media/misc/pdp_rcl/5-lactic-acid-body-lotion/Artboard%202j_ges0lb.jpg?tr=w-500%2Cc-at_max</t>
    </r>
    <r>
      <rPr/>
      <t/>
    </r>
    <r>
      <rPr>
        <color rgb="FF1155CC"/>
        <u/>
      </rPr>
      <t>https://i.mscwlns.co/media/misc/pdp_rcl/5-lactic-acid-body-lotion/How%20to%20use9_lj1l3c.jpg?tr=w-500%2Cc-at_max</t>
    </r>
    <r>
      <rPr/>
      <t/>
    </r>
    <r>
      <rPr>
        <color rgb="FF1155CC"/>
        <u/>
      </rPr>
      <t>https://i.mscwlns.co/media/misc/pdp_rcl/5-lactic-acid-body-lotion/What%20makes%20it%20different__dyzytn.jpg?tr=w-500%2Cc-at_max</t>
    </r>
    <r>
      <rPr/>
      <t/>
    </r>
    <r>
      <rPr>
        <color rgb="FF1155CC"/>
        <u/>
      </rPr>
      <t>https://i.mscwlns.co/media/misc/pdp_rcl/5-lactic-acid-body-lotion/What%20makes%20it%20work_2_dymrpg.jpg?tr=w-500%2Cc-at_max</t>
    </r>
  </si>
  <si>
    <t>Roopsee-B-LO-03</t>
  </si>
  <si>
    <t>Chemist At Play AHA Body Lotion With Niacinamide Shea Butter Moisturizer For All Skin Types</t>
  </si>
  <si>
    <t>Chemist At Play</t>
  </si>
  <si>
    <t>AHA 5%</t>
  </si>
  <si>
    <t>Chemist At Play AHA Body Lotion With Niacinamide Shea Butter Moisturizer For All Skin Types is a body lotion designed to hydrate, smooth and support the skin barrier for softer-feeling skin.</t>
  </si>
  <si>
    <t>Aqua, Glycerin, Lactic Acid, Glycolic Acid, Niacinamide, Shea Butter, Cetearyl Alcohol, Glyceryl Stearate, Dimethicone, Phenoxyethanol, Fragrance.</t>
  </si>
  <si>
    <t>â€¢ Use at night or when you can keep the routine minimal afterward.
 â€¢ Start once weekly and increase only if your skin remains comfortable.
 â€¢ Apply gently without harsh pressure.
 â€¢ Moisturise well after use to support the skin barrier.
 â€¢ Use sunscreen consistently in the daytime.</t>
  </si>
  <si>
    <t>â€¢ Do not combine with other exfoliating steps in the same routine.
 â€¢ Do not scrub over active acne, cuts, rashes, or sunburn.
 â€¢ Do not use before or after waxing, shaving, threading, or procedures if skin is sensitive.
 â€¢ Do not use daily unless specifically advised and well tolerated.
 â€¢ Do not continue if skin becomes raw, shiny, painful, or persistently red.</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</si>
  <si>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Store away from shower splash and close immediately after use.</t>
  </si>
  <si>
    <t>â€¢ Use after cleansing, preferably in the evening.
 â€¢ Apply gently and avoid the eye area.
 â€¢ Rinse off if it is a wash-off format; leave on only if clearly directed.
 â€¢ Follow with a simple moisturiser.
 â€¢ Keep the next morning routine gentle and include sunscreen.</t>
  </si>
  <si>
    <r>
      <rPr>
        <color rgb="FF1155CC"/>
        <u/>
      </rPr>
      <t>https://innovist.com/cdn/shop/files/CAP---White-Bg-1st-ImageHPS-_-SS-copy-8.jpg?v=1756538281&amp;width=720</t>
    </r>
    <r>
      <rPr/>
      <t/>
    </r>
    <r>
      <rPr>
        <color rgb="FF1155CC"/>
        <u/>
      </rPr>
      <t>https://innovist.com/cdn/shop/files/First_Image_Guides__3x_ba86737c-8cfd-48e7-b3cc-d5da74cbfda2.jpg?v=1756538344&amp;width=1800</t>
    </r>
    <r>
      <rPr/>
      <t/>
    </r>
    <r>
      <rPr>
        <color rgb="FF1155CC"/>
        <u/>
      </rPr>
      <t>https://innovist.com/cdn/shop/files/2_473_1736742d-84c4-4883-8e6c-c08d9d5190f5.jpg?v=1756792606&amp;width=1800</t>
    </r>
    <r>
      <rPr/>
      <t/>
    </r>
    <r>
      <rPr>
        <color rgb="FF1155CC"/>
        <u/>
      </rPr>
      <t>https://innovist.com/cdn/shop/files/Our-Promise.jpg?v=1756792606&amp;width=720</t>
    </r>
  </si>
  <si>
    <t>Roopsee-B-LO-04</t>
  </si>
  <si>
    <t>Chemist at Play Bright Boost SPF Body Lotion, SPF 50+ PA++++, 24 hours moisturization</t>
  </si>
  <si>
    <t>Niacinamide 5%</t>
  </si>
  <si>
    <t>Ceramides, Aloe vera extract</t>
  </si>
  <si>
    <t>Chemist at Play Bright Boost SPF Body Lotion, SPF 50+ PA++++, 24 hours moisturization is a body lotion designed to hydrate, smooth and support the skin barrier for softer-feeling skin.</t>
  </si>
  <si>
    <t>Aqua, Homosalate, Octocrylene, Ethylhexyl Methoxycinnamate, Butyl Methoxydibenzoylmethane, Niacinamide, Shea Butter, Glycerin, Phenoxyethanol, Fragrance.</t>
  </si>
  <si>
    <t>â€¢ Use every morning as the last step before makeup or outdoor exposure.
 â€¢ Apply generously to all exposed areas, including face, neck, ears, and hands.
 â€¢ Reapply every 2-3 hours when outdoors, sweating, or after towel-drying.
 â€¢ Use even on cloudy days and when sitting near windows for long periods.
 â€¢ Let it settle for a few minutes before applying makeup.</t>
  </si>
  <si>
    <t>â€¢ Do not rely on a thin layer for full protection.
 â€¢ Do not skip reapplication during prolonged sun exposure.
 â€¢ Do not apply too close to the eyes if it causes watering or stinging.
 â€¢ Do not use an expired product, especially for outdoor protection.
 â€¢ Do not mix directly with moisturiser or foundation in your palm if it reduces even coverage.</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</si>
  <si>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Avoid leaving it in hot cars, window sills, or direct sunlight for long hours.</t>
  </si>
  <si>
    <t>â€¢ Use in the morning after moisturiser and before makeup.
 â€¢ Take enough quantity to cover face and neck evenly.
 â€¢ Spread in small sections until there are no missed patches.
 â€¢ Allow it to settle before stepping out.
 â€¢ Reapply during the day when exposed to sun, heat, sweat, or water.</t>
  </si>
  <si>
    <t>Ingredient caution: niacinamide is usually gentle but might cause tingling or flushing in very reactive skin; fragrance, essential oils or fragrance allergens might trigger redness, itching or allergic irritation; UV filters might sting around the eyes or irritate very sensitive skin; rich oils, butters or occlusive emollients might feel heavy or clog pores in acne-prone/oily skin. Do a patch test before applying. Start slowly if your skin is sensitive and avoid combining too many new actives at once. Avoid this product if you have fragrance allergy, eczema-prone skin or a damaged barrier. Patch test near the jawline first, avoid the eye corners, and remove gently at night. Use a small amount first and avoid applying on active acne if it feels greasy. Stop use if irritation persists.</t>
  </si>
  <si>
    <r>
      <rPr>
        <color rgb="FF1155CC"/>
        <u/>
      </rPr>
      <t>https://innovist.com/cdn/shop/files/Artboard1_6.jpg?v=1772187236&amp;width=720</t>
    </r>
    <r>
      <rPr/>
      <t/>
    </r>
    <r>
      <rPr>
        <color rgb="FF1155CC"/>
        <u/>
      </rPr>
      <t>https://innovist.com/cdn/shop/files/Artboard2_Option1.jpg?v=1772187236&amp;width=720</t>
    </r>
    <r>
      <rPr/>
      <t/>
    </r>
    <r>
      <rPr>
        <color rgb="FF1155CC"/>
        <u/>
      </rPr>
      <t>https://innovist.com/cdn/shop/files/Artboard4_c140a11f-b5cb-44b6-878c-0605b5e24339.jpg?v=1772187236&amp;width=720</t>
    </r>
    <r>
      <rPr/>
      <t/>
    </r>
    <r>
      <rPr>
        <color rgb="FF1155CC"/>
        <u/>
      </rPr>
      <t>https://innovist.com/cdn/shop/files/Artboard3_2.jpg?v=1772187236&amp;width=720</t>
    </r>
    <r>
      <rPr/>
      <t/>
    </r>
    <r>
      <rPr>
        <color rgb="FF1155CC"/>
        <u/>
      </rPr>
      <t>https://innovist.com/cdn/shop/files/Artboard5_Option2.jpg?v=1772187236&amp;width=720</t>
    </r>
  </si>
  <si>
    <t>Roopsee-B-WA-01</t>
  </si>
  <si>
    <t>The Sass Bar Daybreak Brightening Bodywash with Niacinamide +Vitamin C for Dull Skin</t>
  </si>
  <si>
    <t>The Sass Bar</t>
  </si>
  <si>
    <t>470g</t>
  </si>
  <si>
    <t>The Sass Bar Daybreak Brightening Bodywash with Niacinamide +Vitamin C for Dull Skin is a body wash formulated to cleanse daily build-up while supporting smoother, fresher-feeling body skin.</t>
  </si>
  <si>
    <t>Aqua, Sodium Laureth Sulfate, Cocamidopropyl Betaine, Glycerin, Niacinamide, Vitamin C, Fragrance, Sodium Chloride, Citric Acid, Phenoxyethanol.</t>
  </si>
  <si>
    <t>â€¢ Use on damp skin and massage gently without harsh rubbing.
 â€¢ Rinse thoroughly so no residue is left behind.
 â€¢ Follow with moisturiser to reduce dryness or tightness.
 â€¢ Use once or twice daily depending on comfort and climate.
 â€¢ Reduce frequency if skin feels stripped, squeaky, or overly dry.</t>
  </si>
  <si>
    <t>â€¢ Do not scrub aggressively or use very hot water.
 â€¢ Do not leave rinse-off products on the skin for longer than needed.
 â€¢ Do not use around the eyes unless the label says it is suitable.
 â€¢ Do not combine with multiple harsh cleansing steps if your skin feels dry.
 â€¢ Do not use on irritated cuts, rashes, or sunburned areas.</t>
  </si>
  <si>
    <t>â€¢ Wet the skin first with lukewarm water.
 â€¢ Take a small amount and massage gently for 30-60 seconds.
 â€¢ Rinse completely and pat dry; do not rub with a towel.
 â€¢ Use morning, evening, or after sweating as needed.
 â€¢ Follow with leave-on care while the skin is slightly comfortable, not overly dry.</t>
  </si>
  <si>
    <r>
      <rPr>
        <color rgb="FF1155CC"/>
        <u/>
      </rPr>
      <t>https://www.thesassbar.com/cdn/shop/files/2_26742f51-b9b7-4172-8113-1e086dadd53b.jpg?v=1770831993&amp;width=2000</t>
    </r>
    <r>
      <rPr/>
      <t/>
    </r>
    <r>
      <rPr>
        <color rgb="FF1155CC"/>
        <u/>
      </rPr>
      <t>https://www.thesassbar.com/cdn/shop/files/16_111c5291-1b72-4941-9eac-a0b2b902ead6.jpg?v=1770831993&amp;width=2000</t>
    </r>
    <r>
      <rPr/>
      <t/>
    </r>
    <r>
      <rPr>
        <color rgb="FF1155CC"/>
        <u/>
      </rPr>
      <t>https://www.thesassbar.com/cdn/shop/files/19_4563aee4-9b69-4958-94fd-be3dc996f434.jpg?v=1770831993&amp;width=2000</t>
    </r>
    <r>
      <rPr/>
      <t/>
    </r>
    <r>
      <rPr>
        <color rgb="FF1155CC"/>
        <u/>
      </rPr>
      <t>https://www.thesassbar.com/cdn/shop/files/17_33ffa618-eae8-43cc-b2a2-04b8bbe340c0.jpg?v=1770831993&amp;width=2000</t>
    </r>
    <r>
      <rPr/>
      <t/>
    </r>
    <r>
      <rPr>
        <color rgb="FF1155CC"/>
        <u/>
      </rPr>
      <t>https://www.thesassbar.com/cdn/shop/files/18_22be5261-cc5f-476d-b8cc-516dfd91dce2.jpg?v=1770831993&amp;width=2000</t>
    </r>
  </si>
  <si>
    <t>Roopsee-B-WA-02</t>
  </si>
  <si>
    <t>The Sass Bar Aurora Cooling Bodywash Cleanser with 2 Salicyclic Acid + Kaolin Clay For Oily Skin</t>
  </si>
  <si>
    <t>Salicylic Acid 2</t>
  </si>
  <si>
    <t>Kaolin Clay, Seaweed extract, Soy Milk Extract, Menthol</t>
  </si>
  <si>
    <t>The Sass Bar Aurora Cooling Bodywash Cleanser with Salicyclic Acid + Kaolin Clay For Oily Skin is a body wash formulated to cleanse daily build-up while supporting smoother, fresher-feeling body skin.</t>
  </si>
  <si>
    <t>Aqua, Sodium Laureth Sulfate, Cocamidopropyl Betaine, Glycerin, Salicylic Acid, Kaolin Clay, Fragrance, Sodium Chloride, Citric Acid, Phenoxyethanol.</t>
  </si>
  <si>
    <t>Ingredient caution: salicylic acid/BHA might cause stinging, dryness, peeling, redness and increased sun sensitivity; fragrance, essential oils or fragrance allergens might trigger redness, itching or allergic irritation;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Do not apply on broken, freshly waxed or irritated skin. Stop use if irritation persists.</t>
  </si>
  <si>
    <r>
      <rPr>
        <color rgb="FF1155CC"/>
        <u/>
      </rPr>
      <t>https://www.thesassbar.com/cdn/shop/files/2_0395e2e8-7bd0-4529-b95e-8dc9a4a1aa8c.jpg?v=1770832500&amp;width=2000</t>
    </r>
    <r>
      <rPr/>
      <t/>
    </r>
    <r>
      <rPr>
        <color rgb="FF1155CC"/>
        <u/>
      </rPr>
      <t>https://www.thesassbar.com/cdn/shop/files/12_dab13ba5-c078-43bd-bb22-996af152bd58.jpg?v=1770832500&amp;width=2000</t>
    </r>
    <r>
      <rPr/>
      <t/>
    </r>
    <r>
      <rPr>
        <color rgb="FF1155CC"/>
        <u/>
      </rPr>
      <t>https://www.thesassbar.com/cdn/shop/files/15_97ddfea1-11a7-4b88-906a-405889e31f72.jpg?v=1770832500&amp;width=2000</t>
    </r>
    <r>
      <rPr/>
      <t/>
    </r>
    <r>
      <rPr>
        <color rgb="FF1155CC"/>
        <u/>
      </rPr>
      <t>https://www.thesassbar.com/cdn/shop/files/14_3b73119c-e5d7-4bd2-9eb0-e1029a1886b9.jpg?v=1770832500&amp;width=2000</t>
    </r>
    <r>
      <rPr/>
      <t/>
    </r>
    <r>
      <rPr>
        <color rgb="FF1155CC"/>
        <u/>
      </rPr>
      <t>https://www.thesassbar.com/cdn/shop/files/13_e32098fa-93ea-44a4-9ed5-1baaa4c7a9c3.jpg?v=1770832500&amp;width=2000</t>
    </r>
  </si>
  <si>
    <t>Roopsee-B-WA-03</t>
  </si>
  <si>
    <t>The Sass Bar Dusk Exfoliating Bodywash with Lactic Acid + Centella for Sensitive Skin</t>
  </si>
  <si>
    <t>Lactic Acid 2%</t>
  </si>
  <si>
    <t>Cica</t>
  </si>
  <si>
    <t>The Sass Bar Dusk Exfoliating Bodywash with Lactic Acid + Centella for Sensitive Skin is a body wash formulated to cleanse daily build-up while supporting smoother, fresher-feeling body skin.</t>
  </si>
  <si>
    <t>Aqua, Sodium Laureth Sulfate, Cocamidopropyl Betaine, Glycerin, Lactic Acid, Centella Asiatica Extract, Vegan Milk, Fragrance, Sodium Chloride, Citric Acid, Phenoxyethanol.</t>
  </si>
  <si>
    <t>Ingredient caution: lactic acid/AHA might cause stinging, dryness, peeling, redness and increased sun sensitivity; fragrance, essential oils or fragrance allergens might trigger redness, itching or allergic irritation;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Avoid this product if you have fragrance allergy, eczema-prone skin or a damaged barrier. Use lukewarm water, do not scrub, and follow with moisturiser. Do not apply on broken, freshly waxed or irritated skin. Stop use if irritation persists.</t>
  </si>
  <si>
    <r>
      <rPr>
        <color rgb="FF1155CC"/>
        <u/>
      </rPr>
      <t>https://www.thesassbar.com/cdn/shop/files/PRA_0031copy.jpg?v=1705396879</t>
    </r>
    <r>
      <rPr/>
      <t/>
    </r>
    <r>
      <rPr>
        <color rgb="FF1155CC"/>
        <u/>
      </rPr>
      <t>https://www.thesassbar.com/cdn/shop/files/20_b7c606e2-628b-4046-b5c1-0b8bca83f475.jpg?v=1748091527</t>
    </r>
    <r>
      <rPr/>
      <t/>
    </r>
    <r>
      <rPr>
        <color rgb="FF1155CC"/>
        <u/>
      </rPr>
      <t>https://www.thesassbar.com/cdn/shop/files/21_d19422f6-e918-4c4e-bafa-575ad6e05032.jpg?v=1748091526</t>
    </r>
    <r>
      <rPr/>
      <t/>
    </r>
    <r>
      <rPr>
        <color rgb="FF1155CC"/>
        <u/>
      </rPr>
      <t>https://www.thesassbar.com/cdn/shop/files/10_03a8f492-642a-413d-b4ca-583cd3025524.jpg?v=1748091550</t>
    </r>
    <r>
      <rPr/>
      <t/>
    </r>
    <r>
      <rPr>
        <color rgb="FF1155CC"/>
        <u/>
      </rPr>
      <t>https://www.thesassbar.com/cdn/shop/files/11_eec880af-b5ce-419d-8079-e9b044e50f0e.jpg?v=1748091553</t>
    </r>
  </si>
  <si>
    <t>Roopsee-B-WA-04</t>
  </si>
  <si>
    <t>The Sass Bar Dawn Refill</t>
  </si>
  <si>
    <t>750g</t>
  </si>
  <si>
    <t>Plant Milk Blend (Hydrolyzed Coconut Milk, Sweet Almond Milk, Oat Milk)</t>
  </si>
  <si>
    <t>The Sass Bar Dawn Refill is a body wash formulated to cleanse daily build-up while supporting smoother, fresher-feeling body skin.</t>
  </si>
  <si>
    <r>
      <rPr>
        <color rgb="FF1155CC"/>
        <u/>
      </rPr>
      <t>https://www.thesassbar.com/cdn/shop/files/13.jpg?v=1729443179&amp;width=2000</t>
    </r>
    <r>
      <rPr/>
      <t/>
    </r>
    <r>
      <rPr>
        <color rgb="FF1155CC"/>
        <u/>
      </rPr>
      <t>https://www.thesassbar.com/cdn/shop/files/5_498bd17d-a3eb-4c94-854c-e046e02005f1.jpg?v=1729317900&amp;width=2000</t>
    </r>
    <r>
      <rPr/>
      <t/>
    </r>
    <r>
      <rPr>
        <color rgb="FF1155CC"/>
        <u/>
      </rPr>
      <t>https://www.thesassbar.com/cdn/shop/files/14.jpg?v=1729443201&amp;width=2000</t>
    </r>
    <r>
      <rPr/>
      <t/>
    </r>
    <r>
      <rPr>
        <color rgb="FF1155CC"/>
        <u/>
      </rPr>
      <t>https://www.thesassbar.com/cdn/shop/files/15.jpg?v=1729443242&amp;width=2000</t>
    </r>
    <r>
      <rPr/>
      <t/>
    </r>
    <r>
      <rPr>
        <color rgb="FF1155CC"/>
        <u/>
      </rPr>
      <t>https://www.thesassbar.com/cdn/shop/files/16.jpg?v=1729443278&amp;width=2000</t>
    </r>
  </si>
  <si>
    <t>Roopsee-B-WA-05</t>
  </si>
  <si>
    <t>Be Bodywise 1 Salicylic Acid Body Wash</t>
  </si>
  <si>
    <t>375ml</t>
  </si>
  <si>
    <t>Salicylic Acid 1%</t>
  </si>
  <si>
    <t>Witch Hazel, Zinc</t>
  </si>
  <si>
    <t>Be Bodywise 1% Salicylic Acid Body Wash is a body wash formulated to cleanse daily build-up while supporting smoother, fresher-feeling body skin.</t>
  </si>
  <si>
    <t>Aqua, Sodium Laureth Sulfate, Cocamidopropyl Betaine, Glycerin, Salicylic Acid, Niacinamide, Menthol, Fragrance, Sodium Chloride, Citric Acid, Phenoxyethanol.</t>
  </si>
  <si>
    <t>Ingredient caution: salicylic acid/BHA might cause stinging, dryness, peeling, redness and increased sun sensitivity; niacinamide is usually gentle but might cause tingling or flushing in very reactive skin; fragrance, essential oils or fragrance allergens might trigger redness, itching or allergic irritation; cleansing surfactants might cause dryness, stinging or tightness if overused.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Use lukewarm water, do not scrub, and follow with moisturiser. Stop use if irritation persists.</t>
  </si>
  <si>
    <r>
      <rPr>
        <color rgb="FF1155CC"/>
        <u/>
      </rPr>
      <t>https://i.mscwlns.co/media/misc/pdp_rcl/1-salicylic-acid-body-wash/250ml%20-%20Hero_iihi7g.jpg?tr=w-1080%2Cc-at_max</t>
    </r>
    <r>
      <rPr/>
      <t/>
    </r>
    <r>
      <rPr>
        <color rgb="FF1155CC"/>
        <u/>
      </rPr>
      <t>https://i.mscwlns.co/media/misc/pdp_rcl/1-salicylic-acid-body-wash/250ml%20-%20slide%202_gd3cxf.jpg?tr=w-500%2Cc-at_max</t>
    </r>
    <r>
      <rPr/>
      <t/>
    </r>
    <r>
      <rPr>
        <color rgb="FF1155CC"/>
        <u/>
      </rPr>
      <t>https://i.mscwlns.co/media/misc/pdp_rcl/1-salicylic-acid-body-wash/slide%203%20%281%29_etxrzg.jpg?tr=w-500%2Cc-at_max</t>
    </r>
    <r>
      <rPr/>
      <t/>
    </r>
    <r>
      <rPr>
        <color rgb="FF1155CC"/>
        <u/>
      </rPr>
      <t>https://i.mscwlns.co/media/misc/pdp_rcl/1-salicylic-acid-body-wash/slide%204%20%281%29_674ugg.jpg?tr=w-500%2Cc-at_max</t>
    </r>
    <r>
      <rPr/>
      <t/>
    </r>
    <r>
      <rPr>
        <color rgb="FF1155CC"/>
        <u/>
      </rPr>
      <t>https://i.mscwlns.co/media/misc/pdp_rcl/1-salicylic-acid-body-wash/slide%205_9ebon4.png?tr=w-500%2Cc-at_max</t>
    </r>
  </si>
  <si>
    <t>Roopsee-B-WA-06</t>
  </si>
  <si>
    <t>Be Bodywise Hyaluronic Acid Body Wash For Dry Skin - With 3 Essential Ceramides &amp; Aloe Vera Extract</t>
  </si>
  <si>
    <t>Hyaluronic Acid 1%</t>
  </si>
  <si>
    <t>Be Bodywise Hyaluronic Acid Body Wash For Dry Skin - With 3 Essential Ceramides &amp; Aloe Vera Extract is a body wash formulated to cleanse daily build-up while supporting smoother, fresher-feeling body skin.</t>
  </si>
  <si>
    <t>Aqua, Sodium Laureth Sulfate, Cocamidopropyl Betaine, Glycerin, Hyaluronic Acid, Ceramide Complex, Aloe Vera Extract, Fragrance, Sodium Chloride, Citric Acid, Phenoxyethanol.</t>
  </si>
  <si>
    <r>
      <rPr>
        <color rgb="FF1155CC"/>
        <u/>
      </rPr>
      <t>https://i.mscwlns.co/media/misc/pdp_rcl/hyaluronic-acid-body-wash/Product_Hero%20copy_klci48.jpg?tr=w-1080%2Cc-at_max</t>
    </r>
    <r>
      <rPr/>
      <t/>
    </r>
    <r>
      <rPr>
        <color rgb="FF1155CC"/>
        <u/>
      </rPr>
      <t>https://i.mscwlns.co/media/misc/pdp_rcl/hyaluronic-acid-body-wash/What%20is%20it%20good%20for_%20%289%29_cwh4ss.jpg?tr=w-500%2Cc-at_max</t>
    </r>
    <r>
      <rPr/>
      <t/>
    </r>
    <r>
      <rPr>
        <color rgb="FF1155CC"/>
        <u/>
      </rPr>
      <t>https://i.mscwlns.co/media/misc/pdp_rcl/hyaluronic-acid-body-wash/What%27s%20inside%20it_%20%2811%29_8t30sa.jpg?tr=w-500%2Cc-at_max</t>
    </r>
    <r>
      <rPr/>
      <t/>
    </r>
    <r>
      <rPr>
        <color rgb="FF1155CC"/>
        <u/>
      </rPr>
      <t>https://i.mscwlns.co/media/misc/pdp_rcl/hyaluronic-acid-body-wash/You%20will%20love%20the%20results%21%20%284%29_4ldcap.jpg?tr=w-500%2Cc-at_max</t>
    </r>
    <r>
      <rPr/>
      <t/>
    </r>
    <r>
      <rPr>
        <color rgb="FF1155CC"/>
        <u/>
      </rPr>
      <t>https://i.mscwlns.co/media/misc/pdp_rcl/hyaluronic-acid-body-wash/How%20is%20diffrence_6b1mem.jpg?tr=w-500%2Cc-at_max</t>
    </r>
  </si>
  <si>
    <t>Roopsee-B-WA-07</t>
  </si>
  <si>
    <t>Fixderma Salyzap 2 Salicylic Acid Body Wash Acne Control Back Acne Body Wash for Women &amp; Men</t>
  </si>
  <si>
    <t>Salicylic Acid 2%</t>
  </si>
  <si>
    <t>Tea Tree Oil and Azelaic Acid</t>
  </si>
  <si>
    <t>Fixderma Salyzap 2% Salicylic Acid Body Wash Acne Control Back Acne Body Wash for Women &amp; Men is a body wash formulated to cleanse daily build-up while supporting smoother, fresher-feeling body skin.</t>
  </si>
  <si>
    <t>Aqua, Sodium Laureth Sulfate, Cocamidopropyl Betaine, Glycerin, Salicylic Acid, Zinc PCA, Tea Tree Oil, Fragrance, Sodium Chloride, Citric Acid, Phenoxyethanol.</t>
  </si>
  <si>
    <t>Ingredient caution: salicylic acid/BHA might cause stinging, dryness, peeling, redness and increased sun sensitivity; azelaic acid might cause tingling, dryness or redness in sensitive skin; sulfur/zinc-based oil-control ingredients might feel drying or tight on already dry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First-time users should start 3–4 times a week and pair with sunscreen, because pigmentation care works best with UV protection. Use a moisturiser and reduce frequency if the skin feels tight or flaky. Avoid this product if you have fragrance allergy, eczema-prone skin or a damaged barrier. Stop use if irritation persists.</t>
  </si>
  <si>
    <r>
      <rPr>
        <color rgb="FF1155CC"/>
        <u/>
      </rPr>
      <t>https://www.fixderma.com/cdn/shop/files/FDSALYZAPACNEBODYWASH100ML90434.webp?v=1774257098</t>
    </r>
    <r>
      <rPr/>
      <t/>
    </r>
    <r>
      <rPr>
        <color rgb="FF1155CC"/>
        <u/>
      </rPr>
      <t>https://www.fixderma.com/cdn/shop/files/salyzap-salicylic-acid-body-wash-for-acne-2.webp?v=1774257098</t>
    </r>
    <r>
      <rPr/>
      <t/>
    </r>
    <r>
      <rPr>
        <color rgb="FF1155CC"/>
        <u/>
      </rPr>
      <t>https://www.fixderma.com/cdn/shop/files/salyzap-salicylic-acid-body-wash-for-acne-3.webp?v=1774257098</t>
    </r>
    <r>
      <rPr/>
      <t/>
    </r>
    <r>
      <rPr>
        <color rgb="FF1155CC"/>
        <u/>
      </rPr>
      <t>https://www.fixderma.com/cdn/shop/files/salyzap-salicylic-acid-body-wash-for-acne-4.webp?v=1774257098</t>
    </r>
    <r>
      <rPr/>
      <t/>
    </r>
    <r>
      <rPr>
        <color rgb="FF1155CC"/>
        <u/>
      </rPr>
      <t>https://www.fixderma.com/cdn/shop/files/salyzap-salicylic-acid-body-wash-for-acne-6.webp?v=1774257098</t>
    </r>
  </si>
  <si>
    <t>Roopsee-B-WA-08</t>
  </si>
  <si>
    <t>Chemist At Play Exfoliating Body Wash with 4 Lactic Acid &amp; Salicylic Acid, Prevents Body Acne</t>
  </si>
  <si>
    <t>Salicylic Acid 4</t>
  </si>
  <si>
    <t>Chemist At Play Exfoliating Body Wash with 4% Lactic Acid &amp; Salicylic Acid, Prevents Body Acne is a body wash formulated to cleanse daily build-up while supporting smoother, fresher-feeling body skin.</t>
  </si>
  <si>
    <t>Aqua, Sodium Laureth Sulfate, Cocamidopropyl Betaine, Glycerin, Lactic Acid, Salicylic Acid, Niacinamide, Fragrance, Sodium Chloride, Citric Acid, Phenoxyethanol.</t>
  </si>
  <si>
    <r>
      <rPr>
        <color rgb="FF1155CC"/>
        <u/>
      </rPr>
      <t>https://innovist.com/cdn/shop/files/First_Image_Guides_copy_2_3x_1879e414-8ce5-4d69-b04d-a8038a5b519b_1_1.jpg?v=1756540569&amp;width=720</t>
    </r>
    <r>
      <rPr/>
      <t/>
    </r>
    <r>
      <rPr>
        <color rgb="FF1155CC"/>
        <u/>
      </rPr>
      <t>https://innovist.com/cdn/shop/files/2_236_3x_066f0731-d201-44b2-b374-5bb40288f7a8_2_1.jpg?v=1769598634&amp;width=720</t>
    </r>
    <r>
      <rPr/>
      <t/>
    </r>
    <r>
      <rPr>
        <color rgb="FF1155CC"/>
        <u/>
      </rPr>
      <t>https://innovist.com/cdn/shop/files/De-Tan_card_Exf_BW.jpg?v=1772013758&amp;width=720</t>
    </r>
    <r>
      <rPr/>
      <t/>
    </r>
    <r>
      <rPr>
        <color rgb="FF1155CC"/>
        <u/>
      </rPr>
      <t>https://innovist.com/cdn/shop/files/3_236_3x_90f64096-482d-4084-9df4-66537d9ac99e_1.jpg?v=1769598634&amp;width=720</t>
    </r>
    <r>
      <rPr/>
      <t/>
    </r>
    <r>
      <rPr>
        <color rgb="FF1155CC"/>
        <u/>
      </rPr>
      <t>https://innovist.com/cdn/shop/files/4_236_3x_0dd37630-6ba6-4216-bdba-5bf7bc852e57_1.jpg?v=1769598634&amp;width=720</t>
    </r>
  </si>
  <si>
    <t>Roopsee-F-CL-01</t>
  </si>
  <si>
    <t>CeraVe Hydrating Cleanser</t>
  </si>
  <si>
    <t>CeraVe</t>
  </si>
  <si>
    <t>USA</t>
  </si>
  <si>
    <t>Hyaluronic acid</t>
  </si>
  <si>
    <t>Ceramides, Glycerin</t>
  </si>
  <si>
    <t>CeraVe Hydrating Cleanser is a face cleanser designed to remove dirt, oil, sunscreen and daily impurities without disturbing the skin barrier when used correctly.</t>
  </si>
  <si>
    <t>Aqua/Water/Eau, Glycerin, Cetearyl Alcohol, Behentrimonium Methosulfate, Cetyl Alcohol, Stearyl Alcohol, Potassium Phosphate, Ceramide NP, Ceramide AP, Ceramide EOP, Carbomer, Dimethicone, Methylparaben, Phenoxyethanol, Sodium Lauroyl Lactylate, Cholesterol, Disodium EDTA, Propylparaben, Hydroxyethylcellulose, Dipotassium Phosphate, Tocopherol, Phytosphingosine, Xanthan Gum.</t>
  </si>
  <si>
    <r>
      <rPr>
        <color rgb="FF1155CC"/>
        <u/>
      </rPr>
      <t>https://www.ceraveindia.com/-/media/project/loreal/brand-sites/cerave/americas/in/scx/products/pdp/packshots/v2/hydrating-cleanser/in-hc-1-lg.webp?hash=B3C1284E6A4E460EE96C4B5A1713323E&amp;rev=-1%3Fw%3D667</t>
    </r>
    <r>
      <rPr/>
      <t/>
    </r>
    <r>
      <rPr>
        <color rgb="FF1155CC"/>
        <u/>
      </rPr>
      <t>https://www.ceraveindia.com/-/media/project/loreal/brand-sites/cerave/americas/in/scx/products/pdp/packshots/v2/hydrating-cleanser/in-hc-2-lg.webp?hash=7F0EA2C2C08CD833C44AA4A605A4EC33&amp;rev=-1%3Fw%3D667</t>
    </r>
    <r>
      <rPr/>
      <t/>
    </r>
    <r>
      <rPr>
        <color rgb="FF1155CC"/>
        <u/>
      </rPr>
      <t>https://www.ceraveindia.com/-/media/project/loreal/brand-sites/cerave/americas/in/scx/products/pdp/packshots/v2/hydrating-cleanser/in-hc-3-lg.webp?hash=230EB31E243D701485A63D0A7744E155&amp;rev=-1%3Fw%3D667</t>
    </r>
    <r>
      <rPr/>
      <t/>
    </r>
    <r>
      <rPr>
        <color rgb="FF1155CC"/>
        <u/>
      </rPr>
      <t>https://www.ceraveindia.com/-/media/project/loreal/brand-sites/cerave/americas/in/scx/products/pdp/packshots/v2/hydrating-cleanser/in-hc-4-lg.webp?hash=74E5C5A37167A88942CBC2DF4155032E&amp;rev=-1%3Fw%3D667</t>
    </r>
    <r>
      <rPr/>
      <t/>
    </r>
    <r>
      <rPr>
        <color rgb="FF1155CC"/>
        <u/>
      </rPr>
      <t>https://www.ceraveindia.com/-/media/project/loreal/brand-sites/cerave/americas/in/scx/products/pdp/packshots/v2/hydrating-cleanser/in-hc-5-lg.webp?hash=66B912D5F6F2B5E3DF1CE2BAEE50430F&amp;rev=-1%3Fw%3D667</t>
    </r>
  </si>
  <si>
    <t>Roopsee-F-CL-02</t>
  </si>
  <si>
    <t>Cetaphil Gentle Skin Cleanser</t>
  </si>
  <si>
    <t>Cetaphil</t>
  </si>
  <si>
    <t>Hydrating Glycerin, Panthenol</t>
  </si>
  <si>
    <t>Cleanse gently yet effectively with the Cetaphil Gentle Skin Cleanser (236 ml). It is a creamy, non-foaming facewash that effectively removes dirt, makeup, and impurities without disrupting the skinÃ¢â‚¬â„¢s natural moisture balance. Developed with a dermatologist-backed blend of niacinamide, vitamin B5, and glycerin, this facial cleanser helps strengthen the skin barrier while delivering lasting hydration. The mild, soothing texture of this Cetaphil fragrance-free facewash ensures skin feels soft, calm, and refreshed after every cleanse. Ideal for daily use, this facial cleanser supports healthy, resilient skin without irritation.</t>
  </si>
  <si>
    <t>Aqua, Glycerin, Hydrogenated Polyisobutene, Cetearyl Alcohol, Panthenol, Niacinamide, Pantolactone, Xanthan Gum, Sodium Benzoate, Citric Acid.</t>
  </si>
  <si>
    <r>
      <rPr>
        <color rgb="FF1155CC"/>
        <u/>
      </rPr>
      <t>https://www.cetaphil.in/dw/image/v2/BGGN_PRD/on/demandware.static/-/Sites-galderma-in-m-catalog/default/dw311450bb/GSC%20Revive%20A%2B/236%20ml/ATF/1.FoP-236.png?q=85&amp;sh=900&amp;sm=fit&amp;sw=900</t>
    </r>
    <r>
      <rPr/>
      <t/>
    </r>
    <r>
      <rPr>
        <color rgb="FF1155CC"/>
        <u/>
      </rPr>
      <t>https://www.cetaphil.in/dw/image/v2/BGGN_PRD/on/demandware.static/-/Sites-galderma-in-m-catalog/default/dw833193a5/GSC%20Revive%20A%2B/236%20ml/ATF/2.%20BoP%20Both.jpg?q=85&amp;sh=900&amp;sm=fit&amp;sw=900</t>
    </r>
    <r>
      <rPr/>
      <t/>
    </r>
    <r>
      <rPr>
        <color rgb="FF1155CC"/>
        <u/>
      </rPr>
      <t>https://www.cetaphil.in/dw/image/v2/BGGN_PRD/on/demandware.static/-/Sites-galderma-in-m-catalog/default/dwe38d2ad5/GSC%20Revive%20A%2B/236%20ml/ATF/2.BoP%20Dhar.jpg?q=85&amp;sh=900&amp;sm=fit&amp;sw=900</t>
    </r>
    <r>
      <rPr/>
      <t/>
    </r>
    <r>
      <rPr>
        <color rgb="FF1155CC"/>
        <u/>
      </rPr>
      <t>https://www.cetaphil.in/dw/image/v2/BGGN_PRD/on/demandware.static/-/Sites-galderma-in-m-catalog/default/dw1ddf0d2d/GSC%20Revive%20A%2B/236%20ml/ATF/0.%20New%20Look-1.jpg?q=85&amp;sh=900&amp;sm=fit&amp;sw=900</t>
    </r>
  </si>
  <si>
    <t>Roopsee-F-CL-03</t>
  </si>
  <si>
    <t>Cetaphil Hydrating Foaming Cream Cleanser For Men, for Dry to Normal Skin, Sensitive Skin</t>
  </si>
  <si>
    <t>Transform your skin with the Cetaphil Hydrating Foaming Cream Cleanser (236ml). This non-drying cleanser refreshes and revitalizes your skin and maintains your skin's natural protective barrier and pH balance for a radiant, healthy complexion. Also, this Cetaphil cream-to-foam cleanser is enriched with glycerin, aloe vera, and vitamin B5 to eliminate dirt, oil, and makeup effortlessly, promoting clearer skin.</t>
  </si>
  <si>
    <t>Water, Sodium Cocoyl Isethionate, Glycerin, Glycol DistearateÃ¢â‚¬â€¹,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</si>
  <si>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r>
      <rPr>
        <color rgb="FF1155CC"/>
        <u/>
      </rPr>
      <t>https://www.cetaphil.in/dw/image/v2/BGGN_PRD/on/demandware.static/-/Sites-galderma-in-m-catalog/en/dwffb8d644/soothing%20cleanser/HFCC/NO-BG-FoP.png?q=85&amp;sh=900&amp;sm=fit&amp;sw=900</t>
    </r>
    <r>
      <rPr/>
      <t/>
    </r>
    <r>
      <rPr>
        <color rgb="FF1155CC"/>
        <u/>
      </rPr>
      <t>https://www.cetaphil.in/dw/image/v2/BGGN_PRD/on/demandware.static/-/Sites-galderma-in-m-catalog/en/dwe155661f/soothing%20cleanser/HFCC/0.%20New%20Look.jpg?q=85&amp;sh=900&amp;sm=fit&amp;sw=900</t>
    </r>
    <r>
      <rPr/>
      <t/>
    </r>
    <r>
      <rPr>
        <color rgb="FF1155CC"/>
        <u/>
      </rPr>
      <t>https://www.cetaphil.in/dw/image/v2/BGGN_PRD/on/demandware.static/-/Sites-galderma-in-m-catalog/en/dw25df36f9/soothing%20cleanser/HFCC/2.%20Bop.jpg?q=85&amp;sh=900&amp;sm=fit&amp;sw=900</t>
    </r>
    <r>
      <rPr/>
      <t/>
    </r>
    <r>
      <rPr>
        <color rgb="FF1155CC"/>
        <u/>
      </rPr>
      <t>https://www.cetaphil.in/dw/image/v2/BGGN_PRD/on/demandware.static/-/Sites-galderma-in-m-catalog/en/dw1b8e49a9/soothing%20cleanser/HFCC/3.%20Benefits.jpg?q=85&amp;sh=900&amp;sm=fit&amp;sw=900</t>
    </r>
    <r>
      <rPr/>
      <t/>
    </r>
    <r>
      <rPr>
        <color rgb="FF1155CC"/>
        <u/>
      </rPr>
      <t>https://www.cetaphil.in/dw/image/v2/BGGN_PRD/on/demandware.static/-/Sites-galderma-in-m-catalog/en/dwe412dbe0/soothing%20cleanser/HFCC/5%20%20Ingredients.jpg?q=85&amp;sh=900&amp;sm=fit&amp;sw=900</t>
    </r>
  </si>
  <si>
    <t>Roopsee-F-CL-04</t>
  </si>
  <si>
    <t>COSRX Low pH Good Morning Gel Face Cleanser</t>
  </si>
  <si>
    <t>COSRX</t>
  </si>
  <si>
    <t>Oat Extract 6%</t>
  </si>
  <si>
    <t>Tea Tree Leaf Oil</t>
  </si>
  <si>
    <t>COSRX Low pH Good Morning Gel Face Cleanser is a face cleanser designed to remove dirt, oil, sunscreen and daily impurities without disturbing the skin barrier when used correctly.</t>
  </si>
  <si>
    <t>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t>
  </si>
  <si>
    <r>
      <rPr>
        <color rgb="FF1155CC"/>
        <u/>
      </rPr>
      <t>https://www.cosrx.com/cdn/shop/files/low-ph-good-morning-gel-cleanser-cosrx-official-1.jpg?v=1768785801</t>
    </r>
    <r>
      <rPr/>
      <t/>
    </r>
    <r>
      <rPr>
        <color rgb="FF1155CC"/>
        <u/>
      </rPr>
      <t>https://www.cosrx.com/cdn/shop/files/LowpH_Gel_Cleanser_02__1.webp?v=1780987993</t>
    </r>
    <r>
      <rPr/>
      <t/>
    </r>
    <r>
      <rPr>
        <color rgb="FF1155CC"/>
        <u/>
      </rPr>
      <t>https://www.cosrx.com/cdn/shop/files/LowpH_Gel_Cleanser_03.webp?v=1780904507</t>
    </r>
    <r>
      <rPr/>
      <t/>
    </r>
    <r>
      <rPr>
        <color rgb="FF1155CC"/>
        <u/>
      </rPr>
      <t>https://www.cosrx.com/cdn/shop/files/LowpH_Gel_Cleanser_04.webp?v=1780904507</t>
    </r>
    <r>
      <rPr/>
      <t/>
    </r>
    <r>
      <rPr>
        <color rgb="FF1155CC"/>
        <u/>
      </rPr>
      <t>https://www.cosrx.com/cdn/shop/files/LowpH_Gel_Cleanser_05.webp?v=1780904507</t>
    </r>
  </si>
  <si>
    <t>Roopsee-F-CL-05</t>
  </si>
  <si>
    <t>COSRX Salicylic Acid Daily Gentle Face Cleanser</t>
  </si>
  <si>
    <t>Salicylic Acid 5%</t>
  </si>
  <si>
    <t>Tea Tree Oil, Willow Bark Water</t>
  </si>
  <si>
    <t>COSRX Salicylic Acid Daily Gentle Face Cleanser is a face cleanser designed to remove dirt, oil, sunscreen and daily impurities without disturbing the skin barrier when used correctly.</t>
  </si>
  <si>
    <t>Water, Glycerin, Myristic Acid, Stearic Acid, Potassium Hydroxide, Lauric Acid, PEG-32, Glyceryl Stearate, Cocamidopropyl Betaine, Salicylic Acid, Melaleuca Alternifolia (Tea Tree) Leaf Oil, Salix Alba (Willow) Bark Water, Saccharomyces Ferment, Cryptomeria Japonica Leaf Extract, Nelumbo Nucifera Leaf Extract, Pinus Palustris Leaf Extract, Ulmus Davidiana Root Extract, Oenothera Biennis Flower Extract, Pueraria Lobata Root Extract, Disodium EDTA.</t>
  </si>
  <si>
    <r>
      <rPr>
        <color rgb="FF1155CC"/>
        <u/>
      </rPr>
      <t>https://images-static.nykaa.com/media/catalog/product/5/2/52c16568809416471112_01.jpg</t>
    </r>
    <r>
      <rPr/>
      <t/>
    </r>
    <r>
      <rPr>
        <color rgb="FF1155CC"/>
        <u/>
      </rPr>
      <t>https://images-static.nykaa.com/media/catalog/product/5/2/52c16568809416471112_06.jpg</t>
    </r>
    <r>
      <rPr/>
      <t/>
    </r>
    <r>
      <rPr>
        <color rgb="FF1155CC"/>
        <u/>
      </rPr>
      <t>https://images-static.nykaa.com/media/catalog/product/5/2/52c16568809416471112_07.jpg</t>
    </r>
    <r>
      <rPr/>
      <t/>
    </r>
    <r>
      <rPr>
        <color rgb="FF1155CC"/>
        <u/>
      </rPr>
      <t>https://images-static.nykaa.com/media/catalog/product/5/2/52c16568809416471112_09.jpg</t>
    </r>
  </si>
  <si>
    <t>Roopsee-F-CL-06</t>
  </si>
  <si>
    <t>Minimalist 2 Salicylic Acid + LHA Face Cleanser With Zinc For Reducing Sebum &amp; Acne</t>
  </si>
  <si>
    <t>2% Salicylic Acid, LHA, Zinc PCA, Glycerin</t>
  </si>
  <si>
    <t>Reduces Sebum &amp; Prevents Breakout Without Drying Skin_x000D_
 _x000D_
 A daily, gentle exfoliating, acne fighting face cleanser. It combines BHA + LHA (Salicylic Acid + Capryloyl Salicylic Acid) in 2% concentration, which provides deep cleansing, pore decongestion &amp; sebum reduction without drying out the skin.</t>
  </si>
  <si>
    <t>Aqua, Glycerin, Cocamidopropyl Betaine, Propanediol, Sodium Lauroyl Methyl Isethionate, Xylitylglucoside, Anhydroxylitol, Xylitol, PEG-150 Pentaerythrityl Tetrastearate, PEG-120 Methyl Glucose Dioleate, Salicylic Acid, Capryloyl Salicylic Acid, Betaine, Avena Sativa (Oat) Kernel Extract, Pentylene Glycol, Capryloyl Panthenol, Allantoin, Zinc PCA, Sodium PCA, Coco-Glucoside, Glyceryl Oleate, Phenoxyethanol, Ethylhexylglycerin, Trisodium Ethylenediamine Disuccinate, Lactic Acid, Citric Acid, Sodium Citrate, Sodium Hydroxide.</t>
  </si>
  <si>
    <t>Ingredient caution: salicylic acid/BHA might cause stinging, dryness, peeling, redness and increased sun sensitivity; sulfur/zinc-based oil-control ingredients might feel drying or tight on already dry skin;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Use a moisturiser and reduce frequency if the skin feels tight or flaky. Use lukewarm water, do not scrub, and follow with moisturiser. Do not apply on broken, freshly waxed or irritated skin. Stop use if irritation persists.</t>
  </si>
  <si>
    <r>
      <rPr>
        <color rgb="FF1155CC"/>
        <u/>
      </rPr>
      <t>https://beminimalist.co/cdn/shop/files/SalicylicCleanserNew.jpg?v=1756796206&amp;width=1080</t>
    </r>
    <r>
      <rPr/>
      <t/>
    </r>
    <r>
      <rPr>
        <color rgb="FF1155CC"/>
        <u/>
      </rPr>
      <t>https://beminimalist.co/cdn/shop/files/Salicylic_Cleanser_2.png?v=1724763872&amp;width=1080</t>
    </r>
    <r>
      <rPr/>
      <t/>
    </r>
    <r>
      <rPr>
        <color rgb="FF1155CC"/>
        <u/>
      </rPr>
      <t>https://beminimalist.co/cdn/shop/files/Salicylic_Cleanser_3.png?v=1724763872&amp;width=1080</t>
    </r>
    <r>
      <rPr/>
      <t/>
    </r>
    <r>
      <rPr>
        <color rgb="FF1155CC"/>
        <u/>
      </rPr>
      <t>https://beminimalist.co/cdn/shop/files/Salicylic_Cleanser_4.png?v=1724763872&amp;width=1080</t>
    </r>
    <r>
      <rPr/>
      <t/>
    </r>
    <r>
      <rPr>
        <color rgb="FF1155CC"/>
        <u/>
      </rPr>
      <t>https://beminimalist.co/cdn/shop/files/Salicylic_Cleanser_5.png?v=1724763872&amp;width=1080</t>
    </r>
  </si>
  <si>
    <t>Roopsee-F-CL-08</t>
  </si>
  <si>
    <t>Derma co. 2 Salicylic Acid Gel Face Wash with Salicylic Acid &amp; Witch Hazel - 1ml</t>
  </si>
  <si>
    <t>Witch Hazel, Willow Bark, Panthenol</t>
  </si>
  <si>
    <t>Derma co. 2% Salicylic Acid Gel Face Wash with Salicylic Acid &amp; Witch Hazel - 100ml is a face cleanser designed to remove dirt, oil, sunscreen and daily impurities without disturbing the skin barrier when used correctly.</t>
  </si>
  <si>
    <t>Aqua, Sodium Lauroyl Sarcosinate, Acrylates Copolymer, Disodium Cocoamphodiacetate, Cocamidopropyl Betaine, Glycerin, Caprylyl/Capryl Glucoside, Sodium Methyl Cocoyl Taurate, Salicylic Acid, Glyceryl Glucoside, Sodium Hydroxide, Phenoxyethanol, Ethylhexylglycerin, Xylitol, Glucose, Anhydroxylitol, Phoenix Dactylifera Extract, Betaine, Hamamelis Virginiana Extract, PEG-8, Isostearamidopropyl Ethyldimonium Ethosulfate, Propylene Glycol, Olea Europaea Fruit Oil, Carthamus Tinctorius Seed Oil, Panthenol, Xylitylglucoside, Benzophenone-4, Saccharide Isomerate, Citric Acid, Sodium Citrate, Salix Alba Extract, Sodium Benzoate, Allantoin and Sodium Gluconate.</t>
  </si>
  <si>
    <t>Ingredient caution: salicylic acid/BHA might cause stinging, dryness, peeling, redness and increased sun sensitivity; cleansing surfactants might cause dryness, stinging or tightness if overused; rich oils, butters or occlusive emollients might feel heavy or clog pores in acne-prone/oily skin; preservatives such as phenoxyethanol/benzyl alcohol might sting very sensitive or compromised skin. Do a patch test before applying. First-time users should start 3–4 times a week, avoid using it with retinol or other exfoliating acids in the same routine, and apply sunscreen daily. Use lukewarm water, do not scrub, and follow with moisturiser. Use a small amount first and avoid applying on active acne if it feels greasy. Do not apply on broken, freshly waxed or irritated skin. Stop use if irritation persists.</t>
  </si>
  <si>
    <r>
      <rPr>
        <color rgb="FF1155CC"/>
        <u/>
      </rPr>
      <t>https://thedermaco.com/cdn/shop/files/pdp_2_salicylic_fw.jpg?v=1758287053&amp;width=1080</t>
    </r>
    <r>
      <rPr/>
      <t/>
    </r>
    <r>
      <rPr>
        <color rgb="FF1155CC"/>
        <u/>
      </rPr>
      <t>https://thedermaco.com/cdn/shop/files/5_2_salicylic_fw.jpg?v=1772703159&amp;width=1080</t>
    </r>
    <r>
      <rPr/>
      <t/>
    </r>
    <r>
      <rPr>
        <color rgb="FF1155CC"/>
        <u/>
      </rPr>
      <t>https://thedermaco.com/cdn/shop/files/1_2_salicylic_fw.jpg?v=1772703159&amp;width=1080</t>
    </r>
    <r>
      <rPr/>
      <t/>
    </r>
    <r>
      <rPr>
        <color rgb="FF1155CC"/>
        <u/>
      </rPr>
      <t>https://thedermaco.com/cdn/shop/files/2_2_salicylic_fw.jpg?v=1772703159&amp;width=1080</t>
    </r>
    <r>
      <rPr/>
      <t/>
    </r>
    <r>
      <rPr>
        <color rgb="FF1155CC"/>
        <u/>
      </rPr>
      <t>https://thedermaco.com/cdn/shop/files/4_2_salicylic_fw.jpg?v=1772703159&amp;width=1080</t>
    </r>
  </si>
  <si>
    <t>Roopsee-F-CL-09</t>
  </si>
  <si>
    <t>Foxtale Oil &amp; Acne Control Face Wash</t>
  </si>
  <si>
    <t>Foxtale</t>
  </si>
  <si>
    <t>Niacinamide, Cica, Hyaluronic Acid</t>
  </si>
  <si>
    <t>Foxtale Oil &amp; Acne Control Face Wash is a face cleanser designed to remove dirt, oil, sunscreen and daily impurities without disturbing the skin barrier when used correctly.</t>
  </si>
  <si>
    <t>Aqua, Sodium Lauroyl Sarcosinate, Cocamidopropyl Betaine, Glycerin, Acrylates Copolymer, Niacinamide, Salicylic Acid, Centella Asiatica Extract, Sodium Hyaluronate, Panthenol, Allantoin, Phenoxyethanol, Ethylhexylglycerin, Citric Acid, Sodium Hydroxide, Disodium EDTA.</t>
  </si>
  <si>
    <t>Ingredient caution: salicylic acid/BHA might cause stinging, dryness, peeling, redness and increased sun sensitivity; niacinamide is usually gentle but might cause tingling or flushing in very reactive skin;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Start slowly if your skin is sensitive and avoid combining too many new actives at once. Use lukewarm water, do not scrub, and follow with moisturiser. Do not apply on broken, freshly waxed or irritated skin. Stop use if irritation persists.</t>
  </si>
  <si>
    <r>
      <rPr>
        <color rgb="FF1155CC"/>
        <u/>
      </rPr>
      <t>https://cdn.shopify.com/s/files/1/0609/6096/4855/files/FXN-OAFW100_71.jpg?quality=60&amp;v=1777364507&amp;width=2048</t>
    </r>
    <r>
      <rPr/>
      <t/>
    </r>
    <r>
      <rPr>
        <color rgb="FF1155CC"/>
        <u/>
      </rPr>
      <t>https://cdn.shopify.com/s/files/1/0609/6096/4855/files/1_49_baa00f2560.jpg?quality=60&amp;v=1765792738&amp;width=1440</t>
    </r>
    <r>
      <rPr/>
      <t/>
    </r>
    <r>
      <rPr>
        <color rgb="FF1155CC"/>
        <u/>
      </rPr>
      <t>https://cdn.shopify.com/s/files/1/0609/6096/4855/files/2_46_5a0de3b227.jpg?quality=60&amp;v=1765792748&amp;width=1440</t>
    </r>
    <r>
      <rPr/>
      <t/>
    </r>
    <r>
      <rPr>
        <color rgb="FF1155CC"/>
        <u/>
      </rPr>
      <t>https://cdn.shopify.com/s/files/1/0609/6096/4855/files/3_44_982d1c1d43.jpg?quality=60&amp;v=1765792759&amp;width=1440</t>
    </r>
    <r>
      <rPr/>
      <t/>
    </r>
    <r>
      <rPr>
        <color rgb="FF1155CC"/>
        <u/>
      </rPr>
      <t>https://cdn.shopify.com/s/files/1/0609/6096/4855/files/4_33_7ad3dc68ac.jpg?quality=60&amp;v=1765792765&amp;width=1440</t>
    </r>
  </si>
  <si>
    <t>Roopsee-F-CL-10</t>
  </si>
  <si>
    <t>Simple Kind To Skin Refreshing Facial Wash</t>
  </si>
  <si>
    <t>Pro-Vitamin B5</t>
  </si>
  <si>
    <t>Vitamin E, Glycerin</t>
  </si>
  <si>
    <t>Simple Kind To Skin Refreshing Facial Wash is a face cleanser designed to remove dirt, oil, sunscreen and daily impurities without disturbing the skin barrier when used correctly.</t>
  </si>
  <si>
    <t>Aqua, Cocamidopropyl Betaine, PEG-7 Glyceryl Cocoate, Hydroxypropyl Methylcellulose, Panthenol, Tocopheryl Acetate, Bisabolol, Sodium Hydroxymethylglycinate, Sodium Chloride, Citric Acid, Disodium EDTA, Phenoxyethanol.</t>
  </si>
  <si>
    <r>
      <rPr>
        <color rgb="FF1155CC"/>
        <u/>
      </rPr>
      <t>https://www.simpleskincare.in/cdn/shop/files/27278-H_8909106061781_1080x1440.jpg?v=1769510079</t>
    </r>
    <r>
      <rPr/>
      <t/>
    </r>
    <r>
      <rPr>
        <color rgb="FF1155CC"/>
        <u/>
      </rPr>
      <t>https://www.simpleskincare.in/cdn/shop/files/27278-S1_8909106061781_1080x1440.jpg?v=1769510079</t>
    </r>
    <r>
      <rPr/>
      <t/>
    </r>
    <r>
      <rPr>
        <color rgb="FF1155CC"/>
        <u/>
      </rPr>
      <t>https://www.simpleskincare.in/cdn/shop/files/27278-S2_8909106061781_1080x1440.jpg?v=1769510079</t>
    </r>
    <r>
      <rPr/>
      <t/>
    </r>
    <r>
      <rPr>
        <color rgb="FF1155CC"/>
        <u/>
      </rPr>
      <t>https://www.simpleskincare.in/cdn/shop/files/27278-S3_8909106061781_1080x1440.jpg?v=1769510079</t>
    </r>
    <r>
      <rPr/>
      <t/>
    </r>
    <r>
      <rPr>
        <color rgb="FF1155CC"/>
        <u/>
      </rPr>
      <t>https://www.simpleskincare.in/cdn/shop/files/27278-S4_8909106061781_1080x1440.jpg?v=1769510079</t>
    </r>
  </si>
  <si>
    <t>Roopsee-F-CL-11</t>
  </si>
  <si>
    <t>The Derma Co 1 Salicylic Acid Face Wash for Active Acne with Salicylic Acid and Witch Hazel</t>
  </si>
  <si>
    <t>Witch Hazel, Willow Bark</t>
  </si>
  <si>
    <t>How about a cleanser that also exfoliates? Make way for 1% Salicylic Acid Gel Face Wash with Witch Hazel and Willow Bark that deeply penetrates pores to eliminate acne-causing bacteria and impurities. Salicylic Acid has anti-inflammatory properties that play an important role in fading away red-inflamed pimples. Use it regularly to heal and prevent acne breakouts and say hello to clearer and brighter skin. Ready for a filter-free selfie? So hop on the exfoliation wagon &amp; drive the path towards acne-free skin!</t>
  </si>
  <si>
    <t>Aqua, Sodium Alpha Olefin Sulfonate, Cocamidopropyl Betaine, Glycerin, Cocamide MEA, Sodium Lactate, Salicylic Acid, Salix Alba (Willow) Bark Extract, Hamamelis Virginiana (Witch Hazel) Extract, Coco-Glucoside,Glyceryl Oleate, PEG-120 Methyl Glucose Dioleate, Sodium Chloride, Phenoxyethanol, Triethylene glycol &amp; Disodium EDTA.</t>
  </si>
  <si>
    <r>
      <rPr>
        <color rgb="FF1155CC"/>
        <u/>
      </rPr>
      <t>https://thedermaco.com/cdn/shop/files/1st_1_1.jpg?v=1758286570&amp;width=1080</t>
    </r>
    <r>
      <rPr/>
      <t/>
    </r>
    <r>
      <rPr>
        <color rgb="FF1155CC"/>
        <u/>
      </rPr>
      <t>https://thedermaco.com/cdn/shop/files/texture_1.jpg?v=1772697061&amp;width=1080</t>
    </r>
    <r>
      <rPr/>
      <t/>
    </r>
    <r>
      <rPr>
        <color rgb="FF1155CC"/>
        <u/>
      </rPr>
      <t>https://thedermaco.com/cdn/shop/files/5th_1.jpg?v=1772703076&amp;width=1080</t>
    </r>
    <r>
      <rPr/>
      <t/>
    </r>
    <r>
      <rPr>
        <color rgb="FF1155CC"/>
        <u/>
      </rPr>
      <t>https://thedermaco.com/cdn/shop/files/4th_1.jpg?v=1772703076&amp;width=1080</t>
    </r>
    <r>
      <rPr/>
      <t/>
    </r>
    <r>
      <rPr>
        <color rgb="FF1155CC"/>
        <u/>
      </rPr>
      <t>https://thedermaco.com/cdn/shop/files/9th_1.jpg?v=1772697061&amp;width=1080</t>
    </r>
  </si>
  <si>
    <t>Roopsee-F-CL-12</t>
  </si>
  <si>
    <t>CeraVe Foaming Cleanser Face Was For Oily SkinWith Hyaluronic Acid, Ceramides &amp; Niacinamide</t>
  </si>
  <si>
    <t>A foaming facial cleanser is ideal for removing excess oil, dirt and makeupÃ¢â‚¬â€_x009d_and choosing one that's gentle, wonÃ¢â‚¬â„¢t disrupt your skinÃ¢â‚¬â„¢s natural protective barrier and contains ingredients that help maintain moisture balance can make all the difference. CeraVe Foaming Facial Cleanser features ceramides, hyaluronic acid and niacinamide to help restore the skinÃ¢â‚¬â„¢ moisture barrier, attract hydration and calm the skin._x000D_
 _x000D_
 CeraVe Foaming Facial Cleanser was developed with dermatologists to deeply cleanse, remove excess oil and refresh the skin without over-stripping it or leaving it feeling tight and dry. Featuring three essential ceramides, hyaluronic acid and niacinamide, this gel-based foaming cleanser is an effective yet non-irritating way to cleanse and care for your normal to oily skin.</t>
  </si>
  <si>
    <t>Ceramide,Hyaluronic Acid_x000D_
 _x000D_
 Aqua/Water, Cocamidopropyl Hydroxysultaine, Glycerin, Sodium Lauroyl Sarcosinate, Propanediol, Peg-150 Pentaerythrityl Tetrastearate, Niacinamide, Peg-6 Caprylic/Capric Glycerides, Ceramide Np, Ceramide Ap, Ceramide Eop, Carbomer, Sodium Methyl Cocoyl Taurate, Sodium Benzoate, Sodium Chloride, Sodium Lauroyl Lactylate, Sodium Hyaluronate, Cholesterol, Phenoxyethanol, Disodium Edta, Citric Acid, Tetrasodium Edta, Phytosphingosine, Xanthan Gum, Ethylhexylglycerin</t>
  </si>
  <si>
    <r>
      <rPr>
        <color rgb="FF1155CC"/>
        <u/>
      </rPr>
      <t>https://cdn.tirabeauty.com/v2/billowing-snowflake-434234/tira-p/wrkr/products/pictures/item/free/resize-w%3A540/zgbipNsWuR-1124775_1.jpg</t>
    </r>
    <r>
      <rPr/>
      <t/>
    </r>
    <r>
      <rPr>
        <color rgb="FF1155CC"/>
        <u/>
      </rPr>
      <t>https://cdn.tirabeauty.com/v2/billowing-snowflake-434234/tira-p/wrkr/products/pictures/item/free/resize-w%3A540/bDo544-oISR-1124775_2.jpg</t>
    </r>
    <r>
      <rPr/>
      <t/>
    </r>
    <r>
      <rPr>
        <color rgb="FF1155CC"/>
        <u/>
      </rPr>
      <t>https://cdn.tirabeauty.com/v2/billowing-snowflake-434234/tira-p/wrkr/products/pictures/item/free/resize-w%3A540/QI4I39XibSo-1124775_3.jpg</t>
    </r>
    <r>
      <rPr/>
      <t/>
    </r>
    <r>
      <rPr>
        <color rgb="FF1155CC"/>
        <u/>
      </rPr>
      <t>https://cdn.tirabeauty.com/v2/billowing-snowflake-434234/tira-p/wrkr/products/pictures/item/free/resize-w%3A540/lYu-Kbdg_8T-1124775_4.jpg</t>
    </r>
    <r>
      <rPr/>
      <t/>
    </r>
    <r>
      <rPr>
        <color rgb="FF1155CC"/>
        <u/>
      </rPr>
      <t>https://cdn.tirabeauty.com/v2/billowing-snowflake-434234/tira-p/wrkr/products/pictures/item/free/resize-w%3A540/hY6UX4Q33Dx-1124775_5.jpg</t>
    </r>
  </si>
  <si>
    <t>Roopsee-F-CL-13</t>
  </si>
  <si>
    <t>Cetaphil Oily Skin Cleanser</t>
  </si>
  <si>
    <t>118ml</t>
  </si>
  <si>
    <t>Panthenol, Glycerin</t>
  </si>
  <si>
    <t>Cetaphil Oily Skin Cleanser is a routine skincare product formulated with Niacinamide, Panthenol, Glycerin. It supports targeted concerns such as acne, pigentation, dullness, dehydration, texture, pores, aging, sensitivity or barrier repair depending on routine placement.</t>
  </si>
  <si>
    <t>Niacinamide, Panthenol, Glycerin</t>
  </si>
  <si>
    <t>Ingredient caution: niacinamide is usually gentle but might cause tingling or flushing in very reactive skin; cleansing surfactants might cause dryness, stinging or tightness if overused; humectants such as hyaluronic acid/glycerin are usually gentle but might feel sticky or tight if not sealed with moisturiser. Do a patch test before applying. Start slowly if your skin is sensitive and avoid combining too many new actives at once. Use lukewarm water, do not scrub, and follow with moisturiser. Apply on slightly damp skin and follow with moisturiser if dryness occurs. Stop use if irritation persists.</t>
  </si>
  <si>
    <r>
      <rPr>
        <color rgb="FF1155CC"/>
        <u/>
      </rPr>
      <t>https://www.cetaphil.in/dw/image/v2/BGGN_PRD/on/demandware.static/-/Sites-galderma-in-m-catalog/default/dw2803e62d/OSC%20Revive%20A%2B/OSC%20236ml/ATF/1.%20FoP.png?q=85&amp;sh=900&amp;sm=fit&amp;sw=900</t>
    </r>
    <r>
      <rPr/>
      <t/>
    </r>
    <r>
      <rPr>
        <color rgb="FF1155CC"/>
        <u/>
      </rPr>
      <t>https://www.cetaphil.in/dw/image/v2/BGGN_PRD/on/demandware.static/-/Sites-galderma-in-m-catalog/default/dw4d9f74cc/OSC%20Revive%20A%2B/OSC%20236ml/ATF/2.%20BoP.jpg?q=85&amp;sh=900&amp;sm=fit&amp;sw=900</t>
    </r>
  </si>
  <si>
    <t>Roopsee-F-CL-15</t>
  </si>
  <si>
    <t>The Derma Co 1 Kojic Acid Face Wash</t>
  </si>
  <si>
    <t>O, N, N+S, C, C+S</t>
  </si>
  <si>
    <t>Kojic acid 1%</t>
  </si>
  <si>
    <t>The Derma Co 1% Kojic Acid Face Wash is a routine skincare product formulated with Kojic Acid 1%, Niacinamide, Alpha Arbutin. It supports targeted concerns such as acne, pigentation, dullness, dehydration, texture, pores, aging, sensitivity or barrier repair depending on routine placement.</t>
  </si>
  <si>
    <t>Kojic Acid 1%, Niacinamide, Alpha Arbutin</t>
  </si>
  <si>
    <t>Ingredient caution: niacinamide is usually gentle but might cause tingling or flushing in very reactive skin; alpha arbutin, kojic acid might cause tingling, dryness or redness in sensitive skin; cleansing surfactants might cause dryness, stinging or tightness if overused. Do a patch test before applying. Start slowly if your skin is sensitive and avoid combining too many new actives at once. First-time users should start 3–4 times a week and pair with sunscreen, because pigmentation care works best with UV protection. Use lukewarm water, do not scrub, and follow with moisturiser. Avoid during pregnancy or breastfeeding unless your doctor approves. Stop use if irritation persists.</t>
  </si>
  <si>
    <r>
      <rPr>
        <color rgb="FF1155CC"/>
        <u/>
      </rPr>
      <t>https://thedermaco.com/cdn/shop/files/3_FOP_f8a230f4-58d5-4e93-ba77-6117a16b4347.jpg?v=1772447889&amp;width=1080</t>
    </r>
    <r>
      <rPr/>
      <t/>
    </r>
    <r>
      <rPr>
        <color rgb="FF1155CC"/>
        <u/>
      </rPr>
      <t>https://thedermaco.com/cdn/shop/files/4_BOP_0812f258-cfa3-4e88-8891-3fbea56766b3.jpg?v=1772447889&amp;width=1080</t>
    </r>
    <r>
      <rPr/>
      <t/>
    </r>
    <r>
      <rPr>
        <color rgb="FF1155CC"/>
        <u/>
      </rPr>
      <t>https://thedermaco.com/cdn/shop/files/ourpromises_dcb4db8e-7c19-4308-8106-51dcb3873b4c.jpg?v=1772447889&amp;width=1080</t>
    </r>
    <r>
      <rPr/>
      <t/>
    </r>
    <r>
      <rPr>
        <color rgb="FF1155CC"/>
        <u/>
      </rPr>
      <t>https://thedermaco.com/cdn/shop/files/1_PDP_e59f3cfd-7ee4-4dda-bf98-bf369d771e3d.jpg?v=1765885976&amp;width=1080</t>
    </r>
    <r>
      <rPr/>
      <t/>
    </r>
    <r>
      <rPr>
        <color rgb="FF1155CC"/>
        <u/>
      </rPr>
      <t>https://thedermaco.com/cdn/shop/files/survey_079e4fac-1556-46b0-8449-6c8974caa37f.jpg?v=1765886266&amp;width=1080</t>
    </r>
  </si>
  <si>
    <t>Roopsee-F-CL-16</t>
  </si>
  <si>
    <t>Foxtale Hydrating Cleanser</t>
  </si>
  <si>
    <t>Red Algae extract</t>
  </si>
  <si>
    <t>Foxtale Hydrating Cleanser is a routine skincare product formulated with Aloe Vera, Hyaluronic Acid, Ceramides. It supports targeted concerns such as acne, pigentation, dullness, dehydration, texture, pores, aging, sensitivity or barrier repair depending on routine placement.</t>
  </si>
  <si>
    <t>Aloe Vera, Hyaluronic Acid, Ceramides</t>
  </si>
  <si>
    <t>Ingredient caution: cleansing surfactants might cause dryness, stinging or tightness if overused; humectants such as hyaluronic acid/glycerin are usually gentle but might feel sticky or tight if not sealed with moisturiser. Do a patch test before applying. Use lukewarm water, do not scrub, and follow with moisturiser. Apply on slightly damp skin and follow with moisturiser if dryness occurs. Stop use if irritation persists.</t>
  </si>
  <si>
    <r>
      <rPr>
        <color rgb="FF1155CC"/>
        <u/>
      </rPr>
      <t>https://cdn.shopify.com/s/files/1/0609/6096/4855/files/HYDRATING_CLEANSER-01.jpg?quality=60&amp;v=1768983451&amp;width=1440</t>
    </r>
    <r>
      <rPr/>
      <t/>
    </r>
    <r>
      <rPr>
        <color rgb="FF1155CC"/>
        <u/>
      </rPr>
      <t>https://cdn.shopify.com/s/files/1/0609/6096/4855/files/ULTRA_GLOW_DUO_1.jpg?quality=60&amp;v=1754652934&amp;width=2048</t>
    </r>
    <r>
      <rPr/>
      <t/>
    </r>
    <r>
      <rPr>
        <color rgb="FF1155CC"/>
        <u/>
      </rPr>
      <t>https://cdn.shopify.com/s/files/1/0609/6096/4855/files/ULTRA_GLOW_DUO_3.jpg?quality=60&amp;v=1754652934&amp;width=500</t>
    </r>
    <r>
      <rPr/>
      <t/>
    </r>
    <r>
      <rPr>
        <color rgb="FF1155CC"/>
        <u/>
      </rPr>
      <t>https://cdn.shopify.com/s/files/1/0609/6096/4855/files/ULTRA_GLOW_DUO_5.jpg?quality=60&amp;v=1754652933&amp;width=500</t>
    </r>
  </si>
  <si>
    <t>Roopsee-F-CL-17</t>
  </si>
  <si>
    <t>Minimalist Oat Extract 6 Gentle Cleanser</t>
  </si>
  <si>
    <t>Minimalist Oat Extract 6% Gentle Cleanser is a routine skincare product formulated with Oat Extract, Vitamin B5, Mild Surfactants. It supports targeted concerns such as acne, pigentation, dullness, dehydration, texture, pores, aging, sensitivity or barrier repair depending on routine placement.</t>
  </si>
  <si>
    <t>Oat Extract, Vitamin B5, Mild Surfactants</t>
  </si>
  <si>
    <r>
      <rPr>
        <color rgb="FF1155CC"/>
        <u/>
      </rPr>
      <t>https://cdn.tirabeauty.com/v2/billowing-snowflake-434234/tira-p/wrkr/products/pictures/item/free/resize-w%3A540/1090193/qGGMYv7iAy-1090193_1.jpg</t>
    </r>
    <r>
      <rPr/>
      <t/>
    </r>
    <r>
      <rPr>
        <color rgb="FF1155CC"/>
        <u/>
      </rPr>
      <t>https://cdn.tirabeauty.com/v2/billowing-snowflake-434234/tira-p/wrkr/products/pictures/item/free/resize-w%3A540/1090193/uDBWOOMzFi-1090193_2.jpg</t>
    </r>
    <r>
      <rPr/>
      <t/>
    </r>
    <r>
      <rPr>
        <color rgb="FF1155CC"/>
        <u/>
      </rPr>
      <t>https://cdn.tirabeauty.com/v2/billowing-snowflake-434234/tira-p/wrkr/products/pictures/item/free/resize-w%3A540/1090193/HBhyEI08LE-1090193_3.jpg</t>
    </r>
    <r>
      <rPr/>
      <t/>
    </r>
    <r>
      <rPr>
        <color rgb="FF1155CC"/>
        <u/>
      </rPr>
      <t>https://cdn.tirabeauty.com/v2/billowing-snowflake-434234/tira-p/wrkr/products/pictures/item/free/resize-w%3A540/1090193/a_4aIL5RJ-1090193_4.jpg</t>
    </r>
    <r>
      <rPr/>
      <t/>
    </r>
    <r>
      <rPr>
        <color rgb="FF1155CC"/>
        <u/>
      </rPr>
      <t>https://cdn.tirabeauty.com/v2/billowing-snowflake-434234/tira-p/wrkr/products/pictures/item/free/resize-w%3A540/1090193/cxBmmA6oON-1090193_5.jpg</t>
    </r>
  </si>
  <si>
    <t>Roopsee-F-MA-01</t>
  </si>
  <si>
    <t>Dot &amp; Key Anti-Acne Salicylic Green Clay Face Mask</t>
  </si>
  <si>
    <t>85g</t>
  </si>
  <si>
    <t>Green Clay, Cica, Matcha Tea</t>
  </si>
  <si>
    <t>Dot &amp; Key Anti-Acne Salicylic Green Clay Face Mask is a face mask designed as an add-on step for targeted care. It supports clearer, smoother or brighter-looking skin depending on the actives used.</t>
  </si>
  <si>
    <t>Aqua, Kaolin, Bentonite, Glycerin, Salicylic Acid, Zinc PCA, Niacinamide, Tea Tree Leaf Oil, Green Tea Extract, Cica Extract, Aloe Vera Extract, Propanediol, Phenoxyethanol, Ethylhexylglycerin, Xanthan Gum, Fragrance.</t>
  </si>
  <si>
    <t>â€¢ Use on clean skin and follow the recommended contact time.
 â€¢ Apply an even layer and avoid the eye and lip area unless directed.
 â€¢ Use once or twice weekly at first instead of daily.
 â€¢ Follow with moisturiser after rinsing or removing.
 â€¢ Patch test before using on the full face if your skin reacts easily.</t>
  </si>
  <si>
    <t>â€¢ Do not leave on longer than recommended.
 â€¢ Do not use on broken, inflamed, or freshly treated skin.
 â€¢ Do not scrub while removing unless the product is clearly meant for that.
 â€¢ Do not apply many masks back-to-back in one routine.
 â€¢ Do not continue if strong burning or swelling occurs.</t>
  </si>
  <si>
    <t>â€¢ Cleanse first and pat skin dry.
 â€¢ Apply a thin, even layer or place as directed.
 â€¢ Keep it on only for the recommended time.
 â€¢ Rinse, wipe, or remove gently as needed.
 â€¢ Finish with moisturiser; use sunscreen the next morning if skin feels more sensitive.</t>
  </si>
  <si>
    <t>https://assets.myntassets.com/h_1440,q_90,w_1080/v1/assets/images/2025/SEPTEMBER/2/hwzuwNGg_cea464bfbcfa44bfb9aef9e46798b472.jpg, https://assets.myntassets.com/h_1440,q_90,w_1080/v1/assets/images/2025/SEPTEMBER/2/wYtkH36b_c6b1f50a498448e389f7457ae43d09c1.jpg, https://assets.myntassets.com/h_1440,q_90,w_1080/v1/assets/images/2025/SEPTEMBER/2/2Pb6FwmK_af2fc7f8b73545ca850d17f12f36e709.jpg, https://assets.myntassets.com/h_1440,q_90,w_1080/v1/assets/images/2025/SEPTEMBER/2/PwnB2BxB_b548d2d5d71d4533b862a0f99e375082.jpg</t>
  </si>
  <si>
    <t>Roopsee-F-MA-02</t>
  </si>
  <si>
    <t>Dot &amp; Key Mango Detan Clay Mask With Alpha-Arbutin &amp; Niacinamide</t>
  </si>
  <si>
    <t>70g</t>
  </si>
  <si>
    <t>Uneven Skin Tone, Dullness, Tanning</t>
  </si>
  <si>
    <t>Niacinamide, AHAs</t>
  </si>
  <si>
    <t>Dot &amp; Key Mango Detan Clay Mask With Alpha-Arbutin &amp; Niacinamide is a face mask designed as an add-on step for targeted care. It supports clearer, smoother or brighter-looking skin depending on the actives used.</t>
  </si>
  <si>
    <t>Aqua, Kaolin, Bentonite, Glycerin, Niacinamide, Alpha-Arbutin, Mango Extract, Vitamin C Derivative, Lactic Acid, Aloe Vera Extract, Propanediol, Phenoxyethanol, Ethylhexylglycerin, Xanthan Gum, Fragrance.</t>
  </si>
  <si>
    <t>Ingredient caution: glycolic acid/AHA, lactic acid/AHA might cause stinging, dryness, peeling, redness and increased sun sensitivity; vitamin C/ascorbic derivatives might cause tingling, redness or irritation in sensitive skin; niacinamide is usually gentle but might cause tingling or flushing in very reactive skin; alpha arbutin might cause tingling, dryness or redness in sensitive skin.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Stop use if irritation persists.</t>
  </si>
  <si>
    <t>https://www.skin1004.com/cdn/shop/files/skin1004-mask-pad-25ml-x-5ea-centella-watergel-sheet-ampoule-mask-40739331408118.png?v=1717738673, https://images-static.nykaa.com/media/catalog/product/e/2/e2449ddDOTKE00000393_01.jpghttps://images-static.nykaa.com/media/catalog/product/e/2/e2449ddDOTKE00000393_2.jpghttps://images-static.nykaa.com/media/catalog/product/e/2/e2449ddDOTKE00000393_3.jpghttps://images-static.nykaa.com/media/catalog/product/e/2/e2449ddDOTKE00000393_4.jpghttps://images-static.nykaa.com/media/catalog/product/e/2/e2449ddDOTKE00000393_5.jpghttps://images-static.nykaa.com/media/catalog/product/e/2/e2449ddDOTKE00000393_6.jpghttps://images-static.nykaa.com/media/catalog/product/e/2/e2449ddDOTKE00000393_7.jpghttps://images-static.nykaa.com/media/catalog/product/e/2/e2449ddDOTKE00000393_8.jpghttps://images-static.nykaa.com/media/catalog/product/e/2/e2449ddDOTKE00000393_10.jpg</t>
  </si>
  <si>
    <t>Roopsee-F-MA-03</t>
  </si>
  <si>
    <t>SKIN1004 Madagascar Centella Watergel Sheet Ampoule Mask</t>
  </si>
  <si>
    <t>SKIN1004</t>
  </si>
  <si>
    <t>Centella Asiatica</t>
  </si>
  <si>
    <t>Hyaluronic acid complex</t>
  </si>
  <si>
    <t>SKIN1004 Madagascar Centella Watergel Sheet Ampoule Mask is a face mask designed as an add-on step for targeted care. It supports clearer, smoother or brighter-looking skin depending on the actives used.</t>
  </si>
  <si>
    <t>Aqua, Centella Asiatica Extract, Glycerin, Dipropylene Glycol, Butylene Glycol, Panthenol, Sodium Hyaluronate, Betaine, Allantoin, Carbomer, Arginine, Ethylhexylglycerin, 1,2-Hexanediol.</t>
  </si>
  <si>
    <t>Ingredient caution: humectants such as hyaluronic acid/glycerin are usually gentle but might feel sticky or tight if not sealed with moisturiser; clay/charcoal ingredients might over-dry sensitive, dry or barrier-damaged skin. Do a patch test before applying. Apply on slightly damp skin and follow with moisturiser if dryness occurs. Do not leave on longer than directed and moisturise after rinsing. Stop use if irritation persists.</t>
  </si>
  <si>
    <r>
      <rPr>
        <color rgb="FF1155CC"/>
        <u/>
      </rPr>
      <t>https://www.skin1004.com/cdn/shop/products/skin1004-mask-pad-madagascar-centella-watergel-sheet-ampoule-mask-36440531796214.jpg?v=1677149235</t>
    </r>
    <r>
      <rPr/>
      <t xml:space="preserve">, </t>
    </r>
    <r>
      <rPr>
        <color rgb="FF1155CC"/>
        <u/>
      </rPr>
      <t>https://www.skin1004.com/cdn/shop/files/skin1004-mask-pad-25ml-x-5ea-centella-watergel-sheet-ampoule-mask-40739331408118.png?v=1717738673</t>
    </r>
    <r>
      <rPr/>
      <t xml:space="preserve">, </t>
    </r>
    <r>
      <rPr>
        <color rgb="FF1155CC"/>
        <u/>
      </rPr>
      <t>https://www.skin1004.com/cdn/shop/products/skin1004-mask-pad-centella-watergel-sheet-ampoule-mask-38642839388406.png?v=1677149612</t>
    </r>
    <r>
      <rPr/>
      <t xml:space="preserve">, </t>
    </r>
    <r>
      <rPr>
        <color rgb="FF1155CC"/>
        <u/>
      </rPr>
      <t>https://www.skin1004.com/cdn/shop/products/skin1004-mask-pad-madagascar-centella-watergel-sheet-ampoule-mask-30259332677789.gif?v=1677149235</t>
    </r>
    <r>
      <rPr/>
      <t xml:space="preserve">, </t>
    </r>
    <r>
      <rPr>
        <color rgb="FF1155CC"/>
        <u/>
      </rPr>
      <t>https://www.skin1004.com/cdn/shop/products/skin1004-mask-pad-madagascar-centella-watergel-sheet-ampoule-mask-36440530321654.jpg?v=1677149235</t>
    </r>
  </si>
  <si>
    <t>Roopsee-F-MA-04</t>
  </si>
  <si>
    <t>The Ordinary Salicylic Acid 2 Masque</t>
  </si>
  <si>
    <t>The Ordinary</t>
  </si>
  <si>
    <t>Canada</t>
  </si>
  <si>
    <t>Charcoal, Clay</t>
  </si>
  <si>
    <t>The Ordinary Salicylic Acid 2% Masque is a face mask designed as an add-on step for targeted care. It supports clearer, smoother or brighter-looking skin depending on the actives used.</t>
  </si>
  <si>
    <t>Aqua (Water), Squalane, Kaolin, Charcoal Powder, Glycerin, Salicylic Acid, 4-T-Butylcyclohexanol, Polysorbate 20, Acacia Senegal Gum, Xanthan Gum, Cocamidopropyl Dimethylamine, Citric Acid, Trisodium Ethylenediamine Disuccinate, Phenoxyethanol, Chlorphenesin.</t>
  </si>
  <si>
    <r>
      <rPr>
        <color rgb="FF1155CC"/>
        <u/>
      </rPr>
      <t>https://theordinary.com/dw/image/v2/BFKJ_PRD/on/demandware.static/-/Sites-deciem-master/default/dwb391b95c/Images/products/The%20Ordinary/rdn-salicylic-acid-2pct-masque-50ml.png?sh=860&amp;sm=fit&amp;sw=860</t>
    </r>
    <r>
      <rPr/>
      <t xml:space="preserve">, </t>
    </r>
    <r>
      <rPr>
        <color rgb="FF1155CC"/>
        <u/>
      </rPr>
      <t>https://theordinary.com/dw/image/v2/BFKJ_PRD/on/demandware.static/-/Sites-deciem-master/default/dwcafe7bb3/Images/products/The%20Ordinary/application/FY25-D41247-ORD-Web-PDP-SA-2pct-Msq-1x1-EN-4d.jpg?sh=860&amp;sm=fit&amp;sw=860</t>
    </r>
    <r>
      <rPr/>
      <t xml:space="preserve">, </t>
    </r>
    <r>
      <rPr>
        <color rgb="FF1155CC"/>
        <u/>
      </rPr>
      <t>https://theordinary.com/dw/image/v2/BFKJ_PRD/on/demandware.static/-/Sites-deciem-master/default/dwf3eea638/Images/products/The%20Ordinary/infographics/FY25-D41247-ORD-Web-PDP-SA-2pct-Msq-1x1-EN-2a.jpg?sh=860&amp;sm=fit&amp;sw=860</t>
    </r>
    <r>
      <rPr/>
      <t xml:space="preserve">, </t>
    </r>
    <r>
      <rPr>
        <color rgb="FF1155CC"/>
        <u/>
      </rPr>
      <t>https://theordinary.com/dw/image/v2/BFKJ_PRD/on/demandware.static/-/Sites-deciem-master/default/dwc00f3499/Images/products/The%20Ordinary/infographics/FY25-D41247-ORD-Web-PDP-SA-2pct-Msq-1x1-EN-3a.jpg?sh=860&amp;sm=fit&amp;sw=860</t>
    </r>
    <r>
      <rPr/>
      <t xml:space="preserve">, </t>
    </r>
    <r>
      <rPr>
        <color rgb="FF1155CC"/>
        <u/>
      </rPr>
      <t>https://theordinary.com/dw/image/v2/BFKJ_PRD/on/demandware.static/-/Sites-deciem-master/default/dw60c72487/Images/products/The%20Ordinary/infographics/FY25-D41247-ORD-Web-PDP-SA-2pct-Msq-1x1-EN-5.jpg?sh=860&amp;sm=fit&amp;sw=860</t>
    </r>
  </si>
  <si>
    <t>Roopsee-F-MA-05</t>
  </si>
  <si>
    <t>The Derma Co 2 Salicylic Acid Clay Face Mask</t>
  </si>
  <si>
    <t>Kaolin Clay, Charcoal</t>
  </si>
  <si>
    <t>TREATS ACNE &amp; REDUCES INFLAMMATION: The magnetic pull of Activated Charcoal, Kaolin Clay, and 2% Salicylic Acid prevents any chance for pore-clogging by clearing pores of excess oil and bacteria that may lead to acne inflammation, post-acne pigentation, and scars. It also resurfaces new healthy skin that is blemish-free and more polished. Ready for filter-free selfies?_x000D_
 DEEP &amp; GENTLE EXFOLIATION: The Derma Co. 2% Salicylic Acid Mask binds to the dirt and helps flush it out of the pores, making Large pores less visible. It also helps remove dead skin from the surface, allowing other products like moisturizers and serums to penetrate easily into the skin and work with more efficiency. You will surely be hooked from the first use!_x000D_
 IMPROVES SKIN TONE &amp; TEXTURE: This exfoliating Salicylic Mask works deep within the skin layers to shed old skin and make way for fresh, smooth skin that is even in texture and complexion. Furthermore, clarification of pores helps tighten lax pores and other compromised areas, preventing premature aging signs like fine lines and wrinkles. ItÃ¢â‚¬â„¢s time to say wow every time you look in the mirror!</t>
  </si>
  <si>
    <t>Aqua, Kaolin, Bentonite, Caprylic Capric Triglyceride, Pentylene Glycol, and 4-T-Butylcyclohexanol, Ethoxydiglycol, Polyhydroxystearic Acid, Aloe vera Extract, Methyl Propanediol, C12-15 Alkyl Benzoate, Propylene Glycol Dibenzoate, Polyurethane 35, Glyceryl Stearate Citrate, Glyceryl Monostearate, Glycerin, Sodium Lauroyl Sarcosinate, Salicylic Acid, Charcoal, Chamomile Extract, Pentaerythrityl Tetra-di-t-butyl Hydroxyhydrocinnamate, Titanium Dioxide, Xanthan Gum, Sodium PCA, Disodium EDTA, EthylhexylGlycerin, Phenoxyethanol, Sodium Hydroxide.</t>
  </si>
  <si>
    <t>Ingredient caution: PHA, salicylic acid/BHA might cause stinging, dryness, peeling, redness and increased sun sensitivity; UV filters might sting around the eyes or irritate very sensitive skin; cleansing surfactants might cause dryness, stinging or tightness if overused; preservatives such as phenoxyethanol/benzyl alcohol might sting very sensitive or compromised skin. Do a patch test before applying. First-time users should start 3–4 times a week, avoid using it with retinol or other exfoliating acids in the same routine, and apply sunscreen daily. Patch test near the jawline first, avoid the eye corners, and remove gently at night. Use lukewarm water, do not scrub, and follow with moisturiser. Do not apply on broken, freshly waxed or irritated skin. Stop use if irritation persists.</t>
  </si>
  <si>
    <r>
      <rPr>
        <color rgb="FF1155CC"/>
        <u/>
      </rPr>
      <t>https://thedermaco.com/cdn/shop/files/2_salicylic_acid_face_mask_usyznuzzbhoz6fbe.jpg?v=1758286533&amp;width=1200</t>
    </r>
    <r>
      <rPr/>
      <t xml:space="preserve">, </t>
    </r>
    <r>
      <rPr>
        <color rgb="FF1155CC"/>
        <u/>
      </rPr>
      <t>https://thedermaco.com/cdn/shop/files/salicylic_acid_face_mask_2.jpg?v=1758286532&amp;width=1200</t>
    </r>
    <r>
      <rPr/>
      <t xml:space="preserve">, </t>
    </r>
    <r>
      <rPr>
        <color rgb="FF1155CC"/>
        <u/>
      </rPr>
      <t>https://thedermaco.com/cdn/shop/files/2_salicylic_acid_mask_3_copy-min_9fnhvljzujkxp52d.jpg?v=1758286533&amp;width=1200</t>
    </r>
    <r>
      <rPr/>
      <t xml:space="preserve">, </t>
    </r>
    <r>
      <rPr>
        <color rgb="FF1155CC"/>
        <u/>
      </rPr>
      <t>https://thedermaco.com/cdn/shop/files/2_salicylic_acid_mask_4_copy-min_ecwzydbyse7qpn6s.jpg?v=1758286533&amp;width=1080</t>
    </r>
    <r>
      <rPr/>
      <t xml:space="preserve">, </t>
    </r>
    <r>
      <rPr>
        <color rgb="FF1155CC"/>
        <u/>
      </rPr>
      <t>https://thedermaco.com/cdn/shop/files/2_salicylic_acid_mask_5-min_24it1kbfjmft8plq.jpg?v=1758286533&amp;width=1080</t>
    </r>
  </si>
  <si>
    <t>Roopsee-F-MA-06</t>
  </si>
  <si>
    <t>Innisfree Super Volcanic Pore Clay Mask</t>
  </si>
  <si>
    <t>Jeju Volcanic Clusters</t>
  </si>
  <si>
    <t>AHA</t>
  </si>
  <si>
    <t>Innisfree Super Volcanic Pore Clay Mask is a routine skincare product formulated with Volcanic Clusters, AHA, Walnut Shell Powder. It supports targeted concerns such as acne, pigentation, dullness, dehydration, texture, pores, aging, sensitivity or barrier repair depending on routine placement.</t>
  </si>
  <si>
    <t>Volcanic Clusters, AHA, Walnut Shell Powder</t>
  </si>
  <si>
    <t>Ingredient caution: glycolic acid/AHA might cause stinging, dryness, peeling, redness and increased sun sensitivity; clay/charcoal ingredients might over-dry sensitive, dry or barrier-damaged skin. Do a patch test before applying. First-time users should start 3–4 times a week, avoid using it with retinol or other exfoliating acids in the same routine, and apply sunscreen daily. Do not leave on longer than directed and moisturise after rinsing. Stop use if irritation persists.</t>
  </si>
  <si>
    <r>
      <rPr>
        <color rgb="FF1155CC"/>
        <u/>
      </rPr>
      <t>https://us.innisfree.com/cdn/shop/files/1-IF_V-CM_Packshot_2026_1080x1080_fd7e52ce-608a-49b9-a09b-62066dc4abd8.jpg?v=1776980885&amp;width=1080</t>
    </r>
    <r>
      <rPr/>
      <t xml:space="preserve">, </t>
    </r>
    <r>
      <rPr>
        <color rgb="FF1155CC"/>
        <u/>
      </rPr>
      <t>https://us.innisfree.com/cdn/shop/files/2-IF_PDP_VCM_AD_Benefits_2_1080x1080_b74674bc-6dd6-4430-a831-45da2bba60cf.jpg?v=1776980885&amp;width=1080</t>
    </r>
    <r>
      <rPr/>
      <t xml:space="preserve">, </t>
    </r>
    <r>
      <rPr>
        <color rgb="FF1155CC"/>
        <u/>
      </rPr>
      <t>https://us.innisfree.com/cdn/shop/files/3-IF_PDP_VCM_AD_Claims_1080x1080_b960c0b9-0341-4afd-8f9c-fcdfa04aac0d.jpg?v=1776980885&amp;width=1080</t>
    </r>
    <r>
      <rPr/>
      <t xml:space="preserve">, </t>
    </r>
    <r>
      <rPr>
        <color rgb="FF1155CC"/>
        <u/>
      </rPr>
      <t>https://us.innisfree.com/cdn/shop/files/4-IF_PDP_VCM_AD_B_A_1080x1080_42d09a99-3533-4160-8906-5d5a412a7072.jpg?v=1776980885&amp;width=1080</t>
    </r>
    <r>
      <rPr/>
      <t xml:space="preserve">, </t>
    </r>
    <r>
      <rPr>
        <color rgb="FF1155CC"/>
        <u/>
      </rPr>
      <t>https://us.innisfree.com/cdn/shop/files/5-IF_PDP_VCM_AD_Ingredients_1080x1080_d55e6f2d-e923-4e7a-9504-70699ffe2333.jpg?v=1776980885&amp;width=1080</t>
    </r>
  </si>
  <si>
    <t>Roopsee-F-MA-07</t>
  </si>
  <si>
    <t>SKIN1004 Madagascar Centella Hyalu-Cica Sleeping Pack</t>
  </si>
  <si>
    <t>Centella Asiatica + Hyaluronic acid</t>
  </si>
  <si>
    <t>Melatonin</t>
  </si>
  <si>
    <t>SKIN1004 Madagascar Centella Hyalu-Cica Sleeping Pack is a routine skincare product formulated with Centella Asiatica, Hyaluronic Acid, Melatonin. It supports targeted concerns such as acne, pigentation, dullness, dehydration, texture, pores, aging, sensitivity or barrier repair depending on routine placement.</t>
  </si>
  <si>
    <t>Centella Asiatica, Hyaluronic Acid, Melatonin</t>
  </si>
  <si>
    <r>
      <rPr>
        <color rgb="FF1155CC"/>
        <u/>
      </rPr>
      <t>https://www.skin1004.com/cdn/shop/products/skin1004-mask-pad-hyalu-cica-sleeping-pack-38642854985974.png?v=1677149605</t>
    </r>
    <r>
      <rPr/>
      <t xml:space="preserve">, </t>
    </r>
    <r>
      <rPr>
        <color rgb="FF1155CC"/>
        <u/>
      </rPr>
      <t>https://www.skin1004.com/cdn/shop/products/skin1004-mask-pad-madagascar-centella-hyalu-cica-sleeping-pack-34557722689782.gif?v=1677149448</t>
    </r>
    <r>
      <rPr/>
      <t xml:space="preserve">, </t>
    </r>
    <r>
      <rPr>
        <color rgb="FF1155CC"/>
        <u/>
      </rPr>
      <t>https://www.skin1004.com/cdn/shop/products/skin1004-mask-pad-hyalu-cica-sleeping-pack-38409157214454.jpg?v=1677149448</t>
    </r>
    <r>
      <rPr/>
      <t xml:space="preserve">, </t>
    </r>
    <r>
      <rPr>
        <color rgb="FF1155CC"/>
        <u/>
      </rPr>
      <t>https://www.skin1004.com/cdn/shop/products/skin1004-mask-pad-hyalu-cica-sleeping-pack-38409157411062.jpg?v=1677149448</t>
    </r>
    <r>
      <rPr/>
      <t xml:space="preserve">, </t>
    </r>
    <r>
      <rPr>
        <color rgb="FF1155CC"/>
        <u/>
      </rPr>
      <t>https://www.skin1004.com/cdn/shop/products/skin1004-mask-pad-hyalu-cica-sleeping-pack-38609092608246.jpg?v=1677149448</t>
    </r>
  </si>
  <si>
    <t>Roopsee-F-MA-08</t>
  </si>
  <si>
    <t>The Face Shop Real Nature Rice Face Mask</t>
  </si>
  <si>
    <t>Sheet Mask</t>
  </si>
  <si>
    <t>Dryness, Barrier Repair, Redness/Irritation, Dullness, Dehydration</t>
  </si>
  <si>
    <t>Rice Extract</t>
  </si>
  <si>
    <t>Glycerin, Panthenol</t>
  </si>
  <si>
    <t>The Face Shop Real Nature Rice Face Mask is a single-use sheet mask soaked in essence to deliver a quick boost of hydration and comfort to the skin.</t>
  </si>
  <si>
    <t>Water, Glycerin, Dipropylene Glycol, Rice Extract, Betaine, Carbomer, Allantoin, Xanthan Gum, Disodium EDTA, Phenoxyethanol, Fragrance.</t>
  </si>
  <si>
    <r>
      <rPr>
        <color rgb="FF1155CC"/>
        <u/>
      </rPr>
      <t>https://thefaceshop.in/cdn/shop/files/3_f6ec9734-dc7f-415d-ac92-085505613658.jpg?v=1745238457&amp;width=1500</t>
    </r>
    <r>
      <rPr/>
      <t xml:space="preserve">, </t>
    </r>
    <r>
      <rPr>
        <color rgb="FF1155CC"/>
        <u/>
      </rPr>
      <t>https://thefaceshop.in/cdn/shop/files/4_497ff4ab-d887-47c4-80ea-8a4ccffaebda.jpg?v=1745238457&amp;width=1500</t>
    </r>
    <r>
      <rPr/>
      <t xml:space="preserve">, </t>
    </r>
    <r>
      <rPr>
        <color rgb="FF1155CC"/>
        <u/>
      </rPr>
      <t>https://thefaceshop.in/cdn/shop/files/5_1e3ca412-929f-43bc-996a-33ec1fc993c2.jpg?v=1745238457&amp;width=1500</t>
    </r>
    <r>
      <rPr/>
      <t xml:space="preserve">, </t>
    </r>
    <r>
      <rPr>
        <color rgb="FF1155CC"/>
        <u/>
      </rPr>
      <t>https://thefaceshop.in/cdn/shop/files/6_a8fe13f5-0471-46d7-b6f4-3bd3eddcf783.jpg?v=1745238457&amp;width=1500</t>
    </r>
    <r>
      <rPr/>
      <t xml:space="preserve">, </t>
    </r>
    <r>
      <rPr>
        <color rgb="FF1155CC"/>
        <u/>
      </rPr>
      <t>https://thefaceshop.in/cdn/shop/files/7_191b7e23-6a09-4702-855c-3d90a4ef8074.jpg?v=1745238457&amp;width=1500</t>
    </r>
  </si>
  <si>
    <t>Roopsee-F-MA-09</t>
  </si>
  <si>
    <t>TONYMOLY Korean I'm Red Wine Face Sheet Mask for Pore Care &amp; Brighter, Youthful Complexion</t>
  </si>
  <si>
    <t>TONYMOLY</t>
  </si>
  <si>
    <t>21g</t>
  </si>
  <si>
    <t>Red Wine Extract</t>
  </si>
  <si>
    <t>Green Tea leaf extract, Panthenol</t>
  </si>
  <si>
    <t>TONYMOLY Korean I'm Red Wine Face Sheet Mask for Pore Care &amp; Brighter, Youthful Complexion is a single-use sheet mask soaked in essence to deliver a quick boost of hydration and comfort to the skin.</t>
  </si>
  <si>
    <t>Water, Glycerin, Butylene Glycol, Red Wine Extract, Betaine, Carbomer, Allantoin, Xanthan Gum, Disodium EDTA, Phenoxyethanol, Fragrance.</t>
  </si>
  <si>
    <r>
      <rPr>
        <color rgb="FF1155CC"/>
        <u/>
      </rPr>
      <t>https://images-static.nykaa.com/media/catalog/product/a/0/a0fda8c8806194022857_1.jpg</t>
    </r>
    <r>
      <rPr/>
      <t xml:space="preserve">, </t>
    </r>
    <r>
      <rPr>
        <color rgb="FF1155CC"/>
        <u/>
      </rPr>
      <t>https://images-static.nykaa.com/media/catalog/product/a/0/a0fda8c8806194022857_2.jpg</t>
    </r>
    <r>
      <rPr/>
      <t xml:space="preserve">, </t>
    </r>
    <r>
      <rPr>
        <color rgb="FF1155CC"/>
        <u/>
      </rPr>
      <t>https://images-static.nykaa.com/media/catalog/product/a/0/a0fda8c8806194022857_3.jpg</t>
    </r>
    <r>
      <rPr/>
      <t xml:space="preserve">, </t>
    </r>
    <r>
      <rPr>
        <color rgb="FF1155CC"/>
        <u/>
      </rPr>
      <t>https://images-static.nykaa.com/media/catalog/product/a/0/a0fda8c8806194022857_4.jpg</t>
    </r>
    <r>
      <rPr/>
      <t xml:space="preserve">, </t>
    </r>
    <r>
      <rPr>
        <color rgb="FF1155CC"/>
        <u/>
      </rPr>
      <t>https://images-static.nykaa.com/media/catalog/product/a/0/a0fda8c8806194022857_5.jpg</t>
    </r>
  </si>
  <si>
    <t>Roopsee-F-MA-10</t>
  </si>
  <si>
    <t>The Face Shop Real Nature Aloe Face Mask</t>
  </si>
  <si>
    <t>Panthenol, Allantoin</t>
  </si>
  <si>
    <t>The Face Shop Real Nature Aloe Face Mask is a single-use sheet mask soaked in essence to deliver a quick boost of hydration and comfort to the skin.</t>
  </si>
  <si>
    <t>Water, Glycerin, Dipropylene Glycol, Aloe Barbadensis Leaf Extract, Betaine, Carbomer, Allantoin, Xanthan Gum, Disodium EDTA, Phenoxyethanol, Fragrance.</t>
  </si>
  <si>
    <r>
      <rPr>
        <color rgb="FF1155CC"/>
        <u/>
      </rPr>
      <t>https://thefaceshop.in/cdn/shop/files/1080_9c23f067-734b-4fa0-8e98-820e822dcece.jpg?v=1781583244&amp;width=3840</t>
    </r>
    <r>
      <rPr/>
      <t xml:space="preserve">, </t>
    </r>
    <r>
      <rPr>
        <color rgb="FF1155CC"/>
        <u/>
      </rPr>
      <t>https://thefaceshop.in/cdn/shop/files/2_600d725e-3428-4f6f-a60b-2012c410af92.jpg?v=1745238143&amp;width=3840</t>
    </r>
    <r>
      <rPr/>
      <t xml:space="preserve">, </t>
    </r>
    <r>
      <rPr>
        <color rgb="FF1155CC"/>
        <u/>
      </rPr>
      <t>https://thefaceshop.in/cdn/shop/files/4_cf5031ab-e136-4809-a924-780182ddda1d.jpg?v=1745238143&amp;width=3840</t>
    </r>
    <r>
      <rPr/>
      <t xml:space="preserve">, </t>
    </r>
    <r>
      <rPr>
        <color rgb="FF1155CC"/>
        <u/>
      </rPr>
      <t>https://thefaceshop.in/cdn/shop/files/5_6544670c-838c-4d7a-98ab-dc5f4bcfbf1d.jpg?v=1745238143&amp;width=3840</t>
    </r>
    <r>
      <rPr/>
      <t xml:space="preserve">, </t>
    </r>
    <r>
      <rPr>
        <color rgb="FF1155CC"/>
        <u/>
      </rPr>
      <t>https://thefaceshop.in/cdn/shop/files/6_262c58a3-f84b-4e1c-9107-930678945bb3.jpg?v=1745238143&amp;width=3840</t>
    </r>
  </si>
  <si>
    <t>Roopsee-F-MA-11</t>
  </si>
  <si>
    <t>The Face Shop Real Nature Honey Miel Face Mask</t>
  </si>
  <si>
    <t>Honey Extract</t>
  </si>
  <si>
    <t>The Face Shop Real Nature Honey Miel Face Mask is a single-use sheet mask soaked in essence to deliver a quick boost of hydration and comfort to the skin.</t>
  </si>
  <si>
    <t>Water, Glycerin, Dipropylene Glycol, Honey Extract, Betaine, Carbomer, Allantoin, Xanthan Gum, Disodium EDTA, Phenoxyethanol, Fragrance.</t>
  </si>
  <si>
    <r>
      <rPr>
        <color rgb="FF1155CC"/>
        <u/>
      </rPr>
      <t>https://thefaceshop.in/cdn/shop/files/3_d437d76b-c5a1-4d8f-a958-ebf3fbb52011.jpg?v=1773988751&amp;width=1500</t>
    </r>
    <r>
      <rPr/>
      <t xml:space="preserve">, </t>
    </r>
    <r>
      <rPr>
        <color rgb="FF1155CC"/>
        <u/>
      </rPr>
      <t>https://thefaceshop.in/cdn/shop/files/4_045f802b-f2d3-4f9e-ba1e-9c56d3636dbb.jpg?v=1773988751&amp;width=1500</t>
    </r>
    <r>
      <rPr/>
      <t xml:space="preserve">, </t>
    </r>
    <r>
      <rPr>
        <color rgb="FF1155CC"/>
        <u/>
      </rPr>
      <t>https://thefaceshop.in/cdn/shop/files/5_5d1d71c8-8e09-4591-b762-82ebf6e90a19.jpg?v=1773988751&amp;width=1500</t>
    </r>
    <r>
      <rPr/>
      <t xml:space="preserve">, </t>
    </r>
    <r>
      <rPr>
        <color rgb="FF1155CC"/>
        <u/>
      </rPr>
      <t>https://thefaceshop.in/cdn/shop/files/6_1583d662-ae77-4dfe-b184-7439405e0411.jpg?v=1773988751&amp;width=1500</t>
    </r>
    <r>
      <rPr/>
      <t xml:space="preserve">, </t>
    </r>
    <r>
      <rPr>
        <color rgb="FF1155CC"/>
        <u/>
      </rPr>
      <t>https://thefaceshop.in/cdn/shop/files/7_5beda2e2-e419-46fd-a395-bfa9358434c4.jpg?v=1773988751&amp;width=1500</t>
    </r>
  </si>
  <si>
    <t>Roopsee-F-MA-12</t>
  </si>
  <si>
    <t>The Face Shop Real Nature Green Tea Face Mask</t>
  </si>
  <si>
    <t>Sodium Hyaluronate, Panthenol</t>
  </si>
  <si>
    <t>The Face Shop Real Nature Green Tea Face Mask is a single-use sheet mask soaked in essence to deliver a quick boost of hydration and comfort to the skin.</t>
  </si>
  <si>
    <t>Water, Glycerin, Dipropylene Glycol, Camellia Sinensis Leaf Extract, Betaine, Carbomer, Allantoin, Xanthan Gum, Disodium EDTA, Phenoxyethanol, Fragrance.</t>
  </si>
  <si>
    <r>
      <rPr>
        <color rgb="FF1155CC"/>
        <u/>
      </rPr>
      <t>https://thefaceshop.in/cdn/shop/files/3_a8a448a4-01cc-4570-9bc3-4a88af1c8870.jpg?v=1745237610&amp;width=1500</t>
    </r>
    <r>
      <rPr/>
      <t xml:space="preserve">, </t>
    </r>
    <r>
      <rPr>
        <color rgb="FF1155CC"/>
        <u/>
      </rPr>
      <t>https://thefaceshop.in/cdn/shop/files/4_fa35cae0-2eb8-4137-962f-32a975a20346.jpg?v=1745237610&amp;width=1500</t>
    </r>
    <r>
      <rPr/>
      <t xml:space="preserve">, </t>
    </r>
    <r>
      <rPr>
        <color rgb="FF1155CC"/>
        <u/>
      </rPr>
      <t>https://thefaceshop.in/cdn/shop/files/5_052cd872-2cce-4102-b6e7-8fe3ca676d77.jpg?v=1745237610&amp;width=1500</t>
    </r>
    <r>
      <rPr/>
      <t xml:space="preserve">, </t>
    </r>
    <r>
      <rPr>
        <color rgb="FF1155CC"/>
        <u/>
      </rPr>
      <t>https://thefaceshop.in/cdn/shop/files/6_3a16a1d0-3a95-4fe3-8095-afb4bd021b16.jpg?v=1745237610&amp;width=1500</t>
    </r>
    <r>
      <rPr/>
      <t xml:space="preserve">, </t>
    </r>
    <r>
      <rPr>
        <color rgb="FF1155CC"/>
        <u/>
      </rPr>
      <t>https://thefaceshop.in/cdn/shop/files/7_2b02a297-1149-4a5f-a0d8-f72b7bf585dd.jpg?v=1744355158&amp;width=1500</t>
    </r>
  </si>
  <si>
    <t>Roopsee-F-MA-13</t>
  </si>
  <si>
    <t>Foxtale Essentials De - Tanning Sheet Mask Vitamin C &amp; Papaya</t>
  </si>
  <si>
    <t>Uneven Skin Tone, Dehydration, Dullness, Tanning</t>
  </si>
  <si>
    <t>Papaya Extract, Niacinamide, Aloe vera extract</t>
  </si>
  <si>
    <t>Foxtale Essentials De - Tanning Sheet Mask Vitamin C &amp; Papaya is a single-use sheet mask soaked in essence to deliver a quick boost of hydration and comfort to the skin.</t>
  </si>
  <si>
    <t>Water, Glycerin, Vitamin C, Papaya Extract, Niacinamide, Sodium Hyaluronate, Betaine, Carbomer, Phenoxyethanol, Fragrance.</t>
  </si>
  <si>
    <r>
      <rPr>
        <color rgb="FF1155CC"/>
        <u/>
      </rPr>
      <t>https://cdn.tirabeauty.com/v2/billowing-snowflake-434234/tira-p/wrkr/products/pictures/item/free/resize-w%3A750/1132072/ttAapi7oTS8-1132072-1.jpg</t>
    </r>
    <r>
      <rPr/>
      <t xml:space="preserve">, </t>
    </r>
    <r>
      <rPr>
        <color rgb="FF1155CC"/>
        <u/>
      </rPr>
      <t>https://cdn.tirabeauty.com/v2/billowing-snowflake-434234/tira-p/wrkr/products/pictures/item/free/resize-w%3A750/1132072/S_rjXjV2Qz6-1132072-2.jpg</t>
    </r>
    <r>
      <rPr/>
      <t xml:space="preserve">, </t>
    </r>
    <r>
      <rPr>
        <color rgb="FF1155CC"/>
        <u/>
      </rPr>
      <t>https://cdn.tirabeauty.com/v2/billowing-snowflake-434234/tira-p/wrkr/products/pictures/item/free/resize-w%3A750/1132072/xM-jgBKlU_X-1132072-3.jpg</t>
    </r>
    <r>
      <rPr/>
      <t xml:space="preserve">, </t>
    </r>
    <r>
      <rPr>
        <color rgb="FF1155CC"/>
        <u/>
      </rPr>
      <t>https://cdn.tirabeauty.com/v2/billowing-snowflake-434234/tira-p/wrkr/products/pictures/item/free/resize-w%3A750/1132072/6HBWoV0EctB-1132072-4.jpg</t>
    </r>
    <r>
      <rPr/>
      <t xml:space="preserve">, </t>
    </r>
    <r>
      <rPr>
        <color rgb="FF1155CC"/>
        <u/>
      </rPr>
      <t>https://cdn.tirabeauty.com/v2/billowing-snowflake-434234/tira-p/wrkr/products/pictures/item/free/resize-w%3A750/1132072/cBTYcz0ko08-1132072-5.jpg</t>
    </r>
  </si>
  <si>
    <t>Roopsee-F-MA-15</t>
  </si>
  <si>
    <t>Foxtale Essentials Nourishing Sheet Masks</t>
  </si>
  <si>
    <t>26g</t>
  </si>
  <si>
    <t>Dehydration, Dryness</t>
  </si>
  <si>
    <t>Aloe Veraextract, Niacinamide</t>
  </si>
  <si>
    <t>Foxtale Essentials Nourishing Sheet Masks - Hyaluronic Acid &amp; Avocado (26 g) is a single-use sheet mask soaked in essence to deliver a quick boost of hydration and comfort to the skin.</t>
  </si>
  <si>
    <t>Water, Glycerin, Sodium Hyaluronate, Avocado Extract, Betaine, Carbomer, Phenoxyethanol, Fragrance.</t>
  </si>
  <si>
    <r>
      <rPr>
        <color rgb="FF1155CC"/>
        <u/>
      </rPr>
      <t>https://cdn.tirabeauty.com/v2/billowing-snowflake-434234/tira-p/wrkr/products/pictures/item/free/resize-w%3A750/1132071/rBfYcgyjpH-1132071-1.jpg</t>
    </r>
    <r>
      <rPr/>
      <t xml:space="preserve">, </t>
    </r>
    <r>
      <rPr>
        <color rgb="FF1155CC"/>
        <u/>
      </rPr>
      <t>https://cdn.tirabeauty.com/v2/billowing-snowflake-434234/tira-p/wrkr/products/pictures/item/free/resize-w%3A750/1132071/ctL5rLqeI2-1132071-2.jpg</t>
    </r>
    <r>
      <rPr/>
      <t xml:space="preserve">, </t>
    </r>
    <r>
      <rPr>
        <color rgb="FF1155CC"/>
        <u/>
      </rPr>
      <t>https://cdn.tirabeauty.com/v2/billowing-snowflake-434234/tira-p/wrkr/products/pictures/item/free/resize-w%3A750/1132071/bmJQp45K2K-1132071-3.jpg</t>
    </r>
    <r>
      <rPr/>
      <t xml:space="preserve">, </t>
    </r>
    <r>
      <rPr>
        <color rgb="FF1155CC"/>
        <u/>
      </rPr>
      <t>https://cdn.tirabeauty.com/v2/billowing-snowflake-434234/tira-p/wrkr/products/pictures/item/free/resize-w%3A750/1132071/pbOU4gTReI-1132071-4.jpg</t>
    </r>
    <r>
      <rPr/>
      <t xml:space="preserve">, </t>
    </r>
    <r>
      <rPr>
        <color rgb="FF1155CC"/>
        <u/>
      </rPr>
      <t>https://cdn.tirabeauty.com/v2/billowing-snowflake-434234/tira-p/wrkr/products/pictures/item/free/resize-w%3A750/1132071/oFVKAwEq8Ek-1132071-5.jpg</t>
    </r>
  </si>
  <si>
    <t>Roopsee-F-MA-16</t>
  </si>
  <si>
    <t>Foxtale De-Tan Skin Radiance Mask</t>
  </si>
  <si>
    <t>C</t>
  </si>
  <si>
    <t>Lactic acid</t>
  </si>
  <si>
    <t>Kaolin clay</t>
  </si>
  <si>
    <t>Foxtale De-Tan Face Mask For Tan Removal, Instant Brightening &amp; Glowing Skin, Hydrates For 8+ Hours is a wash-off face mask designed to refresh the skin and support a brighter, smoother-looking complexion.</t>
  </si>
  <si>
    <t>Aqua, Kaolin, Glycerin, Vitamin C, Papaya Extract, Niacinamide, Bentonite, Glyceryl Stearate, Phenoxyethanol, Fragrance.</t>
  </si>
  <si>
    <t>Ingredient caution: lactic acid/AHA might cause stinging, dryness, peeling, redness and increased sun sensitivity; vitamin C/ascorbic derivatives might cause tingling, redness or irritation in sensitive skin; niacinamide is usually gentle but might cause tingling or flushing in very reactive skin; fragrance, essential oils or fragrance allergens might trigger redness, itching or allergic irritation. Do a patch test before applying. First-time users should start 3–4 times a week, avoid using it with retinol or other exfoliating acids in the same routine, and apply sunscreen daily. First-time users should start 3–4 times a week and avoid layering with strong exfoliating acids if the skin stings. Start slowly if your skin is sensitive and avoid combining too many new actives at once. Avoid this product if you have fragrance allergy, eczema-prone skin or a damaged barrier. Stop use if irritation persists.</t>
  </si>
  <si>
    <r>
      <rPr>
        <color rgb="FF1155CC"/>
        <u/>
      </rPr>
      <t>https://cdn.shopify.com/s/files/1/0609/6096/4855/files/1_830b882db6.jpg?quality=60&amp;v=1781164708&amp;width=2048</t>
    </r>
    <r>
      <rPr/>
      <t xml:space="preserve">, </t>
    </r>
    <r>
      <rPr>
        <color rgb="FF1155CC"/>
        <u/>
      </rPr>
      <t>https://cdn.shopify.com/s/files/1/0609/6096/4855/files/2_8a30a24584.jpg?quality=60&amp;v=1773204823&amp;width=500</t>
    </r>
    <r>
      <rPr/>
      <t xml:space="preserve">, </t>
    </r>
    <r>
      <rPr>
        <color rgb="FF1155CC"/>
        <u/>
      </rPr>
      <t>https://cdn.shopify.com/s/files/1/0609/6096/4855/files/3_c53cf738d2.jpg?quality=60&amp;v=1773204823&amp;width=500</t>
    </r>
    <r>
      <rPr/>
      <t xml:space="preserve">, </t>
    </r>
    <r>
      <rPr>
        <color rgb="FF1155CC"/>
        <u/>
      </rPr>
      <t>https://cdn.shopify.com/s/files/1/0609/6096/4855/files/4_633dd59bb9.jpg?quality=60&amp;v=1773204822&amp;width=500</t>
    </r>
    <r>
      <rPr/>
      <t xml:space="preserve">, </t>
    </r>
    <r>
      <rPr>
        <color rgb="FF1155CC"/>
        <u/>
      </rPr>
      <t>https://cdn.shopify.com/s/files/1/0609/6096/4855/files/5_1eaed59196.jpg?quality=60&amp;v=1773204824&amp;width=500</t>
    </r>
  </si>
  <si>
    <t>Roopsee-F-MO-01</t>
  </si>
  <si>
    <t>Re'equil Ceramide &amp; Hyaluronic Acid Moisturiser</t>
  </si>
  <si>
    <t>Re'equil</t>
  </si>
  <si>
    <t>Re'equil Ceramide &amp; Hyaluronic Acid Moisturiser is a moisturiser that helps hydrate, comfort and support the skin barrier. It can be used after serums and before sunscreen in the morning.</t>
  </si>
  <si>
    <t>Aqua, Cetearyl Alcohol, Caprylic/Capric Triglyceride, Glycerin, Mangifera Indica (Mango) Seed Butter, Squalane, Ceramide III, Sodium Hyaluronate, Dimethicone, Glyceryl Stearate, PEG-100 Stearate, Phenoxyethanol, Ethylhexylglycerin, Fragrance.</t>
  </si>
  <si>
    <r>
      <rPr>
        <color rgb="FF1155CC"/>
        <u/>
      </rPr>
      <t>https://images-static.nykaa.com/media/catalog/product/b/4/b4152d38906063411178_0.jpg</t>
    </r>
    <r>
      <rPr/>
      <t xml:space="preserve">, </t>
    </r>
    <r>
      <rPr>
        <color rgb="FF1155CC"/>
        <u/>
      </rPr>
      <t>https://images-static.nykaa.com/media/catalog/product/b/4/b4152d38906063411178_1.jpg</t>
    </r>
    <r>
      <rPr/>
      <t xml:space="preserve">, </t>
    </r>
    <r>
      <rPr>
        <color rgb="FF1155CC"/>
        <u/>
      </rPr>
      <t>https://images-static.nykaa.com/media/catalog/product/b/4/b4152d38906063411178_2.jpg</t>
    </r>
    <r>
      <rPr/>
      <t xml:space="preserve">, </t>
    </r>
    <r>
      <rPr>
        <color rgb="FF1155CC"/>
        <u/>
      </rPr>
      <t>https://images-static.nykaa.com/media/catalog/product/b/4/b4152d38906063411178_3.jpg</t>
    </r>
    <r>
      <rPr/>
      <t xml:space="preserve">, </t>
    </r>
    <r>
      <rPr>
        <color rgb="FF1155CC"/>
        <u/>
      </rPr>
      <t>https://images-static.nykaa.com/media/catalog/product/b/4/b4152d38906063411178_4.jpg</t>
    </r>
  </si>
  <si>
    <t>Roopsee-F-MO-02</t>
  </si>
  <si>
    <t>Re'equil Oil Free Moisturiser</t>
  </si>
  <si>
    <t>O, O+S, N+S, C, C+S</t>
  </si>
  <si>
    <t>Alpha Bisabolol</t>
  </si>
  <si>
    <t>Sodium Hyaluronate, Betaine</t>
  </si>
  <si>
    <t>Re'equil Oil Free Moisturiser is a moisturiser that helps hydrate, comfort and support the skin barrier. It can be used after serums and before sunscreen in the morning.</t>
  </si>
  <si>
    <t>Aqua, C12-15 Alkyl Benzoate, Glycerin, Betaine, Cyclopentasiloxane, Dimethicone, Cetearyl Alcohol, Glyceryl Stearate, PEG-100 Stearate, Allantoin, Panthenol, Sodium Acrylates Copolymer, Caprylic/Capric Triglyceride, Phenoxyethanol, Ethylhexylglycerin, Fragrance.</t>
  </si>
  <si>
    <r>
      <rPr>
        <color rgb="FF1155CC"/>
        <u/>
      </rPr>
      <t>https://images-static.nykaa.com/media/catalog/product/b/4/b4152d38906063411185_0.jpg</t>
    </r>
    <r>
      <rPr/>
      <t xml:space="preserve">, </t>
    </r>
    <r>
      <rPr>
        <color rgb="FF1155CC"/>
        <u/>
      </rPr>
      <t>https://images-static.nykaa.com/media/catalog/product/b/4/b4152d38906063411185_1.jpg</t>
    </r>
    <r>
      <rPr/>
      <t xml:space="preserve">, </t>
    </r>
    <r>
      <rPr>
        <color rgb="FF1155CC"/>
        <u/>
      </rPr>
      <t>https://images-static.nykaa.com/media/catalog/product/b/4/b4152d38906063411185_2.jpg</t>
    </r>
    <r>
      <rPr/>
      <t xml:space="preserve">, </t>
    </r>
    <r>
      <rPr>
        <color rgb="FF1155CC"/>
        <u/>
      </rPr>
      <t>https://images-static.nykaa.com/media/catalog/product/b/4/b4152d38906063411185_3.jpg</t>
    </r>
    <r>
      <rPr/>
      <t xml:space="preserve">, </t>
    </r>
    <r>
      <rPr>
        <color rgb="FF1155CC"/>
        <u/>
      </rPr>
      <t>https://images-static.nykaa.com/media/catalog/product/b/4/b4152d38906063411185_4.jpg</t>
    </r>
  </si>
  <si>
    <t>Roopsee-F-MO-03</t>
  </si>
  <si>
    <t>Clinique Moisture Surge 1H Auto-Replenishing Hydrator</t>
  </si>
  <si>
    <t>Clinique</t>
  </si>
  <si>
    <t>Vitamin C and E</t>
  </si>
  <si>
    <t>Clinique Moisture Surge 100H Auto-Replenishing Hydrator is a moisturiser that helps hydrate, comfort and support the skin barrier. It can be used after serums and before sunscreen in the morning.</t>
  </si>
  <si>
    <t>Water/Aqua/Eau, Dimethicone, Butylene Glycol, Glycerin, Trisiloxane, Trehalose, Sucrose, Ammonium Acryloyldimethyltaurate/VP Copolymer, Hydroxyethyl Urea, Camellia Sinensis Leaf Extract, Silybum Marianum Fruit Extract, Betula Alba Bark Extract, Saccharomyces Lysate Extract, Aloe Barbadensis Leaf Water, Caffeine, Sorbitol, Palmitoyl Hexapeptide-12, Sodium Hyaluronate, Caprylyl Glycol, Oleth-10, Sodium Polyaspartate, Saccharide Isomerate, Hydrogenated Lecithin, Tocopheryl Acetate, Acrylates/C10-30 Alkyl Acrylate Crosspolymer, Carbomer, Triethanolamine, Phenoxyethanol, Chlorphenesin, Disodium EDTA.</t>
  </si>
  <si>
    <r>
      <rPr>
        <color rgb="FF1155CC"/>
        <u/>
      </rPr>
      <t>https://cdn.tirabeauty.com/v2/billowing-snowflake-434234/tira-p/wrkr/products/pictures/item/free/resize-w%3A750/wpWIOoM5-g-1067204_1.jpg</t>
    </r>
    <r>
      <rPr/>
      <t xml:space="preserve">, </t>
    </r>
    <r>
      <rPr>
        <color rgb="FF1155CC"/>
        <u/>
      </rPr>
      <t>https://cdn.tirabeauty.com/v2/billowing-snowflake-434234/tira-p/wrkr/products/pictures/item/free/resize-w%3A750/HTYx__bOnc-1067204_2.jpg</t>
    </r>
    <r>
      <rPr/>
      <t xml:space="preserve">, </t>
    </r>
    <r>
      <rPr>
        <color rgb="FF1155CC"/>
        <u/>
      </rPr>
      <t>https://cdn.tirabeauty.com/v2/billowing-snowflake-434234/tira-p/wrkr/products/pictures/item/free/resize-w%3A750/x9epAueaCy-1067204_3.jpg</t>
    </r>
    <r>
      <rPr/>
      <t xml:space="preserve">, </t>
    </r>
    <r>
      <rPr>
        <color rgb="FF1155CC"/>
        <u/>
      </rPr>
      <t>https://cdn.tirabeauty.com/v2/billowing-snowflake-434234/tira-p/wrkr/products/pictures/item/free/resize-w%3A750/1j_0lQFTJT-1067204_4.jpg</t>
    </r>
    <r>
      <rPr/>
      <t xml:space="preserve">, </t>
    </r>
    <r>
      <rPr>
        <color rgb="FF1155CC"/>
        <u/>
      </rPr>
      <t>https://cdn.tirabeauty.com/v2/billowing-snowflake-434234/tira-p/wrkr/products/pictures/item/free/resize-w%3A750/UpUj9yZZEp-1067204_5.jpg</t>
    </r>
  </si>
  <si>
    <t>Roopsee-F-MO-04</t>
  </si>
  <si>
    <t>COSRX Oil-Free Ultra Moisturizing Lotion</t>
  </si>
  <si>
    <t>Birch Sap</t>
  </si>
  <si>
    <t>COSRX Oil-Free Ultra Moisturizing Lotion is a moisturiser that helps hydrate, comfort and support the skin barrier. It can be used after serums and before sunscreen in the morning.</t>
  </si>
  <si>
    <t>Betula Platyphylla Japonica Juice, Butylene Glycol, Glycerin, Dimethicone, Betaine, Cetearyl Alcohol, 1,2-Hexanediol, Cetearyl Olivate, Sorbitan Olivate, Hydroxyethyl Acrylate/Sodium Acryloyldimethyl Taurate Copolymer, Allantoin, Panthenol, Xanthan Gum, Arginine, Carbomer, Melaleuca Alternifolia (Tea Tree) Leaf Oil, Sodium Hyaluronate, Hydroxyethylcellulose, Ethylhexylglycerin.</t>
  </si>
  <si>
    <r>
      <rPr>
        <color rgb="FF1155CC"/>
        <u/>
      </rPr>
      <t>https://cdn.tirabeauty.com/v2/billowing-snowflake-434234/tira-p/wrkr/products/pictures/item/free/resize-w%3A750/cosrx/1023407/0/-Fat-gt8TV-Hc9S6E8m1n-8809416470559_1.jpg</t>
    </r>
    <r>
      <rPr/>
      <t xml:space="preserve">, </t>
    </r>
    <r>
      <rPr>
        <color rgb="FF1155CC"/>
        <u/>
      </rPr>
      <t>https://cdn.tirabeauty.com/v2/billowing-snowflake-434234/tira-p/wrkr/products/pictures/item/free/resize-w%3A750/cosrx/1023407/1/MMCczyG90T-T9ob7DG_kY-8809416470559_2.jpg</t>
    </r>
    <r>
      <rPr/>
      <t xml:space="preserve">, </t>
    </r>
    <r>
      <rPr>
        <color rgb="FF1155CC"/>
        <u/>
      </rPr>
      <t>https://cdn.tirabeauty.com/v2/billowing-snowflake-434234/tira-p/wrkr/products/pictures/item/free/resize-w%3A750/cosrx/1023407/2/E2DA7Cq3yV-HOWtGW8GzG-8809416470559_3.jpg</t>
    </r>
    <r>
      <rPr/>
      <t xml:space="preserve">, </t>
    </r>
    <r>
      <rPr>
        <color rgb="FF1155CC"/>
        <u/>
      </rPr>
      <t>https://cdn.tirabeauty.com/v2/billowing-snowflake-434234/tira-p/wrkr/products/pictures/item/free/resize-w%3A750/cosrx/1023407/3/_HRA_Nb8JH-enL2c9VJf-8809416470559_4.jpg</t>
    </r>
    <r>
      <rPr/>
      <t xml:space="preserve">, </t>
    </r>
    <r>
      <rPr>
        <color rgb="FF1155CC"/>
        <u/>
      </rPr>
      <t>https://cdn.tirabeauty.com/v2/billowing-snowflake-434234/tira-p/wrkr/products/pictures/item/free/resize-w%3A750/cosrx/1023407/4/c947Qt7NT6-Cf2s6qv-pS-8809416470559_5.jpg</t>
    </r>
  </si>
  <si>
    <t>Roopsee-F-MO-06</t>
  </si>
  <si>
    <t>CeraVe Moisturising Lotion for Normal to Dry Skin with Ceramides &amp; Hyaluronic Acid</t>
  </si>
  <si>
    <t>LIGHTWEIGHT MOISTURIZER: The CeraVe Face and Body Moisturizer for Dry Skin, Developed with Dermatologists comes with a lightweight and non-greasy texture that works gently on the skin.</t>
  </si>
  <si>
    <t>Ceramide,Hyaluronic Acid_x000D_
 _x000D_
 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</si>
  <si>
    <r>
      <rPr>
        <color rgb="FF1155CC"/>
        <u/>
      </rPr>
      <t>https://images-static.nykaa.com/media/catalog/product/8/6/863d6c7CERAV00000015_1.jpg</t>
    </r>
    <r>
      <rPr/>
      <t xml:space="preserve">, </t>
    </r>
    <r>
      <rPr>
        <color rgb="FF1155CC"/>
        <u/>
      </rPr>
      <t>https://images-static.nykaa.com/media/catalog/product/8/6/863d6c7CERAV00000015_2.jpg</t>
    </r>
    <r>
      <rPr/>
      <t xml:space="preserve">, </t>
    </r>
    <r>
      <rPr>
        <color rgb="FF1155CC"/>
        <u/>
      </rPr>
      <t>https://images-static.nykaa.com/media/catalog/product/8/6/863d6c7CERAV00000015_3.jpg</t>
    </r>
    <r>
      <rPr/>
      <t xml:space="preserve">, </t>
    </r>
    <r>
      <rPr>
        <color rgb="FF1155CC"/>
        <u/>
      </rPr>
      <t>https://images-static.nykaa.com/media/catalog/product/8/6/863d6c7CERAV00000015_4.jpg</t>
    </r>
    <r>
      <rPr/>
      <t xml:space="preserve">, </t>
    </r>
    <r>
      <rPr>
        <color rgb="FF1155CC"/>
        <u/>
      </rPr>
      <t>https://images-static.nykaa.com/media/catalog/product/8/6/863d6c7CERAV00000015_5.jpg</t>
    </r>
  </si>
  <si>
    <t>Roopsee-F-MO-07</t>
  </si>
  <si>
    <t>CeraVe Moisturizer cream for Dry Skin, Barrier Repair Cream with Ceramides, Dermatologist Recommended</t>
  </si>
  <si>
    <t>177ml</t>
  </si>
  <si>
    <t>HYDRATES SKIN WHILE RESTORING SKIN BARRIER: This CeraVe lotion hydrates both your facial skin and body while restoring the skin barrier.</t>
  </si>
  <si>
    <r>
      <rPr>
        <color rgb="FF1155CC"/>
        <u/>
      </rPr>
      <t>https://cdn.tirabeauty.com/v2/billowing-snowflake-434234/tira-p/wrkr/products/pictures/item/free/resize-w%3A750/nK_a1D5qP-1124767_1.jpg</t>
    </r>
    <r>
      <rPr/>
      <t xml:space="preserve">, </t>
    </r>
    <r>
      <rPr>
        <color rgb="FF1155CC"/>
        <u/>
      </rPr>
      <t>https://cdn.tirabeauty.com/v2/billowing-snowflake-434234/tira-p/wrkr/products/pictures/item/free/resize-w%3A750/9A8Z9zGKO3-1124767_2.jpg</t>
    </r>
    <r>
      <rPr/>
      <t xml:space="preserve">, </t>
    </r>
    <r>
      <rPr>
        <color rgb="FF1155CC"/>
        <u/>
      </rPr>
      <t>https://cdn.tirabeauty.com/v2/billowing-snowflake-434234/tira-p/wrkr/products/pictures/item/free/resize-w%3A750/G1KRvRkY7f-1124767_3.jpg</t>
    </r>
    <r>
      <rPr/>
      <t xml:space="preserve">, </t>
    </r>
    <r>
      <rPr>
        <color rgb="FF1155CC"/>
        <u/>
      </rPr>
      <t>https://cdn.tirabeauty.com/v2/billowing-snowflake-434234/tira-p/wrkr/products/pictures/item/free/resize-w%3A750/KBw3LJ_4oE-1124767_4.jpg</t>
    </r>
    <r>
      <rPr/>
      <t xml:space="preserve">, </t>
    </r>
    <r>
      <rPr>
        <color rgb="FF1155CC"/>
        <u/>
      </rPr>
      <t>https://cdn.tirabeauty.com/v2/billowing-snowflake-434234/tira-p/wrkr/products/pictures/item/free/resize-w%3A750/q-322SRpex-1124767_5.jpg</t>
    </r>
  </si>
  <si>
    <t>Roopsee-F-MO-08</t>
  </si>
  <si>
    <t>Cetaphil Moisturising Cream, for Dry to Very Dry Sensitive Skin</t>
  </si>
  <si>
    <t>Niacinamide, panthenol</t>
  </si>
  <si>
    <t>DEVELOPED WITH CERAMIDES, HYALURONIC ACID AND UNIQUE MVE TECHNOLOGY: Infused with three essential ceramides and hyaluronic acid and powered with the unique MVE Technology, this CeraVe lotion delivers intense nourishment and 24-hour hydration.</t>
  </si>
  <si>
    <t>Purified Water, Polyglycerylmethacrylate &amp; Propylene Glycol, Light Liquid Paraffin, Dicaprylyl Ether, PEG-5 Glyceryl Stearate, Glycerin, Dimethicone and Dimethicone, Cetyl Alcohol, Refined Almond Oil, Benzyl Alcohol, Tocopheryl Acetate, Acrylates/C10-30 Alkyl Acrylate, DIsodium Edetate, Sodium Hydroxide, ALL-RAC-Alpha Tocopherol</t>
  </si>
  <si>
    <r>
      <rPr>
        <color rgb="FF1155CC"/>
        <u/>
      </rPr>
      <t>https://cdn.tirabeauty.com/v2/billowing-snowflake-434234/tira-p/wrkr/products/pictures/item/free/resize-w%3A750/382109/HWjVIxf-O3-382109_1.jpg</t>
    </r>
    <r>
      <rPr/>
      <t xml:space="preserve">, </t>
    </r>
    <r>
      <rPr>
        <color rgb="FF1155CC"/>
        <u/>
      </rPr>
      <t>https://cdn.tirabeauty.com/v2/billowing-snowflake-434234/tira-p/wrkr/products/pictures/item/free/resize-w%3A750/382109/r5D3MqwRFU-382109_2.jpg</t>
    </r>
    <r>
      <rPr/>
      <t xml:space="preserve">, </t>
    </r>
    <r>
      <rPr>
        <color rgb="FF1155CC"/>
        <u/>
      </rPr>
      <t>https://cdn.tirabeauty.com/v2/billowing-snowflake-434234/tira-p/wrkr/products/pictures/item/free/resize-w%3A750/382109/uE5v4jBwSE-382109_3.jpg</t>
    </r>
    <r>
      <rPr/>
      <t xml:space="preserve">, </t>
    </r>
    <r>
      <rPr>
        <color rgb="FF1155CC"/>
        <u/>
      </rPr>
      <t>https://cdn.tirabeauty.com/v2/billowing-snowflake-434234/tira-p/wrkr/products/pictures/item/free/resize-w%3A750/382109/1-KAKT27Un-382109_4.jpg</t>
    </r>
    <r>
      <rPr/>
      <t xml:space="preserve">, </t>
    </r>
    <r>
      <rPr>
        <color rgb="FF1155CC"/>
        <u/>
      </rPr>
      <t>https://cdn.tirabeauty.com/v2/billowing-snowflake-434234/tira-p/wrkr/products/pictures/item/free/resize-w%3A750/382109/Yz0ztFEWY-382109_5.jpg</t>
    </r>
  </si>
  <si>
    <t>Roopsee-F-MO-09</t>
  </si>
  <si>
    <t>Cetaphil DAM Daily Advance Ultra Hydrating Lotion, with Shea Butter and Nianicinamide, for Sensitive Skin</t>
  </si>
  <si>
    <t>The Cetaphil Daily Advance Ultra Hydrating Lotion is a dermatologist-recommended, barrier-support daily moisturiser formulated for dry and sensitive skin._x000D_
 _x000D_
 Built around a system of Shea Butter, Macadamia Nut Oil, Glycerin, and Panthenol, it works by combining emollients, occlusives, and humectants to deliver sustained moisture while supporting the skin's natural lipid layer - helping prevent the transepidermal water loss that drives chronic dryness, especially in air-conditioned indoor environments and polluted urban settings._x000D_
 _x000D_
 Classified as a dermacosmetic, this lotion is fragrance-free, paraben-free, cruelty-free, and vegan - making it suitable for reactive and allergy-prone skin that cannot tolerate fragranced or heavily preserved products.</t>
  </si>
  <si>
    <t>Aqua, Glycerin, Hydrogenated Polyisobutene, Cetearyl Alcohol &amp; Ceteareth - 20, Butyrospermum Parkii Butter (Shea Butter), Macadamia Integrifolia Seed oil (Macadamia Nut Oil), Cyclopentasiloxane, Tocopheryl Acetate, Sodium PCA, Phenoxyethanol, Benzyl Alcohol, Cyclopentasiloxane and Dimethiconol, Sodium Polyacrylate, Panthenol, Stearoxytrimethylsilane, Stearyl Alcohol, Acrylates/C10-30 Alkyl Acrylate Crosspolymer, Trimethyl Dodecatrienol, Citric Acid, Sodium Hydroxide</t>
  </si>
  <si>
    <r>
      <rPr>
        <color rgb="FF1155CC"/>
        <u/>
      </rPr>
      <t>https://cdn.tirabeauty.com/v2/billowing-snowflake-434234/tira-p/wrkr/products/pictures/item/free/resize-w%3A750/381943/jKwgc2Ec5u-381943_1.jpg</t>
    </r>
    <r>
      <rPr/>
      <t xml:space="preserve">, </t>
    </r>
    <r>
      <rPr>
        <color rgb="FF1155CC"/>
        <u/>
      </rPr>
      <t>https://cdn.tirabeauty.com/v2/billowing-snowflake-434234/tira-p/wrkr/products/pictures/item/free/resize-w%3A750/381943/qX4aE0XiaV-381943_2.jpg</t>
    </r>
    <r>
      <rPr/>
      <t xml:space="preserve">, </t>
    </r>
    <r>
      <rPr>
        <color rgb="FF1155CC"/>
        <u/>
      </rPr>
      <t>https://cdn.tirabeauty.com/v2/billowing-snowflake-434234/tira-p/wrkr/products/pictures/item/free/resize-w%3A750/381943/7hpRwHjKGR-381943_3.jpg</t>
    </r>
    <r>
      <rPr/>
      <t xml:space="preserve">, </t>
    </r>
    <r>
      <rPr>
        <color rgb="FF1155CC"/>
        <u/>
      </rPr>
      <t>https://cdn.tirabeauty.com/v2/billowing-snowflake-434234/tira-p/wrkr/products/pictures/item/free/resize-w%3A750/381943/LuSDteyKR-381943_4.jpg</t>
    </r>
    <r>
      <rPr/>
      <t xml:space="preserve">, </t>
    </r>
    <r>
      <rPr>
        <color rgb="FF1155CC"/>
        <u/>
      </rPr>
      <t>https://cdn.tirabeauty.com/v2/billowing-snowflake-434234/tira-p/wrkr/products/pictures/item/free/resize-w%3A750/381943/U0PYUZTrgM-381943_5.jpg</t>
    </r>
  </si>
  <si>
    <t>Roopsee-F-MO-10</t>
  </si>
  <si>
    <t>The Derma Co 4 Ceramide Complex + HA Intense Moisturizer</t>
  </si>
  <si>
    <t>The Derma Co 4% Ceramide Complex + HA Intense Moisturizer is a routine skincare product formulated with Ceramide Complex, Hyaluronic Acid. It supports targeted concerns such as acne, pigentation, dullness, dehydration, texture, pores, aging, sensitivity or barrier repair depending on routine placement.</t>
  </si>
  <si>
    <t>Ceramide Complex, Hyaluronic Acid</t>
  </si>
  <si>
    <r>
      <rPr>
        <color rgb="FF1155CC"/>
        <u/>
      </rPr>
      <t>https://cdn.tirabeauty.com/v2/billowing-snowflake-434234/tira-p/wrkr/products/pictures/item/free/resize-w%3A750/1157821/Z3m3aB7oNz-1157821_1.jpg</t>
    </r>
    <r>
      <rPr/>
      <t xml:space="preserve">, </t>
    </r>
    <r>
      <rPr>
        <color rgb="FF1155CC"/>
        <u/>
      </rPr>
      <t>https://cdn.tirabeauty.com/v2/billowing-snowflake-434234/tira-p/wrkr/products/pictures/item/free/resize-w%3A750/1157821/EtJyDpJTWQ-1157821_10.jpg</t>
    </r>
    <r>
      <rPr/>
      <t xml:space="preserve">, </t>
    </r>
    <r>
      <rPr>
        <color rgb="FF1155CC"/>
        <u/>
      </rPr>
      <t>https://cdn.tirabeauty.com/v2/billowing-snowflake-434234/tira-p/wrkr/products/pictures/item/free/resize-w%3A750/1157821/S3orAOIdH-1157821_11.jpg</t>
    </r>
    <r>
      <rPr/>
      <t xml:space="preserve">, </t>
    </r>
    <r>
      <rPr>
        <color rgb="FF1155CC"/>
        <u/>
      </rPr>
      <t>https://cdn.tirabeauty.com/v2/billowing-snowflake-434234/tira-p/wrkr/products/pictures/item/free/resize-w%3A750/1157821/LQU0Bb0CMU-1157821_12.jpg</t>
    </r>
    <r>
      <rPr/>
      <t xml:space="preserve">, </t>
    </r>
    <r>
      <rPr>
        <color rgb="FF1155CC"/>
        <u/>
      </rPr>
      <t>https://cdn.tirabeauty.com/v2/billowing-snowflake-434234/tira-p/wrkr/products/pictures/item/free/resize-w%3A750/1157821/Lo4RSGVdsr-1157821_2.jpg</t>
    </r>
  </si>
  <si>
    <t>Roopsee-F-MO-11</t>
  </si>
  <si>
    <t>Foxtale Ceramide Supercream</t>
  </si>
  <si>
    <t>Sodium Hyaluronate Crosspolymer</t>
  </si>
  <si>
    <t>Foxtale Ceramide Supercream is a routine skincare product formulated with Ceramides, Sodium Hyaluronate, Vitamin B5. It supports targeted concerns such as acne, pigentation, dullness, dehydration, texture, pores, aging, sensitivity or barrier repair depending on routine placement.</t>
  </si>
  <si>
    <t>Ceramides, Sodium Hyaluronate, Vitamin B5</t>
  </si>
  <si>
    <r>
      <rPr>
        <color rgb="FF1155CC"/>
        <u/>
      </rPr>
      <t>https://cdn.tirabeauty.com/v2/billowing-snowflake-434234/tira-p/wrkr/products/pictures/item/free/resize-w%3A750/1132056/K2T0e2JXEp-1132056_1.jpg</t>
    </r>
    <r>
      <rPr/>
      <t xml:space="preserve">, </t>
    </r>
    <r>
      <rPr>
        <color rgb="FF1155CC"/>
        <u/>
      </rPr>
      <t>https://cdn.tirabeauty.com/v2/billowing-snowflake-434234/tira-p/wrkr/products/pictures/item/free/resize-w%3A750/1132056/FREWE-I0yN-1132056_2.jpg</t>
    </r>
    <r>
      <rPr/>
      <t xml:space="preserve">, </t>
    </r>
    <r>
      <rPr>
        <color rgb="FF1155CC"/>
        <u/>
      </rPr>
      <t>https://cdn.tirabeauty.com/v2/billowing-snowflake-434234/tira-p/wrkr/products/pictures/item/free/resize-w%3A750/1132056/iFsB_7JD1M-1132056_3.jpg</t>
    </r>
    <r>
      <rPr/>
      <t xml:space="preserve">, </t>
    </r>
    <r>
      <rPr>
        <color rgb="FF1155CC"/>
        <u/>
      </rPr>
      <t>https://cdn.tirabeauty.com/v2/billowing-snowflake-434234/tira-p/wrkr/products/pictures/item/free/resize-w%3A750/1132056/1EssG5RF0R-1132056_4.jpg</t>
    </r>
    <r>
      <rPr/>
      <t xml:space="preserve">, </t>
    </r>
    <r>
      <rPr>
        <color rgb="FF1155CC"/>
        <u/>
      </rPr>
      <t>https://cdn.tirabeauty.com/v2/billowing-snowflake-434234/tira-p/wrkr/products/pictures/item/free/resize-w%3A750/1132056/qpzGB5JIJP-1132056_5.jpg</t>
    </r>
  </si>
  <si>
    <t>Roopsee-F-MO-13</t>
  </si>
  <si>
    <t>Minimalist Marula Oil 5 Moisturizer</t>
  </si>
  <si>
    <t>Marula Oil 5%</t>
  </si>
  <si>
    <t>Hyaluronic acid, Glycerin</t>
  </si>
  <si>
    <t>Minimalist Marula Oil 5% Moisturizer is a routine skincare product formulated with Marula Oil, Vitamin F, Vitamin E. It supports targeted concerns such as acne, pigentation, dullness, dehydration, texture, pores, aging, sensitivity or barrier repair depending on routine placement.</t>
  </si>
  <si>
    <t>Marula Oil, Vitamin F, Vitamin E</t>
  </si>
  <si>
    <r>
      <rPr>
        <color rgb="FF1155CC"/>
        <u/>
      </rPr>
      <t>https://cdn.tirabeauty.com/v2/billowing-snowflake-434234/tira-p/wrkr/products/pictures/item/free/resize-w%3A750/1090175/3PwuuBBgAD-1090175_1.jpg</t>
    </r>
    <r>
      <rPr/>
      <t xml:space="preserve">, </t>
    </r>
    <r>
      <rPr>
        <color rgb="FF1155CC"/>
        <u/>
      </rPr>
      <t>https://cdn.tirabeauty.com/v2/billowing-snowflake-434234/tira-p/wrkr/products/pictures/item/free/resize-w%3A750/1090175/wd7lQ6GC_4-1090175_2.jpg</t>
    </r>
    <r>
      <rPr/>
      <t xml:space="preserve">, </t>
    </r>
    <r>
      <rPr>
        <color rgb="FF1155CC"/>
        <u/>
      </rPr>
      <t>https://cdn.tirabeauty.com/v2/billowing-snowflake-434234/tira-p/wrkr/products/pictures/item/free/resize-w%3A750/1090175/1dJAZaaN0F-1090175_3.jpg</t>
    </r>
    <r>
      <rPr/>
      <t xml:space="preserve">, </t>
    </r>
    <r>
      <rPr>
        <color rgb="FF1155CC"/>
        <u/>
      </rPr>
      <t>https://cdn.tirabeauty.com/v2/billowing-snowflake-434234/tira-p/wrkr/products/pictures/item/free/resize-w%3A750/dPqY7a5pz-Minimalist-5percent-Marula-Oil-Face-Moisturizer-For-Dry-Skin-Cream-Hyaluronic-Acid-For-Nourishment-%2850g%29.jpeg</t>
    </r>
    <r>
      <rPr/>
      <t xml:space="preserve">, </t>
    </r>
    <r>
      <rPr>
        <color rgb="FF1155CC"/>
        <u/>
      </rPr>
      <t>https://cdn.tirabeauty.com/v2/billowing-snowflake-434234/tira-p/wrkr/products/pictures/item/free/resize-w%3A750/1090175/y5xYj2MmZg-1090175_5.jpg</t>
    </r>
  </si>
  <si>
    <t>Roopsee-F-MO-14</t>
  </si>
  <si>
    <t>COSRX Advanced Snail 92 All In One Cream</t>
  </si>
  <si>
    <t>Snail Mucin 92</t>
  </si>
  <si>
    <t>COSRX Advanced Snail 92 All In One Cream is a routine skincare product formulated with Snail Secretion Filtrate 92%, Betaine, Panthenol. It supports targeted concerns such as acne, pigentation, dullness, dehydration, texture, pores, aging, sensitivity or barrier repair depending on routine placement.</t>
  </si>
  <si>
    <t>Snail Secretion Filtrate 92%, Betaine, Panthenol</t>
  </si>
  <si>
    <r>
      <rPr>
        <color rgb="FF1155CC"/>
        <u/>
      </rPr>
      <t>https://cdn.tirabeauty.com/v2/billowing-snowflake-434234/tira-p/wrkr/products/pictures/item/free/resize-w%3A750/Lo5jLwTap-COSRX-Advanced-Snail-92-All-In-One-Cream-%28100g%29.jpeg</t>
    </r>
    <r>
      <rPr/>
      <t xml:space="preserve">, </t>
    </r>
    <r>
      <rPr>
        <color rgb="FF1155CC"/>
        <u/>
      </rPr>
      <t>https://cdn.tirabeauty.com/v2/billowing-snowflake-434234/tira-p/wrkr/products/pictures/item/free/resize-w%3A750/cosrx/1023399/1/Jel6dAZYfV-rcDL1cRSh-8809416470016_2.jpg</t>
    </r>
    <r>
      <rPr/>
      <t xml:space="preserve">, </t>
    </r>
    <r>
      <rPr>
        <color rgb="FF1155CC"/>
        <u/>
      </rPr>
      <t>https://cdn.tirabeauty.com/v2/billowing-snowflake-434234/tira-p/wrkr/products/pictures/item/free/resize-w%3A750/cosrx/1023399/2/2r7XZeLrPv-_HAsjZEv5P-8809416470016_3.jpg</t>
    </r>
    <r>
      <rPr/>
      <t xml:space="preserve">, </t>
    </r>
    <r>
      <rPr>
        <color rgb="FF1155CC"/>
        <u/>
      </rPr>
      <t>https://cdn.tirabeauty.com/v2/billowing-snowflake-434234/tira-p/wrkr/products/pictures/item/free/resize-w%3A750/cosrx/1023399/3/ut8HULijo9-n9FkpCSxAw-8809416470016_4.jpg</t>
    </r>
    <r>
      <rPr/>
      <t xml:space="preserve">, </t>
    </r>
    <r>
      <rPr>
        <color rgb="FF1155CC"/>
        <u/>
      </rPr>
      <t>https://cdn.tirabeauty.com/v2/billowing-snowflake-434234/tira-p/wrkr/products/pictures/item/free/resize-w%3A750/cosrx/1023399/4/1IiyXaM4Xe-WDh2ERnZvL-8809416470016_5.jpg</t>
    </r>
  </si>
  <si>
    <t>Roopsee-F-MO-16</t>
  </si>
  <si>
    <t>Innisfree Green Tea Hyaluronic Lotion</t>
  </si>
  <si>
    <t>Innisfree Green Tea Hyaluronic Lotion is a routine skincare product formulated with Green Tea Extract, Hyaluronic Acid. It supports targeted concerns such as acne, pigentation, dullness, dehydration, texture, pores, aging, sensitivity or barrier repair depending on routine placement.</t>
  </si>
  <si>
    <t>Green Tea Extract, Hyaluronic Acid</t>
  </si>
  <si>
    <r>
      <rPr>
        <color rgb="FF1155CC"/>
        <u/>
      </rPr>
      <t>https://cdn.tirabeauty.com/v2/billowing-snowflake-434234/tira-p/wrkr/products/pictures/item/free/resize-w%3A750/kstxs6vTGF-1123621_1.jpg</t>
    </r>
    <r>
      <rPr/>
      <t xml:space="preserve">, </t>
    </r>
    <r>
      <rPr>
        <color rgb="FF1155CC"/>
        <u/>
      </rPr>
      <t>https://cdn.tirabeauty.com/v2/billowing-snowflake-434234/tira-p/wrkr/products/pictures/item/free/resize-w%3A750/Y7ulfacfpO-1123621_2.jpg</t>
    </r>
    <r>
      <rPr/>
      <t xml:space="preserve">, </t>
    </r>
    <r>
      <rPr>
        <color rgb="FF1155CC"/>
        <u/>
      </rPr>
      <t>https://cdn.tirabeauty.com/v2/billowing-snowflake-434234/tira-p/wrkr/products/pictures/item/free/resize-w%3A750/y9XqtCTC6s-1123621_3.jpg</t>
    </r>
    <r>
      <rPr/>
      <t xml:space="preserve">, </t>
    </r>
    <r>
      <rPr>
        <color rgb="FF1155CC"/>
        <u/>
      </rPr>
      <t>https://cdn.tirabeauty.com/v2/billowing-snowflake-434234/tira-p/wrkr/products/pictures/item/free/resize-w%3A750/6maBg9RJp--1123621_4.jpg</t>
    </r>
    <r>
      <rPr/>
      <t xml:space="preserve">, </t>
    </r>
    <r>
      <rPr>
        <color rgb="FF1155CC"/>
        <u/>
      </rPr>
      <t>https://cdn.tirabeauty.com/v2/billowing-snowflake-434234/tira-p/wrkr/products/pictures/item/free/resize-w%3A750/vtiUShJmlx-1123621_5.jpg</t>
    </r>
  </si>
  <si>
    <t>Roopsee-F-MO-17</t>
  </si>
  <si>
    <t>Beauty of Joseon Dynasty Cream</t>
  </si>
  <si>
    <t>Beauty of Joseon</t>
  </si>
  <si>
    <t>Rice Bran Water</t>
  </si>
  <si>
    <t>Beauty of Joseon Dynasty Cream is a routine skincare product formulated with Rice Bran Water, Ginseng Root Water, Squalane, Niacinamide. It supports targeted concerns such as acne, pigentation, dullness, dehydration, texture, pores, aging, sensitivity or barrier repair depending on routine placement.</t>
  </si>
  <si>
    <t>Rice Bran Water, Ginseng Root Water, Squalane, Niacinamide</t>
  </si>
  <si>
    <t>Ingredient caution: niacinamide is usually gentle but might cause tingling or flushing in very reactive skin. Do a patch test before applying. Start slowly if your skin is sensitive and avoid combining too many new actives at once. Stop use if irritation persists.</t>
  </si>
  <si>
    <r>
      <rPr>
        <color rgb="FF1155CC"/>
        <u/>
      </rPr>
      <t>https://cdn.tirabeauty.com/v2/billowing-snowflake-434234/tira-p/wrkr/products/pictures/item/free/resize-w%3A750/NwgYLOdxlc-1143205_1.jpg</t>
    </r>
    <r>
      <rPr/>
      <t xml:space="preserve">, </t>
    </r>
    <r>
      <rPr>
        <color rgb="FF1155CC"/>
        <u/>
      </rPr>
      <t>https://cdn.tirabeauty.com/v2/billowing-snowflake-434234/tira-p/wrkr/products/pictures/item/free/resize-w%3A750/Cq7dJk3yZx-1143205_2.jpg</t>
    </r>
    <r>
      <rPr/>
      <t xml:space="preserve">, </t>
    </r>
    <r>
      <rPr>
        <color rgb="FF1155CC"/>
        <u/>
      </rPr>
      <t>https://cdn.tirabeauty.com/v2/billowing-snowflake-434234/tira-p/wrkr/products/pictures/item/free/resize-w%3A750/DRRO10Gm3Q-1143205_3.jpg</t>
    </r>
    <r>
      <rPr/>
      <t xml:space="preserve">, </t>
    </r>
    <r>
      <rPr>
        <color rgb="FF1155CC"/>
        <u/>
      </rPr>
      <t>https://cdn.tirabeauty.com/v2/billowing-snowflake-434234/tira-p/wrkr/products/pictures/item/free/resize-w%3A750/xbADXoxQ6X-1143205_4.jpg</t>
    </r>
    <r>
      <rPr/>
      <t xml:space="preserve">, </t>
    </r>
    <r>
      <rPr>
        <color rgb="FF1155CC"/>
        <u/>
      </rPr>
      <t>https://cdn.tirabeauty.com/v2/billowing-snowflake-434234/tira-p/wrkr/products/pictures/item/free/resize-w%3A750/60b5w79Alt-1143205_5.jpg</t>
    </r>
  </si>
  <si>
    <t>Roopsee-F-MO-18</t>
  </si>
  <si>
    <t>Sebamed Clear Face Care Gel</t>
  </si>
  <si>
    <t>Sebamed</t>
  </si>
  <si>
    <t>O, O+S</t>
  </si>
  <si>
    <t>Hyaluronic acid, Panthenol</t>
  </si>
  <si>
    <t>Sebamed Clear Face Care Gel is a routine skincare product formulated with Aloe Vera, Hyaluronic Acid, Panthenol. It supports targeted concerns such as acne, pigentation, dullness, dehydration, texture, pores, aging, sensitivity or barrier repair depending on routine placement.</t>
  </si>
  <si>
    <t>Aloe Vera, Hyaluronic Acid, Panthenol</t>
  </si>
  <si>
    <r>
      <rPr>
        <color rgb="FF1155CC"/>
        <u/>
      </rPr>
      <t>https://cdn.tirabeauty.com/v2/billowing-snowflake-434234/tira-p/wrkr/products/pictures/item/free/resize-w%3A750/1090912/C-iRhDQGuO-4103040895554_1.jpg</t>
    </r>
    <r>
      <rPr/>
      <t xml:space="preserve">, </t>
    </r>
    <r>
      <rPr>
        <color rgb="FF1155CC"/>
        <u/>
      </rPr>
      <t>https://cdn.tirabeauty.com/v2/billowing-snowflake-434234/tira-p/wrkr/products/pictures/item/free/resize-w%3A750/1090912/CNkFqitkAZ-4103040895554_2.jpg</t>
    </r>
    <r>
      <rPr/>
      <t xml:space="preserve">, </t>
    </r>
    <r>
      <rPr>
        <color rgb="FF1155CC"/>
        <u/>
      </rPr>
      <t>https://cdn.tirabeauty.com/v2/billowing-snowflake-434234/tira-p/wrkr/products/pictures/item/free/resize-w%3A750/sebamed/1090912/2/w-kTgpel9l-AC_Sebamed.jpg</t>
    </r>
  </si>
  <si>
    <t>Roopsee-F-SE-01</t>
  </si>
  <si>
    <t>AXIS-Y Dark Spot Correcting Glow Serum</t>
  </si>
  <si>
    <t>AXIS-Y</t>
  </si>
  <si>
    <t>O+S, C, C+S, D+S, N, N+S</t>
  </si>
  <si>
    <t>Dark Spots/Pigmentation, Redness/Irritation</t>
  </si>
  <si>
    <t>AXIS-Y Dark Spot Correcting Glow Serum is a targeted face serum formulated with Niacinamide 5%, Squalane, Rice Bran, Calendula. It supports focused skin concerns such as acne, spots, dullness, texture, oiliness or uneven tone.</t>
  </si>
  <si>
    <t>Water, Glycerin, Niacinamide, Sodium Hyaluronate, Propanediol, Erythritol, Butylene Glycol, Squalane, Oryza Sativa (Rice) Bran Extract, Calendula Officinalis Flower Extract, Carica Papaya (Papaya) Fruit Extract, Hippophae Rhamnoides Fruit Extract, Malpighia Glabra (Acerola) Fruit Extract, Polyglyceryl-10 Laurate, Chlorphenesin, Arginine, Ethylhexylglycerin, Carbomer, Glutathione, 1,2-Hexanediol, Hydroxypropyl Cyclodextrin, Disodium EDTA, Hydroxyethylcellulose, Allantoin, Rosmarinus Officinalis (Rosemary) Leaf Oil.</t>
  </si>
  <si>
    <t>â€¢ Start with a small amount and apply only on clean, dry skin.
 â€¢ Use at a low frequency at first, then increase only if skin stays comfortable.
 â€¢ Follow with moisturiser to reduce dryness or tightness.
 â€¢ Use sunscreen in the morning routine when using targeted treatments.
 â€¢ Track changes for a few weeks before deciding whether to increase use.</t>
  </si>
  <si>
    <t>â€¢ Do not layer several strong leave-on treatments in one routine unless advised.
 â€¢ Do not apply too close to the eyes, corners of nose, or cracked areas.
 â€¢ Do not use more quantity than needed; a thin layer is enough.
 â€¢ Do not use immediately after waxing, threading, shaving, or procedures if skin feels sensitive.
 â€¢ Do not continue if peeling, burning, or redness becomes persistent.</t>
  </si>
  <si>
    <t>â€¢ Use after cleansing and before moisturiser.
 â€¢ Apply a few drops or a thin layer over the target area.
 â€¢ Use once daily or alternate nights at first if your skin is reactive.
 â€¢ Wait until it settles, then apply moisturiser.
 â€¢ Use sunscreen the next morning when part of an evening routine.</t>
  </si>
  <si>
    <t>Ingredient caution: niacinamide is usually gentle but might cause tingling or flushing in very reactive skin; glutathione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</si>
  <si>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https://cdn.tirabeauty.com/v2/billowing-snowflake-434234/tira-p/wrkr/products/pictures/item/free/resize-w%3A750/EVu-JK-Tx-Axis-Y-Dark-Spot-Correcting-Glow-Serum-%2850-ml%29.jpeg</t>
    </r>
    <r>
      <rPr/>
      <t xml:space="preserve">, </t>
    </r>
    <r>
      <rPr>
        <color rgb="FF1155CC"/>
        <u/>
      </rPr>
      <t>https://cdn.tirabeauty.com/v2/billowing-snowflake-434234/tira-p/wrkr/products/pictures/item/free/resize-w%3A750/1162044/gLMVzLV3kk-1162044-2.jpg</t>
    </r>
    <r>
      <rPr/>
      <t xml:space="preserve">, </t>
    </r>
    <r>
      <rPr>
        <color rgb="FF1155CC"/>
        <u/>
      </rPr>
      <t>https://cdn.tirabeauty.com/v2/billowing-snowflake-434234/tira-p/wrkr/products/pictures/item/free/resize-w%3A750/1162044/0ISRf6tQK6-1162044-3.jpg</t>
    </r>
    <r>
      <rPr/>
      <t xml:space="preserve">, </t>
    </r>
    <r>
      <rPr>
        <color rgb="FF1155CC"/>
        <u/>
      </rPr>
      <t>https://cdn.tirabeauty.com/v2/billowing-snowflake-434234/tira-p/wrkr/products/pictures/item/free/resize-w%3A750/1162044/3wUMvhLQMR-1162044-4.jpg</t>
    </r>
    <r>
      <rPr/>
      <t xml:space="preserve">, </t>
    </r>
    <r>
      <rPr>
        <color rgb="FF1155CC"/>
        <u/>
      </rPr>
      <t>https://cdn.tirabeauty.com/v2/billowing-snowflake-434234/tira-p/wrkr/products/pictures/item/free/resize-w%3A750/1162044/YS0pTjEj6--1162044-5.jpg</t>
    </r>
  </si>
  <si>
    <t>Roopsee-F-SE-02</t>
  </si>
  <si>
    <t>Hyphen Anti Acne 10 Azelaic Acid 2 Salicylic Acid Face Serum</t>
  </si>
  <si>
    <t>Hyphen</t>
  </si>
  <si>
    <t>Azelaic Acid 10%</t>
  </si>
  <si>
    <t>salicylic acid 2%, Niacinamide 4%</t>
  </si>
  <si>
    <t>Hyphen Anti Acne 10% Azelaic Acid 2% Salicylic Acid Face Serum is a targeted face serum formulated with Azelaic Acid 10%, Salicylic Acid 2%. It supports focused skin concerns such as acne, spots, dullness, texture, oiliness or uneven tone.</t>
  </si>
  <si>
    <t>Aqua, Azelaic Acid, Niacinamide, Propanediol, Glycerin, Salicylic Acid, Butylene Glycol, Zinc PCA, Panthenol, Allantoin, Sodium Hyaluronate, Hydroxyethylcellulose, Xanthan Gum, Phenoxyethanol, Ethylhexylglycerin, Disodium EDTA.</t>
  </si>
  <si>
    <r>
      <rPr>
        <color rgb="FF1155CC"/>
        <u/>
      </rPr>
      <t>https://images-static.nykaa.com/media/catalog/product/b/5/b55a507HYPHE00000024_01.jpg</t>
    </r>
    <r>
      <rPr/>
      <t xml:space="preserve">, </t>
    </r>
    <r>
      <rPr>
        <color rgb="FF1155CC"/>
        <u/>
      </rPr>
      <t>https://images-static.nykaa.com/media/catalog/product/b/5/b55a507HYPHE00000024_02.jpg</t>
    </r>
    <r>
      <rPr/>
      <t xml:space="preserve">, </t>
    </r>
    <r>
      <rPr>
        <color rgb="FF1155CC"/>
        <u/>
      </rPr>
      <t>https://images-static.nykaa.com/media/catalog/product/b/5/b55a507HYPHE00000024_03.jpg</t>
    </r>
    <r>
      <rPr/>
      <t xml:space="preserve">, </t>
    </r>
    <r>
      <rPr>
        <color rgb="FF1155CC"/>
        <u/>
      </rPr>
      <t>https://images-static.nykaa.com/media/catalog/product/b/5/b55a507HYPHE00000024_04.jpg</t>
    </r>
    <r>
      <rPr/>
      <t xml:space="preserve">, </t>
    </r>
    <r>
      <rPr>
        <color rgb="FF1155CC"/>
        <u/>
      </rPr>
      <t>https://images-static.nykaa.com/media/catalog/product/b/5/b55a507HYPHE00000024_05.jpg</t>
    </r>
  </si>
  <si>
    <t>Roopsee-F-SE-03</t>
  </si>
  <si>
    <t>Minimalist 05 Niacinamide Face Serum</t>
  </si>
  <si>
    <t>O, C, C+S, O+S, N, N+S</t>
  </si>
  <si>
    <t>Oat extract, Hyaluronic acid</t>
  </si>
  <si>
    <t>Minimalist 05% Niacinamide Face Serum is a targeted face serum formulated with Niacinamide 5% Serum (AM). It supports focused skin concerns such as acne, spots, dullness, texture, oiliness or uneven tone.</t>
  </si>
  <si>
    <t>Aloe Barbadensis Leaf Juice, Niacinamide, Dimethyl Isosorbide, Propanediol, Ethoxydiglycol, Hyaluronic Acid, Panthenol, Phenoxyethanol, Ethylhexylglycerin, Hydroxyethylcellulose, Pullulan, Xanthan Gum, Sclerotium Gum, Lecithin.</t>
  </si>
  <si>
    <r>
      <rPr>
        <color rgb="FF1155CC"/>
        <u/>
      </rPr>
      <t>https://cdn.tirabeauty.com/v2/billowing-snowflake-434234/tira-p/wrkr/products/pictures/item/free/resize-w%3A750/rq5dKknP4-1181810_1.jpg</t>
    </r>
    <r>
      <rPr/>
      <t xml:space="preserve">, </t>
    </r>
    <r>
      <rPr>
        <color rgb="FF1155CC"/>
        <u/>
      </rPr>
      <t>https://cdn.tirabeauty.com/v2/billowing-snowflake-434234/tira-p/wrkr/products/pictures/item/free/resize-w%3A750/fluKcNxNq3-1181810_AC_Minimalist.jpg</t>
    </r>
  </si>
  <si>
    <t>Roopsee-F-SE-04</t>
  </si>
  <si>
    <t>Minimalist 10 Niacinamide Face Serum With Matmarine + Zinc For Reducing Oil &amp; Blemishes</t>
  </si>
  <si>
    <t>Acne, Open Pores</t>
  </si>
  <si>
    <t>Niacinamide 10%</t>
  </si>
  <si>
    <t>Matmarine, Zinc</t>
  </si>
  <si>
    <t>Achieve gentle-looking skin with the Minimalist 10% Niacinamide Face Serum Reduces Blemishes &amp; Oil - (30ml). This daily facial serum is packed with vitamin B3 (Niacinamide) and EUK-134 to minimise sebum, acne marks, erythema, and inflammation. The lightweight facial serum also glides smoothly on the skin and protects against UV-induced DNA damage.</t>
  </si>
  <si>
    <t>Aloe Barbadensis Leaf Juice, Niacinamide, Dimethyl Isosorbide, Propanediol, Ethoxydiglycol, Zinc PCA, Phenoxyethanol, Ethylhexylglycerin, Hydroxyethylcellulose, Pullulan, Xanthan Gum, Sclerotium Gum, Lecithin, Plankton Extract.</t>
  </si>
  <si>
    <t>Ingredient caution: high-strength niacinamide might cause flushing, tingling or small bumps in reactive skin; sulfur/zinc-based oil-control ingredients might feel drying or tight on already dry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reduce frequency if redness or bumps appear. Use a moisturiser and reduce frequency if the skin feels tight or flaky.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</si>
  <si>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https://cdn.tirabeauty.com/v2/billowing-snowflake-434234/tira-p/wrkr/products/pictures/item/free/resize-w%3A750/1002788/cSW5hp8ry--1002788_1.jpg</t>
    </r>
    <r>
      <rPr/>
      <t xml:space="preserve">, </t>
    </r>
    <r>
      <rPr>
        <color rgb="FF1155CC"/>
        <u/>
      </rPr>
      <t>https://cdn.tirabeauty.com/v2/billowing-snowflake-434234/tira-p/wrkr/products/pictures/item/free/resize-w%3A750/1002788/APtYDRXrTk-1002788_2.jpg</t>
    </r>
    <r>
      <rPr/>
      <t xml:space="preserve">, </t>
    </r>
    <r>
      <rPr>
        <color rgb="FF1155CC"/>
        <u/>
      </rPr>
      <t>https://cdn.tirabeauty.com/v2/billowing-snowflake-434234/tira-p/wrkr/products/pictures/item/free/resize-w%3A750/1002788/ogIlabDttR-1002788_3.jpg</t>
    </r>
    <r>
      <rPr/>
      <t xml:space="preserve">, </t>
    </r>
    <r>
      <rPr>
        <color rgb="FF1155CC"/>
        <u/>
      </rPr>
      <t>https://cdn.tirabeauty.com/v2/billowing-snowflake-434234/tira-p/wrkr/products/pictures/item/free/resize-w%3A750/1002788/SP6EZePKu-1002788_4.jpg</t>
    </r>
    <r>
      <rPr/>
      <t xml:space="preserve">, </t>
    </r>
    <r>
      <rPr>
        <color rgb="FF1155CC"/>
        <u/>
      </rPr>
      <t>https://cdn.tirabeauty.com/v2/billowing-snowflake-434234/tira-p/wrkr/products/pictures/item/free/resize-w%3A750/1002788/ZP4RNk4qpQ-1002788_5.jpg</t>
    </r>
  </si>
  <si>
    <t>Roopsee-F-SE-05</t>
  </si>
  <si>
    <t>Minimalist 2 Alpha Arbutin Face Serum With Butylresorcinol &amp; Ferulic Acid</t>
  </si>
  <si>
    <t>10ml</t>
  </si>
  <si>
    <t>Alpha Arbutin 2%</t>
  </si>
  <si>
    <t>Ferulic acid, Hyaluronic acid</t>
  </si>
  <si>
    <t>Pigentation-focused serum for dark spots and uneven tone; pairs well with sunscreen in acne-mark routines.</t>
  </si>
  <si>
    <t>Aloe Barbadensis Leaf Juice, Alpha-Arbutin, Dimethyl Isosorbide, Butylresorcinol, Ferulic Acid, Propanediol, Ethoxydiglycol, Phenoxyethanol, Ethylhexylglycerin, Hydroxyethylcellulose, Pullulan, Xanthan Gum, Sclerotium Gum, Lecithin.</t>
  </si>
  <si>
    <t>Ingredient caution: alpha arbutin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pair with sunscreen, because pigmentation care works best with UV protection. Do not apply on broken, freshly waxed or irritated skin. Apply on slightly damp skin and follow with moisturiser if dryness occurs. Avoid during pregnancy or breastfeeding unless your doctor approves. Stop use if irritation persists.</t>
  </si>
  <si>
    <r>
      <rPr>
        <color rgb="FF1155CC"/>
        <u/>
      </rPr>
      <t>https://cdn.tirabeauty.com/v2/billowing-snowflake-434234/tira-p/wrkr/products/pictures/item/free/resize-w%3A750/1002792/3tUdvNSDa-1002792_1.jpg</t>
    </r>
    <r>
      <rPr/>
      <t xml:space="preserve">, </t>
    </r>
    <r>
      <rPr>
        <color rgb="FF1155CC"/>
        <u/>
      </rPr>
      <t>https://cdn.tirabeauty.com/v2/billowing-snowflake-434234/tira-p/wrkr/products/pictures/item/free/resize-w%3A750/1002792/u6p1PZDF8i-1002792_2.jpg</t>
    </r>
    <r>
      <rPr/>
      <t xml:space="preserve">, </t>
    </r>
    <r>
      <rPr>
        <color rgb="FF1155CC"/>
        <u/>
      </rPr>
      <t>https://cdn.tirabeauty.com/v2/billowing-snowflake-434234/tira-p/wrkr/products/pictures/item/free/resize-w%3A750/1002792/4AAzQsWqX-1002792_3.jpg</t>
    </r>
    <r>
      <rPr/>
      <t xml:space="preserve">, </t>
    </r>
    <r>
      <rPr>
        <color rgb="FF1155CC"/>
        <u/>
      </rPr>
      <t>https://cdn.tirabeauty.com/v2/billowing-snowflake-434234/tira-p/wrkr/products/pictures/item/free/resize-w%3A750/1002792/KMvHJNAaCd-1002792_4.jpg</t>
    </r>
    <r>
      <rPr/>
      <t xml:space="preserve">, </t>
    </r>
    <r>
      <rPr>
        <color rgb="FF1155CC"/>
        <u/>
      </rPr>
      <t>https://cdn.tirabeauty.com/v2/billowing-snowflake-434234/tira-p/wrkr/products/pictures/item/free/resize-w%3A750/1002792/E7XSRhYmQk-1002792_5.jpg</t>
    </r>
  </si>
  <si>
    <t>Roopsee-F-SE-06</t>
  </si>
  <si>
    <t>Minimalist 2 Salicylic Acid Face Serum For Comedones &amp; Whiteheads</t>
  </si>
  <si>
    <t>LHA, Zinc PCA</t>
  </si>
  <si>
    <t>Minimalist 2% Salicylic Acid Face Serum For Comedones &amp; Whiteheads is a targeted face serum formulated with BHA 2%. It supports focused skin concerns such as acne, spots, dullness, texture, oiliness or uneven tone.</t>
  </si>
  <si>
    <t>Aloe Barbadensis Leaf Juice, Salicylic Acid, Dimethyl Isosorbide, Propanediol, Ethoxydiglycol, Capryloyl Salicylic Acid, Polysorbate 20, Phenoxyethanol, Ethylhexylglycerin, Hydroxyethylcellulose, Sodium Hydroxide, Pullulan, Xanthan Gum, Sclerotium Gum, Lecithin.</t>
  </si>
  <si>
    <t>Ingredient caution: salicylic acid/BHA might cause stinging, dryness, peeling, redness and increased sun sensitivity; sulfur/zinc-based oil-control ingredients might feel drying or tight on already dry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Use a moisturiser and reduce frequency if the skin feels tight or flaky.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</si>
  <si>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https://cdn.tirabeauty.com/v2/billowing-snowflake-434234/tira-p/wrkr/products/pictures/item/free/resize-w%3A750/1002790/gScjdJKnzf-1002790_3.jpg</t>
    </r>
    <r>
      <rPr/>
      <t xml:space="preserve">, </t>
    </r>
    <r>
      <rPr>
        <color rgb="FF1155CC"/>
        <u/>
      </rPr>
      <t>https://cdn.tirabeauty.com/v2/billowing-snowflake-434234/tira-p/wrkr/products/pictures/item/free/resize-w%3A750/1002790/MFvbjexXJ9-1002790_4.jpg</t>
    </r>
    <r>
      <rPr/>
      <t xml:space="preserve">, </t>
    </r>
    <r>
      <rPr>
        <color rgb="FF1155CC"/>
        <u/>
      </rPr>
      <t>https://cdn.tirabeauty.com/v2/billowing-snowflake-434234/tira-p/wrkr/products/pictures/item/free/resize-w%3A750/1002790/1EWtA-ASFW-1002790_5.jpg</t>
    </r>
    <r>
      <rPr/>
      <t xml:space="preserve">, </t>
    </r>
    <r>
      <rPr>
        <color rgb="FF1155CC"/>
        <u/>
      </rPr>
      <t>https://cdn.tirabeauty.com/v2/billowing-snowflake-434234/tira-p/wrkr/products/pictures/item/free/resize-w%3A750/1002790/9ok8c1ro2R-1002790_6.jpg</t>
    </r>
    <r>
      <rPr/>
      <t xml:space="preserve">, </t>
    </r>
    <r>
      <rPr>
        <color rgb="FF1155CC"/>
        <u/>
      </rPr>
      <t>https://cdn.tirabeauty.com/v2/billowing-snowflake-434234/tira-p/wrkr/products/pictures/item/free/resize-w%3A750/minimalist/1002790/6/fSt2H6gt9_-AC_MINIMALIST.jpeg</t>
    </r>
  </si>
  <si>
    <t>Roopsee-F-SE-07</t>
  </si>
  <si>
    <t>Minimalist 3% Tranexamic Acid Face Serum For Melasma, Acne Scars &amp; Hyperpigmentation</t>
  </si>
  <si>
    <t>Dark Spots/Pigmentation, Melasma, Uneven Skin Tone</t>
  </si>
  <si>
    <t>Tranexamic Acid 3%</t>
  </si>
  <si>
    <t>Mandelic acid 3%, HPA 1%</t>
  </si>
  <si>
    <t>Minimalist 3% Tranexamic Acid Face Serum For Melasma, Acne Scars &amp; Hyperpigentation is a targeted face serum formulated with Tranenxamic acid 3% + Niacinamide 5% Serum. It supports focused skin concerns such as acne, spots, dullness, texture, oiliness or uneven tone.</t>
  </si>
  <si>
    <t>Tranexamic Acid, Mandelic Acid, Acetyl Glucosamine, humectants</t>
  </si>
  <si>
    <t>Ingredient caution: mandelic acid/AHA might cause stinging, dryness, peeling, redness and increased sun sensitivity; niacinamide is usually gentle but might cause tingling or flushing in very reactive skin; tranexamic acid might cause tingling, dryness or redness in sensitive skin. Do a patch test before applying. First-time users should start 3–4 times a week, avoid using it with retinol or other exfoliating acids in the same routine, and apply sunscreen daily. Start slowly if your skin is sensitive and avoid combining too many new actives at once. First-time users should start 3–4 times a week and pair with sunscreen, because pigmentation care works best with UV protection. Avoid during pregnancy or breastfeeding unless your doctor approves. Stop use if irritation persists.</t>
  </si>
  <si>
    <r>
      <rPr>
        <color rgb="FF1155CC"/>
        <u/>
      </rPr>
      <t>https://cdn.tirabeauty.com/v2/billowing-snowflake-434234/tira-p/wrkr/products/pictures/item/free/resize-w%3A750/1002793/XJGNQBfYJ-1002793_1.jpg</t>
    </r>
    <r>
      <rPr/>
      <t xml:space="preserve">, </t>
    </r>
    <r>
      <rPr>
        <color rgb="FF1155CC"/>
        <u/>
      </rPr>
      <t>https://cdn.tirabeauty.com/v2/billowing-snowflake-434234/tira-p/wrkr/products/pictures/item/free/resize-w%3A750/1002793/mdXjB3UNP-1002793_2.jpg</t>
    </r>
    <r>
      <rPr/>
      <t xml:space="preserve">, </t>
    </r>
    <r>
      <rPr>
        <color rgb="FF1155CC"/>
        <u/>
      </rPr>
      <t>https://cdn.tirabeauty.com/v2/billowing-snowflake-434234/tira-p/wrkr/products/pictures/item/free/resize-w%3A750/1002793/u8-sfRv_ri-1002793_3.jpg</t>
    </r>
    <r>
      <rPr/>
      <t xml:space="preserve">, </t>
    </r>
    <r>
      <rPr>
        <color rgb="FF1155CC"/>
        <u/>
      </rPr>
      <t>https://cdn.tirabeauty.com/v2/billowing-snowflake-434234/tira-p/wrkr/products/pictures/item/free/resize-w%3A750/1002793/AoM5wh0lu7-1002793_4.jpg</t>
    </r>
    <r>
      <rPr/>
      <t xml:space="preserve">, </t>
    </r>
    <r>
      <rPr>
        <color rgb="FF1155CC"/>
        <u/>
      </rPr>
      <t>https://cdn.tirabeauty.com/v2/billowing-snowflake-434234/tira-p/wrkr/products/pictures/item/free/resize-w%3A750/1002793/LnvcGvdl0r-1002793_5.jpg</t>
    </r>
  </si>
  <si>
    <t>Roopsee-F-SE-08</t>
  </si>
  <si>
    <t>Minimalist Retinol 0.3 Face Serum</t>
  </si>
  <si>
    <t>Retinol 0.3%</t>
  </si>
  <si>
    <t>Bakuchiol 1%, Squalane</t>
  </si>
  <si>
    <t>Minimalist Retinol 0.3% Face Serum is a targeted face serum formulated with Retinol 0.5%. It supports focused skin concerns such as acne, spots, dullness, texture, oiliness or uneven tone.</t>
  </si>
  <si>
    <t>Aqua, Propanediol, Caprylic/Capric Triglyceride, Retinol, Coenzyme Q10, Squalane, Tocopherol, Lecithin, Polysorbate 20, Phenoxyethanol, Ethylhexylglycerin, Hydroxyethylcellulose, Xanthan Gum.</t>
  </si>
  <si>
    <r>
      <rPr>
        <color rgb="FF1155CC"/>
        <u/>
      </rPr>
      <t>https://cdn.tirabeauty.com/v2/billowing-snowflake-434234/tira-p/wrkr/products/pictures/item/free/resize-w%3A750/1002776/8ayANYsMX-1002776_1.jpg</t>
    </r>
    <r>
      <rPr/>
      <t xml:space="preserve">, </t>
    </r>
    <r>
      <rPr>
        <color rgb="FF1155CC"/>
        <u/>
      </rPr>
      <t>https://cdn.tirabeauty.com/v2/billowing-snowflake-434234/tira-p/wrkr/products/pictures/item/free/resize-w%3A750/1002776/t1FW0K376W-1002776_2.jpg</t>
    </r>
    <r>
      <rPr/>
      <t xml:space="preserve">, </t>
    </r>
    <r>
      <rPr>
        <color rgb="FF1155CC"/>
        <u/>
      </rPr>
      <t>https://cdn.tirabeauty.com/v2/billowing-snowflake-434234/tira-p/wrkr/products/pictures/item/free/resize-w%3A750/1002776/I5B8bNcGK-1002776_3.jpg</t>
    </r>
    <r>
      <rPr/>
      <t xml:space="preserve">, </t>
    </r>
    <r>
      <rPr>
        <color rgb="FF1155CC"/>
        <u/>
      </rPr>
      <t>https://cdn.tirabeauty.com/v2/billowing-snowflake-434234/tira-p/wrkr/products/pictures/item/free/resize-w%3A750/1002776/Njfay5rbzJ-1002776_4.jpg</t>
    </r>
    <r>
      <rPr/>
      <t xml:space="preserve">, </t>
    </r>
    <r>
      <rPr>
        <color rgb="FF1155CC"/>
        <u/>
      </rPr>
      <t>https://cdn.tirabeauty.com/v2/billowing-snowflake-434234/tira-p/wrkr/products/pictures/item/free/resize-w%3A750/1002776/hTgEzqJghB-1002776_5.jpg</t>
    </r>
  </si>
  <si>
    <t>Roopsee-F-SE-09</t>
  </si>
  <si>
    <t>Pilgrim Natural Vitamin C Serum 20 with Hyaluronic Acid &amp; Kakadu Plum</t>
  </si>
  <si>
    <t>Vitamin C 20%</t>
  </si>
  <si>
    <t>Hyaluronic acid , Kakadu plum extract</t>
  </si>
  <si>
    <t>Pilgrim Natural Vitamin C Serum 20% with Hyaluronic Acid &amp; Kakadu Plum is a targeted face serum formulated with Vitamin C 20% Serum. It supports focused skin concerns such as acne, spots, dullness, texture, oiliness or uneven tone.</t>
  </si>
  <si>
    <t>Aqua, 3-O-Ethyl Ascorbic Acid, Propanediol, Glycerin, Sodium Hyaluronate, Terminalia Ferdinandiana (Kakadu Plum) Fruit Extract, Citrus Junos Fruit Extract, Ferulic Acid, Tocopherol, Phenoxyethanol, Ethylhexylglycerin, Xanthan Gum, Disodium EDTA.</t>
  </si>
  <si>
    <r>
      <rPr>
        <color rgb="FF1155CC"/>
        <u/>
      </rPr>
      <t>https://cdn.tirabeauty.com/v2/billowing-snowflake-434234/tira-p/wrkr/products/pictures/item/free/resize-w%3A750/1102659/DRcQ9GZqW-1102659_1.jpg</t>
    </r>
    <r>
      <rPr/>
      <t xml:space="preserve">, </t>
    </r>
    <r>
      <rPr>
        <color rgb="FF1155CC"/>
        <u/>
      </rPr>
      <t>https://cdn.tirabeauty.com/v2/billowing-snowflake-434234/tira-p/wrkr/products/pictures/item/free/resize-w%3A750/1102659/YH1E258_P8-1102659_2.jpg</t>
    </r>
    <r>
      <rPr/>
      <t xml:space="preserve">, </t>
    </r>
    <r>
      <rPr>
        <color rgb="FF1155CC"/>
        <u/>
      </rPr>
      <t>https://cdn.tirabeauty.com/v2/billowing-snowflake-434234/tira-p/wrkr/products/pictures/item/free/resize-w%3A750/1102659/vRYzocUawm-1102659_3.jpg</t>
    </r>
    <r>
      <rPr/>
      <t xml:space="preserve">, </t>
    </r>
    <r>
      <rPr>
        <color rgb="FF1155CC"/>
        <u/>
      </rPr>
      <t>https://cdn.tirabeauty.com/v2/billowing-snowflake-434234/tira-p/wrkr/products/pictures/item/free/resize-w%3A750/1102659/kcEcfL7i7s-1102659_4.jpg</t>
    </r>
    <r>
      <rPr/>
      <t xml:space="preserve">, </t>
    </r>
    <r>
      <rPr>
        <color rgb="FF1155CC"/>
        <u/>
      </rPr>
      <t>https://cdn.tirabeauty.com/v2/billowing-snowflake-434234/tira-p/wrkr/products/pictures/item/free/resize-w%3A750/1102659/YMT1aDSry-1102659_5.jpg</t>
    </r>
  </si>
  <si>
    <t>Roopsee-F-SE-10</t>
  </si>
  <si>
    <t>SOME BY MI AHA-BHA-PHA 30 Days Miracle Serum</t>
  </si>
  <si>
    <t>SOME BY MI</t>
  </si>
  <si>
    <t>Acne, Comedones, Open Pores</t>
  </si>
  <si>
    <t>AHA-BHA-PHA</t>
  </si>
  <si>
    <t>Niacinamide, Cica, Tea tree leaf water</t>
  </si>
  <si>
    <t>SOME BY MI AHA-BHA-PHA 30 Days Miracle Serum is a targeted face serum formulated with AHA, BHA, PHA, Tea Tree. It supports focused skin concerns such as acne, spots, dullness, texture, oiliness or uneven tone.</t>
  </si>
  <si>
    <t>Water, Dipropylene Glycol, Glycerin, Butylene Glycol, Melaleuca Alternifolia (Tea Tree) Leaf Water, Niacinamide, Salicylic Acid, Glycolic Acid, Lactobionic Acid, Centella Asiatica Extract, Melaleuca Alternifolia (Tea Tree) Leaf Extract, Panthenol, Allantoin, Adenosine, Sodium Hyaluronate, 1,2-Hexanediol, Ethylhexylglycerin.</t>
  </si>
  <si>
    <t>Ingredient caution: PHA, glycolic acid/AHA, salicylic acid/BHA might cause stinging, dryness, peeling, redness and increased sun sensitivity; niacinamide is usually gentle but might cause tingling or flushing in very reactive skin; fragrance, essential oils or fragrance allergens might trigger redness, itching or allergic irritation;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Apply on slightly damp skin and follow with moisturiser if dryness occurs. Stop use if irritation persists.</t>
  </si>
  <si>
    <r>
      <rPr>
        <color rgb="FF1155CC"/>
        <u/>
      </rPr>
      <t>https://cdn.tirabeauty.com/v2/billowing-snowflake-434234/tira-p/wrkr/products/pictures/item/free/resize-w%3A750/some-by-mi/1023601/0/XabEzeHI3--rsHZSmg8O3-1023601_1.jpg</t>
    </r>
    <r>
      <rPr/>
      <t xml:space="preserve">, </t>
    </r>
    <r>
      <rPr>
        <color rgb="FF1155CC"/>
        <u/>
      </rPr>
      <t>https://cdn.tirabeauty.com/v2/billowing-snowflake-434234/tira-p/wrkr/products/pictures/item/free/resize-w%3A750/some-by-mi/1023601/1/BFYvpAqvOS-s7G9ZRE_Mh-1023601_2.jpg</t>
    </r>
    <r>
      <rPr/>
      <t xml:space="preserve">, </t>
    </r>
    <r>
      <rPr>
        <color rgb="FF1155CC"/>
        <u/>
      </rPr>
      <t>https://cdn.tirabeauty.com/v2/billowing-snowflake-434234/tira-p/wrkr/products/pictures/item/free/resize-w%3A750/some-by-mi/1023601/2/3NNPlAsap4-ctZEgMO83Q-1023601_3.jpg</t>
    </r>
    <r>
      <rPr/>
      <t xml:space="preserve">, </t>
    </r>
    <r>
      <rPr>
        <color rgb="FF1155CC"/>
        <u/>
      </rPr>
      <t>https://cdn.tirabeauty.com/v2/billowing-snowflake-434234/tira-p/wrkr/products/pictures/item/free/resize-w%3A750/some-by-mi/1023601/3/1kO-KzIijp-laQeXm4cEw-1023601_4.jpg</t>
    </r>
    <r>
      <rPr/>
      <t xml:space="preserve">, </t>
    </r>
    <r>
      <rPr>
        <color rgb="FF1155CC"/>
        <u/>
      </rPr>
      <t>https://cdn.tirabeauty.com/v2/billowing-snowflake-434234/tira-p/wrkr/products/pictures/item/free/resize-w%3A750/some-by-mi/1023601/4/O3-pkCyoS_-2enzqGwNJO-1023601_5.jpg</t>
    </r>
  </si>
  <si>
    <t>Roopsee-F-SE-11</t>
  </si>
  <si>
    <t>The Derma Co 2 Kojic Acid Face Serum</t>
  </si>
  <si>
    <t>Dark Spots/Pigmentation, Uneven Skin Tone, Melasma</t>
  </si>
  <si>
    <t>Kojic acid 2%</t>
  </si>
  <si>
    <t>Alpha Arbutin 1%, Niacinamide</t>
  </si>
  <si>
    <t>The Derma Co 2% Kojic Acid Face Serum is a targeted face serum formulated with Kojic Acid 2%, Alpha Arbutin, Niacinamide. It supports focused skin concerns such as acne, spots, dullness, texture, oiliness or uneven tone.</t>
  </si>
  <si>
    <t>Aqua, Kojic Acid, Niacinamide, Alpha-Arbutin, Propanediol, Glycerin, Butylene Glycol, Sodium Hyaluronate, Panthenol, Allantoin, Phenoxyethanol, Ethylhexylglycerin, Xanthan Gum, Disodium EDTA.</t>
  </si>
  <si>
    <t>Ingredient caution: niacinamide is usually gentle but might cause tingling or flushing in very reactive skin; alpha arbutin, kojic acid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</si>
  <si>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https://cdn.tirabeauty.com/v2/billowing-snowflake-434234/tira-p/wrkr/products/pictures/item/free/resize-w%3A750/1084819/WoOywJqJd-1084819_1.jpg</t>
    </r>
    <r>
      <rPr/>
      <t xml:space="preserve">, </t>
    </r>
    <r>
      <rPr>
        <color rgb="FF1155CC"/>
        <u/>
      </rPr>
      <t>https://cdn.tirabeauty.com/v2/billowing-snowflake-434234/tira-p/wrkr/products/pictures/item/free/resize-w%3A750/1084819/A0j3tQ1cVR-1084819_2.jpg</t>
    </r>
    <r>
      <rPr/>
      <t xml:space="preserve">, </t>
    </r>
    <r>
      <rPr>
        <color rgb="FF1155CC"/>
        <u/>
      </rPr>
      <t>https://cdn.tirabeauty.com/v2/billowing-snowflake-434234/tira-p/wrkr/products/pictures/item/free/resize-w%3A750/1084819/_vYhZiaSBx-1084819_3.jpg</t>
    </r>
    <r>
      <rPr/>
      <t xml:space="preserve">, </t>
    </r>
    <r>
      <rPr>
        <color rgb="FF1155CC"/>
        <u/>
      </rPr>
      <t>https://cdn.tirabeauty.com/v2/billowing-snowflake-434234/tira-p/wrkr/products/pictures/item/free/resize-w%3A750/1084819/MJS__NkfZU-1084819_4.jpg</t>
    </r>
    <r>
      <rPr/>
      <t xml:space="preserve">, </t>
    </r>
    <r>
      <rPr>
        <color rgb="FF1155CC"/>
        <u/>
      </rPr>
      <t>https://cdn.tirabeauty.com/v2/billowing-snowflake-434234/tira-p/wrkr/products/pictures/item/free/resize-w%3A750/1084819/npX6mxs06d-1084819_5.jpg</t>
    </r>
  </si>
  <si>
    <t>Roopsee-F-SE-12</t>
  </si>
  <si>
    <t>The Derma Co 2 Salicylic Acid Serum</t>
  </si>
  <si>
    <t>Witch Hazel, Niacinamide</t>
  </si>
  <si>
    <t>The Derma Co 2% Salicylic Acid Serum is a targeted face serum formulated with Salicylic Acid 2%, Witch Hazel. It supports focused skin concerns such as acne, spots, dullness, texture, oiliness or uneven tone.</t>
  </si>
  <si>
    <t>Aqua, Propanediol, Salicylic Acid, Hamamelis Virginiana (Witch Hazel) Extract, Glycerin, Niacinamide, Zinc PCA, Panthenol, Allantoin, Sodium Hyaluronate, Hydroxyethylcellulose, Phenoxyethanol, Ethylhexylglycerin, Disodium EDTA.</t>
  </si>
  <si>
    <t>Ingredient caution: salicylic acid/BHA might cause stinging, dryness, peeling, redness and increased sun sensitivity; niacinamide is usually gentle but might cause tingling or flushing in very reactive skin; sulfur/zinc-based oil-control ingredients might feel drying or tight on already dry skin; preservatives such as phenoxyethanol/benzyl alcohol might sting very sensitive or compromised skin. Do a patch test before applying. First-time users should start 3–4 times a week, avoid using it with retinol or other exfoliating acids in the same routine, and apply sunscreen daily. Start slowly if your skin is sensitive and avoid combining too many new actives at once. Use a moisturiser and reduce frequency if the skin feels tight or flaky. Do not apply on broken, freshly waxed or irritated skin. Stop use if irritation persists.</t>
  </si>
  <si>
    <r>
      <rPr>
        <color rgb="FF1155CC"/>
        <u/>
      </rPr>
      <t>https://cdn.tirabeauty.com/v2/billowing-snowflake-434234/tira-p/wrkr/products/pictures/item/free/resize-w%3A750/1084820/vM_zUlbvCF-1084820_1.jpg</t>
    </r>
    <r>
      <rPr/>
      <t xml:space="preserve">, </t>
    </r>
    <r>
      <rPr>
        <color rgb="FF1155CC"/>
        <u/>
      </rPr>
      <t>https://cdn.tirabeauty.com/v2/billowing-snowflake-434234/tira-p/wrkr/products/pictures/item/free/resize-w%3A750/1084820/lb-Oty7Y7g-1084820_2.jpg</t>
    </r>
    <r>
      <rPr/>
      <t xml:space="preserve">, </t>
    </r>
    <r>
      <rPr>
        <color rgb="FF1155CC"/>
        <u/>
      </rPr>
      <t>https://cdn.tirabeauty.com/v2/billowing-snowflake-434234/tira-p/wrkr/products/pictures/item/free/resize-w%3A750/1084820/HQQZO_E__J-1084820_3.jpg</t>
    </r>
    <r>
      <rPr/>
      <t xml:space="preserve">, </t>
    </r>
    <r>
      <rPr>
        <color rgb="FF1155CC"/>
        <u/>
      </rPr>
      <t>https://cdn.tirabeauty.com/v2/billowing-snowflake-434234/tira-p/wrkr/products/pictures/item/free/resize-w%3A750/1084820/VENUGP1czU-1084820_4.jpg</t>
    </r>
    <r>
      <rPr/>
      <t xml:space="preserve">, </t>
    </r>
    <r>
      <rPr>
        <color rgb="FF1155CC"/>
        <u/>
      </rPr>
      <t>https://cdn.tirabeauty.com/v2/billowing-snowflake-434234/tira-p/wrkr/products/pictures/item/free/resize-w%3A750/1084820/ICWZLnmxg-1084820_5.jpg</t>
    </r>
  </si>
  <si>
    <t>Roopsee-F-SE-14</t>
  </si>
  <si>
    <t>SKIN1004 Madagascar Centella Asiatica Tone Brightening Capsule Ampoule Serum</t>
  </si>
  <si>
    <t>O+S, C, C+S, N, N+S</t>
  </si>
  <si>
    <t>Uneven Skin Tone, Dark Spots/Pigmentation, Redness/Irritation</t>
  </si>
  <si>
    <t>Niacinamide, Traenxamic acid</t>
  </si>
  <si>
    <t>SKIN1004 Madagascar Centella Tone Brightening Capsule Ampoule is a targeted face serum formulated with Centella Asiatica, Niacinamide, Tranexamic Acid, Madecassoside. It supports focused skin concerns such as acne, spots, dullness, texture, oiliness or uneven tone.</t>
  </si>
  <si>
    <t>Centella Asiatica Extract, Water, Butylene Glycol, Glycerin, Niacinamide, Tranexamic Acid, Panthenol, 3-O-Ethyl Ascorbic Acid, Madecassoside, Asiaticoside, Madecassic Acid, Asiatic Acid, Sodium Hyaluronate, Carbomer, Tromethamine, Adenosine, Ethylhexylglycerin, 1,2-Hexanediol.</t>
  </si>
  <si>
    <t>Ingredient caution: vitamin C/ascorbic derivatives might cause tingling, redness or irritation in sensitive skin; niacinamide is usually gentle but might cause tingling or flushing in very reactive skin; tranexamic acid might cause tingling, dryness or redness in sensitive skin; humectants such as hyaluronic acid/glycerin are usually gentle but might feel sticky or tight if not sealed with moisturiser. Do a patch test before applying. First-time users should start 3–4 times a week and avoid layering with strong exfoliating acids if the skin stings. Start slowly if your skin is sensitive and avoid combining too many new actives at once. First-time users should start 3–4 times a week and pair with sunscreen, because pigmentation care works best with UV protection. Apply on slightly damp skin and follow with moisturiser if dryness occurs. Stop use if irritation persists.</t>
  </si>
  <si>
    <r>
      <rPr>
        <color rgb="FF1155CC"/>
        <u/>
      </rPr>
      <t>https://cdn.tirabeauty.com/v2/billowing-snowflake-434234/tira-p/wrkr/products/pictures/item/free/resize-w%3A750/XSd1xKTV9-SKIN1004-Madagascar-Centella-Tone-Brightening-Capsule-Ampoule-%2830ml%29.jpeg</t>
    </r>
    <r>
      <rPr/>
      <t xml:space="preserve">, </t>
    </r>
    <r>
      <rPr>
        <color rgb="FF1155CC"/>
        <u/>
      </rPr>
      <t>https://cdn.tirabeauty.com/v2/billowing-snowflake-434234/tira-p/wrkr/products/pictures/item/free/resize-w%3A750/1133712/zJeIyTsPWx-1133712_2.jpg</t>
    </r>
    <r>
      <rPr/>
      <t xml:space="preserve">, </t>
    </r>
    <r>
      <rPr>
        <color rgb="FF1155CC"/>
        <u/>
      </rPr>
      <t>https://cdn.tirabeauty.com/v2/billowing-snowflake-434234/tira-p/wrkr/products/pictures/item/free/resize-w%3A750/1133712/5UGqQw9YT--1133712_3.jpg</t>
    </r>
    <r>
      <rPr/>
      <t xml:space="preserve">, </t>
    </r>
    <r>
      <rPr>
        <color rgb="FF1155CC"/>
        <u/>
      </rPr>
      <t>https://cdn.tirabeauty.com/v2/billowing-snowflake-434234/tira-p/wrkr/products/pictures/item/free/resize-w%3A750/1133712/WGoIRLezPi-1133712_4.jpg</t>
    </r>
    <r>
      <rPr/>
      <t xml:space="preserve">, </t>
    </r>
    <r>
      <rPr>
        <color rgb="FF1155CC"/>
        <u/>
      </rPr>
      <t>https://cdn.tirabeauty.com/v2/billowing-snowflake-434234/tira-p/wrkr/products/pictures/item/free/resize-w%3A750/1133712/ggWTPPdFH2-1133712_5.jpg</t>
    </r>
  </si>
  <si>
    <t>Roopsee-F-SE-15</t>
  </si>
  <si>
    <t>The Ordinary Alpha Arbutin 2 + HA</t>
  </si>
  <si>
    <t>N, C, N</t>
  </si>
  <si>
    <t>The Ordinary Alpha Arbutin 2% + HA is a targeted face serum formulated with Alpha Arbutin 2%, Hyaluronic Acid. It supports focused skin concerns such as acne, spots, dullness, texture, oiliness or uneven tone.</t>
  </si>
  <si>
    <t>Aqua (Water), Alpha-Arbutin, Polyacrylate Crosspolymer-6, Hydrolyzed Sodium Hyaluronate, Propanediol, PPG-26-Buteth-26, PEG-40 Hydrogenated Castor Oil, Lactic Acid, Trisodium Ethylenediamine Disuccinate, Ethoxydiglycol, Phenoxyethanol, Chlorphenesin.</t>
  </si>
  <si>
    <t>Ingredient caution: lactic acid/AHA might cause stinging, dryness, peeling, redness and increased sun sensitivity; alpha arbutin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</si>
  <si>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https://theordinary.com/dw/image/v2/BFKJ_PRD/on/demandware.static/-/Sites-deciem-master/default/dwa689472f/Images/products/The%20Ordinary/FY25-D41247-ORD-Web-Alp-Arb-2pct-30ml-1x1-EN-1.jpg?sh=860&amp;sm=fit&amp;sw=860</t>
    </r>
    <r>
      <rPr/>
      <t xml:space="preserve">, </t>
    </r>
    <r>
      <rPr>
        <color rgb="FF1155CC"/>
        <u/>
      </rPr>
      <t>https://theordinary.com/dw/image/v2/BFKJ_PRD/on/demandware.static/-/Sites-deciem-master/default/dw15a27ba3/Images/products/The%20Ordinary/application/FY25-D41247-ORD-Web-Alp-Arb-2pct-1x1-EN-4b.jpg?sh=860&amp;sm=fit&amp;sw=860</t>
    </r>
    <r>
      <rPr/>
      <t xml:space="preserve">, </t>
    </r>
    <r>
      <rPr>
        <color rgb="FF1155CC"/>
        <u/>
      </rPr>
      <t>https://theordinary.com/dw/image/v2/BFKJ_PRD/on/demandware.static/-/Sites-deciem-master/default/dweabf46c6/Images/products/The%20Ordinary/infographics/FY25-D41247-ORD-Web-Alp-Arb-2pct-1x1-EN-2a.jpg?sh=860&amp;sm=fit&amp;sw=860</t>
    </r>
    <r>
      <rPr/>
      <t xml:space="preserve">, </t>
    </r>
    <r>
      <rPr>
        <color rgb="FF1155CC"/>
        <u/>
      </rPr>
      <t>https://theordinary.com/dw/image/v2/BFKJ_PRD/on/demandware.static/-/Sites-deciem-master/default/dwe84ba972/Images/products/The%20Ordinary/infographics/FY25-D41247-ORD-Web-Alp-Arb-2pct-1x1-EN-3a.jpg?sh=860&amp;sm=fit&amp;sw=860</t>
    </r>
    <r>
      <rPr/>
      <t xml:space="preserve">, </t>
    </r>
    <r>
      <rPr>
        <color rgb="FF1155CC"/>
        <u/>
      </rPr>
      <t>https://theordinary.com/dw/image/v2/BFKJ_PRD/on/demandware.static/-/Sites-deciem-master/default/dw2689fd03/Images/products/The%20Ordinary/infographics/FY25-D41247-ORD-Web-Alp-Arb-2pct-1x1-EN-5.jpg?sh=860&amp;sm=fit&amp;sw=860</t>
    </r>
  </si>
  <si>
    <t>Roopsee-F-SE-16</t>
  </si>
  <si>
    <t>The Ordinary Retinol 0.5 In Squalane</t>
  </si>
  <si>
    <t>Retinol 0.5%</t>
  </si>
  <si>
    <t>Squalane, Jojoba seed oil</t>
  </si>
  <si>
    <t>The Ordinary Retinol 0.5% In Squalane is a targeted face serum formulated with Retinol 0.5%, Squalane. It supports focused skin concerns such as acne, spots, dullness, texture, oiliness or uneven tone.</t>
  </si>
  <si>
    <t>Squalane, Caprylic/Capric Triglyceride, Simmondsia Chinensis (Jojoba) Seed Oil, Retinol, Solanum Lycopersicum (Tomato) Fruit Extract, Rosmarinus Officinalis (Rosemary) Leaf Extract, Hydroxymethoxyphenyl Decanone, BHT.</t>
  </si>
  <si>
    <t>Ingredient caution: retinol/retinoids might cause dryness, peeling, redness, purging and sun sensitivity. Do a patch test before applying. Retinol is not advised for pregnant or breastfeeding women unless approved by a doctor. First-time users should start 3–4 times a week at night, avoid layering with exfoliating acids, and use sunscreen daily. Stop use if irritation persists.</t>
  </si>
  <si>
    <r>
      <rPr>
        <color rgb="FF1155CC"/>
        <u/>
      </rPr>
      <t>https://theordinary.com/dw/image/v2/BFKJ_PRD/on/demandware.static/-/Sites-deciem-master/default/dwf2a8fcd2/Images/products/The%20Ordinary/rdn-retinol-0-5pct-in-squalane-30ml.png?sh=860&amp;sm=fit&amp;sw=860</t>
    </r>
    <r>
      <rPr/>
      <t xml:space="preserve">, </t>
    </r>
    <r>
      <rPr>
        <color rgb="FF1155CC"/>
        <u/>
      </rPr>
      <t>https://theordinary.com/dw/image/v2/BFKJ_PRD/on/demandware.static/-/Sites-deciem-master/default/dwac96a18e/Images/products/The%20Ordinary/application/FY25-D41247-ORD-Web-PDP-Rtnl-05pct-Sql-1x1-EN-4b.jpg?sh=860&amp;sm=fit&amp;sw=860</t>
    </r>
    <r>
      <rPr/>
      <t xml:space="preserve">, </t>
    </r>
    <r>
      <rPr>
        <color rgb="FF1155CC"/>
        <u/>
      </rPr>
      <t>https://theordinary.com/dw/image/v2/BFKJ_PRD/on/demandware.static/-/Sites-deciem-master/default/dw653d96a2/Images/products/The%20Ordinary/infographics/FY25-D41247-ORD-Web-PDP-Rtnl-05pct-Sql-1x1-EN-2a.jpg?sh=860&amp;sm=fit&amp;sw=860</t>
    </r>
    <r>
      <rPr/>
      <t xml:space="preserve">, </t>
    </r>
    <r>
      <rPr>
        <color rgb="FF1155CC"/>
        <u/>
      </rPr>
      <t>https://theordinary.com/dw/image/v2/BFKJ_PRD/on/demandware.static/-/Sites-deciem-master/default/dwcfafaf69/Images/products/The%20Ordinary/infographics/FY25-D41247-ORD-Web-PDP-Rtnl-05pct-Sql-1x1-EN-3.jpg?sh=860&amp;sm=fit&amp;sw=860</t>
    </r>
    <r>
      <rPr/>
      <t xml:space="preserve">, </t>
    </r>
    <r>
      <rPr>
        <color rgb="FF1155CC"/>
        <u/>
      </rPr>
      <t>https://theordinary.com/dw/image/v2/BFKJ_PRD/on/demandware.static/-/Sites-deciem-master/default/dw3fd33332/Images/products/The%20Ordinary/infographics/FY25-D41247-ORD-Web-PDP-Rtnl-05pct-Sql-1x1-EN-5.jpg?sh=860&amp;sm=fit&amp;sw=860</t>
    </r>
  </si>
  <si>
    <t>Roopsee-F-SE-17</t>
  </si>
  <si>
    <t>The Ordinary Salicylic Acid 2 Solution</t>
  </si>
  <si>
    <t>Witch Hazel Derivatives</t>
  </si>
  <si>
    <t>The Ordinary Salicylic Acid 2% Solution is a targeted face serum formulated with Salicylic Acid 2%. It supports focused skin concerns such as acne, spots, dullness, texture, oiliness or uneven tone.</t>
  </si>
  <si>
    <t>Aqua (Water), Cocamidopropyl Dimethylamine, Salicylic Acid, Dimethyl Isosorbide, Trisodium Ethylenediamine Disuccinate, Citric Acid, Polysorbate 20, Sodium Hydroxide, 1,2-Hexanediol, Caprylyl Glycol.</t>
  </si>
  <si>
    <t>Ingredient caution: salicylic acid/BHA might cause stinging, dryness, peeling, redness and increased sun sensitivity. Do a patch test before applying. First-time users should start 3–4 times a week, avoid using it with retinol or other exfoliating acids in the same routine, and apply sunscreen daily. Stop use if irritation persists.</t>
  </si>
  <si>
    <r>
      <rPr>
        <color rgb="FF1155CC"/>
        <u/>
      </rPr>
      <t>https://theordinary.com/dw/image/v2/BFKJ_PRD/on/demandware.static/-/Sites-deciem-master/default/dwc17b2bd6/Images/products/The%20Ordinary/rdn-salicylic-acid-2pct-solution-otc.png?sh=860&amp;sm=fit&amp;sw=860</t>
    </r>
    <r>
      <rPr/>
      <t xml:space="preserve">, </t>
    </r>
    <r>
      <rPr>
        <color rgb="FF1155CC"/>
        <u/>
      </rPr>
      <t>https://theordinary.com/dw/image/v2/BFKJ_PRD/on/demandware.static/-/Sites-deciem-master/default/dw4a94463c/Images/products/The%20Ordinary/application/FY25-D41247-ORD-Web-SA-Sltn-1x1-CA-US-EN-4d.jpg?sh=860&amp;sm=fit&amp;sw=860</t>
    </r>
    <r>
      <rPr/>
      <t xml:space="preserve">, </t>
    </r>
    <r>
      <rPr>
        <color rgb="FF1155CC"/>
        <u/>
      </rPr>
      <t>https://theordinary.com/dw/image/v2/BFKJ_PRD/on/demandware.static/-/Sites-deciem-master/default/dwb89d6df4/Images/products/The%20Ordinary/infographics/ord-salicylic-acid-2pct-solution-benefits-graphic.jpg?sh=860&amp;sm=fit&amp;sw=860</t>
    </r>
    <r>
      <rPr/>
      <t xml:space="preserve">, </t>
    </r>
    <r>
      <rPr>
        <color rgb="FF1155CC"/>
        <u/>
      </rPr>
      <t>https://theordinary.com/dw/image/v2/BFKJ_PRD/on/demandware.static/-/Sites-deciem-master/default/dw5b56e6a7/Images/products/The%20Ordinary/infographics/ord-salicylic-acid-2pct-solution-key-ingredients.jpg?sh=860&amp;sm=fit&amp;sw=860</t>
    </r>
    <r>
      <rPr/>
      <t xml:space="preserve">, </t>
    </r>
    <r>
      <rPr>
        <color rgb="FF1155CC"/>
        <u/>
      </rPr>
      <t>https://theordinary.com/dw/image/v2/BFKJ_PRD/on/demandware.static/-/Sites-deciem-master/default/dwe900d391/Images/products/The%20Ordinary/infographics/FY25-D41247-ORD-Web-SA-Sltn-1x1-CA-US-EN-5.jpg?sh=860&amp;sm=fit&amp;sw=860</t>
    </r>
  </si>
  <si>
    <t>Roopsee-F-SE-18</t>
  </si>
  <si>
    <t>Minimalist 16 Vitamin C Face Serum – Brightening &amp; Glow-Boosting Formula with Vitamin E, Ferulic Acid &amp; Fullerenes, Antioxidant Boost for Radiant Skin (20 ml)</t>
  </si>
  <si>
    <t>Vitamin C 16%</t>
  </si>
  <si>
    <t>Ferulic acid, Vitamin E</t>
  </si>
  <si>
    <t>Minimalist 16% Vitamin C Serum is a routine skincare product formulated with Vitamin C 16%, Vitamin E, Ferulic Acid. It supports targeted concerns such as acne, pigentation, dullness, dehydration, texture, pores, aging, sensitivity or barrier repair depending on routine placement.</t>
  </si>
  <si>
    <t>Vitamin C 16%, Vitamin E, Ferulic Acid</t>
  </si>
  <si>
    <t>Ingredient caution: vitamin C/ascorbic derivatives might cause tingling, redness or irritation in sensitive skin. Do a patch test before applying. First-time users should start 3–4 times a week and avoid layering with strong exfoliating acids if the skin stings. Avoid during pregnancy or breastfeeding unless your doctor approves. Stop use if irritation persists.</t>
  </si>
  <si>
    <r>
      <rPr>
        <color rgb="FF1155CC"/>
        <u/>
      </rPr>
      <t>https://cdn.tirabeauty.com/v2/billowing-snowflake-434234/tira-p/wrkr/products/pictures/item/free/resize-w%3A750/1090181/QGW7ymxy4-1090181_1.jpg</t>
    </r>
    <r>
      <rPr/>
      <t xml:space="preserve">, </t>
    </r>
    <r>
      <rPr>
        <color rgb="FF1155CC"/>
        <u/>
      </rPr>
      <t>https://cdn.tirabeauty.com/v2/billowing-snowflake-434234/tira-p/wrkr/products/pictures/item/free/resize-w%3A750/1090181/00v49pwb85-1090181_2.jpg</t>
    </r>
    <r>
      <rPr/>
      <t xml:space="preserve">, </t>
    </r>
    <r>
      <rPr>
        <color rgb="FF1155CC"/>
        <u/>
      </rPr>
      <t>https://cdn.tirabeauty.com/v2/billowing-snowflake-434234/tira-p/wrkr/products/pictures/item/free/resize-w%3A750/1090181/IPSz7wX00J-1090181_3.jpg</t>
    </r>
    <r>
      <rPr/>
      <t xml:space="preserve">, </t>
    </r>
    <r>
      <rPr>
        <color rgb="FF1155CC"/>
        <u/>
      </rPr>
      <t>https://cdn.tirabeauty.com/v2/billowing-snowflake-434234/tira-p/wrkr/products/pictures/item/free/resize-w%3A750/1090181/Dksacq9TUL-1090181_4.jpg</t>
    </r>
    <r>
      <rPr/>
      <t xml:space="preserve">, </t>
    </r>
    <r>
      <rPr>
        <color rgb="FF1155CC"/>
        <u/>
      </rPr>
      <t>https://cdn.tirabeauty.com/v2/billowing-snowflake-434234/tira-p/wrkr/products/pictures/item/free/resize-w%3A750/1090181/ta2S7vdrnV-1090181_5.jpg</t>
    </r>
  </si>
  <si>
    <t>Roopsee-F-SE-19</t>
  </si>
  <si>
    <t>Minimalist 10 Vitamin C Face Serum</t>
  </si>
  <si>
    <t>Vitamin C 10%</t>
  </si>
  <si>
    <t>Acetyl Glucosamine (AG)1%</t>
  </si>
  <si>
    <t>Minimalist 10% Vitamin C Face Serum is a routine skincare product formulated with Vitamin C 10%, Acetyl Glucosamine, Centella Water. It supports targeted concerns such as acne, pigentation, dullness, dehydration, texture, pores, aging, sensitivity or barrier repair depending on routine placement.</t>
  </si>
  <si>
    <t>Vitamin C 10%, Acetyl Glucosamine, Centella Water</t>
  </si>
  <si>
    <r>
      <rPr>
        <color rgb="FF1155CC"/>
        <u/>
      </rPr>
      <t>https://cdn.tirabeauty.com/v2/billowing-snowflake-434234/tira-p/wrkr/products/pictures/item/free/resize-w%3A750/1002784/2ZgUn37MDG-1002784_1.jpg</t>
    </r>
    <r>
      <rPr/>
      <t xml:space="preserve">, </t>
    </r>
    <r>
      <rPr>
        <color rgb="FF1155CC"/>
        <u/>
      </rPr>
      <t>https://cdn.tirabeauty.com/v2/billowing-snowflake-434234/tira-p/wrkr/products/pictures/item/free/resize-w%3A750/1002784/V6hmmDGgJ-1002784_2.jpg</t>
    </r>
    <r>
      <rPr/>
      <t xml:space="preserve">, </t>
    </r>
    <r>
      <rPr>
        <color rgb="FF1155CC"/>
        <u/>
      </rPr>
      <t>https://cdn.tirabeauty.com/v2/billowing-snowflake-434234/tira-p/wrkr/products/pictures/item/free/resize-w%3A750/1002784/8ubONSBxis-1002784_3.jpg</t>
    </r>
    <r>
      <rPr/>
      <t xml:space="preserve">, </t>
    </r>
    <r>
      <rPr>
        <color rgb="FF1155CC"/>
        <u/>
      </rPr>
      <t>https://cdn.tirabeauty.com/v2/billowing-snowflake-434234/tira-p/wrkr/products/pictures/item/free/resize-w%3A750/1002784/GZ1DBfdhRy-1002784_4.jpg</t>
    </r>
    <r>
      <rPr/>
      <t xml:space="preserve">, </t>
    </r>
    <r>
      <rPr>
        <color rgb="FF1155CC"/>
        <u/>
      </rPr>
      <t>https://cdn.tirabeauty.com/v2/billowing-snowflake-434234/tira-p/wrkr/products/pictures/item/free/resize-w%3A750/1002784/CJjDJGb7TW-1002784_5.jpg</t>
    </r>
  </si>
  <si>
    <t>Roopsee-F-SE-20</t>
  </si>
  <si>
    <t>Minimalist Multi-Peptide Night Face Serum</t>
  </si>
  <si>
    <t>N, N+S</t>
  </si>
  <si>
    <t>Multi-Peptides</t>
  </si>
  <si>
    <t>Minimalist Multi-Peptide Night Face Serum is a routine skincare product formulated with Peptides, Matrixyl 3000, Copper Tripeptide. It supports targeted concerns such as acne, pigentation, dullness, dehydration, texture, pores, aging, sensitivity or barrier repair depending on routine placement.</t>
  </si>
  <si>
    <t>Peptides, Matrixyl 3000, Copper Tripeptide</t>
  </si>
  <si>
    <r>
      <rPr>
        <color rgb="FF1155CC"/>
        <u/>
      </rPr>
      <t>https://cdn.tirabeauty.com/v2/billowing-snowflake-434234/tira-p/wrkr/products/pictures/item/free/resize-w%3A750/1002781/qjKUm5OhP-1002781_1.jpg</t>
    </r>
    <r>
      <rPr/>
      <t xml:space="preserve">, </t>
    </r>
    <r>
      <rPr>
        <color rgb="FF1155CC"/>
        <u/>
      </rPr>
      <t>https://cdn.tirabeauty.com/v2/billowing-snowflake-434234/tira-p/wrkr/products/pictures/item/free/resize-w%3A750/1002781/BH8XPXq2Vg-1002781_2.jpg</t>
    </r>
    <r>
      <rPr/>
      <t xml:space="preserve">, </t>
    </r>
    <r>
      <rPr>
        <color rgb="FF1155CC"/>
        <u/>
      </rPr>
      <t>https://cdn.tirabeauty.com/v2/billowing-snowflake-434234/tira-p/wrkr/products/pictures/item/free/resize-w%3A750/1002781/UYwlwdPxcx-1002781_3.jpg</t>
    </r>
    <r>
      <rPr/>
      <t xml:space="preserve">, </t>
    </r>
    <r>
      <rPr>
        <color rgb="FF1155CC"/>
        <u/>
      </rPr>
      <t>https://cdn.tirabeauty.com/v2/billowing-snowflake-434234/tira-p/wrkr/products/pictures/item/free/resize-w%3A750/1002781/57A6bwtBPo-1002781_4.jpg</t>
    </r>
    <r>
      <rPr/>
      <t xml:space="preserve">, </t>
    </r>
    <r>
      <rPr>
        <color rgb="FF1155CC"/>
        <u/>
      </rPr>
      <t>https://cdn.tirabeauty.com/v2/billowing-snowflake-434234/tira-p/wrkr/products/pictures/item/free/resize-w%3A750/1002781/C2plVEoNpY-1002781_5.jpg</t>
    </r>
  </si>
  <si>
    <t>Roopsee-F-SE-21</t>
  </si>
  <si>
    <t>Minimalist 2 Hyaluronic Acid Serum</t>
  </si>
  <si>
    <t>Dryness, Dehydration, Redness/Irritation</t>
  </si>
  <si>
    <t>Hyaluronic Acid 2%</t>
  </si>
  <si>
    <t>PGA, Panthenol</t>
  </si>
  <si>
    <t>Minimalist 2% Hyaluronic Acid Serum is a routine skincare product formulated with Hyaluronic Acid 2%, Vitamin B5. It supports targeted concerns such as acne, pigentation, dullness, dehydration, texture, pores, aging, sensitivity or barrier repair depending on routine placement.</t>
  </si>
  <si>
    <t>Hyaluronic Acid 2%, Vitamin B5</t>
  </si>
  <si>
    <r>
      <rPr>
        <color rgb="FF1155CC"/>
        <u/>
      </rPr>
      <t>https://cdn.tirabeauty.com/v2/billowing-snowflake-434234/tira-p/wrkr/products/pictures/item/free/resize-w%3A750/1002778/arh5pep22o-1002778_1.jpg</t>
    </r>
    <r>
      <rPr/>
      <t xml:space="preserve">, </t>
    </r>
    <r>
      <rPr>
        <color rgb="FF1155CC"/>
        <u/>
      </rPr>
      <t>https://cdn.tirabeauty.com/v2/billowing-snowflake-434234/tira-p/wrkr/products/pictures/item/free/resize-w%3A750/1002778/TUjpa8qUCc-1002778_2.jpg</t>
    </r>
    <r>
      <rPr/>
      <t xml:space="preserve">, </t>
    </r>
    <r>
      <rPr>
        <color rgb="FF1155CC"/>
        <u/>
      </rPr>
      <t>https://cdn.tirabeauty.com/v2/billowing-snowflake-434234/tira-p/wrkr/products/pictures/item/free/resize-w%3A750/1002778/PSThoH0cgd-1002778_3.jpg</t>
    </r>
    <r>
      <rPr/>
      <t xml:space="preserve">, </t>
    </r>
    <r>
      <rPr>
        <color rgb="FF1155CC"/>
        <u/>
      </rPr>
      <t>https://cdn.tirabeauty.com/v2/billowing-snowflake-434234/tira-p/wrkr/products/pictures/item/free/resize-w%3A750/1002778/wkHM2t6sda-1002778_4.jpg</t>
    </r>
    <r>
      <rPr/>
      <t xml:space="preserve">, </t>
    </r>
    <r>
      <rPr>
        <color rgb="FF1155CC"/>
        <u/>
      </rPr>
      <t>https://cdn.tirabeauty.com/v2/billowing-snowflake-434234/tira-p/wrkr/products/pictures/item/free/resize-w%3A750/1002778/uiKeKWdw6-1002778_5.jpg</t>
    </r>
  </si>
  <si>
    <t>Roopsee-F-SE-22</t>
  </si>
  <si>
    <t>Minimalist 1 Retinal + Adapalenate +Squalene+ Bakuchiol Oil</t>
  </si>
  <si>
    <t>Retinal 0.1%</t>
  </si>
  <si>
    <t>This serum targets fine lines, wrinkles, and uneven skin tone while improving skin elasticity. It promotes cell turnover, resulting in a more youthful, radiant complexion and smoother skin texture. It also helps reduce inflammation and supports overall skin health._x000D_
 Apply on a cleansed face after water-based serums and before moisturizer. Use it only in your PM routine, starting every alternate night. After two weeks of usage, you may increase to daily application. Always follow up with sunscreen the next morning to protect your skin.</t>
  </si>
  <si>
    <t>Caprylic/Capric Triglyceride, Isododecane, Squalane, Coco-Caprylate/Caprate, Triheptanoin, Tocopheryl Acetate, Oleyl Adapalenate, Bakuchiol, Retinal</t>
  </si>
  <si>
    <r>
      <rPr>
        <color rgb="FF1155CC"/>
        <u/>
      </rPr>
      <t>https://cdn.tirabeauty.com/v2/billowing-snowflake-434234/tira-p/wrkr/products/pictures/item/free/resize-w%3A750/1160964/dsSjxhSaE-1160964_1.jpg</t>
    </r>
    <r>
      <rPr/>
      <t xml:space="preserve">, </t>
    </r>
    <r>
      <rPr>
        <color rgb="FF1155CC"/>
        <u/>
      </rPr>
      <t>https://cdn.tirabeauty.com/v2/billowing-snowflake-434234/tira-p/wrkr/products/pictures/item/free/resize-w%3A750/1160964/aq891K2F9g-1160964_2.jpg</t>
    </r>
    <r>
      <rPr/>
      <t xml:space="preserve">, </t>
    </r>
    <r>
      <rPr>
        <color rgb="FF1155CC"/>
        <u/>
      </rPr>
      <t>https://cdn.tirabeauty.com/v2/billowing-snowflake-434234/tira-p/wrkr/products/pictures/item/free/resize-w%3A750/1160964/MrB6Z3ZCQ-1160964_3.jpg</t>
    </r>
    <r>
      <rPr/>
      <t xml:space="preserve">, </t>
    </r>
    <r>
      <rPr>
        <color rgb="FF1155CC"/>
        <u/>
      </rPr>
      <t>https://cdn.tirabeauty.com/v2/billowing-snowflake-434234/tira-p/wrkr/products/pictures/item/free/resize-w%3A750/1160964/1TZRonzUmk-1160964_4.jpg</t>
    </r>
    <r>
      <rPr/>
      <t xml:space="preserve">, </t>
    </r>
    <r>
      <rPr>
        <color rgb="FF1155CC"/>
        <u/>
      </rPr>
      <t>https://cdn.tirabeauty.com/v2/billowing-snowflake-434234/tira-p/wrkr/products/pictures/item/free/resize-w%3A750/1160964/WWvr8HYAzZ-1160964_5.jpg</t>
    </r>
  </si>
  <si>
    <t>Roopsee-F-SE-23</t>
  </si>
  <si>
    <t>Minimalist Granactive Retinoid 2 Serum</t>
  </si>
  <si>
    <t>Granactive Retinoid 2</t>
  </si>
  <si>
    <t>Amino acids, Hyaluronic acid</t>
  </si>
  <si>
    <t>Minimalist Granactive Retinoid 2% Serum is a routine skincare product formulated with Granactive Retinoid 2%, Coenzyme Q10. It supports targeted concerns such as acne, pigentation, dullness, dehydration, texture, pores, aging, sensitivity or barrier repair depending on routine placement.</t>
  </si>
  <si>
    <t>Granactive Retinoid 2%, Coenzyme Q10</t>
  </si>
  <si>
    <r>
      <rPr>
        <color rgb="FF1155CC"/>
        <u/>
      </rPr>
      <t>https://cdn.tirabeauty.com/v2/billowing-snowflake-434234/tira-p/wrkr/products/pictures/item/free/resize-w%3A750/1002782/CaE0u32ri-1002782_1.jpg</t>
    </r>
    <r>
      <rPr/>
      <t xml:space="preserve">, </t>
    </r>
    <r>
      <rPr>
        <color rgb="FF1155CC"/>
        <u/>
      </rPr>
      <t>https://cdn.tirabeauty.com/v2/billowing-snowflake-434234/tira-p/wrkr/products/pictures/item/free/resize-w%3A750/1002782/kZW2Rs3mMc-1002782_2.jpg</t>
    </r>
    <r>
      <rPr/>
      <t xml:space="preserve">, </t>
    </r>
    <r>
      <rPr>
        <color rgb="FF1155CC"/>
        <u/>
      </rPr>
      <t>https://cdn.tirabeauty.com/v2/billowing-snowflake-434234/tira-p/wrkr/products/pictures/item/free/resize-w%3A750/1002782/VEP0mfHbRG-1002782_3.jpg</t>
    </r>
    <r>
      <rPr/>
      <t xml:space="preserve">, </t>
    </r>
    <r>
      <rPr>
        <color rgb="FF1155CC"/>
        <u/>
      </rPr>
      <t>https://cdn.tirabeauty.com/v2/billowing-snowflake-434234/tira-p/wrkr/products/pictures/item/free/resize-w%3A750/1002782/BVxkdTiZN7-1002782_4.jpg</t>
    </r>
    <r>
      <rPr/>
      <t xml:space="preserve">, </t>
    </r>
    <r>
      <rPr>
        <color rgb="FF1155CC"/>
        <u/>
      </rPr>
      <t>https://cdn.tirabeauty.com/v2/billowing-snowflake-434234/tira-p/wrkr/products/pictures/item/free/resize-w%3A750/1002782/tk_BjxhbD-1002782_5.jpg</t>
    </r>
  </si>
  <si>
    <t>Roopsee-F-SE-24</t>
  </si>
  <si>
    <t>The Derma Co 10 Niacinamide Serum</t>
  </si>
  <si>
    <t>Zinc PCA 2%</t>
  </si>
  <si>
    <t>The Derma Co 10% Niacinamide Serum is a routine skincare product formulated with Niacinamide 10%, Zinc. It supports targeted concerns such as acne, pigentation, dullness, dehydration, texture, pores, aging, sensitivity or barrier repair depending on routine placement.</t>
  </si>
  <si>
    <t>Niacinamide 10%, Zinc</t>
  </si>
  <si>
    <t>Ingredient caution: high-strength niacinamide might cause flushing, tingling or small bumps in reactive skin; sulfur/zinc-based oil-control ingredients might feel drying or tight on already dry skin. Do a patch test before applying. First-time users should start 3–4 times a week and reduce frequency if redness or bumps appear. Use a moisturiser and reduce frequency if the skin feels tight or flaky. Avoid during pregnancy or breastfeeding unless your doctor approves. Stop use if irritation persists.</t>
  </si>
  <si>
    <r>
      <rPr>
        <color rgb="FF1155CC"/>
        <u/>
      </rPr>
      <t>https://cdn.tirabeauty.com/v2/billowing-snowflake-434234/tira-p/wrkr/products/pictures/item/free/resize-w%3A750/1127137/3A8FK_lqJ-1127137_1.jpg</t>
    </r>
    <r>
      <rPr/>
      <t xml:space="preserve">, </t>
    </r>
    <r>
      <rPr>
        <color rgb="FF1155CC"/>
        <u/>
      </rPr>
      <t>https://cdn.tirabeauty.com/v2/billowing-snowflake-434234/tira-p/wrkr/products/pictures/item/free/resize-w%3A750/1127137/hq81p0u2Am-1127137_2.jpg</t>
    </r>
    <r>
      <rPr/>
      <t xml:space="preserve">, </t>
    </r>
    <r>
      <rPr>
        <color rgb="FF1155CC"/>
        <u/>
      </rPr>
      <t>https://cdn.tirabeauty.com/v2/billowing-snowflake-434234/tira-p/wrkr/products/pictures/item/free/resize-w%3A750/1127137/w8R9jPtDk4-1127137_3.jpg</t>
    </r>
    <r>
      <rPr/>
      <t xml:space="preserve">, </t>
    </r>
    <r>
      <rPr>
        <color rgb="FF1155CC"/>
        <u/>
      </rPr>
      <t>https://cdn.tirabeauty.com/v2/billowing-snowflake-434234/tira-p/wrkr/products/pictures/item/free/resize-w%3A750/1127137/prOrcvfx--1127137_4.jpg</t>
    </r>
    <r>
      <rPr/>
      <t xml:space="preserve">, </t>
    </r>
    <r>
      <rPr>
        <color rgb="FF1155CC"/>
        <u/>
      </rPr>
      <t>https://cdn.tirabeauty.com/v2/billowing-snowflake-434234/tira-p/wrkr/products/pictures/item/free/resize-w%3A750/1127137/aoSPr2ZZaE-1127137_AC_The-Derma-Co.jpg</t>
    </r>
  </si>
  <si>
    <t>Roopsee-F-SE-25</t>
  </si>
  <si>
    <t>The Derma Co 10 Vitamin C Face Serum</t>
  </si>
  <si>
    <t>Niacinamide 5%, Hyaluronic acid</t>
  </si>
  <si>
    <t>The Derma Co 10% Vitamin C Face Serum is a routine skincare product formulated with Vitamin C 10%, Niacinamide 5%, Hyaluronic Acid. It supports targeted concerns such as acne, pigentation, dullness, dehydration, texture, pores, aging, sensitivity or barrier repair depending on routine placement.</t>
  </si>
  <si>
    <t>Vitamin C 10%, Niacinamide 5%, Hyaluronic Acid</t>
  </si>
  <si>
    <t>Ingredient caution: vitamin C/ascorbic derivatives might cause tingling, redness or irritation in sensitive skin; high-strength niacinamide might cause flushing, tingling or small bumps in reactive skin; humectants such as hyaluronic acid/glycerin are usually gentle but might feel sticky or tight if not sealed with moisturiser. Do a patch test before applying. First-time users should start 3–4 times a week and avoid layering with strong exfoliating acids if the skin stings. First-time users should start 3–4 times a week and reduce frequency if redness or bumps appear. Apply on slightly damp skin and follow with moisturiser if dryness occurs. Avoid during pregnancy or breastfeeding unless your doctor approves. Stop use if irritation persists.</t>
  </si>
  <si>
    <r>
      <rPr>
        <color rgb="FF1155CC"/>
        <u/>
      </rPr>
      <t>https://cdn.tirabeauty.com/v2/billowing-snowflake-434234/tira-p/wrkr/products/pictures/item/free/resize-w%3A750/1107018/-DjjeRbolc-8906087775690_1.jpg</t>
    </r>
    <r>
      <rPr/>
      <t xml:space="preserve">, </t>
    </r>
    <r>
      <rPr>
        <color rgb="FF1155CC"/>
        <u/>
      </rPr>
      <t>https://cdn.tirabeauty.com/v2/billowing-snowflake-434234/tira-p/wrkr/products/pictures/item/free/resize-w%3A750/1107018/jU0OaV4S4t-8906087775690_2.jpg</t>
    </r>
    <r>
      <rPr/>
      <t xml:space="preserve">, </t>
    </r>
    <r>
      <rPr>
        <color rgb="FF1155CC"/>
        <u/>
      </rPr>
      <t>https://cdn.tirabeauty.com/v2/billowing-snowflake-434234/tira-p/wrkr/products/pictures/item/free/resize-w%3A750/1107018/6qEf1RExc1-8906087775690_3.jpg</t>
    </r>
    <r>
      <rPr/>
      <t xml:space="preserve">, </t>
    </r>
    <r>
      <rPr>
        <color rgb="FF1155CC"/>
        <u/>
      </rPr>
      <t>https://cdn.tirabeauty.com/v2/billowing-snowflake-434234/tira-p/wrkr/products/pictures/item/free/resize-w%3A750/1107018/xrDhq2d4Kk-8906087775690_4.jpg</t>
    </r>
    <r>
      <rPr/>
      <t xml:space="preserve">, </t>
    </r>
    <r>
      <rPr>
        <color rgb="FF1155CC"/>
        <u/>
      </rPr>
      <t>https://cdn.tirabeauty.com/v2/billowing-snowflake-434234/tira-p/wrkr/products/pictures/item/free/resize-w%3A750/1107018/1ZVDYKNex4-8906087775690_5.jpg</t>
    </r>
  </si>
  <si>
    <t>Roopsee-F-SE-26</t>
  </si>
  <si>
    <t>Foxtale C10 Vitamin C- Glutathione Brightening Face Serum</t>
  </si>
  <si>
    <t>Glutathione</t>
  </si>
  <si>
    <t>Introducing a first-of-its-kind serum that brightens skin in 8 ways. Powered by Glutathione and Vitamin C, it works in 8 targeted ways: brightens, clears, fades pigentation, evens tone, fights melasma, hydrates, prevents ageing and boosts glow. Trust it to visibly brighten your skin in just 3 days and unlock your Eternal Glow. Its lightweight, breakout-safe gel-cream texture suits all skin types and delivers instant results without irritation.</t>
  </si>
  <si>
    <t>Aqua, 3-O- Ethyl ascorbic acid, Propanediol, Propylene glycol, Betaine, Glycerin, Glyceryl Glucoside, Glutathione, Phenoxyethanol, Squalane, Sodium Acrylates Copolymer, Lecithin, Undecylenoyl Phenylalanine, Allantoin, Tocopherol, Carbomer, Ethylhexylglycerin, Octenidine HCl, Disodium EDTA, Triethanolamine,</t>
  </si>
  <si>
    <t>Ingredient caution: vitamin C/ascorbic derivatives might cause tingling, redness or irritation in sensitive skin; glutathione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avoid layering with strong exfoliating acids if the skin stings.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</si>
  <si>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https://cdn.tirabeauty.com/v2/billowing-snowflake-434234/tira-p/wrkr/products/pictures/item/free/resize-w%3A750/2LMQ2kr_U8-1182401_1.jpg</t>
    </r>
    <r>
      <rPr/>
      <t xml:space="preserve">, </t>
    </r>
    <r>
      <rPr>
        <color rgb="FF1155CC"/>
        <u/>
      </rPr>
      <t>https://cdn.tirabeauty.com/v2/billowing-snowflake-434234/tira-p/wrkr/products/pictures/item/free/resize-w%3A750/eXP_SU_FZy-1182401_2.jpg</t>
    </r>
    <r>
      <rPr/>
      <t xml:space="preserve">, </t>
    </r>
    <r>
      <rPr>
        <color rgb="FF1155CC"/>
        <u/>
      </rPr>
      <t>https://cdn.tirabeauty.com/v2/billowing-snowflake-434234/tira-p/wrkr/products/pictures/item/free/resize-w%3A750/cSgafGZgzv-1182401_3.jpg</t>
    </r>
    <r>
      <rPr/>
      <t xml:space="preserve">, </t>
    </r>
    <r>
      <rPr>
        <color rgb="FF1155CC"/>
        <u/>
      </rPr>
      <t>https://cdn.tirabeauty.com/v2/billowing-snowflake-434234/tira-p/wrkr/products/pictures/item/free/resize-w%3A750/EVMMtPP7lk-1182401_4.jpg</t>
    </r>
    <r>
      <rPr/>
      <t xml:space="preserve">, </t>
    </r>
    <r>
      <rPr>
        <color rgb="FF1155CC"/>
        <u/>
      </rPr>
      <t>https://cdn.tirabeauty.com/v2/billowing-snowflake-434234/tira-p/wrkr/products/pictures/item/free/resize-w%3A750/moqMsojxQO-1182401_5.jpg</t>
    </r>
  </si>
  <si>
    <t>Roopsee-F-SE-27</t>
  </si>
  <si>
    <t>Foxtale 12 Niacinamide Oil Control Serum</t>
  </si>
  <si>
    <t>Niacinamide 12%</t>
  </si>
  <si>
    <t>Azelaic acid</t>
  </si>
  <si>
    <t>Foxtale 12% Niacinamide Oil Control Serum is a routine skincare product formulated with Niacinamide 12%, Azelaic Acid, Zinc PCA. It supports targeted concerns such as acne, pigentation, dullness, dehydration, texture, pores, aging, sensitivity or barrier repair depending on routine placement.</t>
  </si>
  <si>
    <t>Niacinamide 12%, Azelaic Acid, Zinc PCA</t>
  </si>
  <si>
    <t>Ingredient caution: high-strength niacinamide might cause flushing, tingling or small bumps in reactive skin; azelaic acid might cause tingling, dryness or redness in sensitive skin; sulfur/zinc-based oil-control ingredients might feel drying or tight on already dry skin. Do a patch test before applying. First-time users should start 3–4 times a week and reduce frequency if redness or bumps appear. First-time users should start 3–4 times a week and pair with sunscreen, because pigmentation care works best with UV protection. Use a moisturiser and reduce frequency if the skin feels tight or flaky. Avoid during pregnancy or breastfeeding unless your doctor approves. Stop use if irritation persists.</t>
  </si>
  <si>
    <r>
      <rPr>
        <color rgb="FF1155CC"/>
        <u/>
      </rPr>
      <t>https://cdn.tirabeauty.com/v2/billowing-snowflake-434234/tira-p/wrkr/products/pictures/item/free/resize-w%3A750/6vlqb7bIrF-1155998_1.jpg</t>
    </r>
    <r>
      <rPr/>
      <t xml:space="preserve">, </t>
    </r>
    <r>
      <rPr>
        <color rgb="FF1155CC"/>
        <u/>
      </rPr>
      <t>https://cdn.tirabeauty.com/v2/billowing-snowflake-434234/tira-p/wrkr/products/pictures/item/free/resize-w%3A750/2U8uzT-oT4-1155998_2.jpg</t>
    </r>
    <r>
      <rPr/>
      <t xml:space="preserve">, </t>
    </r>
    <r>
      <rPr>
        <color rgb="FF1155CC"/>
        <u/>
      </rPr>
      <t>https://cdn.tirabeauty.com/v2/billowing-snowflake-434234/tira-p/wrkr/products/pictures/item/free/resize-w%3A750/hud9T1S3Y--1155998_3.jpg</t>
    </r>
    <r>
      <rPr/>
      <t xml:space="preserve">, </t>
    </r>
    <r>
      <rPr>
        <color rgb="FF1155CC"/>
        <u/>
      </rPr>
      <t>https://cdn.tirabeauty.com/v2/billowing-snowflake-434234/tira-p/wrkr/products/pictures/item/free/resize-w%3A750/xnqHL9pEfk-1155998_4.jpg</t>
    </r>
    <r>
      <rPr/>
      <t xml:space="preserve">, </t>
    </r>
    <r>
      <rPr>
        <color rgb="FF1155CC"/>
        <u/>
      </rPr>
      <t>https://cdn.tirabeauty.com/v2/billowing-snowflake-434234/tira-p/wrkr/products/pictures/item/free/resize-w%3A750/zx1sVqpMD1-1155998_5.jpg</t>
    </r>
  </si>
  <si>
    <t>Roopsee-F-MO-05</t>
  </si>
  <si>
    <t>COSRX The Retinol 1 Anti-Ageing Night Cream</t>
  </si>
  <si>
    <t>Retinol 0.1%</t>
  </si>
  <si>
    <t>COSRX The Retinol 0.1 Anti-Ageing Night Cream is a moisturiser that helps hydrate, comfort and support the skin barrier. It can be used after serums and before sunscreen in the morning.</t>
  </si>
  <si>
    <t>Water, Glycerin, Caprylic/Capric Triglyceride, Dicaprylyl Carbonate, Butylene Glycol, Cetearyl Alcohol, Glyceryl Stearate, PEG-100 Stearate, Panthenol, Retinol, Tocopherol, Adenosine, Allantoin, Carbomer, Tromethamine, Xanthan Gum, Disodium EDTA, 1,2-Hexanediol, Ethylhexylglycerin.</t>
  </si>
  <si>
    <r>
      <rPr>
        <color rgb="FF1155CC"/>
        <u/>
      </rPr>
      <t>https://cdn.tirabeauty.com/v2/billowing-snowflake-434234/tira-p/wrkr/products/pictures/item/free/resize-w%3A750/1111217/UjELK1Wl8u-8809598454781_1.jpg</t>
    </r>
    <r>
      <rPr/>
      <t xml:space="preserve">, </t>
    </r>
    <r>
      <rPr>
        <color rgb="FF1155CC"/>
        <u/>
      </rPr>
      <t>https://cdn.tirabeauty.com/v2/billowing-snowflake-434234/tira-p/wrkr/products/pictures/item/free/resize-w%3A750/1111217/FTJ03kA1OD-8809598454781_2.jpg</t>
    </r>
    <r>
      <rPr/>
      <t xml:space="preserve">, </t>
    </r>
    <r>
      <rPr>
        <color rgb="FF1155CC"/>
        <u/>
      </rPr>
      <t>https://cdn.tirabeauty.com/v2/billowing-snowflake-434234/tira-p/wrkr/products/pictures/item/free/resize-w%3A750/1111217/uhwsUCYloe-8809598454781_3.jpg</t>
    </r>
    <r>
      <rPr/>
      <t xml:space="preserve">, </t>
    </r>
    <r>
      <rPr>
        <color rgb="FF1155CC"/>
        <u/>
      </rPr>
      <t>https://cdn.tirabeauty.com/v2/billowing-snowflake-434234/tira-p/wrkr/products/pictures/item/free/resize-w%3A750/1111217/PQhpvZRK9B-8809598454781_4.jpg</t>
    </r>
    <r>
      <rPr/>
      <t xml:space="preserve">, </t>
    </r>
    <r>
      <rPr>
        <color rgb="FF1155CC"/>
        <u/>
      </rPr>
      <t>https://cdn.tirabeauty.com/v2/billowing-snowflake-434234/tira-p/wrkr/products/pictures/item/free/resize-w%3A750/1111217/EGmrTuTgH-8809598454781_5.jpg</t>
    </r>
  </si>
  <si>
    <t>Roopsee-F-SE-29</t>
  </si>
  <si>
    <t>COSRX Advanced Snail 96 Mucin Power Essence</t>
  </si>
  <si>
    <t>Snail Mucin 96%</t>
  </si>
  <si>
    <t>COSRX Advanced Snail 96 Mucin Power Essence is a routine skincare product formulated with Snail Secretion Filtrate 96%, Betaine, Panthenol. It supports targeted concerns such as acne, pigentation, dullness, dehydration, texture, pores, aging, sensitivity or barrier repair depending on routine placement.</t>
  </si>
  <si>
    <t>Snail Secretion Filtrate 96%, Betaine, Panthenol</t>
  </si>
  <si>
    <r>
      <rPr>
        <color rgb="FF1155CC"/>
        <u/>
      </rPr>
      <t>https://cdn.tirabeauty.com/v2/billowing-snowflake-434234/tira-p/wrkr/products/pictures/item/free/resize-w%3A750/HRjowXxVg-COSRX-Advanced-Snail-96-Mucin-Power-Essence-%28100ml%29.jpeg</t>
    </r>
    <r>
      <rPr/>
      <t xml:space="preserve">, </t>
    </r>
    <r>
      <rPr>
        <color rgb="FF1155CC"/>
        <u/>
      </rPr>
      <t>https://cdn.tirabeauty.com/v2/billowing-snowflake-434234/tira-p/wrkr/products/pictures/item/free/resize-w%3A750/cosrx/1023400/1/SVvpO4PH5w-udY6hFWmsv-8809416470009_2.jpg</t>
    </r>
    <r>
      <rPr/>
      <t xml:space="preserve">, </t>
    </r>
    <r>
      <rPr>
        <color rgb="FF1155CC"/>
        <u/>
      </rPr>
      <t>https://cdn.tirabeauty.com/v2/billowing-snowflake-434234/tira-p/wrkr/products/pictures/item/free/resize-w%3A750/cosrx/1023400/2/_SV8q1RLlL-K52QSpfU-2-8809416470009_3.jpg</t>
    </r>
    <r>
      <rPr/>
      <t xml:space="preserve">, </t>
    </r>
    <r>
      <rPr>
        <color rgb="FF1155CC"/>
        <u/>
      </rPr>
      <t>https://cdn.tirabeauty.com/v2/billowing-snowflake-434234/tira-p/wrkr/products/pictures/item/free/resize-w%3A750/cosrx/1023400/3/HiTLZshdEd-xlziDQ5mUf-8809416470009_4.jpg</t>
    </r>
    <r>
      <rPr/>
      <t xml:space="preserve">, </t>
    </r>
    <r>
      <rPr>
        <color rgb="FF1155CC"/>
        <u/>
      </rPr>
      <t>https://cdn.tirabeauty.com/v2/billowing-snowflake-434234/tira-p/wrkr/products/pictures/item/free/resize-w%3A750/cosrx/1023400/4/2JEjNyTCfS-QkPDPCFqZk-8809416470009_5.jpg</t>
    </r>
  </si>
  <si>
    <t>Roopsee-F-SE-30</t>
  </si>
  <si>
    <t>COSRX The 6 Peptide Skin Booster Serum</t>
  </si>
  <si>
    <t>Peptides</t>
  </si>
  <si>
    <t>Niacinamide, Hyaluronic acid</t>
  </si>
  <si>
    <t>COSRX The 6 Peptide Skin Booster Serum is a routine skincare product formulated with Six Peptides, Niacinamide, Adenosine. It supports targeted concerns such as acne, pigentation, dullness, dehydration, texture, pores, aging, sensitivity or barrier repair depending on routine placement.</t>
  </si>
  <si>
    <t>Six Peptides, Niacinamide, Adenosine</t>
  </si>
  <si>
    <r>
      <rPr>
        <color rgb="FF1155CC"/>
        <u/>
      </rPr>
      <t>https://cdn.tirabeauty.com/v2/billowing-snowflake-434234/tira-p/wrkr/products/pictures/item/free/resize-w%3A750/GqxThONI6-COSRX-The-6-Peptide-Skin-Booster-Serum-%28150-ml%29.jpeg</t>
    </r>
    <r>
      <rPr/>
      <t xml:space="preserve">, </t>
    </r>
    <r>
      <rPr>
        <color rgb="FF1155CC"/>
        <u/>
      </rPr>
      <t>https://cdn.tirabeauty.com/v2/billowing-snowflake-434234/tira-p/wrkr/products/pictures/item/free/resize-w%3A750/1149379/MREmsy6Ldk-1149379_2.jpg</t>
    </r>
    <r>
      <rPr/>
      <t xml:space="preserve">, </t>
    </r>
    <r>
      <rPr>
        <color rgb="FF1155CC"/>
        <u/>
      </rPr>
      <t>https://cdn.tirabeauty.com/v2/billowing-snowflake-434234/tira-p/wrkr/products/pictures/item/free/resize-w%3A750/1149379/WnfZ8JXlQs-1149379_3.jpg</t>
    </r>
    <r>
      <rPr/>
      <t xml:space="preserve">, </t>
    </r>
    <r>
      <rPr>
        <color rgb="FF1155CC"/>
        <u/>
      </rPr>
      <t>https://cdn.tirabeauty.com/v2/billowing-snowflake-434234/tira-p/wrkr/products/pictures/item/free/resize-w%3A750/1149379/xboK484IYi-1149379_4.jpg</t>
    </r>
    <r>
      <rPr/>
      <t xml:space="preserve">, </t>
    </r>
    <r>
      <rPr>
        <color rgb="FF1155CC"/>
        <u/>
      </rPr>
      <t>https://cdn.tirabeauty.com/v2/billowing-snowflake-434234/tira-p/wrkr/products/pictures/item/free/resize-w%3A750/1149379/NzFzvT3kp--1149379_5.jpg</t>
    </r>
  </si>
  <si>
    <t>Roopsee-F-SE-31</t>
  </si>
  <si>
    <t>SKIN1004 Madagascar Centella Tea-Trica Relief Ampoule</t>
  </si>
  <si>
    <t>O, O+S, C, C+S</t>
  </si>
  <si>
    <t>Tea tree leaf water</t>
  </si>
  <si>
    <t>SKIN1004 Madagascar Centella Tea-Trica Relief Ampoule is a routine skincare product formulated with Centella Asiatica, Tea Tree, Pine Tree, Cypress. It supports targeted concerns such as acne, pigentation, dullness, dehydration, texture, pores, aging, sensitivity or barrier repair depending on routine placement.</t>
  </si>
  <si>
    <t>Centella Asiatica, Tea Tree, Pine Tree, Cypress</t>
  </si>
  <si>
    <t>Ingredient caution: fragrance, essential oils or fragrance allergens might trigger redness, itching or allergic irritation. Do a patch test before applying. Avoid this product if you have fragrance allergy, eczema-prone skin or a damaged barrier. Stop use if irritation persists.</t>
  </si>
  <si>
    <r>
      <rPr>
        <color rgb="FF1155CC"/>
        <u/>
      </rPr>
      <t>https://cdn.tirabeauty.com/v2/billowing-snowflake-434234/tira-p/wrkr/products/pictures/item/free/resize-w%3A750/1133709/4UNfYRogsY-1133709_1.jpg</t>
    </r>
    <r>
      <rPr/>
      <t xml:space="preserve">, </t>
    </r>
    <r>
      <rPr>
        <color rgb="FF1155CC"/>
        <u/>
      </rPr>
      <t>https://cdn.tirabeauty.com/v2/billowing-snowflake-434234/tira-p/wrkr/products/pictures/item/free/resize-w%3A750/1133709/omh_CrryQ3-1133709_2.jpg</t>
    </r>
    <r>
      <rPr/>
      <t xml:space="preserve">, </t>
    </r>
    <r>
      <rPr>
        <color rgb="FF1155CC"/>
        <u/>
      </rPr>
      <t>https://cdn.tirabeauty.com/v2/billowing-snowflake-434234/tira-p/wrkr/products/pictures/item/free/resize-w%3A750/1133709/XwHRG-jtSP-1133709_3.jpg</t>
    </r>
    <r>
      <rPr/>
      <t xml:space="preserve">, </t>
    </r>
    <r>
      <rPr>
        <color rgb="FF1155CC"/>
        <u/>
      </rPr>
      <t>https://cdn.tirabeauty.com/v2/billowing-snowflake-434234/tira-p/wrkr/products/pictures/item/free/resize-w%3A750/1133709/XhxCBrvfDJ-1133709_4.jpg</t>
    </r>
    <r>
      <rPr/>
      <t xml:space="preserve">, </t>
    </r>
    <r>
      <rPr>
        <color rgb="FF1155CC"/>
        <u/>
      </rPr>
      <t>https://cdn.tirabeauty.com/v2/billowing-snowflake-434234/tira-p/wrkr/products/pictures/item/free/resize-w%3A750/1133709/HQ7jAXRUJk-1133709_5.jpg</t>
    </r>
  </si>
  <si>
    <t>Roopsee-F-SE-32</t>
  </si>
  <si>
    <t>SKIN1004 Madagascar Centella Poremizing Fresh Ampoule</t>
  </si>
  <si>
    <t>Pink Himalayan Salt</t>
  </si>
  <si>
    <t>Peptide complex</t>
  </si>
  <si>
    <t>SKIN1004 Madagascar Centella Poremizing Fresh Ampoule is a routine skincare product formulated with Centella Asiatica, Himalayan Pink Salt, Peptides. It supports targeted concerns such as acne, pigentation, dullness, dehydration, texture, pores, aging, sensitivity or barrier repair depending on routine placement.</t>
  </si>
  <si>
    <t>Centella Asiatica, Himalayan Pink Salt, Peptides</t>
  </si>
  <si>
    <t>Ingredient caution: some preservatives, botanical extracts or texture-enhancing ingredients might cause irritation in very sensitive skin. Do a patch test before applying. Introduce one new product at a time and stop if persistent burning, rash or swelling occurs. Stop use if irritation persists.</t>
  </si>
  <si>
    <r>
      <rPr>
        <color rgb="FF1155CC"/>
        <u/>
      </rPr>
      <t>https://cdn.tirabeauty.com/v2/billowing-snowflake-434234/tira-p/wrkr/products/pictures/item/free/resize-w%3A750/1133704/JkAYsNaixD-1133704_1.jpg</t>
    </r>
    <r>
      <rPr/>
      <t xml:space="preserve">, </t>
    </r>
    <r>
      <rPr>
        <color rgb="FF1155CC"/>
        <u/>
      </rPr>
      <t>https://cdn.tirabeauty.com/v2/billowing-snowflake-434234/tira-p/wrkr/products/pictures/item/free/resize-w%3A750/1133704/d9H2EotE7h-1133704_2.jpg</t>
    </r>
    <r>
      <rPr/>
      <t xml:space="preserve">, </t>
    </r>
    <r>
      <rPr>
        <color rgb="FF1155CC"/>
        <u/>
      </rPr>
      <t>https://cdn.tirabeauty.com/v2/billowing-snowflake-434234/tira-p/wrkr/products/pictures/item/free/resize-w%3A750/1133704/ZWWeTIkE-5-1133704_3.jpg</t>
    </r>
    <r>
      <rPr/>
      <t xml:space="preserve">, </t>
    </r>
    <r>
      <rPr>
        <color rgb="FF1155CC"/>
        <u/>
      </rPr>
      <t>https://cdn.tirabeauty.com/v2/billowing-snowflake-434234/tira-p/wrkr/products/pictures/item/free/resize-w%3A750/1133704/r-WO4V1YsY-1133704_4.jpg</t>
    </r>
    <r>
      <rPr/>
      <t xml:space="preserve">, </t>
    </r>
    <r>
      <rPr>
        <color rgb="FF1155CC"/>
        <u/>
      </rPr>
      <t>https://cdn.tirabeauty.com/v2/billowing-snowflake-434234/tira-p/wrkr/products/pictures/item/free/resize-w%3A750/1133704/HlYzXZZQi1-1133704_5.jpg</t>
    </r>
  </si>
  <si>
    <t>Roopsee-F-SE-33</t>
  </si>
  <si>
    <t>Beauty of Joseon Glow Deep Serum Rice + Alpha-Arbutin</t>
  </si>
  <si>
    <t>N, C, C+S, N+S, C+S</t>
  </si>
  <si>
    <t>Rice bran water, Niacinamide</t>
  </si>
  <si>
    <t>Beauty of Joseon Glow Deep Serum Rice + Alpha-Arbutin is a routine skincare product formulated with Rice Bran Water 68%, Alpha-Arbutin 2%. It supports targeted concerns such as acne, pigentation, dullness, dehydration, texture, pores, aging, sensitivity or barrier repair depending on routine placement.</t>
  </si>
  <si>
    <t>Rice Bran Water 68%, Alpha-Arbutin 2%</t>
  </si>
  <si>
    <t>Ingredient caution: niacinamide is usually gentle but might cause tingling or flushing in very reactive skin; alpha arbutin might cause tingling, dryness or redness in sensitive skin. Do a patch test before applying. Start slowly if your skin is sensitive and avoid combining too many new actives at once. First-time users should start 3–4 times a week and pair with sunscreen, because pigmentation care works best with UV protection. Avoid during pregnancy or breastfeeding unless your doctor approves. Stop use if irritation persists.</t>
  </si>
  <si>
    <r>
      <rPr>
        <color rgb="FF1155CC"/>
        <u/>
      </rPr>
      <t>https://cdn.tirabeauty.com/v2/billowing-snowflake-434234/tira-p/wrkr/products/pictures/item/free/resize-w%3A750/LcOJMkcHAC-1143210_1.jpg</t>
    </r>
    <r>
      <rPr/>
      <t xml:space="preserve">, </t>
    </r>
    <r>
      <rPr>
        <color rgb="FF1155CC"/>
        <u/>
      </rPr>
      <t>https://cdn.tirabeauty.com/v2/billowing-snowflake-434234/tira-p/wrkr/products/pictures/item/free/resize-w%3A750/i_3YBoiL1X-1143210_2.jpg</t>
    </r>
    <r>
      <rPr/>
      <t xml:space="preserve">, </t>
    </r>
    <r>
      <rPr>
        <color rgb="FF1155CC"/>
        <u/>
      </rPr>
      <t>https://cdn.tirabeauty.com/v2/billowing-snowflake-434234/tira-p/wrkr/products/pictures/item/free/resize-w%3A750/jenkZ3erE4-1143210_3.jpg</t>
    </r>
    <r>
      <rPr/>
      <t xml:space="preserve">, </t>
    </r>
    <r>
      <rPr>
        <color rgb="FF1155CC"/>
        <u/>
      </rPr>
      <t>https://cdn.tirabeauty.com/v2/billowing-snowflake-434234/tira-p/wrkr/products/pictures/item/free/resize-w%3A750/lFhaedbe2O-1143210_4.jpg</t>
    </r>
    <r>
      <rPr/>
      <t xml:space="preserve">, </t>
    </r>
    <r>
      <rPr>
        <color rgb="FF1155CC"/>
        <u/>
      </rPr>
      <t>https://cdn.tirabeauty.com/v2/billowing-snowflake-434234/tira-p/wrkr/products/pictures/item/free/resize-w%3A750/y6E4ZvSI5P-1143210_5.jpg</t>
    </r>
  </si>
  <si>
    <t>Roopsee-F-SE-34</t>
  </si>
  <si>
    <t>Beauty of Joseon Glow Serum Propolis + Niacinamide</t>
  </si>
  <si>
    <t>O+S, N, N+S, C+S</t>
  </si>
  <si>
    <t>Propolis extract</t>
  </si>
  <si>
    <t>Beauty of Joseon Glow Serum Propolis + Niacinamide is a routine skincare product formulated with Propolis Extract 60%, Niacinamide 2%, BHA. It supports targeted concerns such as acne, pigentation, dullness, dehydration, texture, pores, aging, sensitivity or barrier repair depending on routine placement.</t>
  </si>
  <si>
    <t>Propolis Extract 60%, Niacinamide 2%, BHA</t>
  </si>
  <si>
    <t>Ingredient caution: salicylic acid/BHA might cause stinging, dryness, peeling, redness and increased sun sensitivity; niacinamide is usually gentle but might cause tingling or flushing in very reactive skin. Do a patch test before applying. First-time users should start 3–4 times a week, avoid using it with retinol or other exfoliating acids in the same routine, and apply sunscreen daily. Start slowly if your skin is sensitive and avoid combining too many new actives at once. Stop use if irritation persists.</t>
  </si>
  <si>
    <r>
      <rPr>
        <color rgb="FF1155CC"/>
        <u/>
      </rPr>
      <t>https://cdn.tirabeauty.com/v2/billowing-snowflake-434234/tira-p/wrkr/products/pictures/item/free/resize-w%3A750/T1JFy3GZ00-1143211_1.jpg</t>
    </r>
    <r>
      <rPr/>
      <t xml:space="preserve">, </t>
    </r>
    <r>
      <rPr>
        <color rgb="FF1155CC"/>
        <u/>
      </rPr>
      <t>https://cdn.tirabeauty.com/v2/billowing-snowflake-434234/tira-p/wrkr/products/pictures/item/free/resize-w%3A750/UgRXIFYwtT-1143211_2.jpg</t>
    </r>
    <r>
      <rPr/>
      <t xml:space="preserve">, </t>
    </r>
    <r>
      <rPr>
        <color rgb="FF1155CC"/>
        <u/>
      </rPr>
      <t>https://cdn.tirabeauty.com/v2/billowing-snowflake-434234/tira-p/wrkr/products/pictures/item/free/resize-w%3A750/Ipem7BT39F-1143211_3.jpg</t>
    </r>
    <r>
      <rPr/>
      <t xml:space="preserve">, </t>
    </r>
    <r>
      <rPr>
        <color rgb="FF1155CC"/>
        <u/>
      </rPr>
      <t>https://cdn.tirabeauty.com/v2/billowing-snowflake-434234/tira-p/wrkr/products/pictures/item/free/resize-w%3A750/4GHfwDlCqq-1143211_4.jpg</t>
    </r>
    <r>
      <rPr/>
      <t xml:space="preserve">, </t>
    </r>
    <r>
      <rPr>
        <color rgb="FF1155CC"/>
        <u/>
      </rPr>
      <t>https://cdn.tirabeauty.com/v2/billowing-snowflake-434234/tira-p/wrkr/products/pictures/item/free/resize-w%3A750/V5OY0bU5n1-1143211_5.jpg</t>
    </r>
  </si>
  <si>
    <t>Roopsee-F-SE-35</t>
  </si>
  <si>
    <t>Beauty of Joseon Revive Serum Ginseng + Snail Mucin</t>
  </si>
  <si>
    <t>Snail Mucin</t>
  </si>
  <si>
    <t>Beauty of Joseon Revive Serum Ginseng + Snail Mucin is a routine skincare product formulated with Ginseng Root Water, Snail Mucin. It supports targeted concerns such as acne, pigentation, dullness, dehydration, texture, pores, aging, sensitivity or barrier repair depending on routine placement.</t>
  </si>
  <si>
    <t>Ginseng Root Water, Snail Mucin</t>
  </si>
  <si>
    <r>
      <rPr>
        <color rgb="FF1155CC"/>
        <u/>
      </rPr>
      <t>https://cdn.tirabeauty.com/v2/billowing-snowflake-434234/tira-p/wrkr/products/pictures/item/free/resize-w%3A750/1143224/z-yNZjDKFs-1143224-1.jpg</t>
    </r>
    <r>
      <rPr/>
      <t xml:space="preserve">, </t>
    </r>
    <r>
      <rPr>
        <color rgb="FF1155CC"/>
        <u/>
      </rPr>
      <t>https://cdn.tirabeauty.com/v2/billowing-snowflake-434234/tira-p/wrkr/products/pictures/item/free/resize-w%3A750/1143224/zPtLIq0PKM-1143224-2.jpg</t>
    </r>
    <r>
      <rPr/>
      <t xml:space="preserve">, </t>
    </r>
    <r>
      <rPr>
        <color rgb="FF1155CC"/>
        <u/>
      </rPr>
      <t>https://cdn.tirabeauty.com/v2/billowing-snowflake-434234/tira-p/wrkr/products/pictures/item/free/resize-w%3A750/1143224/31EQ0cnrYs-1143224-3.jpg</t>
    </r>
    <r>
      <rPr/>
      <t xml:space="preserve">, </t>
    </r>
    <r>
      <rPr>
        <color rgb="FF1155CC"/>
        <u/>
      </rPr>
      <t>https://cdn.tirabeauty.com/v2/billowing-snowflake-434234/tira-p/wrkr/products/pictures/item/free/resize-w%3A750/1143224/RNKnXwsyb--1143224-4.jpg</t>
    </r>
    <r>
      <rPr/>
      <t xml:space="preserve">, </t>
    </r>
    <r>
      <rPr>
        <color rgb="FF1155CC"/>
        <u/>
      </rPr>
      <t>https://cdn.tirabeauty.com/v2/billowing-snowflake-434234/tira-p/wrkr/products/pictures/item/free/resize-w%3A750/1143224/QrTMq5g1Vo-1143224-5.jpg</t>
    </r>
  </si>
  <si>
    <t>Roopsee-F-SE-36</t>
  </si>
  <si>
    <t>Innisfree Green Tea Seed Hyaluronic Serum</t>
  </si>
  <si>
    <t>D+S, N, N+S</t>
  </si>
  <si>
    <t>Green Tea extract</t>
  </si>
  <si>
    <t>Innisfree Green Tea Seed Hyaluronic Serum is a routine skincare product formulated with Green Tea Extract, Hyaluronic Acid, Niacinamide. It supports targeted concerns such as acne, pigentation, dullness, dehydration, texture, pores, aging, sensitivity or barrier repair depending on routine placement.</t>
  </si>
  <si>
    <t>Green Tea Extract, Hyaluronic Acid, Niacinamide</t>
  </si>
  <si>
    <r>
      <rPr>
        <color rgb="FF1155CC"/>
        <u/>
      </rPr>
      <t>https://cdn.tirabeauty.com/v2/billowing-snowflake-434234/tira-p/wrkr/products/pictures/item/free/resize-w%3A750/tsTa_hg2bl-1123635_1.jpg</t>
    </r>
    <r>
      <rPr/>
      <t xml:space="preserve">, </t>
    </r>
    <r>
      <rPr>
        <color rgb="FF1155CC"/>
        <u/>
      </rPr>
      <t>https://cdn.tirabeauty.com/v2/billowing-snowflake-434234/tira-p/wrkr/products/pictures/item/free/resize-w%3A750/9kuyGCtSLS-1123635_2.jpg</t>
    </r>
    <r>
      <rPr/>
      <t xml:space="preserve">, </t>
    </r>
    <r>
      <rPr>
        <color rgb="FF1155CC"/>
        <u/>
      </rPr>
      <t>https://cdn.tirabeauty.com/v2/billowing-snowflake-434234/tira-p/wrkr/products/pictures/item/free/resize-w%3A750/WEwPFELDqE-1123635_3.jpg</t>
    </r>
    <r>
      <rPr/>
      <t xml:space="preserve">, </t>
    </r>
    <r>
      <rPr>
        <color rgb="FF1155CC"/>
        <u/>
      </rPr>
      <t>https://cdn.tirabeauty.com/v2/billowing-snowflake-434234/tira-p/wrkr/products/pictures/item/free/resize-w%3A750/Y92iH9QeOi-1123635_4.jpg</t>
    </r>
    <r>
      <rPr/>
      <t xml:space="preserve">, </t>
    </r>
    <r>
      <rPr>
        <color rgb="FF1155CC"/>
        <u/>
      </rPr>
      <t>https://cdn.tirabeauty.com/v2/billowing-snowflake-434234/tira-p/wrkr/products/pictures/item/free/resize-w%3A750/KQJNPeJoiKz-1123635_5.jpg</t>
    </r>
  </si>
  <si>
    <t>Roopsee-F-SU-01</t>
  </si>
  <si>
    <t>Beauty of Joseon Relief Sun Rice + Probiotics SPF50+ PA++++</t>
  </si>
  <si>
    <t>Grain fermented extracts, Niacinamide</t>
  </si>
  <si>
    <t>Beauty of Joseon Relief Sun Rice + Probiotics SPF50+ PA++++ is a broad-spectrum sunscreen for daily UV protection. It helps protect skin from UVA/UVB damage while supporting a comfortable finish for face use.</t>
  </si>
  <si>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t>
  </si>
  <si>
    <t>Ingredient caution: niacinamide is usually gentle but might cause tingling or flushing in very reactive skin; UV filters might sting around the eyes or irritate very sensitive skin; cleansing surfactants might cause dryness, stinging or tightness if overused; rich oils, butters or occlusive emollients might feel heavy or clog pores in acne-prone/oily skin. Do a patch test before applying. Start slowly if your skin is sensitive and avoid combining too many new actives at once. Patch test near the jawline first, avoid the eye corners, and remove gently at night. Use lukewarm water, do not scrub, and follow with moisturiser. Use a small amount first and avoid applying on active acne if it feels greasy. Stop use if irritation persists.</t>
  </si>
  <si>
    <r>
      <rPr>
        <color rgb="FF1155CC"/>
        <u/>
      </rPr>
      <t>https://cdn.tirabeauty.com/v2/billowing-snowflake-434234/tira-p/wrkr/products/pictures/item/free/resize-w%3A750/YYf61-loEE-1143221_1.jpg</t>
    </r>
    <r>
      <rPr/>
      <t xml:space="preserve">, </t>
    </r>
    <r>
      <rPr>
        <color rgb="FF1155CC"/>
        <u/>
      </rPr>
      <t>https://cdn.tirabeauty.com/v2/billowing-snowflake-434234/tira-p/wrkr/products/pictures/item/free/resize-w%3A750/uDe4dy8lTC-1143221_2.jpg</t>
    </r>
    <r>
      <rPr/>
      <t xml:space="preserve">, </t>
    </r>
    <r>
      <rPr>
        <color rgb="FF1155CC"/>
        <u/>
      </rPr>
      <t>https://cdn.tirabeauty.com/v2/billowing-snowflake-434234/tira-p/wrkr/products/pictures/item/free/resize-w%3A750/5gC5FEmvQP-1143221_3.jpg</t>
    </r>
    <r>
      <rPr/>
      <t xml:space="preserve">, </t>
    </r>
    <r>
      <rPr>
        <color rgb="FF1155CC"/>
        <u/>
      </rPr>
      <t>https://cdn.tirabeauty.com/v2/billowing-snowflake-434234/tira-p/wrkr/products/pictures/item/free/resize-w%3A750/hcPqA0m2O3-1143221_4.jpg</t>
    </r>
    <r>
      <rPr/>
      <t xml:space="preserve">, </t>
    </r>
    <r>
      <rPr>
        <color rgb="FF1155CC"/>
        <u/>
      </rPr>
      <t>https://cdn.tirabeauty.com/v2/billowing-snowflake-434234/tira-p/wrkr/products/pictures/item/free/resize-w%3A750/_hg1nJchYg-1143221_5.jpg</t>
    </r>
  </si>
  <si>
    <t>Roopsee-F-SU-02</t>
  </si>
  <si>
    <t>Brinton Healthcare UV Doux Face &amp; Body Sunscreen Gel SPF 50 PA+++</t>
  </si>
  <si>
    <t>Brinton Healthcare</t>
  </si>
  <si>
    <t>Modern UV Filters</t>
  </si>
  <si>
    <t>C12-15 Alkyl Benzoate</t>
  </si>
  <si>
    <t>Brinton UV Doux Sunscreen Gel is a silicone-based, broad-spectrum sunscreen gel with SPF 50 PA+++, offering protection against UVA and UVB rays. It provides a matte finish, is water-resistant, non-comedogenic, and suitable for all skin types._x000D_
 _x000D_
 Features:_x000D_
 _x000D_
 Gel sunscreen that provides broad-spectrum SPF 50 protection_x000D_
 Water-resistant with a matte finish_x000D_
 Long-lasting, non-greasy_x000D_
 Non-comedogenic and oil-free</t>
  </si>
  <si>
    <t>Octyl Methoxycinnamate, Diethylhexyl Butamido Triazone, Diethylamino Hydroxybenzoyl Hexyl Benzoate, Zinc Oxide, Titanium Dioxide, Bemotrizinol, C12-15 Alkyl Benzoate, Diethylhexyl Syringylidenemalonate, Caprylic/Capric Triglyceride, Caprylyl Methicone, Cyclopentasiloxane, Dimethicone Crosspolymer, Silica, Phenoxyethanol, Ethylhexylglycerin, Fragrance.</t>
  </si>
  <si>
    <r>
      <rPr>
        <color rgb="FF1155CC"/>
        <sz val="11.0"/>
        <u/>
      </rPr>
      <t>https://www.clinikally.com/cdn/shop/files/UVdouxsiliconesunscreengelspf50100g.jpg?v=1756386444&amp;width=1000</t>
    </r>
    <r>
      <rPr>
        <sz val="11.0"/>
      </rPr>
      <t xml:space="preserve">, </t>
    </r>
    <r>
      <rPr>
        <color rgb="FF1155CC"/>
        <sz val="11.0"/>
        <u/>
      </rPr>
      <t>https://www.clinikally.com/cdn/shop/files/UVDouxSiliconeSunscreenGelSPF50PA-1.jpg?v=1756386444&amp;width=1000</t>
    </r>
    <r>
      <rPr>
        <sz val="11.0"/>
      </rPr>
      <t xml:space="preserve">, </t>
    </r>
    <r>
      <rPr>
        <color rgb="FF1155CC"/>
        <sz val="11.0"/>
        <u/>
      </rPr>
      <t>https://www.clinikally.com/cdn/shop/files/UVDouxSiliconeSunscreenGelSPF50PA-2.jpg?v=1756386444&amp;width=1000</t>
    </r>
    <r>
      <rPr>
        <sz val="11.0"/>
      </rPr>
      <t xml:space="preserve">, </t>
    </r>
    <r>
      <rPr>
        <color rgb="FF1155CC"/>
        <sz val="11.0"/>
        <u/>
      </rPr>
      <t>https://www.clinikally.com/cdn/shop/files/UVDouxSiliconeSunscreenGelSPF50PA-3.jpg?v=1756386444&amp;width=1000</t>
    </r>
  </si>
  <si>
    <t>Roopsee-F-SU-03</t>
  </si>
  <si>
    <t>La Roche-Posay Anthelios UVMune 4 SPF50+ for sensitive skin</t>
  </si>
  <si>
    <t>La Roche-Posay</t>
  </si>
  <si>
    <t>O+S, C+S, N+S</t>
  </si>
  <si>
    <t>Tanning, Redness/Irritation</t>
  </si>
  <si>
    <t>Mexoryl 4</t>
  </si>
  <si>
    <t>Vitamin E</t>
  </si>
  <si>
    <t>La Roche-Posay Anthelios UVMune 400 SPF50+ is a broad-spectrum sunscreen for daily UV protection. It helps protect skin from UVA/UVB damage while supporting a comfortable finish for face use.</t>
  </si>
  <si>
    <t>Aqua/Water/Eau, Alcohol Denat., Triethyl Citrate, Diisopropyl Sebacate, Silica, Ethylhexyl Salicylate, Bis-Ethylhexyloxyphenol Methoxyphenyl Triazine, Ethylhexyl Triazone, Butyl Methoxydibenzoylmethane, Glycerin, Propanediol, Drometrizole Trisiloxane, Perlite, Tocopherol, Acrylates/C10-30 Alkyl Acrylate Crosspolymer, Caprylyl Glycol, Hydroxyethylcellulose, Terephthalylidene Dicamphor Sulfonic Acid, Triethanolamine, Trisodium Ethylenediamine Disuccinate.</t>
  </si>
  <si>
    <t>Ingredient caution: UV filters might sting around the eyes or irritate very sensitive skin; humectants such as hyaluronic acid/glycerin are usually gentle but might feel sticky or tight if not sealed with moisturiser. Do a patch test before applying. Patch test near the jawline first, avoid the eye corners, and remove gently at night. Apply on slightly damp skin and follow with moisturiser if dryness occurs. Stop use if irritation persists.</t>
  </si>
  <si>
    <t>https://www.clinikally.com/cdn/shop/files/1_31eac86d-a230-4d36-ac39-acd6fd38b50e.jpg?v=1771062798&amp;width=1000, https://www.clinikally.com/cdn/shop/files/5_edeae8b9-13a5-4388-a102-24877da37a3b.jpg?v=1771062798&amp;width=1000, https://www.clinikally.com/cdn/shop/files/4_e4192c31-6dcd-424c-a836-1007d101be42.jpg?v=1771062798&amp;width=1000, https://www.clinikally.com/cdn/shop/files/2_ca40cdf2-385e-4aee-b661-b5ee21ec5b10.jpg?v=1771062798&amp;width=1000</t>
  </si>
  <si>
    <t>Roopsee-F-SU-04</t>
  </si>
  <si>
    <t>Minimalist SPF 50 PA++++ Sunscreen With Niacinamide</t>
  </si>
  <si>
    <t>O, C, C+S, N, C+S</t>
  </si>
  <si>
    <t>UV filters</t>
  </si>
  <si>
    <t>Minimalist SPF 50 PA++++ Sunscreen With Niacinamide is a broad-spectrum sunscreen for daily UV protection. It helps protect skin from UVA/UVB damage while supporting a comfortable finish for face use.</t>
  </si>
  <si>
    <t>Aqua, Ethylhexyl Methoxycinnamate, Butyl Methoxydibenzoylmethane, Diethylamino Hydroxybenzoyl Hexyl Benzoate, Bis-Ethylhexyloxyphenol Methoxyphenyl Triazine, Niacinamide, Panthenol, Glycerin, Propanediol, C12-15 Alkyl Benzoate, Silica, Dimethicone, Tocopherol, Phenoxyethanol, Ethylhexylglycerin, Acrylates/C10-30 Alkyl Acrylate Crosspolymer, Sodium Hydroxide, Disodium EDTA.</t>
  </si>
  <si>
    <r>
      <rPr>
        <color rgb="FF1155CC"/>
        <u/>
      </rPr>
      <t>https://cdn.tirabeauty.com/v2/billowing-snowflake-434234/tira-p/wrkr/products/pictures/item/free/resize-w%3A750/1002795/9p1Dql06WO-1002795_1.jpg</t>
    </r>
    <r>
      <rPr/>
      <t xml:space="preserve">, </t>
    </r>
    <r>
      <rPr>
        <color rgb="FF1155CC"/>
        <u/>
      </rPr>
      <t>https://cdn.tirabeauty.com/v2/billowing-snowflake-434234/tira-p/wrkr/products/pictures/item/free/resize-w%3A750/1002795/2L1Q3tSecq-1002795_2.jpg</t>
    </r>
    <r>
      <rPr/>
      <t xml:space="preserve">, </t>
    </r>
    <r>
      <rPr>
        <color rgb="FF1155CC"/>
        <u/>
      </rPr>
      <t>https://cdn.tirabeauty.com/v2/billowing-snowflake-434234/tira-p/wrkr/products/pictures/item/free/resize-w%3A750/1002795/MzNdS0xPh-1002795_3.jpg</t>
    </r>
    <r>
      <rPr/>
      <t xml:space="preserve">, </t>
    </r>
    <r>
      <rPr>
        <color rgb="FF1155CC"/>
        <u/>
      </rPr>
      <t>https://cdn.tirabeauty.com/v2/billowing-snowflake-434234/tira-p/wrkr/products/pictures/item/free/resize-w%3A750/1002795/qrgAFePDFK-1002795_4.jpg</t>
    </r>
    <r>
      <rPr/>
      <t xml:space="preserve">, </t>
    </r>
    <r>
      <rPr>
        <color rgb="FF1155CC"/>
        <u/>
      </rPr>
      <t>https://cdn.tirabeauty.com/v2/billowing-snowflake-434234/tira-p/wrkr/products/pictures/item/free/resize-w%3A750/1002795/ICu4c82wAd-1002795_5.jpg</t>
    </r>
  </si>
  <si>
    <t>Roopsee-F-SU-05</t>
  </si>
  <si>
    <t>Re'equil Ultra Matte Dry Touch Sunscreen SPF 50 PA++++</t>
  </si>
  <si>
    <t>Physalis Angulata Extract</t>
  </si>
  <si>
    <t>Re'equil Ultra Matte Dry Touch Sunscreen SPF 50 PA++++ is a broad-spectrum sunscreen for daily UV protection. It helps protect skin from UVA/UVB damage while supporting a comfortable finish for face use.</t>
  </si>
  <si>
    <t>Cyclopentasiloxane, Dimethicone/Vinyl Dimethicone Crosspolymer, Ethylhexyl Methoxycinnamate, Caprylyl Methicone, Neopentyl Glycol Diheptanoate, Diethylhexyl Butamido Triazone, Zinc Oxide, Diethylamino Hydroxybenzoyl Hexyl Benzoate, PEG-12 Dimethicone/PPG-20 Crosspolymer, Tapioca Starch, Titanium Dioxide, Bis-Ethylhexyloxyphenol Methoxyphenyl Triazine, Caprylic/Capric Triglyceride, Dicaprylyl Carbonate, Physalis Angulata Extract, Alumina, Triethoxycaprylylsilane, Polymethylsilsesquioxane, Simethicone, Dimethylmethoxy Chromanol, Tocopherol, Fragrance.</t>
  </si>
  <si>
    <t>Ingredient caution: fragrance, essential oils or fragrance allergens might trigger redness, itching or allergic irritation; UV filters might sting around the eyes or irritate very sensitive skin. Do a patch test before applying. Avoid this product if you have fragrance allergy, eczema-prone skin or a damaged barrier. Patch test near the jawline first, avoid the eye corners, and remove gently at night. Stop use if irritation persists.</t>
  </si>
  <si>
    <r>
      <rPr>
        <color rgb="FF1155CC"/>
        <u/>
      </rPr>
      <t>https://cdn.tirabeauty.com/v2/billowing-snowflake-434234/tira-p/wrkr/products/pictures/item/free/resize-w%3A750/fSE6Sr1cn-Reequil-Ultra-Matte-Dry-Touch-Sunscreen-Gel-SPF-50-%2850g%29.jpeg</t>
    </r>
    <r>
      <rPr/>
      <t xml:space="preserve">, </t>
    </r>
    <r>
      <rPr>
        <color rgb="FF1155CC"/>
        <u/>
      </rPr>
      <t>https://cdn.tirabeauty.com/v2/billowing-snowflake-434234/tira-p/wrkr/products/pictures/item/free/resize-w%3A750/Z50ij4mktB-995970_2.jpg</t>
    </r>
    <r>
      <rPr/>
      <t xml:space="preserve">, </t>
    </r>
    <r>
      <rPr>
        <color rgb="FF1155CC"/>
        <u/>
      </rPr>
      <t>https://cdn.tirabeauty.com/v2/billowing-snowflake-434234/tira-p/wrkr/products/pictures/item/free/resize-w%3A750/HLOfDjOg2F-995970_3.jpg</t>
    </r>
    <r>
      <rPr/>
      <t xml:space="preserve">, </t>
    </r>
    <r>
      <rPr>
        <color rgb="FF1155CC"/>
        <u/>
      </rPr>
      <t>https://cdn.tirabeauty.com/v2/billowing-snowflake-434234/tira-p/wrkr/products/pictures/item/free/resize-w%3A750/jU0yyGNZqO-995970_4.jpg</t>
    </r>
    <r>
      <rPr/>
      <t xml:space="preserve">, </t>
    </r>
    <r>
      <rPr>
        <color rgb="FF1155CC"/>
        <u/>
      </rPr>
      <t>https://cdn.tirabeauty.com/v2/billowing-snowflake-434234/tira-p/wrkr/products/pictures/item/free/resize-w%3A750/SGxYI5fN8Ns-995970_5.jpg</t>
    </r>
  </si>
  <si>
    <t>Roopsee-F-SU-06</t>
  </si>
  <si>
    <t>SKIN1004 Madagascar Centella Hyalu-Cica Water-Fit Sun Serum SPF50+ PA++++</t>
  </si>
  <si>
    <t>Niacinamide, Panthenol</t>
  </si>
  <si>
    <t>SKIN1004 Madagascar Centella Hyalu-Cica Water-Fit Sun Serum SPF50+ PA++++ is a routine skincare product formulated with Centella Asiatica, Hyaluronic Acid, Chemical UV Filters. It supports targeted concerns such as acne, pigentation, dullness, dehydration, texture, pores, aging, sensitivity or barrier repair depending on routine placement.</t>
  </si>
  <si>
    <t>Centella Asiatica, Hyaluronic Acid, Chemical UV Filters</t>
  </si>
  <si>
    <r>
      <rPr>
        <color rgb="FF1155CC"/>
        <u/>
      </rPr>
      <t>https://cdn.tirabeauty.com/v2/billowing-snowflake-434234/tira-p/wrkr/products/pictures/item/free/resize-w%3A750/1133690/gf2adI57ac-1133690_1.jpg</t>
    </r>
    <r>
      <rPr/>
      <t xml:space="preserve">, </t>
    </r>
    <r>
      <rPr>
        <color rgb="FF1155CC"/>
        <u/>
      </rPr>
      <t>https://cdn.tirabeauty.com/v2/billowing-snowflake-434234/tira-p/wrkr/products/pictures/item/free/resize-w%3A750/1133690/i7avoAQzjA-1133690_2.jpg</t>
    </r>
    <r>
      <rPr/>
      <t xml:space="preserve">, </t>
    </r>
    <r>
      <rPr>
        <color rgb="FF1155CC"/>
        <u/>
      </rPr>
      <t>https://cdn.tirabeauty.com/v2/billowing-snowflake-434234/tira-p/wrkr/products/pictures/item/free/resize-w%3A750/1133690/p073ezi0a8-1133690_3.jpg</t>
    </r>
    <r>
      <rPr/>
      <t xml:space="preserve">, </t>
    </r>
    <r>
      <rPr>
        <color rgb="FF1155CC"/>
        <u/>
      </rPr>
      <t>https://cdn.tirabeauty.com/v2/billowing-snowflake-434234/tira-p/wrkr/products/pictures/item/free/resize-w%3A750/1133690/nlnyYRZoDT-1133690_4.jpg</t>
    </r>
    <r>
      <rPr/>
      <t xml:space="preserve">, </t>
    </r>
    <r>
      <rPr>
        <color rgb="FF1155CC"/>
        <u/>
      </rPr>
      <t>https://cdn.tirabeauty.com/v2/billowing-snowflake-434234/tira-p/wrkr/products/pictures/item/free/resize-w%3A750/1133690/Dma1D5IfpD-1133690_5.jpg</t>
    </r>
  </si>
  <si>
    <t>Roopsee-F-SU-07</t>
  </si>
  <si>
    <t>The Derma Co 1 Hyaluronic Sunscreen Aqua Gel SPF 50 PA++++ Normal to Oily</t>
  </si>
  <si>
    <t>O, C, N</t>
  </si>
  <si>
    <t>Vitamin E, Niacinamide</t>
  </si>
  <si>
    <t>The Derma Co 1% Hyaluronic Sunscreen Aqua Gel SPF 50 PA++++ is a routine skincare product formulated with Hyaluronic Acid 1%, Vitamin E, UV Filters. It supports targeted concerns such as acne, pigentation, dullness, dehydration, texture, pores, aging, sensitivity or barrier repair depending on routine placement.</t>
  </si>
  <si>
    <t>Hyaluronic Acid 1%, Vitamin E, UV Filters</t>
  </si>
  <si>
    <r>
      <rPr>
        <color rgb="FF1155CC"/>
        <u/>
      </rPr>
      <t>https://cdn.tirabeauty.com/v2/billowing-snowflake-434234/tira-p/wrkr/products/pictures/item/free/resize-w%3A750/1168114/oLyjloyREj-1168114_1.jpg</t>
    </r>
    <r>
      <rPr/>
      <t xml:space="preserve">, </t>
    </r>
    <r>
      <rPr>
        <color rgb="FF1155CC"/>
        <u/>
      </rPr>
      <t>https://cdn.tirabeauty.com/v2/billowing-snowflake-434234/tira-p/wrkr/products/pictures/item/free/resize-w%3A750/1168114/S_NI-7Q2h9-1168114_2.jpg</t>
    </r>
    <r>
      <rPr/>
      <t xml:space="preserve">, </t>
    </r>
    <r>
      <rPr>
        <color rgb="FF1155CC"/>
        <u/>
      </rPr>
      <t>https://cdn.tirabeauty.com/v2/billowing-snowflake-434234/tira-p/wrkr/products/pictures/item/free/resize-w%3A750/1168114/J9KxsQP0lm-1168114_3.jpg</t>
    </r>
    <r>
      <rPr/>
      <t xml:space="preserve">, </t>
    </r>
    <r>
      <rPr>
        <color rgb="FF1155CC"/>
        <u/>
      </rPr>
      <t>https://cdn.tirabeauty.com/v2/billowing-snowflake-434234/tira-p/wrkr/products/pictures/item/free/resize-w%3A750/1168114/sbtIKFJQeCu-1168114_4.jpg</t>
    </r>
    <r>
      <rPr/>
      <t xml:space="preserve">, </t>
    </r>
    <r>
      <rPr>
        <color rgb="FF1155CC"/>
        <u/>
      </rPr>
      <t>https://cdn.tirabeauty.com/v2/billowing-snowflake-434234/tira-p/wrkr/products/pictures/item/free/resize-w%3A750/1168114/uXKqpk6saCU-1168114_5.jpg</t>
    </r>
  </si>
  <si>
    <t>Roopsee-F-SU-08</t>
  </si>
  <si>
    <t>Foxtale Dewy Sunscreen SPF 50 PA++++</t>
  </si>
  <si>
    <t>Foxtale Dewy Sunscreen SPF 50 PA++++ is a routine skincare product formulated with Niacinamide, Panthenol, Vitamin E, UV Filters. It supports targeted concerns such as acne, pigentation, dullness, dehydration, texture, pores, aging, sensitivity or barrier repair depending on routine placement.</t>
  </si>
  <si>
    <t>Niacinamide, Panthenol, Vitamin E, UV Filters</t>
  </si>
  <si>
    <r>
      <rPr>
        <color rgb="FF1155CC"/>
        <u/>
      </rPr>
      <t>https://cdn.tirabeauty.com/v2/billowing-snowflake-434234/tira-p/wrkr/products/pictures/item/free/resize-w%3A750/miCid97da-1132048_1.jpg</t>
    </r>
    <r>
      <rPr/>
      <t xml:space="preserve">, </t>
    </r>
    <r>
      <rPr>
        <color rgb="FF1155CC"/>
        <u/>
      </rPr>
      <t>https://cdn.tirabeauty.com/v2/billowing-snowflake-434234/tira-p/wrkr/products/pictures/item/free/resize-w%3A750/JByMhDWWN_-1132048_2.jpg</t>
    </r>
    <r>
      <rPr/>
      <t xml:space="preserve">, </t>
    </r>
    <r>
      <rPr>
        <color rgb="FF1155CC"/>
        <u/>
      </rPr>
      <t>https://cdn.tirabeauty.com/v2/billowing-snowflake-434234/tira-p/wrkr/products/pictures/item/free/resize-w%3A750/A9m6fTdSUL-1132048_3.jpg</t>
    </r>
    <r>
      <rPr/>
      <t xml:space="preserve">, </t>
    </r>
    <r>
      <rPr>
        <color rgb="FF1155CC"/>
        <u/>
      </rPr>
      <t>https://cdn.tirabeauty.com/v2/billowing-snowflake-434234/tira-p/wrkr/products/pictures/item/free/resize-w%3A750/mqJBPQRwK1-1132048_4.jpg</t>
    </r>
    <r>
      <rPr/>
      <t xml:space="preserve">, </t>
    </r>
    <r>
      <rPr>
        <color rgb="FF1155CC"/>
        <u/>
      </rPr>
      <t>https://cdn.tirabeauty.com/v2/billowing-snowflake-434234/tira-p/wrkr/products/pictures/item/free/resize-w%3A750/kkjc8_bBHh-1132048_5.jpg</t>
    </r>
  </si>
  <si>
    <t>Roopsee-F-SU-09</t>
  </si>
  <si>
    <t>Cetaphil Sun SPF 50+ Very High Protection Mineral Base for All Skin Types, Sensitive Skin</t>
  </si>
  <si>
    <t>Vitamin E, Aloe vera</t>
  </si>
  <si>
    <t>Cetaphil Sun SPF 50+ Very High Protection Light Gel is a routine skincare product formulated with Octocrylene, Avobenzone, Vitamin E. It supports targeted concerns such as acne, pigentation, dullness, dehydration, texture, pores, aging, sensitivity or barrier repair depending on routine placement.</t>
  </si>
  <si>
    <t>Octocrylene, Avobenzone, Vitamin E</t>
  </si>
  <si>
    <r>
      <rPr>
        <color rgb="FF1155CC"/>
        <u/>
      </rPr>
      <t>https://www.cetaphil.in/dw/image/v2/BGGN_PRD/on/demandware.static/-/Sites-galderma-in-m-catalog/default/dw76b723b9/Sun%2050%20Revive%20A%2B/ATF/1.%20FoP%20%281%29.png?q=85&amp;sh=900&amp;sm=fit&amp;sw=900</t>
    </r>
    <r>
      <rPr/>
      <t xml:space="preserve">, </t>
    </r>
    <r>
      <rPr>
        <color rgb="FF1155CC"/>
        <u/>
      </rPr>
      <t>https://www.cetaphil.in/dw/image/v2/BGGN_PRD/on/demandware.static/-/Sites-galderma-in-m-catalog/default/dwd6398f0a/Sun%2050%20Revive%20A%2B/ATF/2.%20BoP.jpg?q=85&amp;sh=900&amp;sm=fit&amp;sw=900</t>
    </r>
    <r>
      <rPr/>
      <t xml:space="preserve">, </t>
    </r>
    <r>
      <rPr>
        <color rgb="FF1155CC"/>
        <u/>
      </rPr>
      <t>https://www.cetaphil.in/dw/image/v2/BGGN_PRD/on/demandware.static/-/Sites-galderma-in-m-catalog/default/dw070cc78b/Sun%2050%20Revive%20A%2B/ATF/0.%20New%20Look.jpg?q=85&amp;sh=900&amp;sm=fit&amp;sw=900</t>
    </r>
    <r>
      <rPr/>
      <t xml:space="preserve">, </t>
    </r>
    <r>
      <rPr>
        <color rgb="FF1155CC"/>
        <u/>
      </rPr>
      <t>https://www.cetaphil.in/dw/image/v2/BGGN_PRD/on/demandware.static/-/Sites-galderma-in-m-catalog/default/dw52f8ca79/Sun%2050%20Revive%20A%2B/ATF/3.%20USPs.jpg?q=85&amp;sh=900&amp;sm=fit&amp;sw=900</t>
    </r>
    <r>
      <rPr/>
      <t xml:space="preserve">, </t>
    </r>
    <r>
      <rPr>
        <color rgb="FF1155CC"/>
        <u/>
      </rPr>
      <t>https://www.cetaphil.in/dw/image/v2/BGGN_PRD/on/demandware.static/-/Sites-galderma-in-m-catalog/default/dw166d9b3d/Sun%2050%20Revive%20A%2B/ATF/4.%205%20Signs.jpg?q=85&amp;sh=900&amp;sm=fit&amp;sw=900</t>
    </r>
  </si>
  <si>
    <t>Roopsee-F-SU-10</t>
  </si>
  <si>
    <t>Beauty of Joseon Relief Sun Aqua-Fresh Rice + B5 SPF50+ PA++++</t>
  </si>
  <si>
    <t>panthenol, Niacinamide</t>
  </si>
  <si>
    <t>Beauty of Joseon Relief Sun Aqua-Fresh Rice + B5 SPF50+ PA++++ is a routine skincare product formulated with Rice Seed Water, Panthenol, UV Filters. It supports targeted concerns such as acne, pigentation, dullness, dehydration, texture, pores, aging, sensitivity or barrier repair depending on routine placement.</t>
  </si>
  <si>
    <t>Rice Seed Water, Panthenol, UV Filters</t>
  </si>
  <si>
    <r>
      <rPr>
        <color rgb="FF1155CC"/>
        <u/>
      </rPr>
      <t>https://cdn.tirabeauty.com/v2/billowing-snowflake-434234/tira-p/wrkr/products/pictures/item/free/resize-w%3A750/OccgsZ-K4M-1165924_1.jpg</t>
    </r>
    <r>
      <rPr/>
      <t xml:space="preserve">, </t>
    </r>
    <r>
      <rPr>
        <color rgb="FF1155CC"/>
        <u/>
      </rPr>
      <t>https://cdn.tirabeauty.com/v2/billowing-snowflake-434234/tira-p/wrkr/products/pictures/item/free/resize-w%3A750/gC9MwzUoTU-1165924_2.jpg</t>
    </r>
    <r>
      <rPr/>
      <t xml:space="preserve">, </t>
    </r>
    <r>
      <rPr>
        <color rgb="FF1155CC"/>
        <u/>
      </rPr>
      <t>https://cdn.tirabeauty.com/v2/billowing-snowflake-434234/tira-p/wrkr/products/pictures/item/free/resize-w%3A750/sdOs8KAX-3-1165924_3.jpg</t>
    </r>
    <r>
      <rPr/>
      <t xml:space="preserve">, </t>
    </r>
    <r>
      <rPr>
        <color rgb="FF1155CC"/>
        <u/>
      </rPr>
      <t>https://cdn.tirabeauty.com/v2/billowing-snowflake-434234/tira-p/wrkr/products/pictures/item/free/resize-w%3A750/Jvb7loVtk8-1165924_4.jpg</t>
    </r>
    <r>
      <rPr/>
      <t xml:space="preserve">, </t>
    </r>
    <r>
      <rPr>
        <color rgb="FF1155CC"/>
        <u/>
      </rPr>
      <t>https://cdn.tirabeauty.com/v2/billowing-snowflake-434234/tira-p/wrkr/products/pictures/item/free/resize-w%3A750/5WwkXwpdW-1165924_5.jpg</t>
    </r>
  </si>
  <si>
    <t>Roopsee-F-SU-11</t>
  </si>
  <si>
    <t>The Derma Co 1 Hyaluronic Tinted Sunscreen Gel SPF 60 PA++++</t>
  </si>
  <si>
    <t>Zinc oxide, Titanium Dioxide</t>
  </si>
  <si>
    <t>The Derma Co 1% Hyaluronic Tinted Sunscreen Gel SPF 60 PA++++ is a routine skincare product formulated with Hyaluronic Acid, Iron Oxides, UV Filters. It supports targeted concerns such as acne, pigentation, dullness, dehydration, texture, pores, aging, sensitivity or barrier repair depending on routine placement.</t>
  </si>
  <si>
    <t>Hyaluronic Acid, Iron Oxides, UV Filters</t>
  </si>
  <si>
    <r>
      <rPr>
        <color rgb="FF1155CC"/>
        <u/>
      </rPr>
      <t>https://cdn.tirabeauty.com/v2/billowing-snowflake-434234/tira-p/wrkr/products/pictures/item/free/resize-w%3A750/1083417/hChEq6XBil-8906087778363_1.jpg</t>
    </r>
    <r>
      <rPr/>
      <t xml:space="preserve">, </t>
    </r>
    <r>
      <rPr>
        <color rgb="FF1155CC"/>
        <u/>
      </rPr>
      <t>https://cdn.tirabeauty.com/v2/billowing-snowflake-434234/tira-p/wrkr/products/pictures/item/free/resize-w%3A750/1083417/yRelSl3YVH-8906087778363_2.jpg</t>
    </r>
    <r>
      <rPr/>
      <t xml:space="preserve">, </t>
    </r>
    <r>
      <rPr>
        <color rgb="FF1155CC"/>
        <u/>
      </rPr>
      <t>https://cdn.tirabeauty.com/v2/billowing-snowflake-434234/tira-p/wrkr/products/pictures/item/free/resize-w%3A750/1083417/9qkuOMAR68-8906087778363_3.jpg</t>
    </r>
    <r>
      <rPr/>
      <t xml:space="preserve">, </t>
    </r>
    <r>
      <rPr>
        <color rgb="FF1155CC"/>
        <u/>
      </rPr>
      <t>https://cdn.tirabeauty.com/v2/billowing-snowflake-434234/tira-p/wrkr/products/pictures/item/free/resize-w%3A750/1083417/4ofDAl1cJ-8906087778363_4.jpg</t>
    </r>
    <r>
      <rPr/>
      <t xml:space="preserve">, </t>
    </r>
    <r>
      <rPr>
        <color rgb="FF1155CC"/>
        <u/>
      </rPr>
      <t>https://cdn.tirabeauty.com/v2/billowing-snowflake-434234/tira-p/wrkr/products/pictures/item/free/resize-w%3A750/1083417/Ypp5TVe7Y8-8906087778363_5.jpg</t>
    </r>
  </si>
  <si>
    <t>Roopsee-F-SU-12</t>
  </si>
  <si>
    <t>Minimalist Light Fluid SPF 50 PA++++ Sunscreen</t>
  </si>
  <si>
    <t>Minimalist Light Fluid SPF 50 PA++++ Sunscreen is a routine skincare product formulated with Uvinul A Plus, Uvinul T 150, Tinosorb S, Niacinamide. It supports targeted concerns such as acne, pigentation, dullness, dehydration, texture, pores, aging, sensitivity or barrier repair depending on routine placement.</t>
  </si>
  <si>
    <t>Uvinul A Plus, Uvinul T 150, Tinosorb S, Niacinamide</t>
  </si>
  <si>
    <r>
      <rPr>
        <color rgb="FF1155CC"/>
        <u/>
      </rPr>
      <t>https://cdn.tirabeauty.com/v2/billowing-snowflake-434234/tira-p/wrkr/products/pictures/item/free/resize-w%3A750/1137434/yvBGAVlkVXP-1137434_1.jpg</t>
    </r>
    <r>
      <rPr/>
      <t xml:space="preserve">, </t>
    </r>
    <r>
      <rPr>
        <color rgb="FF1155CC"/>
        <u/>
      </rPr>
      <t>https://cdn.tirabeauty.com/v2/billowing-snowflake-434234/tira-p/wrkr/products/pictures/item/free/resize-w%3A750/1137434/1CZYZI0QP4i-1137434_2.jpg</t>
    </r>
    <r>
      <rPr/>
      <t xml:space="preserve">, </t>
    </r>
    <r>
      <rPr>
        <color rgb="FF1155CC"/>
        <u/>
      </rPr>
      <t>https://cdn.tirabeauty.com/v2/billowing-snowflake-434234/tira-p/wrkr/products/pictures/item/free/resize-w%3A750/1137434/acBJuy6vd-1137434_3.jpg</t>
    </r>
    <r>
      <rPr/>
      <t xml:space="preserve">, </t>
    </r>
    <r>
      <rPr>
        <color rgb="FF1155CC"/>
        <u/>
      </rPr>
      <t>https://cdn.tirabeauty.com/v2/billowing-snowflake-434234/tira-p/wrkr/products/pictures/item/free/resize-w%3A750/1137434/RpKNofcmSb-1137434_4.jpg</t>
    </r>
    <r>
      <rPr/>
      <t xml:space="preserve">, </t>
    </r>
    <r>
      <rPr>
        <color rgb="FF1155CC"/>
        <u/>
      </rPr>
      <t>https://cdn.tirabeauty.com/v2/billowing-snowflake-434234/tira-p/wrkr/products/pictures/item/free/resize-w%3A750/1137434/9PtE2k0lu4-1137434_5.jpg</t>
    </r>
  </si>
  <si>
    <t>Roopsee-F-SU-13</t>
  </si>
  <si>
    <t>Aqualogica Glow+ Dewy Sunscreen SPF 50+ PA++++</t>
  </si>
  <si>
    <t>Papaya Extract</t>
  </si>
  <si>
    <t>Vitamin C, Hyaluronic acid</t>
  </si>
  <si>
    <t>It functions simultaneously as a high-protection sunscreen and a brightening, hydrating skincare fluid. It spreads like water and absorbs within seconds to leave a healthy, glass-like dewy finish rather than a traditional heavy or matte look.</t>
  </si>
  <si>
    <t>Aqua, Titanium Dioxide, Suncat DE TM (Water, Ethylhexyl Methoxycinnamate, Butyl Methoxydibenzoylmethane, Benzophenone-3, Phospholipids, 1,3-Butylene Glycol), Sodium Polyacrylate, Glycerin, Zinc Oxide, Xylitol, Phospholipids, Caprylic Acid, Glyceryl Stearate, Dimethicone, Hyaluronic Acid, Helianthus Annuus (Sunflower) Seed Oil, D-Alpha Tocopheryl Acetate (Vitamin E), Ceramide 11, Papaya Fruit Extract, Aloe Barbadensis Leaf Juice (Aloe Vera), Sodium Lactate, Trehalose, Sodium Benzoate, E-Ascorbic Acid (Vitamin C), Sodium Levulinate, Phenoxyethanol, Allantoin, Melanin.</t>
  </si>
  <si>
    <r>
      <rPr>
        <color rgb="FF1155CC"/>
        <u/>
      </rPr>
      <t>https://cdn.tirabeauty.com/v2/billowing-snowflake-434234/tira-p/wrkr/products/pictures/item/free/resize-w%3A750/sRCGkv0oS-1079474_01.jpg</t>
    </r>
    <r>
      <rPr/>
      <t xml:space="preserve">, </t>
    </r>
    <r>
      <rPr>
        <color rgb="FF1155CC"/>
        <u/>
      </rPr>
      <t>https://cdn.tirabeauty.com/v2/billowing-snowflake-434234/tira-p/wrkr/products/pictures/item/free/resize-w%3A750/ov4wZSrnCM-1079474_02.jpg</t>
    </r>
    <r>
      <rPr/>
      <t xml:space="preserve">, </t>
    </r>
    <r>
      <rPr>
        <color rgb="FF1155CC"/>
        <u/>
      </rPr>
      <t>https://cdn.tirabeauty.com/v2/billowing-snowflake-434234/tira-p/wrkr/products/pictures/item/free/resize-w%3A750/mDjFPGSK9P-1079474_03.jpg</t>
    </r>
    <r>
      <rPr/>
      <t xml:space="preserve">, </t>
    </r>
    <r>
      <rPr>
        <color rgb="FF1155CC"/>
        <u/>
      </rPr>
      <t>https://cdn.tirabeauty.com/v2/billowing-snowflake-434234/tira-p/wrkr/products/pictures/item/free/resize-w%3A750/NYGxdWPUpd-1079474_04.jpg</t>
    </r>
    <r>
      <rPr/>
      <t xml:space="preserve">, </t>
    </r>
    <r>
      <rPr>
        <color rgb="FF1155CC"/>
        <u/>
      </rPr>
      <t>https://cdn.tirabeauty.com/v2/billowing-snowflake-434234/tira-p/wrkr/products/pictures/item/free/resize-w%3A750/y1nIDb9AXW-1079474_05.jpg</t>
    </r>
  </si>
  <si>
    <t>Roopsee-F-SU-14</t>
  </si>
  <si>
    <t>Neutrogena Ultra Sheer Dry Touch Sunblock SPF 50+</t>
  </si>
  <si>
    <t>Nutrogena</t>
  </si>
  <si>
    <t>Helioplex UV Filters</t>
  </si>
  <si>
    <t>Silica</t>
  </si>
  <si>
    <t>The product is famous for its Dry-Touch technology, which promises to absorb excess sebum and oils instantly upon application. It provides powerful, heavy-duty clinical sun defense but sets to an ultra-lightweight, velvet-matte finish that leaves skin feeling soft, smooth, and completely non-sticky.</t>
  </si>
  <si>
    <t>Water, Homosalate, Octocrylene, Butyl Methoxydibenzoylmethane, Ethylhexyl Salicylate, Methylene Bis-Benzotriazolyl Tetramethylbutylphenol, Ethylhexyl Triazone, Glycerin, Aluminum Starch Octenylsuccinate, Sodium Potassium Aluminum Silicate, Diisopropyl Adipate, Potassium Cetyl Phosphate, Phenoxyethanol, Triacontanyl PVP.</t>
  </si>
  <si>
    <r>
      <rPr>
        <color rgb="FF1155CC"/>
        <u/>
      </rPr>
      <t>https://cdn.tirabeauty.com/v2/billowing-snowflake-434234/tira-p/wrkr/products/pictures/item/free/resize-w%3A750/939477/wx8_5Lw4c-939477_1.jpg</t>
    </r>
    <r>
      <rPr/>
      <t xml:space="preserve">, </t>
    </r>
    <r>
      <rPr>
        <color rgb="FF1155CC"/>
        <u/>
      </rPr>
      <t>https://cdn.tirabeauty.com/v2/billowing-snowflake-434234/tira-p/wrkr/products/pictures/item/free/resize-w%3A750/939477/agH_A6may4-939477_2.jpg</t>
    </r>
    <r>
      <rPr/>
      <t xml:space="preserve">, </t>
    </r>
    <r>
      <rPr>
        <color rgb="FF1155CC"/>
        <u/>
      </rPr>
      <t>https://cdn.tirabeauty.com/v2/billowing-snowflake-434234/tira-p/wrkr/products/pictures/item/free/resize-w%3A750/939477/Z6xqT9Wks-939477_3.jpg</t>
    </r>
    <r>
      <rPr/>
      <t xml:space="preserve">, </t>
    </r>
    <r>
      <rPr>
        <color rgb="FF1155CC"/>
        <u/>
      </rPr>
      <t>https://cdn.tirabeauty.com/v2/billowing-snowflake-434234/tira-p/wrkr/products/pictures/item/free/resize-w%3A750/939477/pN8higtiWS-939477_4.jpg</t>
    </r>
    <r>
      <rPr/>
      <t xml:space="preserve">, </t>
    </r>
    <r>
      <rPr>
        <color rgb="FF1155CC"/>
        <u/>
      </rPr>
      <t>https://cdn.tirabeauty.com/v2/billowing-snowflake-434234/tira-p/wrkr/products/pictures/item/free/resize-w%3A750/939477/HD9d4Fcd2F-939477_5.jpg</t>
    </r>
  </si>
  <si>
    <t>Roopsee-F-SU-15</t>
  </si>
  <si>
    <t>Aqualogica Radiance+ Dewy Sunscreen SPF 50+ PA++++</t>
  </si>
  <si>
    <t>it combines intense hydration with brightening skin science, turning your sun protection step into a treatment for radiant skin. It uses the brand's unique Water Lock Technologyâ„¢ to stimulate and sustain moisture retention in the skin layers all day long.</t>
  </si>
  <si>
    <t>Aqua, C12-C15 Alkyl Benzoate, Caprylyl Methicone, Aloe Barbadensis Leaf Juice Extract, Sodium Acrylates Copolymer, Methylene Bis-Benzotriazolyl Tetramethylbutylphenol, Bis-Ethylhexyloxyphenol Methoxyphenyl Triazine, Ethylhexyl Triazone, Diethylamino Hydroxybenzoyl Hexyl Benzoate, Glycerin, Dimethicone, Acrylates/C10-30 Alkyl Acrylate Crosspolymer, Niacinamide, Sodium Hyaluronate, Citrullus Lanatus (Watermelon) Fruit Extract, Xylitol, Glucose, Anhydroxylitol, Phoenix Dactylifera (Date) Seed Extract, Sorbitan Stearate, Sucrose Cocoate, Betaine, Glyceryl Stearate, Phenoxyethanol, Ethylhexylglycerin.</t>
  </si>
  <si>
    <r>
      <rPr>
        <color rgb="FF1155CC"/>
        <u/>
      </rPr>
      <t>https://cdn.tirabeauty.com/v2/billowing-snowflake-434234/tira-p/wrkr/products/pictures/item/free/resize-w%3A750/1079530/Bht2b-OE_7-1079530-1.jpg</t>
    </r>
    <r>
      <rPr/>
      <t xml:space="preserve">, </t>
    </r>
    <r>
      <rPr>
        <color rgb="FF1155CC"/>
        <u/>
      </rPr>
      <t>https://cdn.tirabeauty.com/v2/billowing-snowflake-434234/tira-p/wrkr/products/pictures/item/free/resize-w%3A750/1079530/_-KSAaFMYF-1079530-2.jpg</t>
    </r>
    <r>
      <rPr/>
      <t xml:space="preserve">, </t>
    </r>
    <r>
      <rPr>
        <color rgb="FF1155CC"/>
        <u/>
      </rPr>
      <t>https://cdn.tirabeauty.com/v2/billowing-snowflake-434234/tira-p/wrkr/products/pictures/item/free/resize-w%3A750/1079530/NalZMIKfS6-1079530-3.jpg</t>
    </r>
    <r>
      <rPr/>
      <t xml:space="preserve">, </t>
    </r>
    <r>
      <rPr>
        <color rgb="FF1155CC"/>
        <u/>
      </rPr>
      <t>https://cdn.tirabeauty.com/v2/billowing-snowflake-434234/tira-p/wrkr/products/pictures/item/free/resize-w%3A750/1079530/eCJhvBXVJg-1079530-4.jpg</t>
    </r>
    <r>
      <rPr/>
      <t xml:space="preserve">, </t>
    </r>
    <r>
      <rPr>
        <color rgb="FF1155CC"/>
        <u/>
      </rPr>
      <t>https://cdn.tirabeauty.com/v2/billowing-snowflake-434234/tira-p/wrkr/products/pictures/item/free/resize-w%3A750/1079530/D7TnLXCW8u-1079530-5.jpg</t>
    </r>
  </si>
  <si>
    <t>Roopsee-F-SU-16</t>
  </si>
  <si>
    <t>Fixderma Shadow Sunscreen SPF 50+ Gel</t>
  </si>
  <si>
    <t>Vitamin E, Panthenol</t>
  </si>
  <si>
    <t>The product is designed to provide maximum sun protection without triggering the breakouts, heavy sweating, or clogged pores commonly associated with traditional cream-based sunscreens. Marketed as an extended broad-spectrum formula, it creates a lightweight barrier over the skin that protects against both environmental sun rays and artificial light sources.</t>
  </si>
  <si>
    <t>Water (Aqua), Water, Ethylhexyl Methoxycinnamate, Butyl Methoxydibenzoylmethane, Benzophenone-3, Phospholipids, 1,3-Butylene Glycol, Phenylbenzimidazole Sulfonic Acid, Propanediol, Zinc Oxide, Dicaprylyl Carbonate, Panthenol, Phenoxyethanol, Ethylhexylglycerin, Caesalpinia Spinosa Gum, Silica, Tocopheryl Acetate, Fragrance.</t>
  </si>
  <si>
    <r>
      <rPr>
        <color rgb="FF1155CC"/>
        <u/>
      </rPr>
      <t>https://cdn.tirabeauty.com/v2/billowing-snowflake-434234/tira-p/wrkr/products/pictures/item/free/resize-w%3A750/1072693/DSeKkkRGSr-1072693_1.jpg</t>
    </r>
    <r>
      <rPr/>
      <t xml:space="preserve">, </t>
    </r>
    <r>
      <rPr>
        <color rgb="FF1155CC"/>
        <u/>
      </rPr>
      <t>https://cdn.tirabeauty.com/v2/billowing-snowflake-434234/tira-p/wrkr/products/pictures/item/free/resize-w%3A750/1072693/U_Accb1Lyz-1072693_2.jpg</t>
    </r>
    <r>
      <rPr/>
      <t xml:space="preserve">, </t>
    </r>
    <r>
      <rPr>
        <color rgb="FF1155CC"/>
        <u/>
      </rPr>
      <t>https://cdn.tirabeauty.com/v2/billowing-snowflake-434234/tira-p/wrkr/products/pictures/item/free/resize-w%3A750/1072693/QIA_ns1W_m-1072693_3.jpg</t>
    </r>
    <r>
      <rPr/>
      <t xml:space="preserve">, </t>
    </r>
    <r>
      <rPr>
        <color rgb="FF1155CC"/>
        <u/>
      </rPr>
      <t>https://cdn.tirabeauty.com/v2/billowing-snowflake-434234/tira-p/wrkr/products/pictures/item/free/resize-w%3A750/1072693/saDYomMjVm-1072693_4.jpg</t>
    </r>
    <r>
      <rPr/>
      <t xml:space="preserve">, </t>
    </r>
    <r>
      <rPr>
        <color rgb="FF1155CC"/>
        <u/>
      </rPr>
      <t>https://cdn.tirabeauty.com/v2/billowing-snowflake-434234/tira-p/wrkr/products/pictures/item/free/resize-w%3A750/1072693/bHUCR9JLnS-1072693_5.jpg</t>
    </r>
  </si>
  <si>
    <t>Roopsee-F-TO-01</t>
  </si>
  <si>
    <t>Foxtale Exfoliating Facial Toner with 5 Lactic Acid &amp; Niacinamide</t>
  </si>
  <si>
    <t>150 ml</t>
  </si>
  <si>
    <t>Foxtale Exfoliating Facial Toner is a toner formulated to refresh the skin after cleansing and support smoother-looking texture. Use according to tolerance, especially if it contains exfoliating acids.</t>
  </si>
  <si>
    <t>Aqua, Lactic Acid, Niacinamide, Glycolic Acid, Gluconolactone, Glycerin, Propanediol, Panthenol, Aloe Barbadensis Leaf Juice, Sodium Hydroxide, Phenoxyethanol, Ethylhexylglycerin, Disodium EDTA.</t>
  </si>
  <si>
    <t>Ingredient caution: PHA, glycolic acid/AHA, lactic acid/AHA might cause stinging, dryness, peeling, redness and increased sun sensitivity; niacinamide is usually gentle but might cause tingling or flushing in very reactive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Start slowly if your skin is sensitive and avoid combining too many new actives at once.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</si>
  <si>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https://cdn.tirabeauty.com/v2/billowing-snowflake-434234/tira-p/wrkr/products/pictures/item/free/resize-w%3A750/1146056/dxvQAMwMw6-1146056_1.jpg</t>
    </r>
    <r>
      <rPr/>
      <t xml:space="preserve">, </t>
    </r>
    <r>
      <rPr>
        <color rgb="FF1155CC"/>
        <u/>
      </rPr>
      <t>https://cdn.tirabeauty.com/v2/billowing-snowflake-434234/tira-p/wrkr/products/pictures/item/free/resize-w%3A750/1146056/bckRgMgph9-1146056_2.jpg</t>
    </r>
    <r>
      <rPr/>
      <t xml:space="preserve">, </t>
    </r>
    <r>
      <rPr>
        <color rgb="FF1155CC"/>
        <u/>
      </rPr>
      <t>https://cdn.tirabeauty.com/v2/billowing-snowflake-434234/tira-p/wrkr/products/pictures/item/free/resize-w%3A750/1146056/r7EC_0bBEZ-1146056_3.jpg</t>
    </r>
    <r>
      <rPr/>
      <t xml:space="preserve">, </t>
    </r>
    <r>
      <rPr>
        <color rgb="FF1155CC"/>
        <u/>
      </rPr>
      <t>https://cdn.tirabeauty.com/v2/billowing-snowflake-434234/tira-p/wrkr/products/pictures/item/free/resize-w%3A750/1146056/rHDCV_gcw-1146056_4.jpg</t>
    </r>
    <r>
      <rPr/>
      <t xml:space="preserve">, </t>
    </r>
    <r>
      <rPr>
        <color rgb="FF1155CC"/>
        <u/>
      </rPr>
      <t>https://cdn.tirabeauty.com/v2/billowing-snowflake-434234/tira-p/wrkr/products/pictures/item/free/resize-w%3A750/1146056/aW3hokT1Hn-1146056_5.jpg</t>
    </r>
  </si>
  <si>
    <t>Roopsee-F-TO-02</t>
  </si>
  <si>
    <t>SKIN1004 Madagascar Centella Toning Toner</t>
  </si>
  <si>
    <t>210ml</t>
  </si>
  <si>
    <t>O+S, C, C+S, N+S</t>
  </si>
  <si>
    <t>Niacinamide, PHA, Hyaluronic acid</t>
  </si>
  <si>
    <t>SKIN1004 Madagascar Centella Toning Toner is a toner formulated to refresh the skin after cleansing and support smoother-looking texture. Use according to tolerance, especially if it contains exfoliating acids.</t>
  </si>
  <si>
    <t>Centella Asiatica Extract, Water, Glycerin, Butylene Glycol, Gluconolactone, Betaine, Sodium Hyaluronate, Carbomer, Arginine, 1,2-Hexanediol, Ethylhexylglycerin, Disodium EDTA.</t>
  </si>
  <si>
    <t>â€¢ Apply after cleansing and before heavier leave-on products.
 â€¢ Use with clean hands or a soft cotton pad without dragging the skin.
 â€¢ Keep application light and even.
 â€¢ Follow with moisturiser if skin feels dry.
 â€¢ Reduce frequency if tingling or tightness becomes frequent.</t>
  </si>
  <si>
    <t>â€¢ Do not rub harshly with cotton pads.
 â€¢ Do not apply on irritated, freshly shaved, or broken skin.
 â€¢ Do not use many watery layers if the skin starts feeling sticky or congested.
 â€¢ Do not apply near the eyes unless suitable for that area.
 â€¢ Do not continue if redness or burning persists.</t>
  </si>
  <si>
    <t>â€¢ Use after cleansing on clean skin.
 â€¢ Dispense a small amount into palms or onto a cotton pad.
 â€¢ Press or sweep gently across the skin.
 â€¢ Let it absorb before applying serum or moisturiser.
 â€¢ Use once daily at first, then adjust based on comfort.</t>
  </si>
  <si>
    <t>Ingredient caution: PHA might cause stinging, dryness, peeling, redness and increased sun sensitivity; niacinamide is usually gentle but might cause tingling or flushing in very reactive skin; humectants such as hyaluronic acid/glycerin are usually gentle but might feel sticky or tight if not sealed with moisturiser. Do a patch test before applying. First-time users should start 3–4 times a week, avoid using it with retinol or other exfoliating acids in the same routine, and apply sunscreen daily. Start slowly if your skin is sensitive and avoid combining too many new actives at once. Apply on slightly damp skin and follow with moisturiser if dryness occurs. Stop use if irritation persists.</t>
  </si>
  <si>
    <r>
      <rPr>
        <color rgb="FF1155CC"/>
        <u/>
      </rPr>
      <t>https://cdn.tirabeauty.com/v2/billowing-snowflake-434234/tira-p/wrkr/products/pictures/item/free/resize-w%3A750/1133716/iaDg69zw2-1133716_1.jpg</t>
    </r>
    <r>
      <rPr/>
      <t xml:space="preserve">, </t>
    </r>
    <r>
      <rPr>
        <color rgb="FF1155CC"/>
        <u/>
      </rPr>
      <t>https://cdn.tirabeauty.com/v2/billowing-snowflake-434234/tira-p/wrkr/products/pictures/item/free/resize-w%3A750/1133716/p8oU6OFGOP-1133716_2.jpg</t>
    </r>
    <r>
      <rPr/>
      <t xml:space="preserve">, </t>
    </r>
    <r>
      <rPr>
        <color rgb="FF1155CC"/>
        <u/>
      </rPr>
      <t>https://cdn.tirabeauty.com/v2/billowing-snowflake-434234/tira-p/wrkr/products/pictures/item/free/resize-w%3A750/1133716/ejczj6w0nN-1133716_3.jpg</t>
    </r>
    <r>
      <rPr/>
      <t xml:space="preserve">, </t>
    </r>
    <r>
      <rPr>
        <color rgb="FF1155CC"/>
        <u/>
      </rPr>
      <t>https://cdn.tirabeauty.com/v2/billowing-snowflake-434234/tira-p/wrkr/products/pictures/item/free/resize-w%3A750/1133716/potC5Dxsku-1133716_4.jpg</t>
    </r>
    <r>
      <rPr/>
      <t xml:space="preserve">, </t>
    </r>
    <r>
      <rPr>
        <color rgb="FF1155CC"/>
        <u/>
      </rPr>
      <t>https://cdn.tirabeauty.com/v2/billowing-snowflake-434234/tira-p/wrkr/products/pictures/item/free/resize-w%3A750/1133716/y1jBGTveRT-1133716_5.jpg</t>
    </r>
  </si>
  <si>
    <t>Roopsee-F-TO-03</t>
  </si>
  <si>
    <t>The Derma Co 2 Salicylic BHA Hydrating Toner</t>
  </si>
  <si>
    <t>Niacinamide, Witch Hazel, Panthenol</t>
  </si>
  <si>
    <t>The Derma Co 2% Salicylic BHA Hydrating Toner is a toner formulated to refresh the skin after cleansing and support smoother-looking texture. Use according to tolerance, especially if it contains exfoliating acids.</t>
  </si>
  <si>
    <t>Aqua, Salicylic Acid, Glycerin, Propanediol, Witch Hazel Extract, Allantoin, Panthenol, Sodium PCA, Niacinamide, Betaine, Phenoxyethanol, Ethylhexylglycerin, Sodium Hydroxide, Disodium EDTA, Fragrance.</t>
  </si>
  <si>
    <t>Ingredient caution: salicylic acid/BHA might cause stinging, dryness, peeling, redness and increased sun sensitivity; niacinamide is usually gentle but might cause tingling or flushing in very reactive skin; fragrance, essential oils or fragrance allergens might trigger redness, itching or allergic irritation; preservatives such as phenoxyethanol/benzyl alcohol might sting very sensitive or compromised skin. Do a patch test before applying. First-time users should start 3–4 times a week, avoid using it with retinol or other exfoliating acids in the same routine, and apply sunscreen daily. Start slowly if your skin is sensitive and avoid combining too many new actives at once. Avoid this product if you have fragrance allergy, eczema-prone skin or a damaged barrier. Do not apply on broken, freshly waxed or irritated skin. Stop use if irritation persists.</t>
  </si>
  <si>
    <r>
      <rPr>
        <color rgb="FF1155CC"/>
        <u/>
      </rPr>
      <t>https://cdn.tirabeauty.com/v2/billowing-snowflake-434234/tira-p/wrkr/products/pictures/item/free/resize-w%3A750/1166902/Y28uPTYsx4g-1166902_1.jpg</t>
    </r>
    <r>
      <rPr/>
      <t xml:space="preserve">, </t>
    </r>
    <r>
      <rPr>
        <color rgb="FF1155CC"/>
        <u/>
      </rPr>
      <t>https://cdn.tirabeauty.com/v2/billowing-snowflake-434234/tira-p/wrkr/products/pictures/item/free/resize-w%3A750/1166902/0q1qJvcGtdr-1166902_2.jpg</t>
    </r>
    <r>
      <rPr/>
      <t xml:space="preserve">, </t>
    </r>
    <r>
      <rPr>
        <color rgb="FF1155CC"/>
        <u/>
      </rPr>
      <t>https://cdn.tirabeauty.com/v2/billowing-snowflake-434234/tira-p/wrkr/products/pictures/item/free/resize-w%3A750/1166902/vubBnIhxyIu-1166902_3.jpg</t>
    </r>
    <r>
      <rPr/>
      <t xml:space="preserve">, </t>
    </r>
    <r>
      <rPr>
        <color rgb="FF1155CC"/>
        <u/>
      </rPr>
      <t>https://cdn.tirabeauty.com/v2/billowing-snowflake-434234/tira-p/wrkr/products/pictures/item/free/resize-w%3A750/1166902/FPRVwvjDBAA-1166902_4.jpg</t>
    </r>
    <r>
      <rPr/>
      <t xml:space="preserve">, </t>
    </r>
    <r>
      <rPr>
        <color rgb="FF1155CC"/>
        <u/>
      </rPr>
      <t>https://cdn.tirabeauty.com/v2/billowing-snowflake-434234/tira-p/wrkr/products/pictures/item/free/resize-w%3A750/1166902/kESYli3ytt--1166902_5.jpg</t>
    </r>
  </si>
  <si>
    <t>Roopsee-F-TO-04</t>
  </si>
  <si>
    <t>Paula's Choice 2 BHA Liquid Exfoliant</t>
  </si>
  <si>
    <t>Paula's Choice</t>
  </si>
  <si>
    <t>Green Tea Extract, Methylpropanediol</t>
  </si>
  <si>
    <t>Paula's Choice 2% BHA Liquid Exfoliant is a toner formulated to refresh the skin after cleansing and support smoother-looking texture. Use according to tolerance, especially if it contains exfoliating acids.</t>
  </si>
  <si>
    <t>Water, Methylpropanediol, Butylene Glycol, Salicylic Acid, Polysorbate 20, Camellia Oleifera (Green Tea) Leaf Extract, Sodium Hydroxide, Tetrasodium EDTA.</t>
  </si>
  <si>
    <r>
      <rPr>
        <color rgb="FF1155CC"/>
        <u/>
      </rPr>
      <t>https://cdn.tirabeauty.com/v2/billowing-snowflake-434234/tira-p/wrkr/products/pictures/item/free/resize-w%3A750/3YUMmC8Mk-1199105_1.jpg</t>
    </r>
    <r>
      <rPr/>
      <t xml:space="preserve">, </t>
    </r>
    <r>
      <rPr>
        <color rgb="FF1155CC"/>
        <u/>
      </rPr>
      <t>https://cdn.tirabeauty.com/v2/billowing-snowflake-434234/tira-p/wrkr/products/pictures/item/free/resize-w%3A750/yK0sl-B76y-1199105_2.jpg</t>
    </r>
    <r>
      <rPr/>
      <t xml:space="preserve">, </t>
    </r>
    <r>
      <rPr>
        <color rgb="FF1155CC"/>
        <u/>
      </rPr>
      <t>https://cdn.tirabeauty.com/v2/billowing-snowflake-434234/tira-p/wrkr/products/pictures/item/free/resize-w%3A750/1jMBmhin5x-1199105_3.jpg</t>
    </r>
    <r>
      <rPr/>
      <t xml:space="preserve">, </t>
    </r>
    <r>
      <rPr>
        <color rgb="FF1155CC"/>
        <u/>
      </rPr>
      <t>https://cdn.tirabeauty.com/v2/billowing-snowflake-434234/tira-p/wrkr/products/pictures/item/free/resize-w%3A750/lfDrzmZtlE-1199105_4.jpg</t>
    </r>
    <r>
      <rPr/>
      <t xml:space="preserve">, </t>
    </r>
    <r>
      <rPr>
        <color rgb="FF1155CC"/>
        <u/>
      </rPr>
      <t>https://cdn.tirabeauty.com/v2/billowing-snowflake-434234/tira-p/wrkr/products/pictures/item/free/resize-w%3A750/vl3V_xqjEg-1199105_5.jpg</t>
    </r>
  </si>
  <si>
    <t>Roopsee-F-TO-05</t>
  </si>
  <si>
    <t>Beauty of Joseon Glow Replenishing Rice Milk Toner</t>
  </si>
  <si>
    <t>Cica, Ceramides</t>
  </si>
  <si>
    <t>Beauty of Joseon Glow Replenishing Rice Milk Toner is a routine skincare product formulated with Rice Extract, Amino Acids, Sebum Control Powder. It supports targeted concerns such as acne, pigentation, dullness, dehydration, texture, pores, aging, sensitivity or barrier repair depending on routine placement.</t>
  </si>
  <si>
    <t>Rice Extract, Amino Acids, Sebum Control Powder</t>
  </si>
  <si>
    <r>
      <rPr>
        <color rgb="FF1155CC"/>
        <u/>
      </rPr>
      <t>https://cdn.tirabeauty.com/v2/billowing-snowflake-434234/tira-p/wrkr/products/pictures/item/free/resize-w%3A750/14qTb7bR9I-1157496_1.jpg</t>
    </r>
    <r>
      <rPr/>
      <t xml:space="preserve">, </t>
    </r>
    <r>
      <rPr>
        <color rgb="FF1155CC"/>
        <u/>
      </rPr>
      <t>https://cdn.tirabeauty.com/v2/billowing-snowflake-434234/tira-p/wrkr/products/pictures/item/free/resize-w%3A750/LMHJoi2PdJ-1157496_2.jpg</t>
    </r>
    <r>
      <rPr/>
      <t xml:space="preserve">, </t>
    </r>
    <r>
      <rPr>
        <color rgb="FF1155CC"/>
        <u/>
      </rPr>
      <t>https://cdn.tirabeauty.com/v2/billowing-snowflake-434234/tira-p/wrkr/products/pictures/item/free/resize-w%3A750/xO21miRbzG-1157496_3.jpg</t>
    </r>
    <r>
      <rPr/>
      <t xml:space="preserve">, </t>
    </r>
    <r>
      <rPr>
        <color rgb="FF1155CC"/>
        <u/>
      </rPr>
      <t>https://cdn.tirabeauty.com/v2/billowing-snowflake-434234/tira-p/wrkr/products/pictures/item/free/resize-w%3A750/u0Tj2bTKkS-1157496_4.jpg</t>
    </r>
    <r>
      <rPr/>
      <t xml:space="preserve">, </t>
    </r>
    <r>
      <rPr>
        <color rgb="FF1155CC"/>
        <u/>
      </rPr>
      <t>https://cdn.tirabeauty.com/v2/billowing-snowflake-434234/tira-p/wrkr/products/pictures/item/free/resize-w%3A750/IgCaNQ5Gkk-1157496_5.jpg</t>
    </r>
  </si>
  <si>
    <t>Roopsee-F-TO-06</t>
  </si>
  <si>
    <t>Innisfree Green Tea Hyaluronic Skin</t>
  </si>
  <si>
    <t>Hyaluronic acid Complex</t>
  </si>
  <si>
    <t>Innisfree Green Tea Hyaluronic Skin is a routine skincare product formulated with Green Tea Extract, Hyaluronic Acid. It supports targeted concerns such as acne, pigentation, dullness, dehydration, texture, pores, aging, sensitivity or barrier repair depending on routine placement.</t>
  </si>
  <si>
    <r>
      <rPr>
        <color rgb="FF1155CC"/>
        <u/>
      </rPr>
      <t>https://cdn.tirabeauty.com/v2/billowing-snowflake-434234/tira-p/wrkr/products/pictures/item/free/resize-w%3A750/IhWhPW1sRq-1123620_1.jpg</t>
    </r>
    <r>
      <rPr/>
      <t xml:space="preserve">, </t>
    </r>
    <r>
      <rPr>
        <color rgb="FF1155CC"/>
        <u/>
      </rPr>
      <t>https://cdn.tirabeauty.com/v2/billowing-snowflake-434234/tira-p/wrkr/products/pictures/item/free/resize-w%3A750/RPItf1mbDK-1123620_2.jpg</t>
    </r>
    <r>
      <rPr/>
      <t xml:space="preserve">, </t>
    </r>
    <r>
      <rPr>
        <color rgb="FF1155CC"/>
        <u/>
      </rPr>
      <t>https://cdn.tirabeauty.com/v2/billowing-snowflake-434234/tira-p/wrkr/products/pictures/item/free/resize-w%3A750/8Ij1jJpNZY-1123620_3.jpg</t>
    </r>
    <r>
      <rPr/>
      <t xml:space="preserve">, </t>
    </r>
    <r>
      <rPr>
        <color rgb="FF1155CC"/>
        <u/>
      </rPr>
      <t>https://cdn.tirabeauty.com/v2/billowing-snowflake-434234/tira-p/wrkr/products/pictures/item/free/resize-w%3A750/spZMdyUeRH-1123620_4.jpg</t>
    </r>
    <r>
      <rPr/>
      <t xml:space="preserve">, </t>
    </r>
    <r>
      <rPr>
        <color rgb="FF1155CC"/>
        <u/>
      </rPr>
      <t>https://cdn.tirabeauty.com/v2/billowing-snowflake-434234/tira-p/wrkr/products/pictures/item/free/resize-w%3A750/4ndw43vXYS-1123620_5.jpg</t>
    </r>
  </si>
  <si>
    <t>Roopsee-F-SE-37</t>
  </si>
  <si>
    <t>The Derma Co Tran-Zelaic Pigmentation Corrector Serum</t>
  </si>
  <si>
    <t>Dark Spots/Pigmentation, Melasma</t>
  </si>
  <si>
    <t>Tranexamic acid 3%</t>
  </si>
  <si>
    <t>Transform your skincare routine with the The Derma Co Tran-Zelaic Pigentation Corrector Serum (30 g). Enriched with tranexamic acid and azelaic acid, this serum gently exfoliates and brightens for a more even skin tone. The goodness of alpha arbutin reduces melanin production, enhancing complexion clarity and radiance. And, the best part, the dream team of niacinamide and ferulic acid in this serum provides antioxidant protection, promoting clear, healthy skin while repairing past damage. This powerhouse blend of skin-loving ingredients targets pigentation, melasma, and acne to help achieve a clear-looking skin.</t>
  </si>
  <si>
    <t>Aqua, Azelaic Acid, Propanediol, Niacinamide, Dimethyl Isosorbide, Tranexamic Acid, Betaine, Alpha Arbutin, D Panthenol, Phenethyl Alcohol, Caprylyl Glycol, Glycerin, Sodium Pca, 4-Butyl Resorcinol, Ferulic Acid, Terminalia Ferdinandiana Fruit Extract, Allantoin, Sodium Hyaluronate, Xanthan Gum, Sodium Hydroxide And Disodium Edta.</t>
  </si>
  <si>
    <t>Ingredient caution: niacinamide is usually gentle but might cause tingling or flushing in very reactive skin; alpha arbutin, azelaic acid, tranexamic acid might cause tingling, dryness or redness in sensitive skin; humectants such as hyaluronic acid/glycerin are usually gentle but might feel sticky or tight if not sealed with moisturiser. Do a patch test before applying. Start slowly if your skin is sensitive and avoid combining too many new actives at once. First-time users should start 3–4 times a week and pair with sunscreen, because pigmentation care works best with UV protection. Apply on slightly damp skin and follow with moisturiser if dryness occurs. Avoid during pregnancy or breastfeeding unless your doctor approves. Stop use if irritation persists.</t>
  </si>
  <si>
    <r>
      <rPr>
        <color rgb="FF1155CC"/>
        <u/>
      </rPr>
      <t>https://cdn.tirabeauty.com/v2/billowing-snowflake-434234/tira-p/wrkr/products/pictures/item/free/resize-w%3A750/1149664/vYyHc_sI-5-1149664_1.jpg</t>
    </r>
    <r>
      <rPr/>
      <t xml:space="preserve">, </t>
    </r>
    <r>
      <rPr>
        <color rgb="FF1155CC"/>
        <u/>
      </rPr>
      <t>https://cdn.tirabeauty.com/v2/billowing-snowflake-434234/tira-p/wrkr/products/pictures/item/free/resize-w%3A750/1149664/mA2tVu0qlu-1149664_2.jpg</t>
    </r>
    <r>
      <rPr/>
      <t xml:space="preserve">, </t>
    </r>
    <r>
      <rPr>
        <color rgb="FF1155CC"/>
        <u/>
      </rPr>
      <t>https://cdn.tirabeauty.com/v2/billowing-snowflake-434234/tira-p/wrkr/products/pictures/item/free/resize-w%3A750/1149664/P7KpQ9nU7W-1149664_3.jpg</t>
    </r>
    <r>
      <rPr/>
      <t xml:space="preserve">, </t>
    </r>
    <r>
      <rPr>
        <color rgb="FF1155CC"/>
        <u/>
      </rPr>
      <t>https://cdn.tirabeauty.com/v2/billowing-snowflake-434234/tira-p/wrkr/products/pictures/item/free/resize-w%3A750/1149664/OXdYjawluk-1149664_4.jpg</t>
    </r>
    <r>
      <rPr/>
      <t xml:space="preserve">, </t>
    </r>
    <r>
      <rPr>
        <color rgb="FF1155CC"/>
        <u/>
      </rPr>
      <t>https://cdn.tirabeauty.com/v2/billowing-snowflake-434234/tira-p/wrkr/products/pictures/item/free/resize-w%3A750/1149664/tPnkRKSINK-1149664_5.jpg</t>
    </r>
  </si>
  <si>
    <t>Roopsee-F-SE-38</t>
  </si>
  <si>
    <t>The Derma Co Nia-Zelaic Oil Control Face Serum</t>
  </si>
  <si>
    <t>Azelaic Acid 5%</t>
  </si>
  <si>
    <t>Say hello to balanced, matte, and visibly clearer skin with the The Derma Co Nia-Zelaic Oil Control Face Serum (30 ml). Powered by 10% niacinamide and 5% azelaic acid, this potent oil-fighting face serum works to balance oil, reduce shine, and clear breakouts. Its advanced deep-penetration system delivers active ingredients beneath the surface for long-lasting results. With added PAD, sacrosine, and N-acetyl glucosamine, this The Derma Co. facial serum targets acne at every stage.</t>
  </si>
  <si>
    <t>Aqua, Propylene Glycol, 1,2-Hexanediol, Niacinamide, Azelaic Acid, Ethoxydiglycol, Potassium Azeloyl Diglycinate, Sodium Hydroxide, Glycerin, Phenoxyethanol, Allantoin, Xanthan Gum, Sodium Citrate, Trisodium Ethylenediamine Disuccinate, Cellulose Gum, Pentylene Glycol, Inulin, Cellulose, Fructose, Glucose, Ethylhexylglycerin, Sarcosine, Propanediol, Dimethyl Isosorbide, Adenosine, Sodium Hyaluronate, Acetyl Glucosamine, Algin, Citric Acid, Calcium Citrate, Potassium Sorbate, Sodium Benzoate.</t>
  </si>
  <si>
    <t>Ingredient caution: high-strength niacinamide might cause flushing, tingling or small bumps in reactive skin; azelaic acid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First-time users should start 3–4 times a week and reduce frequency if redness or bumps appear.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</si>
  <si>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https://cdn.tirabeauty.com/v2/billowing-snowflake-434234/tira-p/wrkr/products/pictures/item/free/resize-w%3A750/PaDAOZRL8u-1182196_1.jpg</t>
    </r>
    <r>
      <rPr/>
      <t xml:space="preserve">, </t>
    </r>
    <r>
      <rPr>
        <color rgb="FF1155CC"/>
        <u/>
      </rPr>
      <t>https://cdn.tirabeauty.com/v2/billowing-snowflake-434234/tira-p/wrkr/products/pictures/item/free/resize-w%3A750/zOkhOjyo85-1182196_2.jpg</t>
    </r>
    <r>
      <rPr/>
      <t xml:space="preserve">, </t>
    </r>
    <r>
      <rPr>
        <color rgb="FF1155CC"/>
        <u/>
      </rPr>
      <t>https://cdn.tirabeauty.com/v2/billowing-snowflake-434234/tira-p/wrkr/products/pictures/item/free/resize-w%3A750/ezOF-2QY-B-1182196_3.jpg</t>
    </r>
    <r>
      <rPr/>
      <t xml:space="preserve">, </t>
    </r>
    <r>
      <rPr>
        <color rgb="FF1155CC"/>
        <u/>
      </rPr>
      <t>https://cdn.tirabeauty.com/v2/billowing-snowflake-434234/tira-p/wrkr/products/pictures/item/free/resize-w%3A750/8eDa356l3b-1182196_4.jpg</t>
    </r>
    <r>
      <rPr/>
      <t xml:space="preserve">, </t>
    </r>
    <r>
      <rPr>
        <color rgb="FF1155CC"/>
        <u/>
      </rPr>
      <t>https://cdn.tirabeauty.com/v2/billowing-snowflake-434234/tira-p/wrkr/products/pictures/item/free/resize-w%3A750/g1tZCCtdJM-1182196_5.jpg</t>
    </r>
  </si>
  <si>
    <t>Roopsee-F-SE-39</t>
  </si>
  <si>
    <t>Fixderma Skarfix Tx Serum 3 Tranexamic Acid + 2 Alpha Arbutin + 4 Kojic Acid</t>
  </si>
  <si>
    <t>Kojic acid 4%</t>
  </si>
  <si>
    <t>Tranexamic acid 3%, Alpha Arbutin 2%</t>
  </si>
  <si>
    <t>Advanced Brightening Formula: Infused with highly potent skin brightening actives that works synergistically to target melasma, hyperpigentation, dark spots, and uneven skin tone for a visibly radiant and glowing skin_x000D_
 Fades Pigentation &amp; Melasma Gently Yet Effectively: Designed for those struggling with stubborn pigentation and patchy skin, this serum helps reduce discoloration without irritation, making it ideal for sensitive skin types.</t>
  </si>
  <si>
    <t>Isononyl Isononanoate, Kojic Acid Dipalmitate, Niacinamide, Propanediol, Tranexamic Acid, Cetearyl Alcohol, Dicetyl Phosphate, Ceteth-10 Phosphate, Alpha Arbutin, Allantoin, Phenoxyethanol, Ethylhexylglycerin, Cyamopsis Tetragonoloba (Guar Gum), Aqua (Water).</t>
  </si>
  <si>
    <t>Ingredient caution: niacinamide is usually gentle but might cause tingling or flushing in very reactive skin; alpha arbutin, kojic acid, tranexamic acid might cause tingling, dryness or redness in sensitive skin; preservatives such as phenoxyethanol/benzyl alcohol might sting very sensitive or compromised skin; humectants such as hyaluronic acid/glycerin are usually gentle but might feel sticky or tight if not sealed with moisturiser. Do a patch test before applying. Start slowly if your skin is sensitive and avoid combining too many new actives at once. First-time users should start 3–4 times a week and pair with sunscreen, because pigmentation care works best with UV protection. Do not apply on broken, freshly waxed or irritated skin. Apply on slightly damp skin and follow with moisturiser if dryness occurs. Stop use if irritation persists.</t>
  </si>
  <si>
    <r>
      <rPr>
        <color rgb="FF1155CC"/>
        <u/>
      </rPr>
      <t>https://cdn.tirabeauty.com/v2/billowing-snowflake-434234/tira-p/wrkr/products/pictures/item/free/resize-w%3A750/1166540/g_-PqWYkQp-1166540_1.jpg</t>
    </r>
    <r>
      <rPr/>
      <t xml:space="preserve">, </t>
    </r>
    <r>
      <rPr>
        <color rgb="FF1155CC"/>
        <u/>
      </rPr>
      <t>https://cdn.tirabeauty.com/v2/billowing-snowflake-434234/tira-p/wrkr/products/pictures/item/free/resize-w%3A750/1166540/soG2H5Ng4q-1166540_2.jpg</t>
    </r>
    <r>
      <rPr/>
      <t xml:space="preserve">, </t>
    </r>
    <r>
      <rPr>
        <color rgb="FF1155CC"/>
        <u/>
      </rPr>
      <t>https://cdn.tirabeauty.com/v2/billowing-snowflake-434234/tira-p/wrkr/products/pictures/item/free/resize-w%3A750/1166540/a3zUchAwwf-1166540_3.jpg</t>
    </r>
    <r>
      <rPr/>
      <t xml:space="preserve">, </t>
    </r>
    <r>
      <rPr>
        <color rgb="FF1155CC"/>
        <u/>
      </rPr>
      <t>https://cdn.tirabeauty.com/v2/billowing-snowflake-434234/tira-p/wrkr/products/pictures/item/free/resize-w%3A750/1166540/86OtGaJqQ1-1166540_4.jpg</t>
    </r>
    <r>
      <rPr/>
      <t xml:space="preserve">, </t>
    </r>
    <r>
      <rPr>
        <color rgb="FF1155CC"/>
        <u/>
      </rPr>
      <t>https://cdn.tirabeauty.com/v2/billowing-snowflake-434234/tira-p/wrkr/products/pictures/item/free/resize-w%3A750/1166540/c7x0djl7yZ-1166540_5.jpg</t>
    </r>
  </si>
  <si>
    <t>Roopsee-BO-SU-01</t>
  </si>
  <si>
    <t>Roopsee-BO-SU-02</t>
  </si>
  <si>
    <t>Roopsee-BO-SU-03</t>
  </si>
  <si>
    <t>Roopsee-BO-SU-04</t>
  </si>
  <si>
    <t>Roopsee-BO-SU-05</t>
  </si>
  <si>
    <t>Roopsee-BO-SU-06</t>
  </si>
  <si>
    <t>Roopsee-BO-SU-07</t>
  </si>
  <si>
    <t>Roopsee-BO-SU-08</t>
  </si>
  <si>
    <t>Roopsee-BO-SU-09</t>
  </si>
  <si>
    <t>Roopsee-BO-SU-10</t>
  </si>
  <si>
    <t>Roopsee-BO-SU-11</t>
  </si>
  <si>
    <t>L1</t>
  </si>
  <si>
    <t>L2</t>
  </si>
  <si>
    <t>Premium/ Budget -Fit</t>
  </si>
  <si>
    <t>UID</t>
  </si>
  <si>
    <t>Cleanser (AM+PM)</t>
  </si>
  <si>
    <t>sku</t>
  </si>
  <si>
    <t>UID 2</t>
  </si>
  <si>
    <t>Serum (PM)</t>
  </si>
  <si>
    <t>sku 2</t>
  </si>
  <si>
    <t>MRP 2</t>
  </si>
  <si>
    <t>UID 3</t>
  </si>
  <si>
    <t>Moisturiser (AM+PM)</t>
  </si>
  <si>
    <t>sku 3</t>
  </si>
  <si>
    <t>MRP 3</t>
  </si>
  <si>
    <t>UID 4</t>
  </si>
  <si>
    <t>Sunscreen (AM)</t>
  </si>
  <si>
    <t>sku 4</t>
  </si>
  <si>
    <t>MRP 4</t>
  </si>
  <si>
    <t>Total Bundle MRP</t>
  </si>
  <si>
    <t>Column 1</t>
  </si>
  <si>
    <t>Column 2</t>
  </si>
  <si>
    <t>Column 3</t>
  </si>
  <si>
    <t>Column 4</t>
  </si>
  <si>
    <t>Column 5</t>
  </si>
  <si>
    <t>Column 6</t>
  </si>
  <si>
    <t>Column 7</t>
  </si>
  <si>
    <t>Column 8</t>
  </si>
  <si>
    <t>Column 9</t>
  </si>
  <si>
    <t>Column 10</t>
  </si>
  <si>
    <t>Column 11</t>
  </si>
  <si>
    <t>Column 12</t>
  </si>
  <si>
    <t>Bundle Oily</t>
  </si>
  <si>
    <t>Active Acne</t>
  </si>
  <si>
    <t>Premium</t>
  </si>
  <si>
    <t>Anua heartleaf quercetinol pore deep cleansing foam</t>
  </si>
  <si>
    <t>Roopsee-F-SE-94</t>
  </si>
  <si>
    <t xml:space="preserve">Deriva CMS Gel </t>
  </si>
  <si>
    <t>15 gm</t>
  </si>
  <si>
    <t>Roopsee-F-MO-90</t>
  </si>
  <si>
    <t>Farmstay Calendula Relief Cream</t>
  </si>
  <si>
    <t>80 ml</t>
  </si>
  <si>
    <t>50 ml</t>
  </si>
  <si>
    <t>Budget-Fit</t>
  </si>
  <si>
    <t>16 gm</t>
  </si>
  <si>
    <t>50 gm</t>
  </si>
  <si>
    <t>Acne + Acne Marks</t>
  </si>
  <si>
    <t>Aziderm 20% cream</t>
  </si>
  <si>
    <t>Roopsee-F-MO-91</t>
  </si>
  <si>
    <t>SKIN1004 Centella cream</t>
  </si>
  <si>
    <t>30 ml</t>
  </si>
  <si>
    <t>Roopsee-F-SU-58</t>
  </si>
  <si>
    <t>Numbuzin No.1 Clear Filter Sun Essence SPF 50+ PA ++++</t>
  </si>
  <si>
    <t>Acne +Teen</t>
  </si>
  <si>
    <t>Roopsee-F-CL-58</t>
  </si>
  <si>
    <t xml:space="preserve">Pyunkang Yul Low pH 
Low pH Pore Deep Cleansing Foam </t>
  </si>
  <si>
    <t>Roopsee-F-MO-92</t>
  </si>
  <si>
    <t>Axis-Y Heartleaf My Type Calming Cream [60ml]</t>
  </si>
  <si>
    <t>60 ml</t>
  </si>
  <si>
    <t>Roopsee-F-SU-59</t>
  </si>
  <si>
    <t>Round-Lab Birch Mild-Up Sunscreen UVLock SPF 50+ Broad Spectrum</t>
  </si>
  <si>
    <t>Hyper Pigmentation</t>
  </si>
  <si>
    <t>Roopsee-F-MO-93</t>
  </si>
  <si>
    <t xml:space="preserve">Isntree Newpair Gel Cream </t>
  </si>
  <si>
    <t>Roopsee-F-SU-54</t>
  </si>
  <si>
    <t>Fine Lines/ Wrinkles</t>
  </si>
  <si>
    <t>Roopsee-F-SU-60</t>
  </si>
  <si>
    <t xml:space="preserve">TFIT TONE UP SUN FLUID
</t>
  </si>
  <si>
    <t>Bundle Dry</t>
  </si>
  <si>
    <t>Roopsee-F-SE-95</t>
  </si>
  <si>
    <t>Aziderm 10% cream</t>
  </si>
  <si>
    <t>15 ml</t>
  </si>
  <si>
    <t>Roopsee-F-MO-94</t>
  </si>
  <si>
    <t>Cosrx Balancium Comfort Ceramide Cream</t>
  </si>
  <si>
    <t>80 g</t>
  </si>
  <si>
    <t>16 ml</t>
  </si>
  <si>
    <t>Bundle Combination</t>
  </si>
  <si>
    <t>Roopsee-F-MO-95</t>
  </si>
  <si>
    <t>Pyunkang Yul Calming Moisture Barrier Cream</t>
  </si>
  <si>
    <t>Roopsee-F-SU-61</t>
  </si>
  <si>
    <t>Innisfree Intensive Long Lasting SPF50+ PA++++ Sunscreen</t>
  </si>
  <si>
    <t>Roopsee-F-SE-97</t>
  </si>
  <si>
    <t>Sebogel Salicylic Acid &amp; Nicotinamide Gel For Pimples</t>
  </si>
  <si>
    <t>Roopsee-F-MO-98</t>
  </si>
  <si>
    <t>Beauty of Joseon Red Bean Water Gel</t>
  </si>
  <si>
    <t>Roopsee-F-CL-59</t>
  </si>
  <si>
    <t>Beauty of Joseon Green Plum Refreshing Cleanser 100ml</t>
  </si>
  <si>
    <t xml:space="preserve">Motherhood Bundle </t>
  </si>
  <si>
    <t>Roopsee-F-MO-96</t>
  </si>
  <si>
    <t>Numbuzin No.2 Cica Ceramide Repair Cream [60ml]</t>
  </si>
  <si>
    <t>Acne and Acne Marks</t>
  </si>
  <si>
    <t>Roopsee-F-SE-96</t>
  </si>
  <si>
    <t>The Ordinary Azelaic Acid Suspension 10%</t>
  </si>
  <si>
    <t>Roopsee-F-MO-97</t>
  </si>
  <si>
    <t>Plum Rice Water &amp; Niacinamide Gel Cream</t>
  </si>
  <si>
    <t>Sensitive Skin</t>
  </si>
  <si>
    <t>Oily skin</t>
  </si>
  <si>
    <t>Pyunkang Yul</t>
  </si>
  <si>
    <t>Diatomaceous Earth / Diatomite</t>
  </si>
  <si>
    <t>Centella Asiatica Extract, Tea Tree Leaf Extract, Witch Hazel Extract, Green Tea Extract, Sodium Hyaluronate, Beta-Glucan</t>
  </si>
  <si>
    <t>A gentle low-pH foaming cleanser designed to cleanse pores without disrupting the skin’s natural acid mantle. It uses mild surfactants, diatomite for pore cleansing, and calming botanical extracts to support sensitive or easily irritated skin.</t>
  </si>
  <si>
    <t>Oily Skin, Open Pores</t>
  </si>
  <si>
    <t>Water, Glycerin, Sodium Cocoyl Isethionate, Sodium Methyl Cocoyl Taurate, Coconut Acid, 1,2-Hexanediol, Sodium Chloride, Coco-Betaine, Potassium Cocoyl Glycinate, Sodium Isethionate, Polyquaternium-67, Santalum Album (Sandalwood) Oil, Prunus Amygdalus Amara (Bitter Almond) Kernel Oil, Pogostemon Cablin Oil, Rosa Damascena Flower Water, Barosma Betulina Leaf Extract, Disodium EDTA, Ethylhexylglycerin, Sodium Acetate, Butylene Glycol, Centella Asiatica Extract, Portulaca Oleracea Extract, Camellia Sinensis Leaf Extract, Hamamelis Virginiana (Witch Hazel) Extract, Sodium Hyaluronate, Beta-Glucan, Melaleuca Alternifolia (Tea Tree) Leaf Extract, Phaseolus Angularis Seed Extract, Pentylene Glycol, Caprylyl Glycol, Diatomaceous Earth, Isopropyl Alcohol, Citric Acid.</t>
  </si>
  <si>
    <t>Use on damp skin as a daily cleanser. Follow with moisturizer and sunscreen in the morning. Patch test if skin is very sensitive.</t>
  </si>
  <si>
    <t>Do not scrub aggressively. Avoid direct contact with eyes. Do not use on broken, peeling or highly irritated skin.</t>
  </si>
  <si>
    <t>Store in a cool, dry place away from direct sunlight and heat. Keep cap tightly closed. Keep out of reach of children.</t>
  </si>
  <si>
    <t>Lather a small amount with water and gently massage onto wet skin for 30–60 seconds. Rinse thoroughly and use morning and evening.</t>
  </si>
  <si>
    <t>Avoid contact with the eyes and broken skin. If using retinoids or exfoliating acids, avoid over-cleansing to prevent skin barrier damage.</t>
  </si>
  <si>
    <t>https://pyunkangyulglobal.com/cdn/shop/files/PD_e95ad481-484b-48d8-a088-f688c13d5aac.jpg?v=1767089291
 https://pyunkangyulglobal.com/cdn/shop/files/1763031482499_c736e54ed9464688be025a5b0da7be8d_2752adec-31f8-43f3-993c-186a714e38e1.jpg?v=1767088915&amp;width=1600
 https://pyunkangyulglobal.com/cdn/shop/files/1763031482734_91e7bafb83684bf794c920e6047f7136.jpg?v=1767088913&amp;width=1600
 https://pyunkangyulglobal.com/cdn/shop/files/1763031483002_5ca77ea9b2174b49926ac66508405d24.jpg?v=1767088913&amp;width=1600
 https://pyunkangyulglobal.com/cdn/shop/files/TE_943e7c04-357d-4ef4-b102-201c294670e7.jpg?v=1767089292
 https://pyunkangyulglobal.com/cdn/shop/files/85d61c679b6c3da4da267adce2a193a0_730ccef0-e120-4dac-8696-8f58d89edeff.jpg?v=1767089292&amp;width=1600</t>
  </si>
  <si>
    <t>Glenmark</t>
  </si>
  <si>
    <t>Adapalene 0.1%</t>
  </si>
  <si>
    <t>Clindamycin Phosphate 1%</t>
  </si>
  <si>
    <t>A prescription acne treatment gel combining adapalene, a topical retinoid that helps normalize skin cell turnover and unclog pores, with clindamycin, an antibiotic used to reduce acne-causing bacteria and inflammation.</t>
  </si>
  <si>
    <t>Adapalene 0.1% w/w (as microspheres), Clindamycin Phosphate 1% w/w, gel base/excipients q.s. Exact inactive excipients may vary by manufacturer batch and were not fully disclosed on accessible official/medicine pages.</t>
  </si>
  <si>
    <t>Use only if recommended by a doctor/dermatologist. Apply a thin layer on acne-prone areas at night. Use sunscreen daily because retinoids can increase sun sensitivity.</t>
  </si>
  <si>
    <t>Do not use during pregnancy or while trying to conceive unless prescribed. Do not combine casually with strong exfoliating acids, benzoyl peroxide or other retinoids without medical advice. Avoid eyes, lips, cuts and mucous membranes.</t>
  </si>
  <si>
    <t>Apply a thin layer to acne-prone areas once daily at night or as directed by your dermatologist. Follow with a moisturizer if needed and use sunscreen during the day.</t>
  </si>
  <si>
    <t>Contains Adapalene + Clindamycin. Avoid combining with other retinoids or strong exfoliating acids unless advised by a dermatologist. Can increase sun sensitivity.</t>
  </si>
  <si>
    <t>https://www.clinikally.com/cdn/shop/files/deriva5.jpg?v=1729945560&amp;width=1000
 https://www.clinikally.com/cdn/shop/files/deriva1.jpg?v=1729945559&amp;width=1000
 https://www.clinikally.com/cdn/shop/files/Deriva-CMSGel-1_jpg.jpg?v=1774423101&amp;width=1000
 https://www.clinikally.com/cdn/shop/files/deriva5.jpg?v=1729945560&amp;width=2667</t>
  </si>
  <si>
    <t>Farmstay</t>
  </si>
  <si>
    <t>Moisturiser</t>
  </si>
  <si>
    <t>Calendula Officinalis Flower Extract</t>
  </si>
  <si>
    <t>Niacinamide, Hyaluronic Acid, Adenosine, Asparagus Cochinchinensis Root Extract, Aureobasidium Pullulans Ferment, Lepidium Meyenii Root Extract, Green Tea Extract</t>
  </si>
  <si>
    <t>A nourishing cream designed to relieve dryness and support a softer, calmer-looking skin barrier. It combines humectants, emollients, niacinamide, calendula and botanical extracts for hydration, soothing care and dullness support.</t>
  </si>
  <si>
    <t>Water, Glycerin, Butylene Glycol, Hydrogenated Polydecene, Methyl Gluceth-20, 1,2-Hexanediol, Niacinamide, Glycereth-26, Cetearyl Olivate, Propanediol, Sorbitan Olivate, Carbomer, Sorbitol, Tromethamine, Ammonium Acryloyldimethyltaurate/VP Copolymer, Biosaccharide Gum-1, Fragrance, Ethylhexylglycerin, Adenosine, Coptis Japonica Root Extract, Hydroxyethylcellulose, Disodium EDTA, Ammonium Polyacryloyldimethyl Taurate, Asparagus Cochinchinensis Root Extract, Aureobasidium Pullulans Ferment, Hyaluronic Acid, Hydrolyzed Hyaluronic Acid, Lepidium Meyenii Root Extract, Sodium Hyaluronate, Mentha Arvensis Leaf Extract, Camellia Sinensis Leaf Extract, Calendula Officinalis Flower Extract, Thymus Vulgaris Extract, Hydrolyzed Collagen.</t>
  </si>
  <si>
    <t>Apply after serum/toner to seal hydration. Use sunscreen in the morning. Patch test if fragrance-sensitive.</t>
  </si>
  <si>
    <t>Do not apply on broken skin. Avoid if you are allergic to calendula/marigold or fragrance. Do not layer too many new actives at once.</t>
  </si>
  <si>
    <t>Apply evenly over the face and neck as the final moisturizing step. Use morning and evening.</t>
  </si>
  <si>
    <t>Patch test before first use, especially if sensitive to botanical extracts. Avoid applying to open wounds or severely irritated skin.</t>
  </si>
  <si>
    <t>https://cafe24img.poxo.com/myungin75/web/product/big/202401/6b2be86b3179819e4802b43769a68b2d.jpg
 https://cafe24img.poxo.com/myungin75/web/product/extra/small/202401/764367f157ddd8d6af600716e0eea52f.jpg
 https://cafe24img.poxo.com/myungin75/web/product/extra/small/202401/ecc5819be74b355e74ec9fc2436a1232.jpg
 https://cafe24img.poxo.com/myungin75/web/product/extra/small/202401/9b4520b44a92ce9365dd7b3b58f4f68c.jpg
 https://cafe24img.poxo.com/myungin75/web/product/extra/small/202401/bb7cc8698dcbab68e570c5fdd4ff6def.jpg</t>
  </si>
  <si>
    <t>Centella Asiatica Extract</t>
  </si>
  <si>
    <t>Niacinamide, Squalane, Panthenol, Madecassoside, Asiaticoside, Ceramide, Sodium Hyaluronate, Licorice Leaf Extract</t>
  </si>
  <si>
    <t>A centella-based cream aimed at soothing stressed skin, replenishing hydration and supporting barrier comfort. Suitable for skin that feels irritated, dehydrated or compromised.</t>
  </si>
  <si>
    <t>Sensitive Skin, Barrier Repair</t>
  </si>
  <si>
    <t>Cetyl Ethylhexanoate, Glycerin, Pentylene Glycol, Hydrogenated Lecithin, Niacinamide, Macadamia Ternifolia Seed Oil, PEG-50 Shea Butter, Limnanthes Alba (Meadowfoam) Seed Oil, Squalane, Carbomer, 1,2-Hexanediol, Tromethamine, Panthenol, Sodium Carbomer, Erythritol, Trehalose, Betaine, Butylene Glycol, Caprylhydroxamic Acid, Caprylic/Capric Triglyceride, Adenosine, Lavandula Spica (Lavender) Flower Oil, Xanthan Gum, Ozonized Olive Oil, Hydroxyethylcellulose, Orange Roughy Oil, Madecassoside, Biosaccharide Gum-1, Asiaticoside, Malt Extract, Asiatic Acid, Butter Extract, Glycyrrhiza Glabra (Licorice) Leaf Extract, Ceramide, Chamomilla Recutita (Matricaria) Flower Extract, Linoleic Acid, Ethylhexylglycerin, Sodium Hyaluronate, Linolenic Acid.</t>
  </si>
  <si>
    <t>Use after toner/serum to calm and moisturize. Use sunscreen in the morning. Patch test if sensitive to essential oils.</t>
  </si>
  <si>
    <t>Do not apply on broken skin. Avoid use if you are sensitive to lavender oil or rich emollient creams. Do not over-layer on very oily acne-prone skin if it feels heavy.</t>
  </si>
  <si>
    <t>Apply after serum as the final moisturizing step. Suitable for both AM and PM use.</t>
  </si>
  <si>
    <t>Patch test before first use. If using multiple active ingredients (retinoids, AHAs/BHAs), monitor for irritation.</t>
  </si>
  <si>
    <t>https://skin1004india.com/cdn/shop/files/skin1004-cream-30ml-centella-cream-40739319513334.png?v=1741853833&amp;width=1000
 https://skin1004india.com/cdn/shop/files/skin1004-cream-centella-cream-38409119269110.jpg?v=1741853833&amp;width=2048
 https://skin1004india.com/cdn/shop/files/skin1004-cream-centella-cream-38409119170806.jpg?v=1741853833&amp;width=2048
 https://skin1004india.com/cdn/shop/files/skin1004-cream-centella-cream-38409119334646.jpg?v=1741853833&amp;width=2048
 https://skin1004india.com/cdn/shop/files/skin1004-cream-madagascar-centella-cream-34557585064182.gif?v=1741853833&amp;width=600</t>
  </si>
  <si>
    <t>Numbuzin</t>
  </si>
  <si>
    <t>Licorice Root Water 20.55%</t>
  </si>
  <si>
    <t>Centella Asiatica Extract 15%, Houttuynia Cordata Extract 14.25%, Niacinamide, Madecassoside, Sodium Hyaluronate Crosspolymer, Adenosine</t>
  </si>
  <si>
    <t>A lightweight calming chemical sunscreen essence with SPF 50+ PA++++ protection. It pairs UV filters with licorice, centella and heartleaf extracts to support redness-prone, dull or sensitive-looking skin.</t>
  </si>
  <si>
    <t>Sun Protection, Redness</t>
  </si>
  <si>
    <t>Glycyrrhiza Glabra (Licorice) Root Water (20.55%), Centella Asiatica Extract (15%), Houttuynia Cordata Extract (14.25%), UV filters including Ethylhexyl Triazone and other sunscreen agents, Niacinamide, Lycium Chinense Fruit Extract, Astragalus Membranaceus Root Extract, Viola Mandshurica Flower Extract, Madecassoside, Sodium Hyaluronate Crosspolymer, Adenosine and supporting base ingredients. Full INCI was not completely visible from accessible official pages, so verify against pack before final regulatory upload.</t>
  </si>
  <si>
    <t>Use every morning as the last skincare step. Apply generously and reapply during the day, especially after sweating, swimming or wiping the face.</t>
  </si>
  <si>
    <t>Do not use as the only protection during prolonged sun exposure. Avoid eye contact. Do not use on broken or irritated skin.</t>
  </si>
  <si>
    <t>Apply generously as the final step of your morning routine. Reapply every 2–3 hours when outdoors or after sweating or swimming.</t>
  </si>
  <si>
    <t>Do not rely solely on sunscreen for prolonged sun exposure. Avoid direct contact with the eyes.</t>
  </si>
  <si>
    <t>https://limese.com/cdn/shop/files/ClearFilterSunEssence_1_1800x1800.jpg?v=1733916200
 https://limese.com/cdn/shop/files/ClearFilterSunEssence_2_1800x1800.jpg?v=1733916200
 https://limese.com/cdn/shop/files/ClearFilterSunEssence_3_1800x1800.jpg?v=1733916200
 https://limese.com/cdn/shop/files/ClearFilterSunEssence_4_1800x1800.jpg?v=1733916200</t>
  </si>
  <si>
    <t>Houttuynia Cordata (Heartleaf) Extract</t>
  </si>
  <si>
    <t>Centella Asiatica Extract, Licorice Root Extract, Sage Extract, Allantoin, Sodium Hyaluronate, Guaiazulene</t>
  </si>
  <si>
    <t>A water-light gel cream formulated to soothe visible irritation, replenish hydration and support a healthy skin barrier, especially for skin stressed by heat, humidity or environmental exposure.</t>
  </si>
  <si>
    <t>Sensitive Skin, Acne</t>
  </si>
  <si>
    <t>Aqua, Propanediol, Glycerin, Sodium Hyaluronate, Butylene Glycol, Sorbitol, Isohexadecane, Caprylic/Capric Triglyceride, Houttuynia Cordata Extract, Betaine, Centella Asiatica Extract, Glyceryl Stearate SE, Salvia Officinalis (Sage) Extract, Glycyrrhiza Glabra (Licorice) Root Extract, Sorghum Bicolor Leaf/Stem Extract, Aspergillus Ferment, Chlorphenesin, Arginine Ferulate, Acrylates Copolymer, Allantoin, Sorbitan Sesquioleate, Ethylhexylglycerin, Xanthan Gum, Guaiazulene.</t>
  </si>
  <si>
    <t>Use when skin feels red, heated or dehydrated. Apply after serum and before sunscreen in the morning.</t>
  </si>
  <si>
    <t>Do not use on open wounds. Avoid if allergic to heartleaf, sage or licorice. Do not mix with too many new active products at once.</t>
  </si>
  <si>
    <t>Apply after serum and massage gently until absorbed. Use morning and evening.</t>
  </si>
  <si>
    <t>Patch test before first use. Discontinue use if irritation develops due to botanical ingredients.</t>
  </si>
  <si>
    <t>https://www.axis-y.com/cdn/shop/files/8a373d754ab5262a9136bb97ca54621b.png?crop=center&amp;height=1500&amp;v=1781506060&amp;width=1200
 https://www.axis-y.com/cdn/shop/files/HeartleafMyTypeCalmingCream2.png?crop=center&amp;height=1500&amp;v=1729831356&amp;width=1200
 https://www.axis-y.com/cdn/shop/files/HeartleafMyTypeCalmingCream4.png?crop=center&amp;height=1500&amp;v=1729831356&amp;width=1200
 https://www.axis-y.com/cdn/shop/files/HeartleafMyTypeCalmingCream5.png?crop=center&amp;height=1500&amp;v=1729831356&amp;width=1200</t>
  </si>
  <si>
    <t>Round Lab</t>
  </si>
  <si>
    <t>Zinc Oxide 17%</t>
  </si>
  <si>
    <t>Birch Sap/Birch Juice complex, Sodium Hyaluronate, Hyaluronic Acid, Tocopherol, Ascorbic Acid, Artemisia Extract</t>
  </si>
  <si>
    <t>A mineral-based broad-spectrum sunscreen using zinc oxide for UV protection, designed for sensitive skin with a mild, lightweight finish and hydration-supporting ingredients.</t>
  </si>
  <si>
    <t>Sun Protection, Sensitive Skin</t>
  </si>
  <si>
    <t>Active: Zinc Oxide 17%. Inactive/other ingredients reported: Water, Cyclohexasiloxane, Butyloctyl Salicylate, Propanediol, Propylheptyl Caprylate, Isododecane, Caprylyl Methicone, Lauryl Polyglyceryl-3 Polydimethylsiloxyethyl Dimethicone, Methyl Methacrylate Crosspolymer, Methyl Trimethicone, Adansonia Digitata Seed Extract, Cryptomeria Japonica Leaf Extract, Nelumbo Nucifera Leaf Extract, Saccharomyces Ferment Filtrate, Glyceryl Glucoside, Sodium Hyaluronate, Hyaluronic Acid, Glycerin, Butylene Glycol, Triethoxycaprylylsilane, Artemisia Annua Extract, Anthemis Nobilis Flower Oil, Pinus Sylvestris Leaf Oil, Ethylhexylglycerin, Ascorbic Acid, Tocopherol, Glyceryl Caprylate, Caprylyl Glycol, Polymethylsilsesquioxane, 1,2-Hexanediol, Polyglyceryl-2 Dipolyhydroxystearate, Disteardimonium Hectorite, Magnesium Sulfate.</t>
  </si>
  <si>
    <t>Use daily as the last morning skincare step. Apply enough product for full coverage and reapply outdoors.</t>
  </si>
  <si>
    <t>Do not rely on one morning application for full-day outdoor protection. Avoid eye contact. Do not use on broken skin.</t>
  </si>
  <si>
    <t>Apply evenly as the final step of your morning skincare routine, 15–20 minutes before sun exposure. Reapply every 2–3 hours.</t>
  </si>
  <si>
    <t>Mineral sunscreen may leave a slight white cast on deeper skin tones. Avoid contact with the eyes.</t>
  </si>
  <si>
    <t>https://roundlab.com/cdn/shop/files/Birch_Juice_Mild-Up_Sunscreen_UVLock_SPF_50_Broad_Spectrum_Round_Lab_2.png?v=1772850750&amp;width=360
 https://roundlab.com/cdn/shop/files/Birch_Juice_Mild-Up_Sunscreen_UVLock_SPF_50_Broad_Spectrum_Round_Lab_2.png?crop=center&amp;height=2048&amp;v=1772850750&amp;width=2048
 https://roundlab.com/cdn/shop/files/Birch_Juice_Mild-Up_Sunscreen_UVLock_SPF_50_Broad_Spectrum_Round_Lab_1.png?v=1772850752&amp;width=360
 https://roundlab.com/cdn/shop/files/Birch_Juice_Mild-Up_Sunscreen_UVLock_SPF_50_Broad_Spectrum_Round_Lab_1.png?crop=center&amp;height=2048&amp;v=1772850752&amp;width=2048
 https://roundlab.com/cdn/shop/files/Birch_Moisturizing_Mild_up_sunscreen_texture.gif?v=1675487621&amp;width=360</t>
  </si>
  <si>
    <t xml:space="preserve">Isntree Onion Newpair Gel Cream </t>
  </si>
  <si>
    <t>Isntree</t>
  </si>
  <si>
    <t>Allium Cepa (Onion) Bulb Extract 719,000 ppm</t>
  </si>
  <si>
    <t>Niacinamide, Tranexamic Acid, Panthenol, Allantoin, Houttuynia Cordata Extract, Sodium Ascorbyl Phosphate, Hyaluronic Acid complex</t>
  </si>
  <si>
    <t>A gel cream with 71.9% onion bulb extract created to hydrate while targeting dullness, visible redness and post-acne mark appearance. Lightweight texture absorbs without a greasy finish.</t>
  </si>
  <si>
    <t>Dullness, Pigmentation</t>
  </si>
  <si>
    <t>Allium Cepa (Onion) Bulb Extract (719,000 ppm), Propanediol, Glycerin, Aqua, Butylene Glycol, Caprylic/Capric Triglyceride, Niacinamide, 1,2-Hexanediol, Hydroxyethyl Acrylate/Sodium Acryloyldimethyl Taurate Copolymer, Sodium Heparin, Allantoin, Panthenol, Houttuynia Cordata Extract, Cetearyl Alcohol, Vinyl Dimethicone, Carbomer, Cetearyl Olivate, Sorbitol, Sorbitan Olivate, Biosaccharide Gum-1, Sodium Polyacryloyldimethyl Taurate, Sodium Ascorbyl Phosphate, Tromethamine, Melia Azadirachta Leaf Extract, Melia Azadirachta Flower Extract, Sorbitan Isostearate, Hydrogenated Polydecene, Ethylhexylglycerin, Citric Acid, Adenosine, Hydroxyethylcellulose, Coccinia Indica Fruit Extract, Disodium EDTA, Betaine, Sodium Citrate, Tranexamic Acid, Trideceth-10, Solanum Melongena (Eggplant) Fruit Extract, Hyaluronic Acid, Hydrolyzed Hyaluronic Acid, Sodium Hyaluronate, Corallina Officinalis Extract, Ocimum Sanctum Leaf Extract, Curcuma Longa (Turmeric) Root Extract.</t>
  </si>
  <si>
    <t>Use after serum as a lightweight moisturizer. Use sunscreen in the morning, especially if targeting marks or dullness.</t>
  </si>
  <si>
    <t>Do not use on broken skin. Avoid if allergic to onion or botanical extracts. Do not expect pigmentation improvement without sunscreen.</t>
  </si>
  <si>
    <t>Apply after toner and serum to the face and neck. Use morning and evening.</t>
  </si>
  <si>
    <t>Patch test before first use. If using exfoliating acids or retinoids, monitor for irritation.</t>
  </si>
  <si>
    <t>https://wsrv.nl/?height=300&amp;output=webp&amp;quality=100&amp;url=https%3A%2F%2Fbb-asset.blr1.cdn.digitaloceanspaces.com%2Fassets%2F2025%2F9%2Ft2j2iiij6f&amp;v=1&amp;width=640
 https://wsrv.nl/?height=200&amp;output=webp&amp;quality=100&amp;url=https%3A%2F%2Fbb-asset.blr1.cdn.digitaloceanspaces.com%2Fassets%2F2026%2F6%2Fo76cxe7gp5&amp;v=1&amp;width=640
 https://wsrv.nl/?height=200&amp;output=webp&amp;quality=100&amp;url=https%3A%2F%2Fbb-asset.blr1.cdn.digitaloceanspaces.com%2Fassets%2F2026%2F6%2Ftd9uwyh0q7o&amp;v=1&amp;width=640
 https://wsrv.nl/?height=200&amp;output=webp&amp;quality=100&amp;url=https%3A%2F%2Fbb-asset.blr1.cdn.digitaloceanspaces.com%2Fassets%2F2026%2F6%2Fbka2ivv8kg&amp;v=1&amp;width=640
 https://wsrv.nl/?height=200&amp;output=webp&amp;quality=100&amp;url=https%3A%2F%2Fbb-asset.blr1.cdn.digitaloceanspaces.com%2Fassets%2F2026%2F6%2F6t6yqui5cxr&amp;v=1&amp;width=640</t>
  </si>
  <si>
    <t xml:space="preserve">Micro Labs </t>
  </si>
  <si>
    <t>Azelaic Acid 10% w/w</t>
  </si>
  <si>
    <t>Benzoic Acid 0.2% w/w, cream base/excipients</t>
  </si>
  <si>
    <t>A topical azelaic acid cream used for acne and redness/inflammation support. Azelaic acid helps reduce acne-causing bacteria, inflammation and clogged pores, and may also support uneven tone over time.</t>
  </si>
  <si>
    <t>Acne, Pigmentation</t>
  </si>
  <si>
    <t>Azelaic Acid 10% w/w, Benzoic Acid 0.2% w/w, cream base/excipients q.s. Full inactive excipient list was not fully disclosed on accessible medicine pages; verify against packaging before regulatory upload.</t>
  </si>
  <si>
    <t>Use as advised, Apply sunscreen daily when using for marks or pigmentation. Start slowly if skin is sensitive.</t>
  </si>
  <si>
    <t>Avoid eyes, mouth, cuts and mucous membranes. Do not combine with multiple strong acids/retinoids at the same time unless advised. Do not overapply.</t>
  </si>
  <si>
    <t>Apply a thin layer to the affected area once or twice daily as directed. Use moisturizer if needed and wear sunscreen during the day.</t>
  </si>
  <si>
    <t>Avoid combining with strong exfoliating acids or retinoids if irritation occurs. Mild tingling or burning may occur during initial use.</t>
  </si>
  <si>
    <t>https://www.clinikally.com/cdn/shop/products/AzelaicAcidGel-Aziderm10.jpg?v=1669638276&amp;width=1000
 https://www.clinikally.com/cdn/shop/products/AzelaicAcidGel-Aziderm10_2.jpg?v=1669638279&amp;width=1000
 https://www.clinikally.com/cdn/shop/products/AzelaicAcidGel-Aziderm10_1.jpg?v=1669638279&amp;width=1000
 https://www.clinikally.com/cdn/shop/products/AzelaicAcidGel-Aziderm10.jpg?v=1669638276&amp;width=2667</t>
  </si>
  <si>
    <t>80 gm</t>
  </si>
  <si>
    <t>Centella Asiatica Leaf Water, Sunflower Seed Oil, Panthenol, Niacinamide, Sodium Hyaluronate, Asiaticoside, Asiatic Acid, Madecassic Acid</t>
  </si>
  <si>
    <t>A barrier-supporting ceramide cream formulated for dry, sensitized or damaged skin. It helps restore oil-water balance and comfort with ceramide NP, centella-derived compounds and emollient moisturizers.</t>
  </si>
  <si>
    <t>Barrier Repair, Sensitive Skin</t>
  </si>
  <si>
    <t>Centella Asiatica Leaf Water, Butylene Glycol, Glycerin, Helianthus Annuus (Sunflower) Seed Oil, Caprylic/Capric Triglyceride, Cetearyl Alcohol, Betaine, 1,2-Hexanediol, Cetearyl Olivate, Elaeis Guineensis Oil, Ceramide NP, Sorbitan Olivate, Hydrogenated Lecithin, Triethylhexanoin, Beeswax, Elaeis Guineensis Kernel Oil, Hydroxyethyl Acrylate/Sodium Acryloyldimethyl Taurate Copolymer, Ethylhexylglycerin, Cyclohexasiloxane, Cassia Obtusifolia Seed Extract, Sucrose Distearate, Dipropylene Glycol, Panthenol, Niacinamide, Dimethicone/Vinyl Dimethicone Crosspolymer, Glyceryl Stearate, Xanthan Gum, Sodium Hyaluronate, Citrus Aurantium Bergamia (Bergamot) Fruit Oil, Asiaticoside, Asiatic Acid, Madecassic Acid.</t>
  </si>
  <si>
    <t>Use when barrier feels dry, irritated or compromised. Apply after lighter serums. Use sunscreen in the morning.</t>
  </si>
  <si>
    <t>Do not use on open wounds. Avoid if you are allergic to beeswax, bergamot oil or rich oils. Do not over-layer if it feels greasy or congesting.</t>
  </si>
  <si>
    <t>Apply as the final moisturizing step after serums. Use morning and night.</t>
  </si>
  <si>
    <t>Patch test before first use. Apply a moderate amount if you have oily skin to avoid a heavy finish.</t>
  </si>
  <si>
    <t>https://www.cosrx.com/cdn/shop/files/balancium-comfort-ceramide-cream-cosrx-official-1.jpg?v=1724836862
 https://www.cosrx.com/cdn/shop/files/balancium-comfort-ceramide-cream-cosrx-official-2.jpg?v=1724836864
 https://www.cosrx.com/cdn/shop/files/balancium-comfort-ceramide-cream-cosrx-official-3.jpg?v=1724836866
 https://www.cosrx.com/cdn/shop/files/balancium-comfort-ceramide-cream-cosrx-official-4.jpg?v=1724836868</t>
  </si>
  <si>
    <t>Squalane, Sodium Hyaluronate complex, Centella Asiatica Extract, Madecassoside, Tea Tree Leaf Extract, Honeysuckle Flower Extract, Tocopherol</t>
  </si>
  <si>
    <t>A calming barrier cream for sensitive or irritated skin. It combines moisturizing emollients, hyaluronic acid forms, ceramide NP, squalane and centella-derived soothing components to help reinforce the moisture barrier.</t>
  </si>
  <si>
    <t>Cetyl Ethylhexanoate, Stearic Acid, Hydroxypropyltrimonium Hyaluronate, Hydrolyzed Hyaluronic Acid, Sodium Hyaluronate, Lonicera Japonica (Honeysuckle) Flower Extract, Melaleuca Alternifolia (Tea Tree) Leaf Extract, Sodium Hyaluronate Crosspolymer, Sodium Acetylated Hyaluronate, Ammonium Acryloyldimethyltaurate/VP Copolymer, Cetearyl Glucoside, Pentylene Glycol, Trehalose, Ceramide NP, Arachidic Acid, Glucose, Palmitic Acid, Oleic Acid, plus supportive base/emollient ingredients including squalane and shea butter as highlighted by retailers. Full official INCI was not fully visible on accessible official pages; verify against product pack before regulatory upload.</t>
  </si>
  <si>
    <t>Use after serum to support a weak or dry barrier. Apply sunscreen in the morning. Patch test if acne-prone or tea-tree-sensitive.</t>
  </si>
  <si>
    <t>Do not use on broken skin. Avoid if sensitive to tea tree. Do not layer with too many strong exfoliants when barrier is irritated.</t>
  </si>
  <si>
    <t>Apply evenly to the face after serum. Use morning and evening to maintain hydration and strengthen the skin barrier.</t>
  </si>
  <si>
    <t>Patch test before first use if you have highly reactive skin. Avoid applying over broken or infected skin unless advised by a healthcare professional.</t>
  </si>
  <si>
    <t>https://pyunkangyulglobal.com/cdn/shop/files/01_-_-_-_-50ml_d5302b96-2574-46e0-8c12-2d73e449f6d8.jpg?v=1761035180&amp;width=128
 https://pyunkangyulglobal.com/cdn/shop/files/02_1000px_b7edb3e0-8e05-4894-8a51-9727c635209f.jpg?v=1761035180&amp;width=128
 https://pyunkangyulglobal.com/cdn/shop/files/03_1000px_63ab2ef7-c22e-4dd0-8fe3-5c24d2483b96.jpg?v=1761035180&amp;width=128
 https://pyunkangyulglobal.com/cdn/shop/files/PD_0e8b7ce7-1f2a-4dfe-92fa-c109a2342b55.jpg?v=1767855121
 https://pyunkangyulglobal.com/cdn/shop/files/TE_61a5684f-2e63-4420-914f-cdd20f4170a1.jpg?v=1767855241</t>
  </si>
  <si>
    <t>Ceramide NP (10,000 ppm)</t>
  </si>
  <si>
    <t>Centella Asiatica Complex, Niacinamide</t>
  </si>
  <si>
    <t>A deeply nourishing yet lightweight moisturizer designed to calm sensitive skin, restore the skin barrier, and provide long-lasting hydration. Powered by a high concentration of ceramides and a soothing Cica Complex, this cream helps repair damaged skin, reduce redness, and strengthen the skin's natural protective barrier. Its rich buttery texture melts effortlessly into the skin without leaving a greasy or sticky finish, making it comfortable for both day and night use.</t>
  </si>
  <si>
    <t>Barrier Repair, Redness</t>
  </si>
  <si>
    <t>Aqua, Glycerin, Ceramide NP, Cholesterol, Phytosphingosine, Centella Asiatica Extract, Madecassoside, Asiaticoside, Madecassic Acid, Asiatic Acid, Niacinamide, Shea Butter, Squalane, Sodium Hyaluronate, Panthenol, Allantoin, Tocopherol, Emollients, Preservatives.</t>
  </si>
  <si>
    <t>Do not use on skin with a known allergy to any of its ingredients.
Avoid applying excessively if you have very oily skin, as a thin layer is usually sufficient.</t>
  </si>
  <si>
    <t>Apply as the final step of your skincare routine.
Use generously on dry or irritated areas.
Suitable for both morning and evening use.</t>
  </si>
  <si>
    <t>Although formulated for sensitive skin, patch testing is recommended before first use.
If you have acne-prone skin, apply a moderate amount to avoid an overly heavy finish, especially in humid weather.</t>
  </si>
  <si>
    <r>
      <rPr>
        <rFont val="Carlito"/>
        <color rgb="FF1155CC"/>
        <sz val="11.0"/>
        <u/>
      </rPr>
      <t>https://cdn.kindlife.in/images/thumbnails/1000/1000/detailed/177/2_repair_cream.jpg?t=1743009331</t>
    </r>
    <r>
      <rPr>
        <rFont val="Carlito"/>
        <color rgb="FF1F1F1F"/>
        <sz val="11.0"/>
      </rPr>
      <t xml:space="preserve">, </t>
    </r>
    <r>
      <rPr>
        <rFont val="Carlito"/>
        <color rgb="FF1155CC"/>
        <sz val="11.0"/>
        <u/>
      </rPr>
      <t>https://cdn.kindlife.in/images/thumbnails/1000/1000/detailed/177/10_repair_cream.jpg?t=1757517430</t>
    </r>
    <r>
      <rPr>
        <rFont val="Carlito"/>
        <color rgb="FF1F1F1F"/>
        <sz val="11.0"/>
      </rPr>
      <t xml:space="preserve">, </t>
    </r>
    <r>
      <rPr>
        <rFont val="Carlito"/>
        <color rgb="FF1155CC"/>
        <sz val="11.0"/>
        <u/>
      </rPr>
      <t>https://cdn.kindlife.in/images/thumbnails/1000/1000/detailed/177/12_repair_cream.jpg?t=1757517431</t>
    </r>
  </si>
  <si>
    <t>The ordinary</t>
  </si>
  <si>
    <t>Azelaic Acid (10%)</t>
  </si>
  <si>
    <t>Dimethicone, Silica</t>
  </si>
  <si>
    <t>A lightweight brightening cream formulated with 10% Azelaic Acid to visibly improve uneven skin tone and reduce post-acne marks. It helps minimize the appearance of redness, dullness, and blemishes while gently refining skin texture. The formula also provides antioxidant support to promote healthier-looking skin. Suitable for most skin types, especially acne-prone and pigmentation-prone skin.</t>
  </si>
  <si>
    <t>Aqua (Water), Isodecyl Neopentanoate, Azelaic Acid (10%), Dimethicone, Isodecyl Isononanoate, Dimethicone/Bis-Isobutyl PPG-20 Crosspolymer, Polysilicone-11, PEG-10 Dimethicone, Silica, Phenoxyethanol, Chlorphenesin.</t>
  </si>
  <si>
    <t>Use as advised. Apply sunscreen daily when using for marks or pigmentation. Start slowly if skin is sensitive.</t>
  </si>
  <si>
    <t>Apply a pea-sized amount to clean, dry skin after water-based serums and before heavier creams.
Use once daily initially, then increase to twice daily if tolerated.
Follow with sunscreen during the daytime.</t>
  </si>
  <si>
    <t>Avoid using in the same routine with strong AHAs, BHAs, retinoids, or benzoyl peroxide if your skin is sensitive.
Mild tingling may occur during initial use; discontinue if persistent irritation develops.</t>
  </si>
  <si>
    <r>
      <rPr>
        <rFont val="Carlito"/>
        <color rgb="FF1155CC"/>
        <sz val="11.0"/>
        <u/>
      </rPr>
      <t>https://theordinary.com/dw/image/v2/BFKJ_PRD/on/demandware.static/-/Sites-deciem-master/default/dwedfce090/Images/products/The%20Ordinary/rdn-azelaic-acid-suspension-10pct-100ml.png?sw=1200&amp;sh=1200&amp;sm=fit</t>
    </r>
    <r>
      <rPr>
        <rFont val="Carlito"/>
        <color rgb="FF1F1F1F"/>
        <sz val="11.0"/>
      </rPr>
      <t xml:space="preserve">, </t>
    </r>
    <r>
      <rPr>
        <rFont val="Carlito"/>
        <color rgb="FF1155CC"/>
        <sz val="11.0"/>
        <u/>
      </rPr>
      <t>https://theordinary.com/dw/image/v2/BFKJ_PRD/on/demandware.static/-/Sites-deciem-master/default/dw5c46e104/Images/products/The%20Ordinary/application/FY25-D41247-ORD-Web-Azl-Sus-10pct-1x1-EN-4b.jpg?sw=1200&amp;sh=1200&amp;sm=fit</t>
    </r>
    <r>
      <rPr>
        <rFont val="Carlito"/>
        <color rgb="FF1F1F1F"/>
        <sz val="11.0"/>
      </rPr>
      <t xml:space="preserve">, </t>
    </r>
    <r>
      <rPr>
        <rFont val="Carlito"/>
        <color rgb="FF1155CC"/>
        <sz val="11.0"/>
        <u/>
      </rPr>
      <t>https://theordinary.com/dw/image/v2/BFKJ_PRD/on/demandware.static/-/Sites-deciem-master/default/dw03a93ea5/Images/products/The%20Ordinary/infographics/FY25-D41247-ORD-Web-Azl-Sus-10pct-1x1-EN-2.jpg?sw=1200&amp;sh=1200&amp;sm=fit</t>
    </r>
    <r>
      <rPr>
        <rFont val="Carlito"/>
        <color rgb="FF1F1F1F"/>
        <sz val="11.0"/>
      </rPr>
      <t xml:space="preserve">, </t>
    </r>
    <r>
      <rPr>
        <rFont val="Carlito"/>
        <color rgb="FF1155CC"/>
        <sz val="11.0"/>
        <u/>
      </rPr>
      <t>https://theordinary.com/dw/image/v2/BFKJ_PRD/on/demandware.static/-/Sites-deciem-master/default/dwb2d169e9/Images/products/The%20Ordinary/infographics/FY25-D41247-ORD-Web-Azl-Sus-10pct-1x1-EN-3a.jpg?sw=1200&amp;sh=1200&amp;sm=fit</t>
    </r>
  </si>
  <si>
    <t>Sebogel</t>
  </si>
  <si>
    <t>Niacinamide (Nicotinamide)</t>
  </si>
  <si>
    <t>A lightweight gel formulated with Salicylic Acid and Nicotinamide to help treat pimples, unclog pores, and control excess oil. It gently exfoliates dead skin cells while reducing inflammation and redness associated with acne. Regular use helps minimize blackheads, whiteheads, and post-acne marks while improving overall skin texture. Suitable for oily, combination, and acne-prone skin.</t>
  </si>
  <si>
    <t>Acne, Oily Skin</t>
  </si>
  <si>
    <t>Aqua, Salicylic Acid, Niacinamide, Carbomer, Propylene Glycol, Sodium Hydroxide, Phenoxyethanol, Disodium EDTA, preservatives and gel base.</t>
  </si>
  <si>
    <t>Apply a thin layer to acne-prone or affected areas after cleansing.
Use once daily initially; gradually increase to twice daily if tolerated.
Finish with a moisturizer and sunscreen during the day.</t>
  </si>
  <si>
    <t>Salicylic Acid may cause dryness, peeling, or irritation, especially when combined with other exfoliants or retinoids.
Avoid the eye area and discontinue use if severe irritation occurs.</t>
  </si>
  <si>
    <r>
      <rPr>
        <rFont val="Carlito"/>
        <color rgb="FF1155CC"/>
        <sz val="11.0"/>
        <u/>
      </rPr>
      <t>https://images.apollo247.in/pub/media/catalog/product/S/E/SEB0078_1_1.jpg?tr=w-264,q-80,f-webp,dpr-false,c-at_max</t>
    </r>
    <r>
      <rPr>
        <rFont val="Carlito"/>
        <color rgb="FF1F1F1F"/>
        <sz val="11.0"/>
      </rPr>
      <t>, https://images.apollo247.in/pub/media/catalog/product/S/E/SEB0078_2_1.jpg?tr=w-264,q-80,f-webp,dpr-false,c-at_max, https://images.apollo247.in/pub/media/catalog/product/S/E/SEB0078_3_1.jpg?tr=w-264,q-80,f-webp,dpr-false,c-at_max</t>
    </r>
  </si>
  <si>
    <t>Niacinamide, Squalane</t>
  </si>
  <si>
    <t>A lightweight gel moisturizer infused with Rice Water and Niacinamide to provide long-lasting hydration while enhancing skin radiance. It helps strengthen the skin barrier, control excess oil, and visibly reduce dullness and uneven skin tone. The refreshing, non-greasy texture absorbs quickly, making it ideal for daily use. Suitable for normal, combination, oily, and acne-prone skin.</t>
  </si>
  <si>
    <t>Dullness, Oily Skin</t>
  </si>
  <si>
    <t>Rice Water, Aqua, Niacinamide, Glycerin, Betaine, Squalane, Panthenol, Sodium Hyaluronate, Allantoin, Ceramide NP, Oat Extract, Tocopherol (Vitamin E), Carbomer, Preservatives, Fragrance.</t>
  </si>
  <si>
    <t>Do not apply if you have known sensitivity to any of the ingredients.</t>
  </si>
  <si>
    <t>Apply evenly to the face and neck after cleansing and serum.
Use morning and evening as your daily moisturizer.
Follow with sunscreen during the daytime.</t>
  </si>
  <si>
    <t>Patch test before first use if you have sensitive skin.
If using high-strength exfoliating acids or retinoids, monitor for irritation and reduce frequency if needed.</t>
  </si>
  <si>
    <r>
      <rPr>
        <rFont val="Carlito"/>
        <color rgb="FF1155CC"/>
        <sz val="11.0"/>
        <u/>
      </rPr>
      <t>https://plumgoodness.com/cdn/shop/files/01.1_588fe0bf-e6ac-4662-a07d-b78a2fbe2545.jpg?v=1777897466&amp;width=1000</t>
    </r>
    <r>
      <rPr>
        <rFont val="Carlito"/>
        <color rgb="FF1F1F1F"/>
        <sz val="11.0"/>
      </rPr>
      <t xml:space="preserve">, </t>
    </r>
    <r>
      <rPr>
        <rFont val="Carlito"/>
        <color rgb="FF1155CC"/>
        <sz val="11.0"/>
        <u/>
      </rPr>
      <t>https://plumgoodness.com/cdn/shop/files/04_1eb78a94-af22-4ccd-869c-581b781b810e.jpg?v=1773147598&amp;width=1000</t>
    </r>
    <r>
      <rPr>
        <rFont val="Carlito"/>
        <color rgb="FF1F1F1F"/>
        <sz val="11.0"/>
      </rPr>
      <t xml:space="preserve">, </t>
    </r>
    <r>
      <rPr>
        <rFont val="Carlito"/>
        <color rgb="FF1155CC"/>
        <sz val="11.0"/>
        <u/>
      </rPr>
      <t>https://plumgoodness.com/cdn/shop/files/06_2b0cf540-ec86-40b1-9643-834e71b0a77d.jpg?v=1773147598&amp;width=1000</t>
    </r>
    <r>
      <rPr>
        <rFont val="Carlito"/>
        <color rgb="FF1F1F1F"/>
        <sz val="11.0"/>
      </rPr>
      <t xml:space="preserve">, </t>
    </r>
    <r>
      <rPr>
        <rFont val="Carlito"/>
        <color rgb="FF1155CC"/>
        <sz val="11.0"/>
        <u/>
      </rPr>
      <t>https://plumgoodness.com/cdn/shop/files/07_17c6aab6-039b-4656-b74c-1225a9502fac.jpg?v=1773147598&amp;width=1000</t>
    </r>
    <r>
      <rPr>
        <rFont val="Carlito"/>
        <color rgb="FF1F1F1F"/>
        <sz val="11.0"/>
      </rPr>
      <t xml:space="preserve">, </t>
    </r>
    <r>
      <rPr>
        <rFont val="Carlito"/>
        <color rgb="FF1155CC"/>
        <sz val="11.0"/>
        <u/>
      </rPr>
      <t>https://plumgoodness.com/cdn/shop/files/08_28c26ce1-56cd-49c7-8502-d22e67d5c24b.jpg?v=1773147598&amp;width=1000</t>
    </r>
  </si>
  <si>
    <t>Red Bean Extract (44%)</t>
  </si>
  <si>
    <t>A lightweight, refreshing gel moisturizer formulated with Red Bean Extract and a peptide complex to deliver lasting hydration while helping balance excess sebum. It soothes the skin, refines texture, and supports a healthy skin barrier without feeling heavy or greasy. The fast-absorbing gel texture makes it ideal for hot, humid weather and oily to combination skin. Suitable for daily AM and PM use.</t>
  </si>
  <si>
    <t>Oily Skin, Dehydration</t>
  </si>
  <si>
    <t>Aqua, Phaseolus Angularis (Red Bean) Extract (44%), Glycerin, Butylene Glycol, 1,2-Hexanediol, Betaine, Panthenol, Sodium Hyaluronate, Peptide Complex (Copper Tripeptide-1, Acetyl Hexapeptide-8, Palmitoyl Tripeptide-1, Palmitoyl Tetrapeptide-7), Allantoin, Carbomer, Arginine, Ethylhexylglycerin.</t>
  </si>
  <si>
    <t>Avoid applying on irritated or freshly exfoliated skin if it causes discomfort.</t>
  </si>
  <si>
    <t>Apply an appropriate amount to the face after toner and serum.
Gently massage until fully absorbed.
Use morning and night, followed by sunscreen during the day.</t>
  </si>
  <si>
    <t>Peptides are best used separately from very low-pH exfoliating acids in the same routine if your skin is sensitive.
If irritation occurs after combining with strong actives, alternate their use.</t>
  </si>
  <si>
    <t>https://beautyofjoseon.com/cdn/shop/files/red-bean-water-gel-1-front.webp?v=1770286899&amp;width=3000, https://beautyofjoseon.com/cdn/shop/files/red-bean-water-gel-3.webp?v=1770287021&amp;width=3000, https://beautyofjoseon.com/cdn/shop/files/red-bean-water-gel-4.webp?v=1770286961&amp;width=3000, https://beautyofjoseon.com/cdn/shop/files/red-bean-water-gel-5.webp?v=1770287054&amp;width=3000, https://beautyofjoseon.com/cdn/shop/files/red-bean-water-gel-6.webp?v=1770286994&amp;width=3000, https://beautyofjoseon.com/cdn/shop/files/red-bean-water-gel-7.webp?v=1770286932&amp;width=3000</t>
  </si>
  <si>
    <t>Plum Water</t>
  </si>
  <si>
    <t>Mung Bean Seed Extract, Green Tea Extract, Heartleaf Extract, Rice Extract, Blueberry Fruit Extract</t>
  </si>
  <si>
    <t>A pH-balanced gentle daily cleanser with plum water and mung bean seed extract that helps cleanse the skin, refresh the face, remove excess sebum and impurities, and support the skin’s moisture barrier. It is suitable as a daily cleanser and is positioned for acne-prone skin, hydration, cleansing, and skin preparation</t>
  </si>
  <si>
    <t>Oily Skin, Pores</t>
  </si>
  <si>
    <t>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t>
  </si>
  <si>
    <t>Use on wet skin. Massage gently without scrubbing. Rinse well with lukewarm water. Follow with moisturiser and sunscreen in the morning. Can be used AM and PM if skin tolerates it.</t>
  </si>
  <si>
    <t>Do not use on broken, irritated, freshly waxed, burned or over-exfoliated skin. Do not leave it on like a mask. Avoid direct contact with eyes. Do not over-cleanse if skin feels tight, dry or stinging.</t>
  </si>
  <si>
    <t>Store in a cool, dry place away from direct sunlight and heat. Keep the cap tightly closed after use. Avoid water entering the tube opening.</t>
  </si>
  <si>
    <t>Wet hands and face. Take a small amount, lather gently, massage onto face for 30–60 seconds, then rinse thoroughly with lukewarm water. Use once or twice daily depending on skin tolerance.</t>
  </si>
  <si>
    <t>Key ingredient focus: Plum water, mung bean seed extract and gentle surfactants. Review the full ingredient list for personal allergens, coconut-derived surfactant sensitivity, botanical extract sensitivity, fruit extract sensitivity and past reactions. Although it is a gentle cleanser, over-cleansing may cause dryness, tightness or barrier irritation, especially if used with acne treatments, retinol, exfoliating acids or prescription products. Patch test behind the ear or jawline for 24–48 hours if sensitive, allergy-prone, pregnant/breastfeeding, using prescription treatments or recovering from procedures. This is cosmetic guidance and not a substitute for dermatologist advice for eczema, rosacea, active infection, severe acne or damaged skin barrier.</t>
  </si>
  <si>
    <t>https://cdn.tirabeauty.com/v2/billowing-snowflake-434234/tira-p/wrkr/products/pictures/item/free/resize-w:2200/-q-yRwFHx5-1143212_1.jpg, https://cdn.tirabeauty.com/v2/billowing-snowflake-434234/tira-p/wrkr/products/pictures/item/free/resize-w:2200/qdOb6siZc9-1143212_2.jpg, https://cdn.tirabeauty.com/v2/billowing-snowflake-434234/tira-p/wrkr/products/pictures/item/free/resize-w:2200/YDmm3gamUS-1143212_3.jpg, https://cdn.tirabeauty.com/v2/billowing-snowflake-434234/tira-p/wrkr/products/pictures/item/free/resize-w:2200/LDfYfwGBo-1143212_4.jpg</t>
  </si>
  <si>
    <t>TFIT</t>
  </si>
  <si>
    <t>Titanium Dioxide, Niacinamide, Adenosine, Red Clover / Botanical Extracts, Humectants</t>
  </si>
  <si>
    <t xml:space="preserve">A tone-up sunscreen fluid with SPF50+ PA++++ that helps protect skin from UV exposure while giving a soft rosy-pink tone-up finish. It is positioned as a lightweight, non-sticky, semi-matte sunscreen with skincare benefits for soothing and brightening. Retailer listings mention 70% skincare ingredients, tone-up effect, and strong UV protection. </t>
  </si>
  <si>
    <t>Sun Protection, Dullness</t>
  </si>
  <si>
    <t xml:space="preserve">Aqua/Water, Dibutyl Adipate, Propanediol, Zinc Oxide, Titanium Dioxide, Niacinamide, Glycerin, emollients/film-formers, texture agents, botanical extracts, humectants, Adenosine, fragrance and colour/tone-up pigments. Note: I found partial ingredient listings from retailers and ingredient databases, but not a fully reliable official INCI list for this exact “Tone Up Sun Fluid.” For sheet accuracy, verify against the product box/official brand label before final upload. </t>
  </si>
  <si>
    <t>Apply as the last step of the morning skincare routine. Use enough quantity for full face and neck. Reapply every 2–3 hours when outdoors, sweating, or wiping the face. Works well when a tone-up / brightened finish is desired.</t>
  </si>
  <si>
    <t>Do not use as the only protection during prolonged harsh sun exposure. Do not apply on broken, irritated, freshly treated, or inflamed skin. Do not rely on a very thin layer, as under-application reduces SPF protection. Avoid direct contact with eyes.</t>
  </si>
  <si>
    <t>Store in a cool, dry place away from direct sunlight and heat. Keep the cap tightly closed after use. Do not leave inside a hot car, bathroom, or near windows.</t>
  </si>
  <si>
    <t>Shake well if the texture separates. Apply evenly on face and neck 15 minutes before sun exposure. Use two-finger amount for face and neck, or enough to create an even layer. Reapply during the day, especially after sweating or wiping.</t>
  </si>
  <si>
    <t>Key ingredient focus: Zinc oxide, titanium dioxide, niacinamide and tone-up pigments. Review the full ingredient list for personal allergens, fragrance sensitivity, niacinamide sensitivity, mineral sunscreen sensitivity, pigment/colorant sensitivity, and past reactions. Tone-up sunscreens may leave a white/pink cast on deeper skin tones or look patchy if applied over heavy skincare. Mineral UV filters and pigments may feel drying or may emphasize dry patches on dehydrated skin. Patch test behind the ear or jawline for 24–48 hours if sensitive, allergy-prone, pregnant/breastfeeding, using prescription treatments, or recovering from procedures. This is cosmetic guidance and not a substitute for dermatologist advice for melasma, rosacea, eczema, active infection, severe acne, photosensitivity disorders, or post-procedure sun care.</t>
  </si>
  <si>
    <r>
      <rPr>
        <rFont val="Carlito"/>
        <color rgb="FF1155CC"/>
        <sz val="11.0"/>
        <u/>
      </rPr>
      <t xml:space="preserve">https://m.media-amazon.com/images/I/611PPZ-yBtL._SL1500_.jpg, </t>
    </r>
    <r>
      <rPr>
        <rFont val="Carlito"/>
        <sz val="11.0"/>
      </rPr>
      <t xml:space="preserve">https://m.media-amazon.com/images/I/61nfMsQ2HeL._SL1500_.jpg, </t>
    </r>
    <r>
      <rPr>
        <rFont val="Carlito"/>
        <color rgb="FF1155CC"/>
        <sz val="11.0"/>
        <u/>
      </rPr>
      <t>https://m.media-amazon.com/images/I/61XRQ1G+M7L._SL1500_.jpg</t>
    </r>
    <r>
      <rPr>
        <rFont val="Carlito"/>
        <sz val="11.0"/>
      </rPr>
      <t xml:space="preserve">, </t>
    </r>
    <r>
      <rPr>
        <rFont val="Carlito"/>
        <color rgb="FF1155CC"/>
        <sz val="11.0"/>
        <u/>
      </rPr>
      <t>https://m.media-amazon.com/images/I/51W9sYUoU7L._SL1500_.jpg</t>
    </r>
  </si>
  <si>
    <t>Roopsee-L-BA-21</t>
  </si>
  <si>
    <t>The Ordinary Pha 5% Lip Exfoliating Lip Serum</t>
  </si>
  <si>
    <t>Lips</t>
  </si>
  <si>
    <t>Lip Balm</t>
  </si>
  <si>
    <t>Gluconolactone / PHA 5%</t>
  </si>
  <si>
    <t>1.5% AHAs, Glycerin, Ectoin, Black Carrot Extract</t>
  </si>
  <si>
    <t>A gentle chemical exfoliating lip serum for dry, flaky and textured lips. It uses 5% Gluconolactone/PHA with mild AHAs to remove dead skin buildup while glycerin and ectoin help support hydration and barrier comfort. The Ordinary lists it for dryness, dehydration, textural irregularities and barrier support.</t>
  </si>
  <si>
    <t>Dry / Chapped Lips</t>
  </si>
  <si>
    <t>Glycerin, Aqua/Water/Eau, Gluconolactone, Ectoin, Daucus Carota Sativa/Carrot Juice, Citric Acid, Malic Acid, Tartaric Acid, Sodium Hydroxide, Xanthan Gum, Potassium Sorbate, Sodium Benzoate.</t>
  </si>
  <si>
    <t>• Use only at night. • Start 2–3 times a week. • Apply a lip balm after it absorbs. • Use SPF lip balm the next day if going outdoors.</t>
  </si>
  <si>
    <t>• Don’t use daily in the beginning. • Don’t apply on cracked, bleeding or wounded lips. • Don’t scrub lips on the same day. • Don’t layer with other strong lip exfoliants.</t>
  </si>
  <si>
    <t>• Store in a cool, dry place. • Keep away from direct sunlight. • Close the cap tightly after use. • Avoid exposing to high heat.</t>
  </si>
  <si>
    <t>• Apply a thin layer on clean, dry lips at night. • Let it absorb completely. • Follow with a nourishing lip balm. • Use on alternate evenings or 2–3 times weekly.</t>
  </si>
  <si>
    <t>PHA/AHA acids may sting on damaged lips. Overuse can cause peeling, dryness or irritation. Avoid if lips are severely cracked or inflamed.</t>
  </si>
  <si>
    <t>https://theordinary.com/dw/image/v2/BFKJ_PRD/on/demandware.static/-/Sites-deciem-master/default/dwce4d9afa/Images/products/The%20Ordinary/ord-pha-5pct-lip-exfoliating-serum-15ml.png?sh=860&amp;sm=fit&amp;sw=860, https://theordinary.com/dw/image/v2/BFKJ_PRD/on/demandware.static/-/Sites-deciem-master/default/dw76e133ca/Images/products/The%20Ordinary/application/ord-pha-5pct-lip-exfoliating-serum-model-application.jpg?sh=860&amp;sm=fit&amp;sw=860, https://theordinary.com/dw/image/v2/BFKJ_PRD/on/demandware.static/-/Sites-deciem-master/default/dwa9c0b644/Images/products/The%20Ordinary/Before-After/ord-pha-5pct-lip-exfoliating-serum-before-after.jpg?sh=860&amp;sm=fit&amp;sw=860, https://theordinary.com/dw/image/v2/BFKJ_PRD/on/demandware.static/-/Sites-deciem-master/default/dwb3a9d0a2/Images/products/The%20Ordinary/infographics/ord-pha-5pct-lip-exfoliating-serum-key-ingredients-graphic.png?sh=860&amp;sm=fit&amp;sw=860, https://theordinary.com/dw/image/v2/BFKJ_PRD/on/demandware.static/-/Sites-deciem-master/default/dw34275ea3/Images/products/The%20Ordinary/infographics/ord-pha-5pct-lip-exfoliating-serum-key-benefits-graphic.png?sh=860&amp;sm=fit&amp;sw=860</t>
  </si>
  <si>
    <t>Roopsee-L-BA-22</t>
  </si>
  <si>
    <t xml:space="preserve"> Bioderma Atoderm Levres Ultra Hydrating Lip Balm with Shea Butter for Dry &amp; Chapped Lips </t>
  </si>
  <si>
    <t>4 gm</t>
  </si>
  <si>
    <t>Mineral Oil, Beeswax, Sunflower Seed Oil, Tocopherol/Vitamin E, Laminaria Extract</t>
  </si>
  <si>
    <t>A moisturising and soothing lip balm for dry, chapped and sensitive lips. Bioderma India describes it as powered by Shea Butter to soothe, hydrate and restore the lip barrier, with Laminaria Extract to calm irritation</t>
  </si>
  <si>
    <t>Paraffinum Liquidum/Mineral Oil, Synthetic Wax, Cera Microcristallina/Microcrystalline Wax, Paraffin, Butyrospermum Parkii/Shea Butter, Cera Alba/Beeswax, Helianthus Annuus/Sunflower Seed Oil, Tocopherol, Fragrance/Parfum.</t>
  </si>
  <si>
    <t>• Use multiple times a day for dry lips. • Apply before lipstick to smooth lips. • Reapply after meals or wiping lips. • Use at night as a simple repair balm.</t>
  </si>
  <si>
    <t>• Don’t apply on infected or bleeding cracks. • Don’t lick lips after application. • Don’t share lip balm for hygiene. • Don’t use if fragrance irritates your lips.</t>
  </si>
  <si>
    <t>• Store in a cool, dry place. • Keep away from direct sunlight. • Close the cap properly. • Avoid keeping in very hot bags/cars.</t>
  </si>
  <si>
    <t>• Swipe directly on clean lips. • Reapply whenever lips feel dry. • Use morning, daytime and night as needed. • Apply a thicker layer before sleeping for extra comfort.</t>
  </si>
  <si>
    <t>Contains fragrance, which may irritate very sensitive lips. Rich waxes/mineral oil are protective but can feel heavy. Patch test if prone to lip allergy.</t>
  </si>
  <si>
    <t>https://bioderma.naosindia.in/cdn/shop/files/Front_6beba5e8-5aa7-4a6f-b442-d5df368342fa.png?v=1753951061&amp;width=1445, https://bioderma.naosindia.in/cdn/shop/files/ScienceBehind.jpg?v=1753951061&amp;width=1445, https://bioderma.naosindia.in/cdn/shop/files/Routine.jpg?v=1753255746&amp;width=1445, https://bioderma.naosindia.in/cdn/shop/files/Review.jpg?v=1753255746&amp;width=1445, https://bioderma.naosindia.in/cdn/shop/files/Back.jpg?v=1753255746&amp;width=1445</t>
  </si>
  <si>
    <t>Roopsee-L-BA-23</t>
  </si>
  <si>
    <t>Kiehl's Lip Balm #1</t>
  </si>
  <si>
    <t>Kiehl's</t>
  </si>
  <si>
    <t>8gm</t>
  </si>
  <si>
    <t>Petrolatum, Lanolin, Vitamin E/Tocopherol, Wheat Germ Oil, Allantoin, Aloe Extract</t>
  </si>
  <si>
    <t xml:space="preserve">A classic moisturising balm for dry lips. Kiehl’s highlights Squalane for barrier support and softness, Shea Butter for dehydration and suppleness, and Vitamin E for antioxidant support. The brand recommends applying liberally and reapplying as needed, day or night. </t>
  </si>
  <si>
    <t>Petrolatum, Squalane, Lanolin, Triticum Vulgare Germ Oil/Wheat Germ Oil, Pentylene Glycol, Tocopherol, Caprylyl Glycol, Pentaerythrityl Tetra-Di-T-Butyl Hydroxyhydrocinnamate, Allantoin, Aloe Barbadensis Leaf Extract.</t>
  </si>
  <si>
    <t>• Use when lips feel dry or tight. • Reapply throughout the day. • Use before lipstick to smooth lip texture. • Apply at night for lip repair.</t>
  </si>
  <si>
    <t>• Don’t use if you are sensitive to lanolin. • Don’t apply over dirty lips. • Don’t share tube products. • Don’t use on infected cuts.</t>
  </si>
  <si>
    <t>• Store in a cool, dry place. • Keep tube tightly closed. • Keep away from direct heat. • Avoid leaving in sunlight.</t>
  </si>
  <si>
    <t>• Apply liberally on lips. • Reapply as needed. • Can be used day and night. • Use a slightly thicker layer before bed.</t>
  </si>
  <si>
    <t>Lanolin can trigger irritation or allergy in some users. Petrolatum is very occlusive and protective, but may feel heavy. Avoid if lips feel itchy, swollen or irritated after use.</t>
  </si>
  <si>
    <t>https://www.kiehls.in/cdn/shop/files/1f98a4c3605970366018_1.jpg?v=1774092305&amp;width=3840, https://www.kiehls.in/cdn/shop/files/1f98a4c3605970366018_2.jpg?v=1774092305&amp;width=3840, https://www.kiehls.in/cdn/shop/files/1f98a4c3605970366018_3.jpg?v=1774092306&amp;width=3840, https://www.kiehls.in/cdn/shop/files/1f98a4c3605970366018_4.jpg?v=1774092306&amp;width=3840, https://www.kiehls.in/cdn/shop/files/1f98a4c3605970366018_5.jpg?v=1774092306&amp;width=3840</t>
  </si>
  <si>
    <t>Roopsee-B-WA-15</t>
  </si>
  <si>
    <t>Aveeno Skin Relief Body Wash - Prebiotic Oat to Cleanse &amp; Moisturize Dry, Itchy &amp; Sensitive Skin</t>
  </si>
  <si>
    <t>Aveeno</t>
  </si>
  <si>
    <t>Body wash</t>
  </si>
  <si>
    <t>Prebiotic Oat / Triple Oat Complex</t>
  </si>
  <si>
    <t>Oat Flour, Oat Extract, Oat Oil, Glycerin</t>
  </si>
  <si>
    <t xml:space="preserve">A gentle body wash for dry, itchy and sensitive skin. Aveeno’s Skin Relief body wash uses a soothing oat formula with oat flour, oat extract and oat oil to leave itchy, dry skin feeling soothed and moisturised. </t>
  </si>
  <si>
    <t>Water, Glycerin, Sodium Laureth Sulfate, Cocamidopropyl Betaine, Sodium Chloride, Avena Sativa/Oat Kernel Flour, Citric Acid, Sodium Benzoate, Guar Hydroxypropyltrimonium Chloride, Tetrasodium Glutamate Diacetate, Glycol Distearate, Dipropylene Glycol, Acrylates/C10-30 Alkyl Acrylate Crosspolymer, Polyquaternium-10, Laureth-4, PEG-20 Almond Glycerides, Sodium Hydroxide, Coriander Fruit Oil, Avena Sativa/Oat Kernel Oil, Cardamom Seed Oil, Myrrh Oil, Avena Sativa/Oat Kernel Extract.</t>
  </si>
  <si>
    <t>• Use with lukewarm water. • Use daily if skin feels comfortable. • Follow with body lotion after bath. • Good for dry, itchy and sensitive-feeling skin.</t>
  </si>
  <si>
    <t>• Don’t use very hot water. • Don’t scrub aggressively with loofah. • Don’t apply on open wounds or severe rashes. • Don’t continue if itching or redness increases.</t>
  </si>
  <si>
    <t>• Store in a cool, dry place. • Keep away from direct sunlight. • Close the bottle properly after use. • Keep out of reach of children.</t>
  </si>
  <si>
    <t>• Apply on wet skin. • Massage gently to create a mild lather. • Rinse thoroughly. • Pat skin dry and apply moisturiser immediately.</t>
  </si>
  <si>
    <t>Oat-based products may not suit people with oat allergy. Cocamidopropyl Betaine/SLES-type cleansers can irritate very compromised skin. The listed variant also includes aromatic oils, so very reactive skin should patch test first.</t>
  </si>
  <si>
    <t>https://images-static.nykaa.com/media/catalog/product/1/4/145c6278901012189252_01.jpg, https://images-static.nykaa.com/media/catalog/product/1/4/145c6278901012189252_02.jpg, https://images-static.nykaa.com/media/catalog/product/1/4/145c6278901012189252_03.jpg, https://images-static.nykaa.com/media/catalog/product/1/4/145c6278901012189252_05.jpg, https://images-static.nykaa.com/media/catalog/product/1/4/145c6278901012189252_06.jpg</t>
  </si>
  <si>
    <t>Roopsee-B-WA-16</t>
  </si>
  <si>
    <t>Cetaphil Restoraderm Body Wash to Repair Skin Barrier for Dry Itchy Irritated Skin - 295ml</t>
  </si>
  <si>
    <t>295ml</t>
  </si>
  <si>
    <t>Filaggrin Technology</t>
  </si>
  <si>
    <t>Shea Butter, Glycerin, Sunflower Seed Oil, Niacinamide / Vitamin B3, Vitamin E, Sodium PCA, Allantoin</t>
  </si>
  <si>
    <t>A creamy, soap-free body wash for dry, itchy, irritated and sensitive skin. It helps cleanse without stripping and supports the skin’s moisture barrier. Best suited for dry, rough, tight, irritated or barrier-damaged body skin.</t>
  </si>
  <si>
    <t>Aqua, Butyrospermum Parkii / Shea Butter, Sodium Trideceth Sulfate, Glycerin, Helianthus Annuus / Sunflower Seed Oil, Sodium Chloride, Sodium Lauroamphoacetate, Cocamide MEA, Citric Acid, Niacinamide, Sodium PCA, Tocopheryl Acetate, 1,2-Hexanediol, Caprylyl Glycol, Guar Hydroxypropyltrimonium Chloride, Allantoin, Potassium Sorbate, Arginine, Disodium EDTA</t>
  </si>
  <si>
    <t>• Use daily if skin feels comfortable. • Use lukewarm water instead of hot water. • Follow with body lotion immediately after bath. • Use hands or a soft washcloth instead of a harsh loofah. • Best for dry, itchy, sensitive or barrier-damaged skin.</t>
  </si>
  <si>
    <t>• Don’t scrub aggressively. • Don’t use with harsh exfoliating body scrubs. • Don’t use very hot water. • Don’t apply on open cuts, bleeding cracks or infected skin. • Don’t continue if burning, redness or itching increases.</t>
  </si>
  <si>
    <t>• Store in a cool, dry place. • Keep away from direct sunlight and heat. • Close the bottle properly after every use. • Keep away from children. • Avoid storing in very hot or humid bathroom corners.</t>
  </si>
  <si>
    <t>• Wet the body with lukewarm water. • Take a small amount on palms or soft washcloth. • Massage gently over the body. • Rinse thoroughly. • Pat skin dry; do not rub harshly. • Apply a barrier-repair body lotion immediately after shower.</t>
  </si>
  <si>
    <t>• Although it is made for sensitive skin, very irritated skin can still react to cleansing surfactants. • Contains Sodium Trideceth Sulfate and Cocamide MEA, which may not suit severely compromised skin. • Shea butter and sunflower seed oil are nourishing, but very acne-prone body areas should patch test. • If there is eczema flare-up, infection, bleeding cracks or severe itching, use only after dermatologist advice.</t>
  </si>
  <si>
    <t>https://www.cetaphil.in/dw/image/v2/BGGN_PRD/on/demandware.static/-/Sites-galderma-in-m-catalog/default/dw6fdb2641/8906005271242/Cetaphil-Restoraderm-Body-Wash-295ml.png?q=85&amp;sh=900&amp;sm=fit&amp;sw=900, https://www.cetaphil.in/dw/image/v2/BGGN_PRD/on/demandware.static/-/Sites-galderma-in-m-catalog/default/dwd88e3e48/8906005271242/Restoraderm%20body%20Wash%20_%20295%20ml%20Bk.jpg?q=85&amp;sh=900&amp;sm=fit&amp;sw=900, https://www.cetaphil.in/dw/image/v2/BGGN_PRD/on/demandware.static/-/Sites-galderma-in-m-catalog/default/dwab9764ba/8906005271242/Restoraderm-Bodywash.png?q=85&amp;sh=900&amp;sm=fit&amp;sw=900, https://www.cetaphil.in/dw/image/v2/BGGN_PRD/on/demandware.static/-/Sites-galderma-in-m-catalog/default/dwa87fe6ba/8906005271242/Restoraderm-body-Wash-_-295-ml-FR.png?q=85&amp;sh=900&amp;sm=fit&amp;sw=900, https://www.bbassets.com/media/uploads/p/s/40137625_2-cetaphil-restoraderm-body-wash.jpg, https://www.bbassets.com/media/uploads/p/s/40137625-2_2-cetaphil-restoraderm-body-wash.jpg, https://www.bbassets.com/media/uploads/p/s/40137625-3_2-cetaphil-restoraderm-body-wash.jpg, https://www.bbassets.com/media/uploads/p/s/40137625-4_1-cetaphil-restoraderm-body-wash.jpg</t>
  </si>
  <si>
    <t>Roopsee-B-TR-03</t>
  </si>
  <si>
    <t>Biluma Advance Cream For Sensitive Areas (25g)</t>
  </si>
  <si>
    <t>Body Treatment</t>
  </si>
  <si>
    <t>25 gm</t>
  </si>
  <si>
    <t>Rumex Occidentalis Extract</t>
  </si>
  <si>
    <t>β-White Extract / Oligopeptide-68, Tasmannia Lanceolata Fruit/Leaf Extract, Caviar Lime / Microcitrus Australasica Fruit Extract, Glycerin, Soybean Oil, Dimethicone</t>
  </si>
  <si>
    <t xml:space="preserve">A brightening cream made for external sensitive areas such as underarms, inner thighs and other delicate body zones with uneven tone. The formula uses Rumex Occidentalis for pigmentation support, Tasmannia Lanceolata to calm reactive skin, and Caviar Lime Extract for gentle exfoliation and glow support. </t>
  </si>
  <si>
    <t>Aqua, Dimethicone, Dimethicone/Vinyl Dimethicone Crosspolymer, Hydrogenated Lecithin, C12-16 Alcohols, Palmitic Acid, Glycerin, Phenoxyethanol, Triethylene Glycol, Butylene Glycol, Sodium Oleate, Oligopeptide-68, Disodium EDTA, Soybean Oil, Rumex Occidentalis Extract, Microcitrus Australasica Fruit Extract, Tasmannia Lanceolata Fruit/Leaf Extract, Carbomer, Parfum, Triethanolamine.</t>
  </si>
  <si>
    <t>• Use only on external body areas. • Patch test before first use. • Apply on clean and fully dry skin. • Start once daily at night if the area is sensitive. • Use consistently for uneven tone; results take time.</t>
  </si>
  <si>
    <t>• Don’t apply inside private/intimate parts. • Don’t apply on cuts, rashes, infection, burns or broken skin. • Don’t use immediately after shaving, waxing or laser. • Don’t combine with scrubs, bleaching creams or strong exfoliating acids on the same area. • Don’t continue if burning, itching or redness increases.</t>
  </si>
  <si>
    <t>• Store in a cool, dry place. • Keep away from direct sunlight and heat. • Close the cap tightly after every use. • Keep away from children. • Avoid storing in hot or humid bathroom corners.</t>
  </si>
  <si>
    <r>
      <t>• Cleanse the affected external area gently. • Pat the skin completely dry. • Apply a thin layer only on the pigmented area. • Use once or twice daily, or as directed by a physician. • Wash hands after application. (</t>
    </r>
    <r>
      <rPr>
        <color rgb="FF1155CC"/>
        <u/>
      </rPr>
      <t>skinhealthandyou</t>
    </r>
    <r>
      <rPr/>
      <t>)</t>
    </r>
  </si>
  <si>
    <t>• Contains fragrance/parfum, which may irritate reactive skin. • Caviar Lime Extract has exfoliating properties, so overuse may cause sensitivity. • Avoid use on mucosal/private internal areas. • For severe pigmentation, itching, fungal infection, pregnancy, breastfeeding, eczema or thick/velvety darkening, use only after dermatologist guidance.</t>
  </si>
  <si>
    <t>https://smytten-image.gumlet.io/shop_item/Biluma_Advanced_sensitive_cream.jpg, https://smytten-image.gumlet.io/shop_item/1755778764_BUM003AA1002.jpg, https://smytten-image.gumlet.io/shop_item/1755778769_BUM003AA1003.jpg, https://smytten-image.gumlet.io/shop_item/1755778837_BUM003AA1004.jpg, https://smytten-image.gumlet.io/shop_item/1755778875_BUM003AA1005.jpg, https://smytten-image.gumlet.io/shop_item/1755778881_BUM003AA1006.jpg</t>
  </si>
  <si>
    <t>Roopsee-B-WA-17</t>
  </si>
  <si>
    <t>IPCA Keraglo-AD Body Wash</t>
  </si>
  <si>
    <t>IPCA</t>
  </si>
  <si>
    <t>Ketoconazole 2%</t>
  </si>
  <si>
    <t>Aloe Vera, D-Panthenol, Ichthyol Pale</t>
  </si>
  <si>
    <t>A medicated antifungal body wash that helps cleanse fungal-prone skin and supports relief from itching, redness, scaling, and irritation caused by fungal growth. Suitable for body areas affected by sweat rash, ringworm, jock itch, athlete’s foot, and yeast-related fungal concerns when used as advised.</t>
  </si>
  <si>
    <t>Fungal Infection, Sweat Rash</t>
  </si>
  <si>
    <t>Ketoconazole 2% w/v, Aloe Vera, D-Panthenol, Ichthyol Pale, cleansing base.</t>
  </si>
  <si>
    <t>Use on affected body areas as directed. Keep the area clean and dry after bath. Complete the recommended duration. Use a separate towel for infected areas.</t>
  </si>
  <si>
    <t>Do not use on eyes, mouth, open wounds, or severely broken skin. Do not overuse as a regular cosmetic body wash unless advised. Do not share towels/clothing during active infection.</t>
  </si>
  <si>
    <t>Store in a cool, dry place away from sunlight. Keep bottle tightly closed. Keep away from children.</t>
  </si>
  <si>
    <t>Wet the affected area, apply body wash, lather gently, leave for 2–5 minutes, then rinse thoroughly. Use as directed by a doctor.</t>
  </si>
  <si>
    <t>May cause dryness, burning, itching, redness, or irritation in sensitive users. Avoid if allergic to ketoconazole or any listed ingredient. Consult a doctor during pregnancy, breastfeeding, or recurrent fungal infections.</t>
  </si>
  <si>
    <t>https://www.clinikally.com/cdn/shop/files/Keraglo-ADBodyWash3.jpg?v=1741776972&amp;width=1000, https://www.clinikally.com/cdn/shop/files/Keraglo-ADBodyWash2.jpg?v=1741776972&amp;width=1000, https://www.clinikally.com/cdn/shop/files/Keraglo-ADBodyWash4.jpg?v=1741776972&amp;width=1000, https://www.clinikally.com/cdn/shop/files/Keraglo-ADBodyWash1.jpg?v=1741776972&amp;width=1000</t>
  </si>
  <si>
    <t>Roopsee-B-WA-18</t>
  </si>
  <si>
    <t>Ketotrail Ketoconazole Body wash</t>
  </si>
  <si>
    <t>Ketotrail</t>
  </si>
  <si>
    <t>Ketoconazole 1%</t>
  </si>
  <si>
    <t>Tea Tree Oil, Glycerin, mild surfactant base</t>
  </si>
  <si>
    <t>A 1% ketoconazole antifungal body wash designed for humid-weather fungal concerns, sweat rash, itching, and irritation. Tea tree oil supports antimicrobial cleansing, while glycerin helps reduce dryness from cleansing.</t>
  </si>
  <si>
    <t>Use on sweat-prone or fungal-prone areas. Rinse properly after use. Pat skin completely dry. Wear breathable clothing during humid weather.</t>
  </si>
  <si>
    <t>Do not use near eyes, mouth, intimate mucosal areas, or broken skin. Do not leave on skin longer than advised. Do not combine with multiple antifungal washes unless prescribed.</t>
  </si>
  <si>
    <t>Store in a cool, dry place away from sunlight and excess heat. Keep cap closed after use.</t>
  </si>
  <si>
    <t>Apply to wet skin, lather gently on affected areas, leave briefly if advised, and rinse well. Use as recommended by a doctor.</t>
  </si>
  <si>
    <t>Tea tree oil may irritate very sensitive skin. Ketoconazole may cause mild dryness, redness, burning, or irritation. Avoid if allergic to ketoconazole, tea tree oil, or any ingredient.</t>
  </si>
  <si>
    <r>
      <rPr/>
      <t xml:space="preserve">https://www.clinikally.com/cdn/shop/files/KetotrailKetoconazoleBodyWash100ml1.jpg?v=1761544752&amp;width=1000, https://www.clinikally.com/cdn/shop/files/KetotrailKetoconazoleBodyWash100ml2.jpg?v=1761544752&amp;width=1000, </t>
    </r>
    <r>
      <rPr>
        <color rgb="FF1155CC"/>
        <u/>
      </rPr>
      <t>https://www.clinikally.com/cdn/shop/files/KetotrailKetoconazoleBodyWash100ml3.jpg?v=1761544752&amp;width=1000</t>
    </r>
  </si>
  <si>
    <t>Roopsee-B-TR-04</t>
  </si>
  <si>
    <t>Lulifin Luliconazole Cream</t>
  </si>
  <si>
    <t>Lulifin</t>
  </si>
  <si>
    <t>20 gm</t>
  </si>
  <si>
    <t>Luliconazole 1%</t>
  </si>
  <si>
    <t>Cream base</t>
  </si>
  <si>
    <t>A targeted topical antifungal cream used for fungal skin infections such as ringworm, jock itch, and athlete’s foot. It helps reduce fungal growth and supports relief from itching, redness, scaling, burning, and irritation.</t>
  </si>
  <si>
    <t>Apply only on clean, dry skin. Use a thin layer. Wash hands before and after applying. Complete the full prescribed course even if symptoms improve.</t>
  </si>
  <si>
    <t>Do not apply to eyes, mouth, vagina, open wounds, or severely broken skin. Do not overapply. Do not stop early without medical advice. Do not use for unrelated rashes.</t>
  </si>
  <si>
    <t>Store below 30°C / in a cool, dry place away from sunlight and heat. Keep tube tightly closed and away from children.</t>
  </si>
  <si>
    <t>Apply a thin layer to the affected area and slightly around the visible border once daily or as prescribed.</t>
  </si>
  <si>
    <t>Prescription antifungal medicine. May cause burning, stinging, dryness, redness, itching, peeling, or irritation. Avoid if allergic to luliconazole. Consult doctor before use during pregnancy, breastfeeding, or in children.</t>
  </si>
  <si>
    <r>
      <rPr/>
      <t xml:space="preserve">https://www.clinikally.com/cdn/shop/files/LulifinCream20gm1.jpg?v=1767940205&amp;width=1000, https://www.clinikally.com/cdn/shop/files/LulifinCream20gm2.jpg?v=1767940205&amp;width=1000, https://www.clinikally.com/cdn/shop/files/LulifinCream20gm3.jpg?v=1767940205&amp;width=1000, https://www.clinikally.com/cdn/shop/files/LulifinCream30gm1.jpg?v=1767940916&amp;width=1000, </t>
    </r>
    <r>
      <rPr>
        <color rgb="FF1155CC"/>
        <u/>
      </rPr>
      <t>https://www.clinikally.com/cdn/shop/files/LulifinCream30gm3.jpg?v=1767958892&amp;width=1000</t>
    </r>
  </si>
  <si>
    <t>Roopsee-B-TR-05</t>
  </si>
  <si>
    <t>Candid dusting powder</t>
  </si>
  <si>
    <t>Candid</t>
  </si>
  <si>
    <t>250 gm</t>
  </si>
  <si>
    <t>Clotrimazole 1%</t>
  </si>
  <si>
    <t>Talc / moisture-control powder base, starch-based excipients depending on pack</t>
  </si>
  <si>
    <t>An antifungal dusting powder for fungal infection, sweat rash, itching, redness, irritation, and moisture-prone areas such as underarms, feet, inner thighs, and skin folds. Helps reduce fungal growth while keeping the area dry.</t>
  </si>
  <si>
    <t>Apply on clean, dry skin. Use especially on sweat-prone areas. Keep area dry and airy. Continue for the suggested duration to reduce recurrence.</t>
  </si>
  <si>
    <t>Do not inhale. Do not apply to eyes, mouth, open wounds, deep cuts, or severely inflamed skin. Do not use on wet skin. Do not use in children unless advised.</t>
  </si>
  <si>
    <t>Store below 30°C / in a cool, dry place. Protect from light and moisture. Keep away from children.</t>
  </si>
  <si>
    <t>Dust lightly over affected areas 1–2 times daily, or 2–3 times daily if advised. Can be used after antifungal cream/spray if prescribed.</t>
  </si>
  <si>
    <t>May cause burning, stinging, redness, itching, rash, swelling, or irritation. Avoid if allergic to clotrimazole or powder base. Consult doctor during pregnancy, breastfeeding, children’s use, or if symptoms persist.</t>
  </si>
  <si>
    <t>https://www.clinikally.com/cdn/shop/files/CandidDustingPowder.jpg?v=1750232385&amp;width=1000, https://www.clinikally.com/cdn/shop/products/Candiddustingpowder120g.jpg?v=1750232370&amp;width=1000, https://www.clinikally.com/cdn/shop/products/Candiddustingpowder120g_1.jpg?v=1750232370&amp;width=1000, https://www.clinikally.com/cdn/shop/products/Candiddustingpowder250g.jpg?v=1750232370&amp;width=1000, https://www.clinikally.com/cdn/shop/products/Candiddustingpowder250g_1.jpg?v=1750232370&amp;width=1000</t>
  </si>
  <si>
    <t>Roopsee-B-TR-06</t>
  </si>
  <si>
    <t xml:space="preserve"> Abzorb dusting powder</t>
  </si>
  <si>
    <t>Lubex</t>
  </si>
  <si>
    <t>120 gm</t>
  </si>
  <si>
    <t>Talc, Starch moisture-absorbing base</t>
  </si>
  <si>
    <t>An antifungal dusting powder that helps manage fungal skin infections and sweat-related irritation by reducing excess moisture and keeping skin folds dry. Useful for areas prone to sweating, friction, itching, and fungal discomfort.</t>
  </si>
  <si>
    <t>Use only on clean, dry skin. Dust lightly on sweat-prone areas. Keep skin folds dry and ventilated. Wash hands after use.</t>
  </si>
  <si>
    <t>Do not inhale the powder. Avoid eyes, mouth, mucous membranes, wet skin, open wounds, or broken skin. Do not apply excessive quantity.</t>
  </si>
  <si>
    <t>Store below 30°C in a cool, dry place away from sunlight and moisture. Keep container closed and away from children.</t>
  </si>
  <si>
    <t>Sprinkle a light layer over affected or sweat-prone areas 2–3 times daily or as advised. Do not rub aggressively.</t>
  </si>
  <si>
    <t>May cause redness, itching, burning, irritation, skin peeling, or allergic reaction. Avoid if allergic to clotrimazole, talc, starch, or any ingredient.</t>
  </si>
  <si>
    <r>
      <rPr/>
      <t xml:space="preserve">https://www.clinikally.com/cdn/shop/files/11b.jpg?v=1713530315&amp;width=1500, https://www.clinikally.com/cdn/shop/files/11_2.jpg?v=1713530315&amp;width=1000, </t>
    </r>
    <r>
      <rPr>
        <color rgb="FF1155CC"/>
        <u/>
      </rPr>
      <t>https://www.clinikally.com/cdn/shop/files/11a.jpg?v=1713530315&amp;width=1500</t>
    </r>
  </si>
  <si>
    <t>Roopsee-B-SC-01</t>
  </si>
  <si>
    <t>Chemist at play Exfoliating Body Scrub with Coffee &amp; Brown Sugar</t>
  </si>
  <si>
    <t>Chemist at play</t>
  </si>
  <si>
    <t>Body Scrub</t>
  </si>
  <si>
    <t>75 g</t>
  </si>
  <si>
    <t>Natural AHAs</t>
  </si>
  <si>
    <t>Coffee Extract, Brown Sugar, Ceramides</t>
  </si>
  <si>
    <t>A physical + mild chemical exfoliating body scrub for rough texture, dead skin buildup, tan, uneven body skin, and strawberry-skin-like bumps. Helps polish rough areas and reveal smoother, brighter-looking skin.</t>
  </si>
  <si>
    <t>Strawberry skin</t>
  </si>
  <si>
    <t>Natural AHAs, Coffee Extract, Brown Sugar, Ceramides, exfoliating scrub base. Full inactive base may vary by pack.</t>
  </si>
  <si>
    <t>Use only on damp body skin. Massage gently in circular motions. Focus on elbows, knees, legs, arms, and rough patches. Follow with moisturizer.</t>
  </si>
  <si>
    <t>Do not use on face. Do not scrub harshly. Avoid cuts, active acne wounds, irritation, sunburn, and freshly shaved/waxed skin.</t>
  </si>
  <si>
    <t>Store in a cool, dry place. Keep lid closed and avoid water entering the jar.</t>
  </si>
  <si>
    <t>Use once weekly on damp skin after body wash. Massage gently, rinse thoroughly, and moisturize.</t>
  </si>
  <si>
    <t>Physical scrub particles can irritate if overused or rubbed aggressively. AHAs may increase dryness or sensitivity. Avoid if skin barrier is damaged.</t>
  </si>
  <si>
    <t>https://innovist.com/cdn/shop/files/BODY_SCRUB_WEBSITE.jpg?v=1768474585&amp;width=720, https://innovist.com/cdn/shop/files/3_2_dbb2be82-d7c2-4a00-9521-ff016b813c44.jpg?v=1772012764&amp;width=720, https://innovist.com/cdn/shop/files/4_2_973ed1fb-f675-417c-915d-37f6be8f53dd.jpg?v=1772012764&amp;width=720, https://innovist.com/cdn/shop/files/5_1_bbd00282-b16d-4503-838d-093cc6544e0e.jpg?v=1772012764&amp;width=720, https://innovist.com/cdn/shop/files/CAP---White-Bg-1st-ImageHPS-_-SS-copy-4.jpg?v=1772012764&amp;width=720</t>
  </si>
  <si>
    <t>Roopsee-B-SC-02</t>
  </si>
  <si>
    <t xml:space="preserve">Foxtale Hula Hoop Moroccan Silk Exfoliating Body Scrub </t>
  </si>
  <si>
    <t>Dead Sea Salt, Perlite, Meadowfoam Oil, Glycerin</t>
  </si>
  <si>
    <t>A body exfoliating polish for rough, uneven skin, ingrown hair, dull body skin, and strawberry-skin-like texture. It gently polishes dead skin buildup while meadowfoam oil helps keep skin soft and nourished.</t>
  </si>
  <si>
    <t>Glycerin, Aqua, Sodium Cocoyl Isethionate, Sodium Cocoyl Glycinate, Acrylates Copolymer, Perlite, Caprylic/Capric Triglyceride, Stearic Acid, Dimethicone, Coco-Glucoside, Glyceryl Oleate, Lactic Acid, Meadowfoam Seed Oil, Sea Salt, Phenoxyethanol, Fragrance, Ethylhexylglycerin, Disodium EDTA, colourants and fragrance components.</t>
  </si>
  <si>
    <t>Use only 1–2 times weekly. Massage gently, not aggressively. Follow with body lotion. Best used on arms, legs, thighs, and rough patches.</t>
  </si>
  <si>
    <t>Do not use on the same day as other strong exfoliating body products if skin is dry. Do not use right after shaving/waxing. Avoid cuts, wounds, sunburn, rashes, and irritated skin.</t>
  </si>
  <si>
    <t>Store in a cool, dry place. Keep jar/tube closed and avoid water entering the product.</t>
  </si>
  <si>
    <t>Apply on wet body skin, massage gently in circular motions, then rinse well. Follow with Minimalist Niacinamide Body Lotion.</t>
  </si>
  <si>
    <t>Lactic Acid, Perlite, and Dead Sea Salt may irritate if overused or rubbed harshly. Contains fragrance allergens, so sensitive skin should patch test first.</t>
  </si>
  <si>
    <r>
      <rPr>
        <rFont val="Arial"/>
      </rPr>
      <t xml:space="preserve">https://cdn.shopify.com/s/files/1/0609/6096/4855/files/HHN-MEBS75_01.jpg?quality=60&amp;v=1774328910&amp;width=2048, https://cdn.shopify.com/s/files/1/0609/6096/4855/files/HHN-MEBS75_02.jpg?quality=60&amp;v=1774328910&amp;width=500, https://cdn.shopify.com/s/files/1/0609/6096/4855/files/HHN-MEBS75_03.jpg?quality=60&amp;v=1774328910&amp;width=500, https://cdn.shopify.com/s/files/1/0609/6096/4855/files/HHN-MEBS75_04.jpg?quality=60&amp;v=1774328910&amp;width=500, </t>
    </r>
    <r>
      <rPr>
        <rFont val="Arial"/>
        <color rgb="FF1155CC"/>
        <u/>
      </rPr>
      <t>https://cdn.shopify.com/s/files/1/0609/6096/4855/files/HHN-MEBS75_05.jpg?quality=60&amp;v=1774328910&amp;width=500</t>
    </r>
  </si>
  <si>
    <t>South korea</t>
  </si>
  <si>
    <t>Centella and green tea extract</t>
  </si>
  <si>
    <t>Discover skin protection at its finest with the Innisfree Intensive Long Lasting SPF50+ PA++++ Sunscreen (60ml). Formulated with Centella and green tea extracts, this hydrating sunscreen soothes the skin while providing sun protection. As a waterproof sunscreen, it ensures long-lasting coverage, making it perfect for water activities. This Innisfree sunscreen is a non-sticky sunscreen ideal for oily and combination skin.</t>
  </si>
  <si>
    <t>Water / Aqua / Eau, Zinc Oxide (Nano), Propylheptyl Caprylate, Dibutyl Adipate, Butylene Glycol, Cyclohexasiloxane, Disiloxane, Polyglyceryl-5 Polyricinoleate, Polymethylsilsesquioxane, Glycerin, Bis-Ethylhexyloxyphenol Methoxyphenyl Triazine, Ethylhexyl Triazone, Diethylamino Hydroxybenzoyl Hexyl Benzoate, Dicaprylyl Ether, Caprylyl Methicone, Titanium Dioxide (Nano), Disteardimonium Hectorite, Magnesium Sulfate, Calcium Aluminum Borosilicate, Triethoxycaprylylsilane, 1, 2-Hexanediol, Polyglyceryl-3 Polydimethylsiloxyethyl Dimethicone, Fragrance / Parfum, Vinyl Dimethicone/Methicone Silsesquioxane Crosspolymer, Caprylyl Glycol, Glyceryl Caprylate, Ethylhexylglycerin, Tocopherol, Biosaccharide Gum-1, Oryza Sativa (Rice) Bran Oil, Beta-Glucan</t>
  </si>
  <si>
    <t>Apply every morning as the last step of skincare. Use enough quantity for face, neck, and exposed body areas. Reapply after sweating, swimming, or long sun exposure. Remove properly at night with cleanser.</t>
  </si>
  <si>
    <t>Do not apply too close to eyes. Do not use on broken, irritated, or wounded skin. Do not depend on sunscreen alone during harsh sun exposure. Do not skip reapplication if sweating heavily or outdoors.</t>
  </si>
  <si>
    <t>Store in a cool, dry place away from direct sunlight and heat. Keep cap tightly closed. Keep away from children.</t>
  </si>
  <si>
    <t>Apply evenly on face and body areas exposed to UV rays. Use before makeup or outdoor exposure. Reapply after swimming or excessive perspiration.</t>
  </si>
  <si>
    <t>Contains UV filters, zinc oxide, fragrance, witch hazel, and botanical extracts. May cause stinging, dryness, eye irritation, redness, or breakouts in sensitive/acne-prone users. Patch test recommended. Stop use if irritation persists.</t>
  </si>
  <si>
    <t>https://cdn.tirabeauty.com/v2/billowing-snowflake-434234/tira-p/wrkr/products/pictures/item/free/resize-w%3A540/hgHQg_Y9yJ-1133572_1.jpg, https://cdn.tirabeauty.com/v2/billowing-snowflake-434234/tira-p/wrkr/products/pictures/item/free/resize-w%3A540/7Mre9ZH7sX-1133572_2.jpg, https://cdn.tirabeauty.com/v2/billowing-snowflake-434234/tira-p/wrkr/products/pictures/item/free/resize-w%3A540/eaH_1_V_rL-1133572_3.jpg, https://cdn.tirabeauty.com/v2/billowing-snowflake-434234/tira-p/wrkr/products/pictures/item/free/resize-w%3A540/-sXrb4E52v-1133572_4.jpg, https://cdn.tirabeauty.com/v2/billowing-snowflake-434234/tira-p/wrkr/products/pictures/item/free/resize-w%3A540/0lzFQ2Y0zw-1133572_5.jpg</t>
  </si>
  <si>
    <t>Aveeno Skin Relief Body Wash</t>
  </si>
  <si>
    <t>Cetaphil Restoraderm Body Wash</t>
  </si>
  <si>
    <t>Biluma Advance Cream For Sensitive Areas</t>
  </si>
  <si>
    <t>Ketotrail Ketoconazole Body Wash</t>
  </si>
  <si>
    <t>Candid Dusting Powder</t>
  </si>
  <si>
    <t>Abzorb / Azorb Dusting Powder</t>
  </si>
  <si>
    <t>Roopsee-E-CR-01</t>
  </si>
  <si>
    <t>COSRX Advanced Snail Peptide Eye Cream</t>
  </si>
  <si>
    <t>Eye</t>
  </si>
  <si>
    <t>Cream</t>
  </si>
  <si>
    <t>Fine lines / wrinkles, Dry / Chapped Lips</t>
  </si>
  <si>
    <t>Peptides, Niacinamide, Adenosine</t>
  </si>
  <si>
    <t>COSRX Advanced Snail Peptide Eye Cream is a routine skincare product formulated with Snail Secretion Filtrate, Peptides, Niacinamide. It supports targeted concerns such as acne, pigmentation, dullness, dehydration, texture, pores, aging, sensitivity or barrier repair depending on routine placement.</t>
  </si>
  <si>
    <t>Snail Secretion Filtrate, Peptides, Niacinamide</t>
  </si>
  <si>
    <t>• Use a very small amount around the orbital area only.
 • Tap gently with the ring finger instead of rubbing.
 • Keep away from the lash line unless directed.
 • Use consistently for several weeks before judging results.
 • Stop if watering, swelling, or discomfort continues.</t>
  </si>
  <si>
    <t>• Do not apply inside the eyes or directly on the eyelids unless specified.
 • Do not use too much product; excess can migrate into the eyes.
 • Do not rub or pull the delicate eye area.
 • Do not layer multiple strong products around the eyes.
 • Do not continue if the area becomes puffy, itchy, or irritated.</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</si>
  <si>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Use a clean spatula or clean fingertip for jar formats whenever possible.</t>
  </si>
  <si>
    <t>• Use after cleansing and before heavier creams.
 • Take a rice-grain sized amount for both eyes.
 • Dot along the under-eye bone and tap gently.
 • Use once daily at first, then morning and night if comfortable.
 • Follow with sunscreen in the morning if used in daylight routine.</t>
  </si>
  <si>
    <t>Key ingredient focus: Snail Mucin; secondary ingredients: Peptides, Niacinamide, Adenosine.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</si>
  <si>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["https://cdn.tirabeauty.com/v2/billowing-snowflake-434234/tira-p/wrkr/products/pictures/item/free/resize-w:1080/ReW27bDvO-COSRX-Advanced-Snail-Peptide-Eye-Cream-(25ml).jpeg", "https://cdn.tirabeauty.com/v2/billowing-snowflake-434234/tira-p/wrkr/products/pictures/item/free/resize-w:1080/1110904/gPK7Ti8QJ-8809598451070_3.jpg", "https://cdn.tirabeauty.com/v2/billowing-snowflake-434234/tira-p/wrkr/products/pictures/item/free/resize-w:1080/1110904/ocy1Dj1uKw-8809598451070_5.jpg"]</t>
  </si>
  <si>
    <t>Roopsee-E-CR-02</t>
  </si>
  <si>
    <t>Beauty of Joseon Revive Eye Serum Ginseng + Retinal</t>
  </si>
  <si>
    <t>Fine lines / wrinkles</t>
  </si>
  <si>
    <t>Retinal</t>
  </si>
  <si>
    <t>Ginseng Extract, Niacinamide, Peptides</t>
  </si>
  <si>
    <t>Beauty of Joseon Revive Eye Serum Ginseng + Retinal is a routine skincare product formulated with Ginseng Root Extract 10%, Retinal, Niacinamide. It supports targeted concerns such as acne, pigmentation, dullness, dehydration, texture, pores, aging, sensitivity or barrier repair depending on routine placement.</t>
  </si>
  <si>
    <t>Ginseng Root Extract 10%, Retinal, Niacinamide</t>
  </si>
  <si>
    <t>• Start with a small amount and apply only on clean, dry skin.
 • Use at a low frequency at first, then increase only if skin stays comfortable.
 • Follow with moisturiser to reduce dryness or tightness.
 • Use sunscreen in the morning routine when using targeted treatments.
 • Track changes for a few weeks before deciding whether to increase use.</t>
  </si>
  <si>
    <t>• Do not layer several strong leave-on treatments in one routine unless advised.
 • Do not apply too close to the eyes, corners of nose, or cracked areas.
 • Do not use more quantity than needed; a thin layer is enough.
 • Do not use immediately after waxing, threading, shaving, or procedures if skin feels sensitive.
 • Do not continue if peeling, burning, or redness becomes persistent.</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</si>
  <si>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Avoid leaving it in hot cars, window sills, or direct sunlight for long hours.</t>
  </si>
  <si>
    <t>• Use after cleansing and before moisturiser.
 • Apply a few drops or a thin layer over the target area.
 • Use once daily or alternate nights at first if your skin is reactive.
 • Wait until it settles, then apply moisturiser.
 • Use sunscreen the next morning when part of an evening routine.</t>
  </si>
  <si>
    <t>Key ingredient focus: Retinal; secondary ingredients: Ginseng Extract, Niacinamide, Peptides.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</si>
  <si>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["https://cdn.tirabeauty.com/v2/billowing-snowflake-434234/tira-p/wrkr/products/pictures/item/free/resize-w:1080/jjO3v5UvER-1143223_1.jpg", "https://cdn.tirabeauty.com/v2/billowing-snowflake-434234/tira-p/wrkr/products/pictures/item/free/resize-w:1080/0wovctjuSh-1143223_3.jpg", "https://cdn.tirabeauty.com/v2/billowing-snowflake-434234/tira-p/wrkr/products/pictures/item/free/resize-w:1080/soB298jJkO-1143223_4.jpg"]</t>
  </si>
  <si>
    <t>Roopsee-E-CR-03</t>
  </si>
  <si>
    <t>The Derma Co 5% Caffeine Under Eye Serum</t>
  </si>
  <si>
    <t>Dark Circles, Puffiness</t>
  </si>
  <si>
    <t>Caffeine</t>
  </si>
  <si>
    <t>Hyaluronic Acid, Peptides, Niacinamide</t>
  </si>
  <si>
    <t>The Derma Co 5% Caffeine Under Eye Serum is a routine skincare product formulated with Caffeine 5%, Peptides, Vitamin E. It supports targeted concerns such as acne, pigmentation, dullness, dehydration, texture, pores, aging, sensitivity or barrier repair depending on routine placement.</t>
  </si>
  <si>
    <t>Caffeine 5%, Peptides, Vitamin E</t>
  </si>
  <si>
    <t>Key ingredient focus: Caffeine; secondary ingredients: Hyaluronic Acid, Peptides,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</si>
  <si>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["https://thedermaco.com/cdn/shop/files/5_caffiene_serum_1_lerrshghlk2dk7o3.jpg?v=1758286528&amp;width=713", "https://thedermaco.com/cdn/shop/files/5_-caffeine-serum-5_xlgqehldbcvtwcuf.jpg?v=1772478629&amp;width=713", "https://thedermaco.com/cdn/shop/files/5_-caffeine-serum-6_3p2am5etb2wqxsrf.jpg?v=1772478629&amp;width=713"]</t>
  </si>
  <si>
    <t>Roopsee-E-CR-04</t>
  </si>
  <si>
    <t>Minimalist Vitamin K + Retinal 0.1% Under Eye Cream</t>
  </si>
  <si>
    <t>14g</t>
  </si>
  <si>
    <t>Dark Circles,Fine lines / wrinkles</t>
  </si>
  <si>
    <t>Eyeliss/Haloxyl/Zerumbone</t>
  </si>
  <si>
    <t>a lightweight, non-greasy nightly treatment designed to target dark circles, fine lines, and puffiness.</t>
  </si>
  <si>
    <t>Water, Caprylic/Capric Triglyceride, Niacinamide, Propanediol, Glycerin, 3% Caffeine, Dimethicone, Phytonadione Epoxide (Vitamin K), Sodium Hyaluronate, Retinal, and a peptide complex (Dipeptide-2, Palmitoyl Tetrapeptide-7, Palmitoyl Tripeptide-1).</t>
  </si>
  <si>
    <t>Key ingredient focus: Retinal 0.1%; secondary ingredients: Eyeliss/Haloxyl/Zerumbone.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</si>
  <si>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["https://images-static.nykaa.com/media/catalog/product/a/1/a11fc14MINIM00000142_1.jpg", "https://images-static.nykaa.com/media/catalog/product/a/1/a11fc14MINIM00000142_2.jpg", "https://images-static.nykaa.com/media/catalog/product/a/1/a11fc14MINIM00000142_4.jpg", "https://images-static.nykaa.com/media/catalog/product/a/1/a11fc14MINIM00000142_5.jpg"]</t>
  </si>
  <si>
    <t>Roopsee-E-CR-05</t>
  </si>
  <si>
    <t>The Ordinary Caffeine Solution 5% + EGCG</t>
  </si>
  <si>
    <t>Caffeine 5%</t>
  </si>
  <si>
    <t>EGCG (Epigallocatechin Gallatyl Glucoside, derived from green tea leaves)</t>
  </si>
  <si>
    <t>a lightweight, water-based eye serum formulated to reduce the appearance of under-eye puffiness and visible dark circles</t>
  </si>
  <si>
    <t>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t>
  </si>
  <si>
    <t>Key ingredient focus: Caffeine 5%; secondary ingredients: EGCG (Epigallocatechin Gallatyl Glucoside, derived from green tea leaves).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</si>
  <si>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["https://images-static.nykaa.com/media/catalog/product/2/f/2f64156769915195712_1.jpg", "https://images-static.nykaa.com/media/catalog/product/2/f/2f64156769915195712_2.jpg", "https://images-static.nykaa.com/media/catalog/product/2/f/2f64156769915195712_3.jpg", "https://images-static.nykaa.com/media/catalog/product/2/f/2f64156769915195712_4.jpg", "http://images-static.nykaa.com/media/catalog/product/2/f/2f64156769915195712_5.jpg"]</t>
  </si>
  <si>
    <t>Roopsee-E-CR-06</t>
  </si>
  <si>
    <t>Intas Eyebliss Under Eye Cream</t>
  </si>
  <si>
    <t>Intas Pharmaceuticals</t>
  </si>
  <si>
    <t>Vitamin K</t>
  </si>
  <si>
    <t>Vitamin K1/Green Tea Extract /Cucumber Extract</t>
  </si>
  <si>
    <t>Intas Eyebliss Under Eye Cream (15 g) is a specialized, dermatologist-tested skincare product designed to target dark circles, puffiness, and fatigue around the eyes.</t>
  </si>
  <si>
    <t>Key ingredient focus: Vitamin K; secondary ingredients: Vitamin K1/Green Tea Extract /Cucumber Extract.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</si>
  <si>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["https://www.clinikally.com/cdn/shop/files/EYEBLISS05.jpg?v=1719404836&amp;width=800", "https://www.clinikally.com/cdn/shop/files/EYEBLISS04.jpg?v=1719404836&amp;width=800", "https://www.clinikally.com/cdn/shop/files/EYEBLISS02.jpg?v=1719404836&amp;width=800", "https://www.clinikally.com/cdn/shop/files/EYEBLISS02.jpg?v=1719404836&amp;width=800", "https://www.clinikally.com/cdn/shop/files/EYEBLISS03.jpg?v=1719404836&amp;width=800"]</t>
  </si>
  <si>
    <t>Roopsee-E-CR-07</t>
  </si>
  <si>
    <t>Dot &amp; Key Pomegranate Retinol Eye Cream</t>
  </si>
  <si>
    <t>Caffeine/Rosehip Oil</t>
  </si>
  <si>
    <t>a collagen-boosting under-eye treatment designed to reduce fine lines, dark circles, and puffiness</t>
  </si>
  <si>
    <t>Aqua, Caprylic/Capric Triglyceride, Potassium Olivoyl Hydrolyzed Oat Protein, Cetearyl Alcohol, Glyceryl Oleate, Glyceryl Stearate, Propylene Glycol, Dicaprylyl Ether, Siloxanetriol Alginate, Caffeine, Butylene Glycol, Glycerine, Cetostearyl Alcohol, Lauryl Laurate, Methylsilanol Mannuronate, Scutellaria Baicalensis Root Extract, Paeonia Suffruticosa Root Extract, Saxifraga Sarmentosa Extract, Benzyl Alcohol, Ethylhexylglycerin, Tocopherol, Argania Spinosa (Argan) Kernel Oil, Simmondsia Chinensis (Jojoba) Seed Oil, Olea Europaea (Olive) Fruit Oil, Stearyl Dimethicone, Octadecene, Hyaluronic Acid, Silanetriol, Tocopheryl Acetate, Acrylates/C10-30 Alkyl Acrylate Crosspolymer, Disodium EDTA, Allantoin, Butylated Hydroxytoluene, Punica Granatum (Pomegranate) Oil, Retinyl Palmitate, Coffea Arabica Seed Extract, Coffea Arabica (Coffee Cherry) Seed Oil, Rosa Canina (Rosehip) Oil, Sodium Hydroxide.</t>
  </si>
  <si>
    <t>Key ingredient focus: Retinol; secondary ingredients: Caffeine/Rosehip Oil.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</si>
  <si>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["https://www.dotandkey.com/cdn/shop/files/1-Retinol-Eye-Cream_0dbf6882-9197-4d09-8d3f-55c8f95c1984.jpg?v=1727356057&amp;width=700", "https://www.dotandkey.com/cdn/shop/files/2_7f1c1917-c89b-4642-9773-8c108d1285e9.jpg?v=1744613564&amp;width=700", "https://www.dotandkey.com/cdn/shop/files/3_1b67d302-c6a4-45d6-beef-1fe08f885be9.jpg?v=1744613564&amp;width=700", "https://www.dotandkey.com/cdn/shop/files/4_03ab3195-b3dd-4856-b697-6a12a43a6cf6.jpg?v=1744613564&amp;width=700", "https://www.dotandkey.com/cdn/shop/files/5_9494c3c4-d63b-44ec-8a3a-a5cb42f571bc.jpg?v=1744613564&amp;width=700"]</t>
  </si>
  <si>
    <t>Roopsee-E-CR-08</t>
  </si>
  <si>
    <t>The Derma Co Skin Renew Peptide Under Eye Cream</t>
  </si>
  <si>
    <t>2% Adipoless (Quinoa Seed Extract)/1% Vitamin C (Ethyl Ascorbic Acid)/0.5% Caffeine/Retinol</t>
  </si>
  <si>
    <t>a specialized 15 ml treatment clinically proven to visibly reduce dark circles in just 28 days. It targets fine lines, puffiness, and hyperpigmentation while boosting collagen and skin elasticity</t>
  </si>
  <si>
    <t>Aqua, Betaine, Saccharomyces Ferment Filtrate, Propanediol, Ethoxydiglycol, Glycerin, Chenopodium Quinoa Seed Extract, Ethyl Ascorbic Acid, Xylitol, Sodium Acrylate/Sodium Acryloyldimethyl Taurate Copolymer, Isohexadecane, Palmitoyl Tetrapeptide-7, Carnosine, Dipeptide-2, Adenosine, Acetyl Tetrapeptide-5, Palmitoyl Tripeptide-5, Sodium Hyaluronate, Caffeine, Retinol, Polysorbate 80, Phenoxyethanol, Ethylhexylglycerin.</t>
  </si>
  <si>
    <t>Key ingredient focus: Peptides; secondary ingredients: 2% Adipoless (Quinoa Seed Extract)/1% Vitamin C (Ethyl Ascorbic Acid)/0.5% Ca....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</si>
  <si>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["https://images-static.nykaa.com/media/catalog/product/8/1/81ebb61THEDE00000468_1a.jpg", "https://images-static.nykaa.com/media/catalog/product/2/f/2f97f608904417323306_2.jpg", "https://images-static.nykaa.com/media/catalog/product/2/f/2f97f608904417323306_3.jpg", "https://images-static.nykaa.com/media/catalog/product/2/f/2f97f608904417323306_4.jpg", "https://images-static.nykaa.com/media/catalog/product/2/f/2f97f608904417323306_5.jpg", "https://images-static.nykaa.com/media/catalog/product/2/f/2f97f608904417323306_6.jpg"]</t>
  </si>
  <si>
    <t>Roopsee-E-CR-09</t>
  </si>
  <si>
    <t>Pilgrim Retinol Under Eye Cream</t>
  </si>
  <si>
    <t>30 gm</t>
  </si>
  <si>
    <t>Vitamin C (Sodium Ascorbyl Phosphate)/Hyaluronic Acid/White Lotus Extract/Licorice Extract</t>
  </si>
  <si>
    <t>a lightweight, non-greasy anti-aging treatment designed to target dark circles, puffiness, and fine lines.</t>
  </si>
  <si>
    <t>Purified Water, Avocado Oil, Betaine, Caprylic Capric Triglyceride, Carbomer, Cetyl Alcohol, Cucumber Extract, Ethylhexylglycerin, Glycerin, Licorice Extract, Maltodextrin, Mulberry Extract, Parfum, Phenoxyethanol, Pomegranate Extract, Potassium Sorbate, Retinol, Rosehip Oil, Sodium Acrylates Copolymer, Sodium Ascorbate (Vit C), Sodium Ascorbyl Phosphate (Vit C), Sodium Benzoate, Sodium Gluconate, Sodium Hyaluronate (Hyaluronic Acid), Stearic Acid, Tocopherol (Vit E), White Water Lily Extract.</t>
  </si>
  <si>
    <t>Key ingredient focus: Retinol; secondary ingredients: Vitamin C (Sodium Ascorbyl Phosphate)/Hyaluronic Acid/White Lotus Extract/Lic.... Retinoid-style actives can increase dryness and sun sensitivity; avoid during pregnancy/breastfeeding unless cleared by a clinician and always use SPF. Exfoliating acids may tingle and increase sensitivity; start slowly and pause if peeling, burning, or barrier damage occurs.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</si>
  <si>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["https://images-static.nykaa.com/media/catalog/product/9/b/9b78cbcPILGR00000017_1.jpg", "https://images-static.nykaa.com/media/catalog/product/9/b/9b78cbcPILGR00000017_2.jpg", "https://images-static.nykaa.com/media/catalog/product/9/b/9b78cbcPILGR00000017_3.jpg", "https://images-static.nykaa.com/media/catalog/product/9/b/9b78cbcPILGR00000017_4.jpg", "https://images-static.nykaa.com/media/catalog/product/9/b/9b78cbcPILGR00000017_6.jpg"]</t>
  </si>
  <si>
    <t>Roopsee-E-CR-10</t>
  </si>
  <si>
    <t>Chemist at Play Hydrating &amp; Anti-Aging Under Eye Cream</t>
  </si>
  <si>
    <t>2% Quinoa Seed Extract/Green Tea Extract/Pomegranate Extract</t>
  </si>
  <si>
    <t>a lightweight, fragrance-free formula designed to target dark circles, puffiness, and fine lines.</t>
  </si>
  <si>
    <t>Purified Water, Stearic Acid, Propanediol, Coco-Caprylate, Lactobacillus Ferment Lysate, Camellia Sinensis (Green Tea) Leaf Extract, Punica Granatum (Pomegranate) Extract, Caffeine, Chenopodium Quinoa Seed Extract, Glyceryl Monostearate, Cetyl Alcohol, Cetearyl Alcohol, Betaine, Butyrospermum Parkii (Shea Butter), Olea Europaea (Olive) Fruit Oil, Prunus Amygdalus Dulcis (Sweet Almond Oil), Phenoxyethanol, Ammonium Acryloyldimethyltaurate/VP Copolymer, Allantoin, Trisodium Ethylenediamine Disuccinate, Tocopheryl Acetate (Vitamin E), Sodium Hyaluronate, Rice (Oryza Sativa) Phytoceramides, Konjac (Amorphophallus) Phytoceramide, Phospholipids, Sphingolipids, Disodium EDTA.</t>
  </si>
  <si>
    <t>• Apply after cleansing and before heavier leave-on products.
 • Use with clean hands or a soft cotton pad without dragging the skin.
 • Keep application light and even.
 • Follow with moisturiser if skin feels dry.
 • Reduce frequency if tingling or tightness becomes frequent.</t>
  </si>
  <si>
    <t>• Do not rub harshly with cotton pads.
 • Do not apply on irritated, freshly shaved, or broken skin.
 • Do not use many watery layers if the skin starts feeling sticky or congested.
 • Do not apply near the eyes unless suitable for that area.
 • Do not continue if redness or burning persists.</t>
  </si>
  <si>
    <t>• Use after cleansing on clean skin.
 • Dispense a small amount into palms or onto a cotton pad.
 • Press or sweep gently across the skin.
 • Let it absorb before applying serum or moisturiser.
 • Use once daily at first, then adjust based on comfort.</t>
  </si>
  <si>
    <t>Key ingredient focus: Hyaluronic Acid; secondary ingredients: 2% Quinoa Seed Extract/Green Tea Extract/Pomegranate Extract.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</si>
  <si>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["https://images-static.nykaa.com/media/catalog/product/1/5/151868bCHEMI00000105s_1.jpg", "https://images-static.nykaa.com/media/catalog/product/1/5/151868bCHEMI00000105s_2.jpg", "https://images-static.nykaa.com/media/catalog/product/1/5/151868bCHEMI00000105s_3.jpg", "https://images-static.nykaa.com/media/catalog/product/1/5/151868bCHEMI00000105s_4.jpg", "https://images-static.nykaa.com/media/catalog/product/1/5/151868bCHEMI00000105s_5.jpg"]</t>
  </si>
  <si>
    <t>Roopsee-E-CR-11</t>
  </si>
  <si>
    <t>The Derma Co Snail Peptide 96 Under Eye Repair Cream</t>
  </si>
  <si>
    <t>Dark Circles, Dry / Chapped Lips</t>
  </si>
  <si>
    <t>Caffeine/Retinyl Palmitate (Mild Retinol)/Niacinamide/Alpha-Arbutin</t>
  </si>
  <si>
    <t>a specialized under-eye treatment designed to diminish dark circles, reduce puffiness, and smooth out fine lines and wrinkles.</t>
  </si>
  <si>
    <t>Aqua, Propylene Glycol, Caprylic/Capric Triglyceride, Glycerine, Niacinamide, Ethylhexyl Olivate, Sodium Acrylates Copolymer, Polyglyceryl-4 Oleate, Caffeine, Shea Butter, Tripeptide-1, Acetyl Hexapeptide-8, Palmitoyl Pentapeptide-4, Palmitoyl Tripeptide-1, Acetyl Tetrapeptide-5, Palmitoyl Tetrapeptide-7, N-Hydroxysuccinimide, Polysorbate 20, Butylene Glycol, Carbomer, Alpha-Arbutin, Licorice Extract, Sodium Hyaluronate, Snail Secretion Filtrate, Ubiquinone, Retinyl Palmitate, Diacetyl Boldine, Ascorbyl Tetraisopalmitate, Panthenol, Phenoxyethanol, Ethylhexylglycerin.</t>
  </si>
  <si>
    <t>Key ingredient focus: Snail Mucin; secondary ingredients: Caffeine/Retinyl Palmitate (Mild Retinol)/Niacinamide/Alpha-Arbutin. Retinoid-style actives can increase dryness and sun sensitivity; avoid during pregnancy/breastfeeding unless cleared by a clinician and always use SPF.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</si>
  <si>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["https://thedermaco.com/cdn/shop/files/snail-peptide-96-under-eye-cream-front.jpg?v=1758287018&amp;width=713", "https://thedermaco.com/cdn/shop/files/snail-peptide-96-under-eye-cream-clinical-actives.jpg?v=1758287018&amp;width=713", "https://thedermaco.com/cdn/shop/files/snail-peptide-96-under-eye-cream-1.jpg?v=1758287018&amp;width=713", "https://thedermaco.com/cdn/shop/files/snail-peptide-96-under-eye-cream-7.jpg?v=1758287018&amp;width=713"]</t>
  </si>
  <si>
    <t>Roopsee-L-BA-01</t>
  </si>
  <si>
    <t>LANEIGE Lip Glowy Balm Berry Fruits Rouges</t>
  </si>
  <si>
    <t>10gm</t>
  </si>
  <si>
    <t>Murumuru Butter, Berry Extracts</t>
  </si>
  <si>
    <t>LANEIGE Lip Glowy Balm Berry Fruits Rouges is a lip balm formulated to moisturise dry lips and help keep them soft, comfortable and protected during the day.</t>
  </si>
  <si>
    <t>The formula combines moisturizing agents, waxes, and botanical extracts including Hydrogenated Polyisobutene, Shea Butter, Murumuru Seed Butter, and various berry extracts (Raspberry, Blueberry, Goji).</t>
  </si>
  <si>
    <t>• Apply a thin layer whenever lips feel dry or tight.
 • Use before sleep for longer comfort overnight.
 • Reapply after meals, drinking, or wiping the lips.
 • Keep the applicator clean and close the cap properly.
 • Use a separate product for each person to maintain hygiene.</t>
  </si>
  <si>
    <t>• Do not apply on bleeding cracks or infected-looking areas without advice.
 • Do not share lip products directly with others.
 • Do not lick lips repeatedly after applying, as this can worsen dryness.
 • Do not use if smell, texture, or taste changes unusually.
 • Do not apply too close to the inner mouth if it is not meant to be ingested.</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</si>
  <si>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Keep each item sealed or capped separately to avoid contamination.</t>
  </si>
  <si>
    <t>• Apply directly or with clean fingers on dry lips.
 • Use a small amount and spread evenly.
 • Reapply through the day as needed.
 • Use before matte lip products to reduce dryness.
 • Apply a slightly thicker layer at night if lips feel very dry.</t>
  </si>
  <si>
    <t>Key ingredient focus: Shea Butter; secondary ingredients: Murumuru Butter, Berry Extracts.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</si>
  <si>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["https://m.media-amazon.com/images/I/51+0jIxFt2L._SX522_.jpg", "https://m.media-amazon.com/images/I/612uzO2onOL._SX522_.jpg", "https://m.media-amazon.com/images/I/61C1NvZl0ML._SX522_.jpg"]</t>
  </si>
  <si>
    <t>Roopsee-L-BA-02</t>
  </si>
  <si>
    <t>LANEIGE Lip Glowy Balm - Gummy Bear</t>
  </si>
  <si>
    <t>Murumuru Butter, Moisture Lock Complex</t>
  </si>
  <si>
    <t>LANEIGE Lip Glowy Balm - Gummy Bear is a lip balm formulated to moisturise dry lips and help keep them soft, comfortable and protected during the day.</t>
  </si>
  <si>
    <t>Hydrogenated Polyisobutene, Diisostearyl Malate, Polybutene, Shea Butter, Murumuru Seed Butter, Tocopherol, Gummy Bear Flavour, Fragrance.</t>
  </si>
  <si>
    <t>Key ingredient focus: Shea Butter; secondary ingredients: Murumuru Butter, Moisture Lock Complex.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</si>
  <si>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["https://cdn.tirabeauty.com/v2/billowing-snowflake-434234/tira-p/wrkr/products/pictures/item/free/resize-w:1080/1143615/AVUI2b-aS-1143615_1.jpg", "https://cdn.tirabeauty.com/v2/billowing-snowflake-434234/tira-p/wrkr/products/pictures/item/free/resize-w:1080/1143615/QcMdTEt6t-1143615_4.jpg", "https://cdn.tirabeauty.com/v2/billowing-snowflake-434234/tira-p/wrkr/products/pictures/item/free/resize-w:1080/1143615/V2WZYNa5GX-1143615_5.jpg"]</t>
  </si>
  <si>
    <t>Roopsee-L-BA-03</t>
  </si>
  <si>
    <t>LANEIGE Lip Glowy Balm - Sweet Candy</t>
  </si>
  <si>
    <t>Murumuru Butter, Moisturizing Film Formers</t>
  </si>
  <si>
    <t>LANEIGE Lip Glowy Balm - Sweet Candy is a lip balm formulated to moisturise dry lips and help keep them soft, comfortable and protected during the day.</t>
  </si>
  <si>
    <t>Hydrogenated Polyisobutene, Diisostearyl Malate, Polybutene, Shea Butter, Murumuru Seed Butter, Tocopherol, Sweet Candy Flavour, Fragrance.</t>
  </si>
  <si>
    <t>Key ingredient focus: Shea Butter; secondary ingredients: Murumuru Butter, Moisturizing Film Formers.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</si>
  <si>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["https://cdn.tirabeauty.com/v2/billowing-snowflake-434234/tira-p/wrkr/products/pictures/item/free/resize-w:1080/1143616/1_l9hT2fV_-1143616_1.jpg", "https://cdn.tirabeauty.com/v2/billowing-snowflake-434234/tira-p/wrkr/products/pictures/item/free/resize-w:1080/1143616/Yfih-Gl5Il-1143616_3.jpg", "https://cdn.tirabeauty.com/v2/billowing-snowflake-434234/tira-p/wrkr/products/pictures/item/free/resize-w:1080/1143616/kzTyXS8OUU-1143616_4.jpg"]</t>
  </si>
  <si>
    <t>Roopsee-L-BA-04</t>
  </si>
  <si>
    <t>Hyphen Tinted Lip Balm - Hazel, 1% Vit E, 2% Squalane &amp; Peptides, Brightens, Moisturizes Dry Lips</t>
  </si>
  <si>
    <t>10g</t>
  </si>
  <si>
    <t>Vitamin E, Peptides, Tinted Pigments</t>
  </si>
  <si>
    <t>Hyphen Tinted Lip Balm - Hazel, 1% Vit E, 2% Squalane &amp; Peptides, Brightens, Moisturizes Dry Lips is a lip balm formulated to moisturise dry lips and help keep them soft, comfortable and protected during the day.</t>
  </si>
  <si>
    <t>Vitamin E, Squalane, Peptides, Shea Butter, Jojoba Oil, Beeswax, Pigments, Flavour, Tocopherol.</t>
  </si>
  <si>
    <t>Key ingredient focus: Squalane; secondary ingredients: Vitamin E, Peptides, Tinted Pigments.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</si>
  <si>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["https://images-static.nykaa.com/media/catalog/product/2/e/2e647d2HYPHE00000031_01.jpg", "https://images-static.nykaa.com/media/catalog/product/2/e/2e647d2HYPHE00000031_04.jpg", "https://images-static.nykaa.com/media/catalog/product/2/e/2e647d2HYPHE00000031_05.jpg"]</t>
  </si>
  <si>
    <t>Roopsee-L-BA-05</t>
  </si>
  <si>
    <t>Minimalist 8% L-Ascorbic Acid Lip Treatment Balm</t>
  </si>
  <si>
    <t>12g</t>
  </si>
  <si>
    <t>Pigmented Lips, Dry / Chapped Lips</t>
  </si>
  <si>
    <t>L-Ascorbic Acid</t>
  </si>
  <si>
    <t>Minimalist 8% L-Ascorbic Acid Lip Treatment Balm is a lip balm formulated to moisturise dry lips and help keep them soft, comfortable and protected during the day.</t>
  </si>
  <si>
    <t>L-Ascorbic Acid, Shea Butter, Squalane, Caprylic/Capric Triglyceride, Beeswax, Candelilla Wax, Tocopherol, Flavour.</t>
  </si>
  <si>
    <t>Key ingredient focus: L-Ascorbic Acid; secondary ingredients: Vitamin E, Glycerin. Vitamin C can tingle on compromised skin; use in the morning with sunscreen or at night if skin is sensitive.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</si>
  <si>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["https://global.beminimalist.co/cdn/shop/files/Untitled_1.png?v=1713770226&amp;width=1080", "https://global.beminimalist.co/cdn/shop/files/31-min.png?v=1713770226&amp;width=1080", "0"]</t>
  </si>
  <si>
    <t>Roopsee-L-BA-06</t>
  </si>
  <si>
    <t>The Derma Co 1% Kojic Acid Lip Balm with SPF 30 PA++ for Pigmentation and Dry Lips</t>
  </si>
  <si>
    <t>4.5g</t>
  </si>
  <si>
    <t>SPF Filters, Shea Butter, Vitamin E</t>
  </si>
  <si>
    <t>The Derma Co 1% Kojic Acid Lip Balm with SPF 30 PA++ for Pigmentation and Dry Lips is a lip balm formulated to moisturise dry lips and help keep them soft, comfortable and protected during the day.</t>
  </si>
  <si>
    <t>Kojic Acid, Vitamin E, Shea Butter, Beeswax, Octyl Methoxycinnamate, Zinc Oxide, Tocopherol, Flavour.</t>
  </si>
  <si>
    <t>• Use every morning as the last step before makeup or outdoor exposure.
 • Apply generously to all exposed areas, including face, neck, ears, and hands.
 • Reapply every 2-3 hours when outdoors, sweating, or after towel-drying.
 • Use even on cloudy days and when sitting near windows for long periods.
 • Let it settle for a few minutes before applying makeup.</t>
  </si>
  <si>
    <t>• Do not rely on a thin layer for full protection.
 • Do not skip reapplication during prolonged sun exposure.
 • Do not apply too close to the eyes if it causes watering or stinging.
 • Do not use an expired product, especially for outdoor protection.
 • Do not mix directly with moisturiser or foundation in your palm if it reduces even coverage.</t>
  </si>
  <si>
    <t>• Use in the morning after moisturiser and before makeup.
 • Take enough quantity to cover face and neck evenly.
 • Spread in small sections until there are no missed patches.
 • Allow it to settle before stepping out.
 • Reapply during the day when exposed to sun, heat, sweat, or water.</t>
  </si>
  <si>
    <t>Key ingredient focus: Kojic Acid; secondary ingredients: SPF Filters, Shea Butter, Vitamin 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</si>
  <si>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["https://thedermaco.com/cdn/shop/files/1_PDP_cb8c58f7-fd17-4b3e-aba9-f86bd846f5fa.jpg?v=1765347660&amp;width=713", "https://thedermaco.com/cdn/shop/files/2_PDP2.jpg?v=1765347660&amp;width=713", "https://thedermaco.com/cdn/shop/files/7_5_7.jpg?v=1765347660&amp;width=713"]</t>
  </si>
  <si>
    <t>Roopsee-L-MA-01</t>
  </si>
  <si>
    <t>Foxtale Night Shift Lip Sleeping Mask With Ceramides &amp; Maracuja Oil</t>
  </si>
  <si>
    <t>Lip mask</t>
  </si>
  <si>
    <t>12gm</t>
  </si>
  <si>
    <t>Maracuja Oil, Shea Butter, Vitamin E</t>
  </si>
  <si>
    <t>Night Shift Lip Sleeping Mask With Ceramides &amp; Maracuja Oil is an overnight lip care treatment designed to soften dry lips, support the moisture barrier and leave lips smoother by morning.</t>
  </si>
  <si>
    <t>Ceramides, Maracuja Oil, Shea Butter, Vitamin E, Squalane, Beeswax, Candelilla Wax, Flavour, Tocopherol.</t>
  </si>
  <si>
    <t>• Use on clean skin and follow the recommended contact time.
 • Apply an even layer and avoid the eye and lip area unless directed.
 • Use once or twice weekly at first instead of daily.
 • Follow with moisturiser after rinsing or removing.
 • Patch test before using on the full face if your skin reacts easily.</t>
  </si>
  <si>
    <t>• Do not leave on longer than recommended.
 • Do not use on broken, inflamed, or freshly treated skin.
 • Do not scrub while removing unless the product is clearly meant for that.
 • Do not apply many masks back-to-back in one routine.
 • Do not continue if strong burning or swelling occurs.</t>
  </si>
  <si>
    <t>• Close the cap or lid tightly after every use.
 • Store in a cool, dry place away from direct sunlight, heat, and bathroom steam.
 • Keep water out of the container and avoid touching the opening unnecessarily.
 • Keep away from children and pets.
 • Check smell, colour, texture, and expiry before use; discard if anything seems unusual.
 • Store away from shower splash and close immediately after use.</t>
  </si>
  <si>
    <t>• Cleanse first and pat skin dry.
 • Apply a thin, even layer or place as directed.
 • Keep it on only for the recommended time.
 • Rinse, wipe, or remove gently as needed.
 • Finish with moisturiser; use sunscreen the next morning if skin feels more sensitive.</t>
  </si>
  <si>
    <t>Key ingredient focus: Ceramides; secondary ingredients: Maracuja Oil, Shea Butter, Vitamin 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</si>
  <si>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["https://cdn.shopify.com/s/files/1/0609/6096/4855/files/SLIDE2.jpg?v=1775482738&amp;width=1000&amp;quality=60", "https://cdn.shopify.com/s/files/1/0609/6096/4855/files/SLIDE3_3c29a9dd-c389-4183-b27a-c353afa78eef.jpg?v=1775482738&amp;width=1000&amp;quality=60", "https://cdn.shopify.com/s/files/1/0609/6096/4855/files/SLIDE4_a9630b9a-a1c5-4df7-a729-d95ccf81fad5.jpg?v=1775482738&amp;width=1000&amp;quality=60", "https://cdn.shopify.com/s/files/1/0609/6096/4855/files/SLIDE5_1debe799-5f39-4290-91b5-abbaa16dfc92.jpg?v=1775482738&amp;width=1000&amp;quality=60"]</t>
  </si>
  <si>
    <t>Roopsee-L-MA-02</t>
  </si>
  <si>
    <t>LANEIGE Lip Sleeping Mask Sweet Candy - Mini</t>
  </si>
  <si>
    <t>Berry Mix Complex, Murumuru Butter</t>
  </si>
  <si>
    <t>LANEIGE Lip Sleeping Mask Sweet Candy - Mini is an overnight lip care treatment designed to soften dry lips, support the moisture barrier and leave lips smoother by morning.</t>
  </si>
  <si>
    <t>Diisostearyl Malate, Hydrogenated Polyisobutene, Phytosteryl/Isostearyl/Cetyl/Stearyl/Behenyl Dimer Dilinoleate, Squalane, Butyrospermum Parkii (Shea) Butter, Berry Mix Complex, Ascorbyl Glucoside, Fragrance.</t>
  </si>
  <si>
    <t>Key ingredient focus: Shea Butter; secondary ingredients: Berry Mix Complex,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</si>
  <si>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["https://cdn.fynd.com/v2/falling-surf-7c8bb8/fyprod/wrkr/products/pictures/item/free/resize-w:1024/000000000494496294/A8e84DO2jr-000000000494496294_1.jpg", "https://cdn.fynd.com/v2/falling-surf-7c8bb8/fyprod/wrkr/products/pictures/item/free/resize-w:1024/000000000494496294/Iv4EP3LE59-000000000494496294_3.jpg", "0"]</t>
  </si>
  <si>
    <t>Roopsee-L-MA-03</t>
  </si>
  <si>
    <t>LANEIGE Lip Sleeping Mask Berry - Mini</t>
  </si>
  <si>
    <t>Berry Antioxidants, Murumuru Butter</t>
  </si>
  <si>
    <t>LANEIGE Lip Sleeping Mask Berry - Mini is an overnight lip care treatment designed to soften dry lips, support the moisture barrier and leave lips smoother by morning.</t>
  </si>
  <si>
    <t>Diisostearyl Malate, Hydrogenated Polyisobutene, Squalane, Shea Butter, Murumuru Seed Butter, Berry Fruit Complex, Vitamin C derivative, Fragrance.</t>
  </si>
  <si>
    <t>Key ingredient focus: Shea Butter; secondary ingredients: Berry Antioxidants,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</si>
  <si>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["https://cdn.fynd.com/v2/falling-surf-7c8bb8/fyprod/wrkr/products/pictures/item/free/resize-w:1024/000000000494284911/T0h7GEYphZ-000000000494284911_1.jpg", "0", "0"]</t>
  </si>
  <si>
    <t>Roopsee-L-MA-04</t>
  </si>
  <si>
    <t>LANEIGE Lip Sleeping Mask Gummy bear</t>
  </si>
  <si>
    <t>Murumuru Butter, Moisture Wrap Complex</t>
  </si>
  <si>
    <t>LANEIGE Lip Sleeping Mask Gummy bear is an overnight lip care treatment designed to soften dry lips, support the moisture barrier and leave lips smoother by morning.</t>
  </si>
  <si>
    <t>Diisostearyl Malate, Hydrogenated Polyisobutene, Squalane, Shea Butter, Murumuru Seed Butter, Gummy Bear Flavour, Berry Fruit Complex, Vitamin C derivative, Fragrance.</t>
  </si>
  <si>
    <t>Key ingredient focus: Shea Butter; secondary ingredients: Murumuru Butter, Moisture Wrap Complex.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</si>
  <si>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["https://m.media-amazon.com/images/I/51t+29L1DTL._SX522_.jpg", "https://m.media-amazon.com/images/I/71XDRaHqf5L._SX522_.jpg", "https://m.media-amazon.com/images/I/81PKEzIuSEL._SX522_.jpg"]</t>
  </si>
  <si>
    <t>Roopsee-L-MA-05</t>
  </si>
  <si>
    <t>LANEIGE Lip Sleeping Mask Berry</t>
  </si>
  <si>
    <t>Berry Extracts, Murumuru Butter</t>
  </si>
  <si>
    <t>LANEIGE Lip Sleeping Mask Berry is an overnight lip care treatment designed to soften dry lips, support the moisture barrier and leave lips smoother by morning.</t>
  </si>
  <si>
    <t>Key ingredient focus: Shea Butter; secondary ingredients: Berry Extracts,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</si>
  <si>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["https://images-static.nykaa.com/media/catalog/product/5/1/5192623LANEI00000344_1.jpg", "https://images-static.nykaa.com/media/catalog/product/5/1/5192623LANEI00000344_4.jpg", "https://images-static.nykaa.com/media/catalog/product/5/1/5192623LANEI00000344_5.jpg"]</t>
  </si>
  <si>
    <t>Roopsee-L-BA-07</t>
  </si>
  <si>
    <t>Deconstruct Brightening Lip Balm With SPF 50 For Dark Lips - 1% Vitamin C + 0.1% Resorcinol</t>
  </si>
  <si>
    <t>4gm</t>
  </si>
  <si>
    <t>Pigmented Lips</t>
  </si>
  <si>
    <t>Vitamin C 1%</t>
  </si>
  <si>
    <t>Deconstruct Brightening Lip Balm with SPF 50 is formulated to protect your lips from sun damage without leaving any white cast, while delivering IN-VIVO Tested 24-hour moisturization. With consistent usage, it helps brighten the lips and provides intense hydration to dry &amp; chapped lips for men &amp; women. Powered by 1% Vitamin C, it helps repair lip discolouration, while 0.1% Resorcinol targets pigmentation caused by sun exposure. This SPF 50 broad-spectrum lip balm shields lips from harmful UV rays and supports healthier, visibly brighter-looking lips with daily use.</t>
  </si>
  <si>
    <t>Ricinus Communis Seed Oil, Caprylic/Capric Triglyceride, Isopropyl Myristate, Microcristallina Cera, Copernicia Cerifera (Carnauba) Wax, Helianthus Annuus Seed Oil, Butyl Methoxydibenzoylmethane, Candelilla Cera, Ozokerite,Theobroma Cacao Seed Butter, Ethylhexyl Salicylate, Homosalate, Octocrylene, Mangifera Indica Seed Butter, Hydrogenated Castor Oil, Garcinia Indica Seed Butter, Astrocaryum Murumuru Seed Butter, Theobroma Grandiflorum Seed Butter, Prunus Amygdalus Dulcis Oil, Titanium Dioxide, Silica, Jojoba esters, Polyhydroxy Stearic Acid, Zinc Oxide, C12-15 Alkyl Benzoate, Isostearic Acid, Ascorbyl Tetraisopalmitate, Tocopherol, Vanilla Planifolia Fruit Oil, Soybean Glycerides, Butyrospermum Parkii Butter Unsaponifiables, Phenylethyl Resorcinol, Phytosteryl/Octyldodecyl Lauroyl Glutamate, Linoleic Acid, Linolenic Acid</t>
  </si>
  <si>
    <t>Key ingredient focus: Vitamin C 1%.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</si>
  <si>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["https://m.media-amazon.com/images/I/41WHo-xeSrL._SL1080_.jpg", "https://m.media-amazon.com/images/I/518O8GcTWBL._SL1080_.jpg", "https://m.media-amazon.com/images/I/51-T-9BOb0L._SL1080_.jpg", "https://m.media-amazon.com/images/I/51-nHtvfTGL._SL1080_.jpg"]</t>
  </si>
  <si>
    <t>Roopsee-L-BA-08</t>
  </si>
  <si>
    <t>Fixderma Lip Balm With Vitamin C &amp; E For Dark Dry &amp; Chapped Lips 15ml</t>
  </si>
  <si>
    <t>FIXDERMA LIP BALM is an ultra-hydrating formula that delivers intense nourishment and provide instant soothing relief for dry and chapped lips.
 12-Hr HYDRATING FORMULA: The non-sticky texture of lip balm has excellent moisturizing benefits without any greasy feeling on the lips.
 SOFT &amp; PLUMP LIPS: Powered with skin-rejuvenating agents, this lip balm alleviates flaky skin for visibly healthy, soft and plump lips.
 POTENT INGREDIENTS: Enriched with highly potent ingredients like Vitamin C, Vitamin E, and Octyl Stearate.
 ANTIOXIDANT BENEFITS: With the goodness of antioxidant properties, this lip balm protects the delicate skin of lips from free radical damage.</t>
  </si>
  <si>
    <t>Key Ingredients: Vitamin C, Vitamin E, Octyl Stearate</t>
  </si>
  <si>
    <t>Key ingredient focus: Shea Butter. Vitamin C can tingle on compromised skin; use in the morning with sunscreen or at night if skin is sensitive.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</si>
  <si>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["https://m.media-amazon.com/images/I/51Rtq3-3gjL._SL1200_.jpg", "https://m.media-amazon.com/images/I/51bxqcFdfuL._SL1200_.jpg", "https://m.media-amazon.com/images/I/611GWL59gUL._SL1200_.jpg", "https://m.media-amazon.com/images/I/5142cSAPGmL._SL1200_.jpg"]</t>
  </si>
  <si>
    <t>Roopsee-L-BA-09</t>
  </si>
  <si>
    <t>WishCare Ceramide Lip Balm SPF 50 PA+++</t>
  </si>
  <si>
    <t>Wishcare</t>
  </si>
  <si>
    <t>5g</t>
  </si>
  <si>
    <t>Kojic Acid, Niacinamide, SPF 50 PA+++ - Watermelon</t>
  </si>
  <si>
    <t>SPF 50, PA+++ WITH CERAMIDE PROTECTION : WishCare Ceramide Lip Balm with SPF is uniquely formulated with broad-spectrum SPF 50 protection, shielding your lips from harmful UVA and UVB rays. At the same time ceramide locks in moisture and gives you healthy lips
 LIGHTENS LIPS : Infused with Kojic &amp; Niacinamide this lip balm lightens and brightens your lips which might be damaged due to daily stress like pollution, smoking and sun exposure.</t>
  </si>
  <si>
    <t>Castor Seed Oil, Candelilla Wax, Coconut Oil, Shea Butter, Tinosorb M, Tinosorb S,Cocoa Butter, Almond Oil, Carrot Seed Oil, Red Raspberry Oil, Niacinamide, Kojic Acid, Carnauba Wax, Watermelon Extract, Ceramide NP, Ceramide AP, Dicaprilyl Carbonate, Ceramide EOP, Cetearyl Olivate, Sorbitan Olivate, Zinc Oxide, Titanium Dioxide, Caprylyl Methicone, Vitamin E, OA Omega Plus,Berry Flavour,CL26100</t>
  </si>
  <si>
    <t>Key ingredient focus: Ceramides; secondary ingredients: Kojic Acid, Niacinamide, SPF 50 PA+++ - Watermelon.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</si>
  <si>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["https://www.mywishcare.com/cdn/shop/files/1_22442331-4478-44cb-8ec6-07563ed02440.jpg?v=1706700035&amp;width=1000", "https://www.mywishcare.com/cdn/shop/files/2_17.jpg?v=1768451714&amp;width=1000", "https://www.mywishcare.com/cdn/shop/files/TINTED_LIP_BALM.jpg?v=1768451714&amp;width=1000", "https://www.mywishcare.com/cdn/shop/files/4_1476c32d-2198-49e4-a070-3061b94c94fd.jpg?v=1768451714&amp;width=1000"]</t>
  </si>
  <si>
    <t>Roopsee-L-BA-10</t>
  </si>
  <si>
    <t>Fixderma 4% Kojic Acid Brightening Lip Balm</t>
  </si>
  <si>
    <t>Give your lips the care they deserve with the Fixderma 4% Kojic Acid Brightening Lip Balm (15ml). Enriched with kojic acid, alpha arbutin, and nano curcumin, this lip balm brightens and evens out lip tone. It offers SPF 50+ protection that shields your lips from harmful UV rays while keeping them hydrated, smooth, and nourished throughout the day. Ideal for both men and women, this lip balm is the perfect everyday essential for healthy, protected lips.</t>
  </si>
  <si>
    <t>Kojic Acid, Alpha Arbutin, Nano Curcumin And Uvinul A Plus</t>
  </si>
  <si>
    <t>Key ingredient focus: Kojic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</si>
  <si>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["https://m.media-amazon.com/images/I/51Pb816i1JL._SX679_.jpg", "https://m.media-amazon.com/images/I/61hofRVSoCL._SL1200_.jpg", "https://m.media-amazon.com/images/I/61FvxJD27jL._SX679_.jpg"]</t>
  </si>
  <si>
    <t>Roopsee-L-BA-11</t>
  </si>
  <si>
    <t>Chemist at Play Ceramides Cherry SPF 50 PA++ Lip Balm</t>
  </si>
  <si>
    <t>Cherry Tint for Rosy Lips A soft cherry hue gives your lips a naturally flushed look—perfect for when you want your lip balm to work and look cute.
 Repairs Chapped Lips in 1 Day Say goodbye to cracks and flakes—this best lip balm for chapped lips gives instant relief and smoother texture in just one day.
 Fades Pigmentation with 1% Kojic Acid Formulated as a lip balm for dark lips, it reduces pigmentation and revives dull, uneven lips with daily use.
 24 Hours Moisturization Thanks to Hyaluronic Acid and Ceramides, it delivers deep hydration and combats trans-epidermal water loss.
 SPF Lip Balm with PA++++ Protection Get high-level sun protection with SPF 50 PA++++ to prevent tanning and UV damage.</t>
  </si>
  <si>
    <t>Ricinus Communis (Castor) Seed Oil, Euphorbia Cerifera (Candelilla) Cera, Cocos Nucifera (Coconut) Oil, Butyrospermum Parkii (Shea) Butter, Methylene Bis-Benzotriazolyl Tetramethylbutylphenol, Bis-Ethylhexyloxyphenol Methoxyphenyl Triazine, Theobroma Cacao (Cocoa) Seed Butter, Prunus Amygdalus Dulcis (Sweet Almond) Oil, Daucus Carota Sativa (Carrot) Seed Oil, Rubus Idaeus (Raspberry) Seed Oil, Niacinamide, Copernicia Cerifera (Carnauba) Cera, Kojic Acid Dipalmitate, Dicaprylyl Carbonate, Ceramide Eop, Glycyrrhiza Glabra (Licorice) Root Extract, Cetearyl Olivate, Sorbitan Olivate, Zinc Oxide, Titanium Dioxide, Caprylyl Methicone, Tocopheryl Acetate, Olea Europaea (Olive) Fruit Oil, Olea Europaea (Olive) Leaf Extract, Olea Europaea (Olive) Fruit Extract, Ceramide Np, Ceramide Ap, Sodium Hyaluronate, Copper Tripeptide-1, Palmitoyl Tripeptide-1, Pisum Sativum (Pea) Peptide, Flavour</t>
  </si>
  <si>
    <t>Key ingredient focus: Ceramides.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</si>
  <si>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["https://m.media-amazon.com/images/I/51aj3eqm5ZL._SL1000_.jpg", "https://m.media-amazon.com/images/I/61v275Px9lL._SL1000_.jpg", "https://m.media-amazon.com/images/I/61yi4aEePCL._SL1000_.jpg", "https://m.media-amazon.com/images/I/61ThrNQIUHL._SL1000_.jpg"]</t>
  </si>
  <si>
    <t>Roopsee-L-BA-12</t>
  </si>
  <si>
    <t>Dermatouch Kojic Acid Ceramide Lip Balm SPF 50 PA+++</t>
  </si>
  <si>
    <t>Dermatouch</t>
  </si>
  <si>
    <t>Kojic Acid, Niacinamide, Hyaluronic Acid, Ceramide (Oliconew – 8106)</t>
  </si>
  <si>
    <t>REDUCES LIP PIGMENTATION: Formulated with kojic acid, this natural lip balm helps fade discoloration and supports an even, bright lip tone.
 STRENGTHENS LIP BARRIER: Niacinamide and ceramide work together to fortify the lips’ natural barrier, preventing moisture loss and chapping.
 DEEP HYDRATION &amp; PLUMPING: Hyaluronic acid deeply moisturizes and plumps lips, keeping them soft, smooth, and healthy-looking.
 BROAD-SPECTRUM SUN PROTECTION: Contains SPF 50 PA+++ with zinc oxide and titanium dioxide to shield lips from harmful UVA/UVB rays.
 NATURAL, NON-GREASY FORMULA: Enriched with castor, almond, coconut oils, shea &amp; mango butter for nourishing, lightweight care without stickiness.
 DERMATOLOGICALLY TESTED: Free from parabens, alcohol, sulphates, and mineral oils. Safe for daily use on dry to normal, pigmented lips.</t>
  </si>
  <si>
    <t>Castor Seed Oil, Coconut Oil, Almond Oil, Shea Butter, Mango Butter, Tinosorb S, Uvinul A,Cocoa Butter, Carrot Seed Oil, Red Raspberry Oil, Carnauba Wax, Candelilla Wax, AvocadoOil, Licorice Extract, Cetearyl Olivate, Sorbitan Olivate, Zinc Oxide, Titanium Dioxide,Bisabolol, Vitamin E, Niacinamide, Ceramide, Kojic Acid, Hyaluronic Acid, Ricinus Communis(Castor) Oil, Hydrogenated Castor Oil</t>
  </si>
  <si>
    <t>Key ingredient focus: Kojic Acid; secondary ingredients: Kojic Acid, Niacinamide, Hyaluronic Acid, Ceramide (Oliconew – 8106).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</si>
  <si>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["https://m.media-amazon.com/images/I/61KLfKDvOgL._SL1500_.jpg", "https://m.media-amazon.com/images/I/719JwDTpgEL._SL1500_.jpg", "https://m.media-amazon.com/images/I/71ljy14ygxL._SL1500_.jpg", "https://m.media-amazon.com/images/I/71gjRWY914L._SL1500_.jpg"]</t>
  </si>
  <si>
    <t>Roopsee-E-CR-12</t>
  </si>
  <si>
    <t>Axis-Y Vegan Collagen Eye Serum [10ml]</t>
  </si>
  <si>
    <t>Axis-Y</t>
  </si>
  <si>
    <t>Eye Cream</t>
  </si>
  <si>
    <t>10 ml</t>
  </si>
  <si>
    <t>Vegan Collagen</t>
  </si>
  <si>
    <t>Peptides, Triple Hyaluronic Acid, Niacinamide</t>
  </si>
  <si>
    <t>A lightweight targeted eye serum made with vegan collagen, peptides, triple hyaluronic acid, fruit extracts, and nourishing oils to help improve the look of fine lines, puffiness, dark circles, dryness, and tired under-eyes.</t>
  </si>
  <si>
    <t>Water, Methylpropanediol, Glycerin, 1,2-Hexanediol, Niacinamide, Adenosine, Collagen, Sodium Hyaluronate, Hydrolyzed Hyaluronic Acid, Sodium Acetylated Hyaluronate, Tripeptide-1, Palmitoyl Pentapeptide-4, Hexapeptide-9, Acetyl Hexapeptide-8, Copper Tripeptide-1, Pyrus Malus Fruit Extract, Prunus Mume Fruit Extract, Vitis Vinifera Fruit Extract, Helianthus Annuus Seed Oil, Simmondsia Chinensis Seed Oil, Limnanthes Alba Seed Oil, Carica Papaya Fruit Extract, Centella Asiatica Extract, Ficus Carica Fruit Extract, Ulmus Davidiana Root Extract, Amaranthus Caudatus Seed Extract, Ceramide NP, Hydrogenated Lecithin, Leuconostoc/Radish Root Ferment Filtrate, Butylene Glycol, Hydroxyethyl Acrylate/Sodium Acryloyldimethyl Taurate Copolymer, C13-14 Alkane, Sodium Acrylic Acid/MA Copolymer, C15-23 Alkane, Ethylhexylglycerin, Decyl Glucoside, Caprylyl Glycol, Polyglyceryl-10 Stearate, Tocopherol</t>
  </si>
  <si>
    <t>Key ingredient focus: Vegan collagen, peptides, niacinamide, hyaluronic acid and botanical fruit extracts. Review the full ingredient list for personal allergens, sensitivity to niacinamide, plant/fruit extract sensitivity, and past reactions to peptide-based formulas. Since it is used near the eye area, avoid direct contact with eyes.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</si>
  <si>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r>
      <rPr>
        <rFont val="Calibri, sans-serif"/>
        <color rgb="FF000000"/>
        <sz val="11.0"/>
      </rPr>
      <t>["</t>
    </r>
    <r>
      <rPr>
        <rFont val="Calibri, sans-serif"/>
        <color rgb="FF1155CC"/>
        <sz val="11.0"/>
        <u/>
      </rPr>
      <t>https://cdn.tirabeauty.com/v2/billowing-snowflake-434234/tira-p/wrkr/products/pictures/item/free/resize-w:2200/Z52jhNWPw-Axis-Y-Vegan-Collagen-Eye-Serum-(10-ml).jpeg</t>
    </r>
    <r>
      <rPr>
        <rFont val="Calibri, sans-serif"/>
        <color rgb="FF000000"/>
        <sz val="11.0"/>
      </rPr>
      <t>, "</t>
    </r>
    <r>
      <rPr>
        <rFont val="Calibri, sans-serif"/>
        <color rgb="FF1155CC"/>
        <sz val="11.0"/>
        <u/>
      </rPr>
      <t>https://cdn.tirabeauty.com/v2/billowing-snowflake-434234/tira-p/wrkr/products/pictures/item/free/resize-w:2200/1164841/iZLSabFeS-1164841_2.jpg</t>
    </r>
    <r>
      <rPr>
        <rFont val="Calibri, sans-serif"/>
        <color rgb="FF000000"/>
        <sz val="11.0"/>
      </rPr>
      <t>", "</t>
    </r>
    <r>
      <rPr>
        <rFont val="Calibri, sans-serif"/>
        <color rgb="FF1155CC"/>
        <sz val="11.0"/>
        <u/>
      </rPr>
      <t>https://cdn.tirabeauty.com/v2/billowing-snowflake-434234/tira-p/wrkr/products/pictures/item/free/resize-w:2200/1164841/xyPaq7aJe-1164841_3.jpg</t>
    </r>
    <r>
      <rPr>
        <rFont val="Calibri, sans-serif"/>
        <color rgb="FF000000"/>
        <sz val="11.0"/>
      </rPr>
      <t>", "</t>
    </r>
    <r>
      <rPr>
        <rFont val="Calibri, sans-serif"/>
        <color rgb="FF1155CC"/>
        <sz val="11.0"/>
        <u/>
      </rPr>
      <t>https://cdn.tirabeauty.com/v2/billowing-snowflake-434234/tira-p/wrkr/products/pictures/item/free/resize-w:2200/1164841/RKghmmo_83-1164841_4.jpg</t>
    </r>
    <r>
      <rPr>
        <rFont val="Calibri, sans-serif"/>
        <color rgb="FF000000"/>
        <sz val="11.0"/>
      </rPr>
      <t>"]</t>
    </r>
  </si>
  <si>
    <t>Roopsee-E-CR-13</t>
  </si>
  <si>
    <t>Dear Klairs Fundamental Eye Awakening Gel [35ml]</t>
  </si>
  <si>
    <t>Dear Klairs</t>
  </si>
  <si>
    <t>35 ml</t>
  </si>
  <si>
    <t>Red Bean Extract, Tea Extract, Copper Peptides</t>
  </si>
  <si>
    <t>A refreshing, lightweight eye gel that helps hydrate tired under-eyes, reduce the look of puffiness, and support healthier-looking skin around the eye area.</t>
  </si>
  <si>
    <t>Aqua/Water, Glycerin, 1,2-Hexanediol, Butylene Glycol, Propanediol, Argania Spinosa Kernel Oil, Simmondsia Chinensis Seed Oil, Tocopherol, Caffeine, Phaseolus Angularis Seed Extract, Artemisia Princeps Leaf Extract, Camellia Sinensis Leaf Extract, Chaenomeles Sinensis Fruit Extract, Chrysanthellum Indicum Extract, Cinnamomum Cassia Bark Extract, Diospyros Kaki Leaf Extract, Perilla Frutescens Extract, Portulaca Oleracea Extract, Acetyl Hexapeptide-8, Copper Tripeptide-1, Oligopeptide-29, Oligopeptide-32, Carbomer, Hydroxyethylcellulose, Hydroxyethyl Acrylate/Sodium Acryloyldimethyl Taurate Copolymer, Polyglyceryl-10 Laurate, Sorbitan Isostearate, Sodium PCA, Tromethamine, Sodium Nitrate, Niacinamide, Hydrogenated Lecithin, Ethylhexylglycerin</t>
  </si>
  <si>
    <t>Key ingredient focus: Caffeine, peptides, tea extracts and plant-based antioxidants. Review the full ingredient list for personal allergens, caffeine sensitivity, botanical extract sensitivity, and past reactions to peptide or niacinamide-containing products. Avoid applying too close to the lash line or inside the eye.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</si>
  <si>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r>
      <rPr>
        <rFont val="Calibri, sans-serif"/>
        <color rgb="FF000000"/>
        <sz val="11.0"/>
      </rPr>
      <t>["</t>
    </r>
    <r>
      <rPr>
        <rFont val="Calibri, sans-serif"/>
        <color rgb="FF1155CC"/>
        <sz val="11.0"/>
        <u/>
      </rPr>
      <t>https://www.klairs.com/cdn/shop/files/FundamentalEyeAwakeningGel_product.jpg?v=1776724754&amp;width=1946</t>
    </r>
    <r>
      <rPr>
        <rFont val="Calibri, sans-serif"/>
        <color rgb="FF000000"/>
        <sz val="11.0"/>
      </rPr>
      <t xml:space="preserve">", </t>
    </r>
    <r>
      <rPr>
        <rFont val="Calibri, sans-serif"/>
        <color rgb="FF1155CC"/>
        <sz val="11.0"/>
        <u/>
      </rPr>
      <t>https://www.klairs.com/cdn/shop/files/fundamental-eye-awakening-gel-thumbnail-04-concept1_f1a932e7-bcd7-463a-aa05-3493ac9b7e37.jpg?v=1776724754&amp;width=1946</t>
    </r>
    <r>
      <rPr>
        <rFont val="Calibri, sans-serif"/>
        <color rgb="FF000000"/>
        <sz val="11.0"/>
      </rPr>
      <t>", "</t>
    </r>
    <r>
      <rPr>
        <rFont val="Calibri, sans-serif"/>
        <color rgb="FF1155CC"/>
        <sz val="11.0"/>
        <u/>
      </rPr>
      <t>https://www.klairs.com/cdn/shop/files/fundamental-eye-awakening-gel-thumbnail-04-concept2_b415873e-b098-444d-bde5-8e91d1c53128.jpg?v=1776724754&amp;width=1946</t>
    </r>
    <r>
      <rPr>
        <rFont val="Calibri, sans-serif"/>
        <color rgb="FF000000"/>
        <sz val="11.0"/>
      </rPr>
      <t>", "</t>
    </r>
    <r>
      <rPr>
        <rFont val="Calibri, sans-serif"/>
        <color rgb="FF1155CC"/>
        <sz val="11.0"/>
        <u/>
      </rPr>
      <t>https://www.klairs.com/cdn/shop/files/fundamental-eye-awakening-gel-thumbnail-04-concept4_8c672bd8-ef09-4f6d-8e23-8d7102ff1015.jpg?v=1776724753&amp;width=1946</t>
    </r>
    <r>
      <rPr>
        <rFont val="Calibri, sans-serif"/>
        <color rgb="FF000000"/>
        <sz val="11.0"/>
      </rPr>
      <t>", "</t>
    </r>
    <r>
      <rPr>
        <rFont val="Calibri, sans-serif"/>
        <color rgb="FF1155CC"/>
        <sz val="11.0"/>
        <u/>
      </rPr>
      <t>https://www.klairs.com/cdn/shop/files/fundamental-eye-awakening-gel-thumbnail-04-concept3_986594f6-6777-4797-85f6-dcbc5bc63676.jpg?v=1776724753&amp;width=1946</t>
    </r>
    <r>
      <rPr>
        <rFont val="Calibri, sans-serif"/>
        <color rgb="FF000000"/>
        <sz val="11.0"/>
      </rPr>
      <t>"]</t>
    </r>
  </si>
  <si>
    <t>Roopsee-E-CR-14</t>
  </si>
  <si>
    <t xml:space="preserve">OOTD Dark Circle Eye Serum [30g]
</t>
  </si>
  <si>
    <t>31 ml</t>
  </si>
  <si>
    <t>Dark Circles</t>
  </si>
  <si>
    <t>Niacinamide, Ceramide</t>
  </si>
  <si>
    <t>A vegan eye serum made to brighten and even the under-eye area, smooth the look of fine lines and texture, reduce the appearance of dark circles, and keep the area moisturized.</t>
  </si>
  <si>
    <t>Water, Glycerin, Propylene Glycol, Cetyl Ethylhexanoate, Hydrogenated Polydecene, Cetearyl Olivate, Phenoxyethanol, Sorbitan Olivate, Hydroxyethyl Acrylate/Sodium Acryloyldimethyl Taurate Copolymer, Dimethicone, Allantoin, Ethylhexylglycerin, Sorbitan Isostearate, Polysorbate 60, Disodium EDTA, Niacinamide, Ceramide NP, Ascorbic Acid, Fragrance</t>
  </si>
  <si>
    <t>Key ingredient focus: Niacinamide, ceramide NP and ascorbic acid. Review the full ingredient list for personal allergens, vitamin C sensitivity, niacinamide sensitivity, fragrance sensitivity, and past reactions to brightening products. Ascorbic acid and fragrance may irritate very sensitive or compromised skin, especially around the eyes.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</si>
  <si>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r>
      <rPr>
        <rFont val="Calibri, sans-serif"/>
        <color rgb="FF000000"/>
        <sz val="11.0"/>
      </rPr>
      <t>["</t>
    </r>
    <r>
      <rPr>
        <rFont val="Calibri, sans-serif"/>
        <color rgb="FF1155CC"/>
        <sz val="11.0"/>
        <u/>
      </rPr>
      <t>https://limese.com/cdn/shop/files/DarkCircleEyeSerum_1_1f7f17ad-e4b5-4d03-9abc-9b3e45f8adbb_900x.jpg?v=1730092802</t>
    </r>
    <r>
      <rPr>
        <rFont val="Calibri, sans-serif"/>
        <color rgb="FF000000"/>
        <sz val="11.0"/>
      </rPr>
      <t>", "</t>
    </r>
    <r>
      <rPr>
        <rFont val="Calibri, sans-serif"/>
        <color rgb="FF1155CC"/>
        <sz val="11.0"/>
        <u/>
      </rPr>
      <t>https://limese.com/cdn/shop/files/DarkCircleEyeSerum_2_81185f92-4907-4d68-99ed-f0e7e7ef1def_900x.jpg?v=1730092802</t>
    </r>
    <r>
      <rPr>
        <rFont val="Calibri, sans-serif"/>
        <color rgb="FF000000"/>
        <sz val="11.0"/>
      </rPr>
      <t>", "</t>
    </r>
    <r>
      <rPr>
        <rFont val="Calibri, sans-serif"/>
        <color rgb="FF1155CC"/>
        <sz val="11.0"/>
        <u/>
      </rPr>
      <t>https://limese.com/cdn/shop/files/DarkCircleEyeSerum_3_fe56e0f5-1a1c-47fd-abc0-2540582108d0_900x.jpg?v=1730092802</t>
    </r>
    <r>
      <rPr>
        <rFont val="Calibri, sans-serif"/>
        <color rgb="FF000000"/>
        <sz val="11.0"/>
      </rPr>
      <t>", "</t>
    </r>
    <r>
      <rPr>
        <rFont val="Calibri, sans-serif"/>
        <color rgb="FF1155CC"/>
        <sz val="11.0"/>
        <u/>
      </rPr>
      <t>https://limese.com/cdn/shop/files/DarkCircleEyeSerum_4_f129426d-f034-4b06-b16e-1046d58ac86b_900x.jpg?v=1730092802</t>
    </r>
    <r>
      <rPr>
        <rFont val="Calibri, sans-serif"/>
        <color rgb="FF000000"/>
        <sz val="11.0"/>
      </rPr>
      <t>", "</t>
    </r>
    <r>
      <rPr>
        <rFont val="Calibri, sans-serif"/>
        <color rgb="FF1155CC"/>
        <sz val="11.0"/>
        <u/>
      </rPr>
      <t>https://limese.com/cdn/shop/files/DarkCircleEyeSerum_5_6a7c9264-ce5c-4fcd-9882-33c1edac1b4e_900x.jpg?v=1730092802</t>
    </r>
    <r>
      <rPr>
        <rFont val="Calibri, sans-serif"/>
        <color rgb="FF000000"/>
        <sz val="11.0"/>
      </rPr>
      <t>", "</t>
    </r>
    <r>
      <rPr>
        <rFont val="Calibri, sans-serif"/>
        <color rgb="FF1155CC"/>
        <sz val="11.0"/>
        <u/>
      </rPr>
      <t>https://limese.com/cdn/shop/files/DarkCircleEyeSerum_6_887ceebc-8c6b-4bc5-be99-21cec651ecbb_900x.jpg?v=1730092802</t>
    </r>
    <r>
      <rPr>
        <rFont val="Calibri, sans-serif"/>
        <color rgb="FF000000"/>
        <sz val="11.0"/>
      </rPr>
      <t>"]</t>
    </r>
  </si>
  <si>
    <t>Roopsee-E-CR-15</t>
  </si>
  <si>
    <t>The Face Shop RICE WATER BRIGHT VEGAN EYE CREAM.20ml</t>
  </si>
  <si>
    <t>Fermented Rice Water</t>
  </si>
  <si>
    <t>Niacinamide, Sodium Hyaluronate, Rice Bran Oil</t>
  </si>
  <si>
    <t>A lightweight, non-sticky vegan eye cream formulated with fermented rice water, niacinamide, and hyaluronic acid to brighten, hydrate, and moisturize the under-eye area.</t>
  </si>
  <si>
    <t>Water/Eau, Caprylic/Capric Triglyceride, Propanediol, Glycerin, Elaeis Guineensis Oil, Butyrospermum Parkii Butter, Macadamia Ternifolia Seed Oil, 1,2-Hexanediol, Betaine, Elaeis Guineensis Kernel Oil, Behenyl Alcohol, Tri-C14-15 Alkyl Citrate, Caprylic/Capric Glycerides, Tromethamine, Carbomer, Butylene Glycol, Palmitic Acid, Disodium EDTA, Niacinamide, Polyglycerin-3, Stearic Acid, Glycine Soja Seed Extract, Lactobacillus/Soybean Ferment Extract, Saccharomyces/Potato Extract Ferment Filtrate, Sodium Polyacrylate, Saccharomyces/Barley Seed Ferment Filtrate, Oryza Sativa Bran Oil, Sodium Hyaluronate, Hibiscus Sabdariffa Flower Extract, Saccharomyces/Rice Ferment Filtrate, Oryza Sativa Extract</t>
  </si>
  <si>
    <t>Key ingredient focus: Fermented rice water, niacinamide, hyaluronic acid, shea butter and plant oils. Review the full ingredient list for personal allergens, sensitivity to fermented ingredients, niacinamide sensitivity, nut/seed oil sensitivity, and past reactions to rich moisturising creams. Shea butter, palm oil derivatives and macadamia seed oil may feel heavy for very oily or milia-prone under-eyes.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</si>
  <si>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r>
      <rPr>
        <rFont val="Calibri, sans-serif"/>
        <color rgb="FF000000"/>
        <sz val="11.0"/>
      </rPr>
      <t>["</t>
    </r>
    <r>
      <rPr>
        <rFont val="Calibri, sans-serif"/>
        <color rgb="FF1155CC"/>
        <sz val="11.0"/>
        <u/>
      </rPr>
      <t>https://thefaceshop.in/cdn/shop/files/1_1e3637af-bc04-4cda-910a-f311fb1acb82.jpg?v=1760512118&amp;width=1100</t>
    </r>
    <r>
      <rPr>
        <rFont val="Calibri, sans-serif"/>
        <color rgb="FF000000"/>
        <sz val="11.0"/>
      </rPr>
      <t>", "</t>
    </r>
    <r>
      <rPr>
        <rFont val="Calibri, sans-serif"/>
        <color rgb="FF1155CC"/>
        <sz val="11.0"/>
        <u/>
      </rPr>
      <t>https://thefaceshop.in/cdn/shop/files/2_3a04ac5e-b434-48ca-b3c9-02cb63e51e5b.jpg?v=1760512118&amp;width=1100</t>
    </r>
    <r>
      <rPr>
        <rFont val="Calibri, sans-serif"/>
        <color rgb="FF000000"/>
        <sz val="11.0"/>
      </rPr>
      <t>", "</t>
    </r>
    <r>
      <rPr>
        <rFont val="Calibri, sans-serif"/>
        <color rgb="FF1155CC"/>
        <sz val="11.0"/>
        <u/>
      </rPr>
      <t>https://thefaceshop.in/cdn/shop/files/3_ce32d86a-8bbb-4248-becf-1362551b47df.jpg?v=1760512118&amp;width=1100</t>
    </r>
    <r>
      <rPr>
        <rFont val="Calibri, sans-serif"/>
        <color rgb="FF000000"/>
        <sz val="11.0"/>
      </rPr>
      <t>", "</t>
    </r>
    <r>
      <rPr>
        <rFont val="Calibri, sans-serif"/>
        <color rgb="FF1155CC"/>
        <sz val="11.0"/>
        <u/>
      </rPr>
      <t>https://thefaceshop.in/cdn/shop/files/4_7283ef60-ba00-4bdc-83a3-2abb1f63c1de.jpg?v=1760512118&amp;width=1100</t>
    </r>
    <r>
      <rPr>
        <rFont val="Calibri, sans-serif"/>
        <color rgb="FF000000"/>
        <sz val="11.0"/>
      </rPr>
      <t>"]</t>
    </r>
  </si>
  <si>
    <t>Roopsee-L-BA-13</t>
  </si>
  <si>
    <t>Tirtir My Glow Lip Oil Honey 5.7 ml</t>
  </si>
  <si>
    <t>Tirtir</t>
  </si>
  <si>
    <t>lips</t>
  </si>
  <si>
    <t>Lip oil</t>
  </si>
  <si>
    <t>5.7 ml</t>
  </si>
  <si>
    <t>Propolis Extract, Jojoba Seed Oil, Vitamin E</t>
  </si>
  <si>
    <t>A glossy, lightweight, non-sticky lip oil designed to hydrate, protect, and add shine to dry or chapped lips.</t>
  </si>
  <si>
    <t>Polyglyceryl-2 Isostearate/Dimer Dilinoleate Copolymer, Polyglyceryl-2 Triisostearate, Caprylic/Capric Triglyceride, Diisostearyl Malate, Simmondsia Chinensis Seed Oil, Silica Dimethyl Silylate, 1,2-Hexanediol, Fragrance, Ethylhexylglycerin, Pentaerythrityl Tetra-Di-T-Butyl Hydroxyhydrocinnamate, Water, Tocopherol, Butylene Glycol, Honey Extract, Propolis Extract, Benzyl Alcohol</t>
  </si>
  <si>
    <t>Key ingredient focus: Jojoba seed oil, honey extract, propolis extract and vitamin E. Review the full ingredient list for personal allergens, honey/propolis allergy, fragrance sensitivity, seed oil sensitivity, and past reactions to lip oils or balms. Propolis and fragrance can trigger irritation in allergy-prone users. Patch test on a small area near the lip or behind the ear for 24–48 hours if sensitive, allergy-prone, pregnant/breastfeeding, using prescription treatments, or recovering from procedures. Avoid use on cracked, bleeding, infected, or severely irritated lips without dermatologist advice.</t>
  </si>
  <si>
    <r>
      <rPr>
        <rFont val="Calibri, sans-serif"/>
        <color rgb="FF000000"/>
        <sz val="11.0"/>
      </rPr>
      <t>["</t>
    </r>
    <r>
      <rPr>
        <rFont val="Calibri, sans-serif"/>
        <color rgb="FF1155CC"/>
        <sz val="11.0"/>
        <u/>
      </rPr>
      <t>https://cdn.tirabeauty.com/v2/billowing-snowflake-434234/tira-p/wrkr/products/pictures/item/free/resize-w:2200/1157776/cfuN_XaL0-1157776-1.jpg</t>
    </r>
    <r>
      <rPr>
        <rFont val="Calibri, sans-serif"/>
        <color rgb="FF000000"/>
        <sz val="11.0"/>
      </rPr>
      <t>", "</t>
    </r>
    <r>
      <rPr>
        <rFont val="Calibri, sans-serif"/>
        <color rgb="FF1155CC"/>
        <sz val="11.0"/>
        <u/>
      </rPr>
      <t>https://cdn.tirabeauty.com/v2/billowing-snowflake-434234/tira-p/wrkr/products/pictures/item/free/resize-w:2200/1157776/4riw8BmmfO-1157776-2.jpg</t>
    </r>
    <r>
      <rPr>
        <rFont val="Calibri, sans-serif"/>
        <color rgb="FF000000"/>
        <sz val="11.0"/>
      </rPr>
      <t>", "</t>
    </r>
    <r>
      <rPr>
        <rFont val="Calibri, sans-serif"/>
        <color rgb="FF1155CC"/>
        <sz val="11.0"/>
        <u/>
      </rPr>
      <t>https://cdn.tirabeauty.com/v2/billowing-snowflake-434234/tira-p/wrkr/products/pictures/item/free/resize-w:2200/1157776/hkZ3tjsdrm-1157776-3.jpg</t>
    </r>
    <r>
      <rPr>
        <rFont val="Calibri, sans-serif"/>
        <color rgb="FF000000"/>
        <sz val="11.0"/>
      </rPr>
      <t>", "</t>
    </r>
    <r>
      <rPr>
        <rFont val="Calibri, sans-serif"/>
        <color rgb="FF1155CC"/>
        <sz val="11.0"/>
        <u/>
      </rPr>
      <t>https://cdn.tirabeauty.com/v2/billowing-snowflake-434234/tira-p/wrkr/products/pictures/item/free/resize-w:2200/1157776/_7FQgipig2-1157776-4.jpg</t>
    </r>
    <r>
      <rPr>
        <rFont val="Calibri, sans-serif"/>
        <color rgb="FF000000"/>
        <sz val="11.0"/>
      </rPr>
      <t>", "</t>
    </r>
    <r>
      <rPr>
        <rFont val="Calibri, sans-serif"/>
        <color rgb="FF1155CC"/>
        <sz val="11.0"/>
        <u/>
      </rPr>
      <t>https://cdn.tirabeauty.com/v2/billowing-snowflake-434234/tira-p/wrkr/products/pictures/item/free/resize-w:2200/1157776/gpzxY9Vt36-1157776-6.jpg</t>
    </r>
    <r>
      <rPr>
        <rFont val="Calibri, sans-serif"/>
        <color rgb="FF000000"/>
        <sz val="11.0"/>
      </rPr>
      <t>"]</t>
    </r>
  </si>
  <si>
    <t>Roopsee-L-BA-14</t>
  </si>
  <si>
    <t>Tirtir My Glow Lip Oil Lavender 5.7 ml</t>
  </si>
  <si>
    <t>Lavender Extract / Lavender Essence</t>
  </si>
  <si>
    <t>Jojoba Oil, Propolis, Vitamin E</t>
  </si>
  <si>
    <t>A lightweight, glossy lip oil that helps hydrate and nourish lips while giving a smooth, non-sticky finish.</t>
  </si>
  <si>
    <t>Polyglyceryl-2 Isostearate/Dimer Dilinoleate Copolymer, Polyglyceryl-2 Triisostearate, Caprylic/Capric Triglyceride, Diisostearyl Malate, Simmondsia Chinensis Seed Oil, Octyldodecanol, Silica Dimethyl Silylate, 1,2-Hexanediol, Eclipta Prostrata Extract, Melia Azadirachta Leaf Extract, Fragrance, Ethylhexylglycerin, Melia Azadirachta Flower Extract, Pentaerythrityl Tetra-Di-T-Butyl Hydroxyhydrocinnamate, Coccinia Indica Fruit Extract, Moringa Oleifera Seed Oil, Aloe Barbadensis Flower Extract, Solanum Melongena Fruit Extract, Corallina Officinalis Extract, Ocimum Sanctum Leaf Extract, Curcuma Longa Root Extract, Tocopherol, Lavandula Angustifolia Oil, Water, Butylene Glycol, Lavandula Angustifolia Extract</t>
  </si>
  <si>
    <t>Key ingredient focus: Jojoba seed oil, lavender oil/extract, moringa oil and vitamin E. Review the full ingredient list for personal allergens, essential oil sensitivity, lavender sensitivity, fragrance sensitivity, seed oil sensitivity, and past reactions to lip oils. Lavender oil and fragrance components may irritate sensitive or allergy-prone lips. Patch test on a small area near the lip or behind the ear for 24–48 hours if sensitive, allergy-prone, pregnant/breastfeeding, using prescription treatments, or recovering from procedures. Avoid use on cracked, bleeding, infected, or severely irritated lips without dermatologist advice.</t>
  </si>
  <si>
    <r>
      <rPr>
        <rFont val="Calibri, sans-serif"/>
        <color rgb="FF000000"/>
        <sz val="11.0"/>
      </rPr>
      <t>["</t>
    </r>
    <r>
      <rPr>
        <rFont val="Calibri, sans-serif"/>
        <color rgb="FF1155CC"/>
        <sz val="11.0"/>
        <u/>
      </rPr>
      <t>https://cdn.tirabeauty.com/v2/billowing-snowflake-434234/tira-p/wrkr/products/pictures/item/free/resize-w:2200/1157779/cRPdPuFRx_-1157779-1.jpg</t>
    </r>
    <r>
      <rPr>
        <rFont val="Calibri, sans-serif"/>
        <color rgb="FF000000"/>
        <sz val="11.0"/>
      </rPr>
      <t>", "</t>
    </r>
    <r>
      <rPr>
        <rFont val="Calibri, sans-serif"/>
        <color rgb="FF1155CC"/>
        <sz val="11.0"/>
        <u/>
      </rPr>
      <t>https://cdn.tirabeauty.com/v2/billowing-snowflake-434234/tira-p/wrkr/products/pictures/item/free/resize-w:2200/1157776/4riw8BmmfO-1157776-2.jpg</t>
    </r>
    <r>
      <rPr>
        <rFont val="Calibri, sans-serif"/>
        <color rgb="FF000000"/>
        <sz val="11.0"/>
      </rPr>
      <t>", "</t>
    </r>
    <r>
      <rPr>
        <rFont val="Calibri, sans-serif"/>
        <color rgb="FF1155CC"/>
        <sz val="11.0"/>
        <u/>
      </rPr>
      <t>https://cdn.tirabeauty.com/v2/billowing-snowflake-434234/tira-p/wrkr/products/pictures/item/free/resize-w:2200/1157776/hkZ3tjsdrm-1157776-3.jpg</t>
    </r>
    <r>
      <rPr>
        <rFont val="Calibri, sans-serif"/>
        <color rgb="FF000000"/>
        <sz val="11.0"/>
      </rPr>
      <t>", "</t>
    </r>
    <r>
      <rPr>
        <rFont val="Calibri, sans-serif"/>
        <color rgb="FF1155CC"/>
        <sz val="11.0"/>
        <u/>
      </rPr>
      <t>https://cdn.tirabeauty.com/v2/billowing-snowflake-434234/tira-p/wrkr/products/pictures/item/free/resize-w:2200/1157776/_7FQgipig2-1157776-4.jpg</t>
    </r>
    <r>
      <rPr>
        <rFont val="Calibri, sans-serif"/>
        <color rgb="FF000000"/>
        <sz val="11.0"/>
      </rPr>
      <t>", "</t>
    </r>
    <r>
      <rPr>
        <rFont val="Calibri, sans-serif"/>
        <color rgb="FF1155CC"/>
        <sz val="11.0"/>
        <u/>
      </rPr>
      <t>https://cdn.tirabeauty.com/v2/billowing-snowflake-434234/tira-p/wrkr/products/pictures/item/free/resize-w:2200/1157776/gpzxY9Vt36-1157776-6.jpg</t>
    </r>
    <r>
      <rPr>
        <rFont val="Calibri, sans-serif"/>
        <color rgb="FF000000"/>
        <sz val="11.0"/>
      </rPr>
      <t>"]</t>
    </r>
  </si>
  <si>
    <t>Roopsee-L-BA-15</t>
  </si>
  <si>
    <t>Tirtir My Glow Lip Oil Mint 5.7 ml</t>
  </si>
  <si>
    <t>Mint Oils</t>
  </si>
  <si>
    <t>Watermint Oil, Spearmint Oil, Jojoba Seed Oil</t>
  </si>
  <si>
    <t>A moisturizing lip oil with a fresh mint feel that gives lips a glossy, hydrated, and comfortable finish.</t>
  </si>
  <si>
    <t>Polyglyceryl-2 Isostearate/Dimer Dilinoleate Copolymer, Polyglyceryl-2 Triisostearate, Caprylic/Capric Triglyceride, Diisostearyl Malate, Simmondsia Chinensis Seed Oil, Octyldodecanol, Silica Dimethyl Silylate, 1,2-Hexanediol, Menthyl PCA, Menthol, Hippophae Rhamnoides Fruit Oil, Melia Azadirachta Leaf Extract, Melia Azadirachta Flower Extract, Ethylhexylglycerin, Coccinia Indica Fruit Extract, Mentha Viridis Leaf Oil, Pentaerythrityl Tetra-Di-T-Butyl Hydroxyhydrocinnamate, Fragrance, Solanum Melongena Fruit Extract, Aloe Barbadensis Flower Extract, Ocimum Sanctum Leaf Extract, Curcuma Longa Root Extract, Corallina Officinalis Extract, Water, Tocopherol, Butylene Glycol, Dipropylene Glycol, Mentha Viridis Extract, Mentha Aquatica Extract</t>
  </si>
  <si>
    <t>Key ingredient focus: Jojoba seed oil, menthol, menthyl PCA, spearmint oil/extract and vitamin E. Review the full ingredient list for personal allergens, mint/menthol sensitivity, essential oil sensitivity, fragrance sensitivity, seed oil sensitivity, and past reactions to cooling lip products. Menthol and mint oils may cause tingling, dryness, burning or irritation on sensitive, chapped or damaged lips. Patch test on a small area near the lip or behind the ear for 24–48 hours if sensitive, allergy-prone, pregnant/breastfeeding, using prescription treatments, or recovering from procedures. Avoid use on cracked, bleeding, infected, or severely irritated lips without dermatologist advice.</t>
  </si>
  <si>
    <r>
      <rPr>
        <rFont val="Calibri, sans-serif"/>
        <color rgb="FF000000"/>
        <sz val="11.0"/>
      </rPr>
      <t>["</t>
    </r>
    <r>
      <rPr>
        <rFont val="Calibri, sans-serif"/>
        <color rgb="FF1155CC"/>
        <sz val="11.0"/>
        <u/>
      </rPr>
      <t>https://cdn.tirabeauty.com/v2/billowing-snowflake-434234/tira-p/wrkr/products/pictures/item/free/resize-w:2200/1157778/Go2kbbQQVy-1157778-1.jpg</t>
    </r>
    <r>
      <rPr>
        <rFont val="Calibri, sans-serif"/>
        <color rgb="FF000000"/>
        <sz val="11.0"/>
      </rPr>
      <t>", "</t>
    </r>
    <r>
      <rPr>
        <rFont val="Calibri, sans-serif"/>
        <color rgb="FF1155CC"/>
        <sz val="11.0"/>
        <u/>
      </rPr>
      <t>https://cdn.tirabeauty.com/v2/billowing-snowflake-434234/tira-p/wrkr/products/pictures/item/free/resize-w:2200/1157776/4riw8BmmfO-1157776-2.jpg</t>
    </r>
    <r>
      <rPr>
        <rFont val="Calibri, sans-serif"/>
        <color rgb="FF000000"/>
        <sz val="11.0"/>
      </rPr>
      <t>", "</t>
    </r>
    <r>
      <rPr>
        <rFont val="Calibri, sans-serif"/>
        <color rgb="FF1155CC"/>
        <sz val="11.0"/>
        <u/>
      </rPr>
      <t>https://cdn.tirabeauty.com/v2/billowing-snowflake-434234/tira-p/wrkr/products/pictures/item/free/resize-w:2200/1157776/hkZ3tjsdrm-1157776-3.jpg</t>
    </r>
    <r>
      <rPr>
        <rFont val="Calibri, sans-serif"/>
        <color rgb="FF000000"/>
        <sz val="11.0"/>
      </rPr>
      <t>", "</t>
    </r>
    <r>
      <rPr>
        <rFont val="Calibri, sans-serif"/>
        <color rgb="FF1155CC"/>
        <sz val="11.0"/>
        <u/>
      </rPr>
      <t>https://cdn.tirabeauty.com/v2/billowing-snowflake-434234/tira-p/wrkr/products/pictures/item/free/resize-w:2200/1157776/_7FQgipig2-1157776-4.jpg</t>
    </r>
    <r>
      <rPr>
        <rFont val="Calibri, sans-serif"/>
        <color rgb="FF000000"/>
        <sz val="11.0"/>
      </rPr>
      <t>", "</t>
    </r>
    <r>
      <rPr>
        <rFont val="Calibri, sans-serif"/>
        <color rgb="FF1155CC"/>
        <sz val="11.0"/>
        <u/>
      </rPr>
      <t>https://cdn.tirabeauty.com/v2/billowing-snowflake-434234/tira-p/wrkr/products/pictures/item/free/resize-w:2200/1157776/gpzxY9Vt36-1157776-6.jpg</t>
    </r>
    <r>
      <rPr>
        <rFont val="Calibri, sans-serif"/>
        <color rgb="FF000000"/>
        <sz val="11.0"/>
      </rPr>
      <t>"]</t>
    </r>
  </si>
  <si>
    <t>Roopsee-L-BA-16</t>
  </si>
  <si>
    <t>Tirtir My Glow Lip Oil Rosy 5.7 ml</t>
  </si>
  <si>
    <t>Damask Rose Oil</t>
  </si>
  <si>
    <t>Camellia Seed Oil, Jojoba Oil, Moringa Oil</t>
  </si>
  <si>
    <t>A glossy, nourishing lip oil that gives lips a dewy finish while helping them feel smooth, soft, and moisturized.</t>
  </si>
  <si>
    <t>Polyglyceryl-2 Isostearate/Dimer Dilinoleate Copolymer, Polyglyceryl-2 Triisostearate, Caprylic/Capric Triglyceride, Diisostearyl Malate, Simmondsia Chinensis Seed Oil, Silica Dimethyl Silylate, Diisopropyl Sebacate, Eclipta Prostrata Extract, 1,2-Hexanediol, Melia Azadirachta Leaf Extract, Hippophae Rhamnoides Fruit Oil, Isostearic Acid, Fragrance, Ethylhexylglycerin, Moringa Oleifera Seed Oil, Pentaerythrityl Tetra-Di-T-Butyl Hydroxyhydrocinnamate, Melia Azadirachta Flower Extract, Red 27, Coccinia Indica Fruit Extract, Solanum Melongena Fruit Extract, Aloe Barbadensis Flower Extract, Curcuma Longa Root Extract, Ocimum Sanctum Leaf Extract, Corallina Officinalis Extract, Camellia Japonica Seed Oil, Calendula Officinalis Flower Extract, Tocopherol, Rosa Damascena Flower Oil, Citronellol, Geraniol, Eugenol, Benzyl Alcohol, D-Limonene, Linalool</t>
  </si>
  <si>
    <t>Key ingredient focus: Jojoba seed oil, rose oil, camellia seed oil, moringa oil, calendula extract and vitamin E. Review the full ingredient list for personal allergens, rose/essential oil sensitivity, fragrance sensitivity, colorant sensitivity, seed oil sensitivity, and past reactions to tinted or scented lip products. Rose oil, fragrance allergens and Red 27 may irritate very sensitive lips. Patch test on a small area near the lip or behind the ear for 24–48 hours if sensitive, allergy-prone, pregnant/breastfeeding, using prescription treatments, or recovering from procedures. Avoid use on cracked, bleeding, infected, or severely irritated lips without dermatologist advice.</t>
  </si>
  <si>
    <r>
      <rPr>
        <rFont val="Calibri, sans-serif"/>
        <color rgb="FF000000"/>
        <sz val="11.0"/>
      </rPr>
      <t>["</t>
    </r>
    <r>
      <rPr>
        <rFont val="Calibri, sans-serif"/>
        <color rgb="FF1155CC"/>
        <sz val="11.0"/>
        <u/>
      </rPr>
      <t>https://cdn.tirabeauty.com/v2/billowing-snowflake-434234/tira-p/wrkr/products/pictures/item/free/resize-w:2200/1157777/du87I8wiQe-1157777-1.jpg</t>
    </r>
    <r>
      <rPr>
        <rFont val="Calibri, sans-serif"/>
        <color rgb="FF000000"/>
        <sz val="11.0"/>
      </rPr>
      <t>", "</t>
    </r>
    <r>
      <rPr>
        <rFont val="Calibri, sans-serif"/>
        <color rgb="FF1155CC"/>
        <sz val="11.0"/>
        <u/>
      </rPr>
      <t>https://cdn.tirabeauty.com/v2/billowing-snowflake-434234/tira-p/wrkr/products/pictures/item/free/resize-w:2200/1157776/4riw8BmmfO-1157776-2.jpg</t>
    </r>
    <r>
      <rPr>
        <rFont val="Calibri, sans-serif"/>
        <color rgb="FF000000"/>
        <sz val="11.0"/>
      </rPr>
      <t>", "</t>
    </r>
    <r>
      <rPr>
        <rFont val="Calibri, sans-serif"/>
        <color rgb="FF1155CC"/>
        <sz val="11.0"/>
        <u/>
      </rPr>
      <t>https://cdn.tirabeauty.com/v2/billowing-snowflake-434234/tira-p/wrkr/products/pictures/item/free/resize-w:2200/1157776/hkZ3tjsdrm-1157776-3.jpg</t>
    </r>
    <r>
      <rPr>
        <rFont val="Calibri, sans-serif"/>
        <color rgb="FF000000"/>
        <sz val="11.0"/>
      </rPr>
      <t>", "</t>
    </r>
    <r>
      <rPr>
        <rFont val="Calibri, sans-serif"/>
        <color rgb="FF1155CC"/>
        <sz val="11.0"/>
        <u/>
      </rPr>
      <t>https://cdn.tirabeauty.com/v2/billowing-snowflake-434234/tira-p/wrkr/products/pictures/item/free/resize-w:2200/1157776/_7FQgipig2-1157776-4.jpg</t>
    </r>
    <r>
      <rPr>
        <rFont val="Calibri, sans-serif"/>
        <color rgb="FF000000"/>
        <sz val="11.0"/>
      </rPr>
      <t>", "</t>
    </r>
    <r>
      <rPr>
        <rFont val="Calibri, sans-serif"/>
        <color rgb="FF1155CC"/>
        <sz val="11.0"/>
        <u/>
      </rPr>
      <t>https://cdn.tirabeauty.com/v2/billowing-snowflake-434234/tira-p/wrkr/products/pictures/item/free/resize-w:2200/1157776/gpzxY9Vt36-1157776-6.jpg</t>
    </r>
    <r>
      <rPr>
        <rFont val="Calibri, sans-serif"/>
        <color rgb="FF000000"/>
        <sz val="11.0"/>
      </rPr>
      <t>"]</t>
    </r>
  </si>
  <si>
    <t>Roopsee-E-CR-16</t>
  </si>
  <si>
    <t>Tirtir Collagen Lifting Eye Cream 15 ml</t>
  </si>
  <si>
    <t>Fine Lines / Wrinkles</t>
  </si>
  <si>
    <t>Plant-derived Collagen Complex</t>
  </si>
  <si>
    <t>Peptides, Niacinamide, Avocado Oil, Adenosine</t>
  </si>
  <si>
    <t>A firming and brightening eye cream infused with plant-derived collagen complex, peptides, niacinamide, avocado oil, and adenosine to target fine lines, wrinkles, puffiness, and loss of elasticity.</t>
  </si>
  <si>
    <t>Water, Glycerin, Butylene Glycol, 1,2-Hexanediol, Dipropylene Glycol, Caprylic/Capric Triglyceride, Niacinamide, Hydrogenated Poly(C6-14 Olefin), Methyl Trimethicone, Cetearyl Alcohol, C12-16 Alcohols, Squalane, Caprylic/Capric/Myristic/Stearic Triglyceride, Persea Gratissima Oil, Palmitic Acid, Hydrogenated Lecithin, Glucose, Chlorella Vulgaris Extract, Sodium Acrylate/Sodium Acryloyldimethyl Taurate Copolymer, Hydroxyacetophenone, Polyisobutene, Fructooligosaccharides, Glyceryl Stearate, Panthenol, Fructose, Pentaerythrityl Distearate, Sodium Polyacrylate, Hydroxyethyl Acrylate/Sodium Acryloyldimethyl Taurate Copolymer, Ethylhexylglycerin, Xanthan Gum, Dipotassium Glycyrrhizate, Fragrance, Collagen, Adenosine, Sodium Phytate, Sorbitan Oleate, Caprylyl/Capryl Glucoside, Leuconostoc/Radish Root Ferment Filtrate, Hydrolyzed Corn Starch, Sucrose, Theobroma Cacao Extract, Dextrin, Ascorbic Acid Polypeptide, Tocopherol, Rosmarinus Officinalis Leaf Water, Aspalathus Linearis Leaf Extract, Hibiscus Sabdariffa Flower Extract, Methylpropanediol, Sodium Lactate, Carbomer, Palmitoyl Tripeptide-5, Dipeptide Diaminobutyroyl Benzylamide Diacetate, Polysorbate 20, Palmitoyl Tripeptide-1, Palmitoyl Tetrapeptide-7</t>
  </si>
  <si>
    <t>Key ingredient focus: Plant-derived collagen complex, peptides, niacinamide, avocado oil and adenosine. Review the full ingredient list for personal allergens, niacinamide sensitivity, peptide sensitivity, fragrance sensitivity, avocado/nut/seed oil sensitivity, and past reactions to firming eye creams. Fragrance and rich emollients may irritate sensitive or milia-prone under-eyes.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</si>
  <si>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r>
      <rPr>
        <rFont val="Calibri, sans-serif"/>
        <color rgb="FF000000"/>
        <sz val="11.0"/>
      </rPr>
      <t>["</t>
    </r>
    <r>
      <rPr>
        <rFont val="Calibri, sans-serif"/>
        <color rgb="FF1155CC"/>
        <sz val="11.0"/>
        <u/>
      </rPr>
      <t>https://cdn.tirabeauty.com/v2/billowing-snowflake-434234/tira-p/wrkr/products/pictures/item/free/resize-w:2200/1157791/CphmwQUgN-1157791_1.jpg</t>
    </r>
    <r>
      <rPr>
        <rFont val="Calibri, sans-serif"/>
        <color rgb="FF000000"/>
        <sz val="11.0"/>
      </rPr>
      <t>", "</t>
    </r>
    <r>
      <rPr>
        <rFont val="Calibri, sans-serif"/>
        <color rgb="FF1155CC"/>
        <sz val="11.0"/>
        <u/>
      </rPr>
      <t>https://cdn.tirabeauty.com/v2/billowing-snowflake-434234/tira-p/wrkr/products/pictures/item/free/resize-w:2200/1157791/VHkD65p92_-1157791_2.jpg</t>
    </r>
    <r>
      <rPr>
        <rFont val="Calibri, sans-serif"/>
        <color rgb="FF000000"/>
        <sz val="11.0"/>
      </rPr>
      <t>", "</t>
    </r>
    <r>
      <rPr>
        <rFont val="Calibri, sans-serif"/>
        <color rgb="FF1155CC"/>
        <sz val="11.0"/>
        <u/>
      </rPr>
      <t>https://cdn.tirabeauty.com/v2/billowing-snowflake-434234/tira-p/wrkr/products/pictures/item/free/resize-w:2200/1157791/kqXWthuZWn-1157791_3.jpg</t>
    </r>
    <r>
      <rPr>
        <rFont val="Calibri, sans-serif"/>
        <color rgb="FF000000"/>
        <sz val="11.0"/>
      </rPr>
      <t>", "</t>
    </r>
    <r>
      <rPr>
        <rFont val="Calibri, sans-serif"/>
        <color rgb="FF1155CC"/>
        <sz val="11.0"/>
        <u/>
      </rPr>
      <t>https://cdn.tirabeauty.com/v2/billowing-snowflake-434234/tira-p/wrkr/products/pictures/item/free/resize-w:2200/1157791/AlnnbwA1Tv-1157791_4.jpg</t>
    </r>
    <r>
      <rPr>
        <rFont val="Calibri, sans-serif"/>
        <color rgb="FF000000"/>
        <sz val="11.0"/>
      </rPr>
      <t>"]</t>
    </r>
  </si>
  <si>
    <t>Roopsee-L-BA-17</t>
  </si>
  <si>
    <t>The Face Shop Vitamin lip sleeping mask</t>
  </si>
  <si>
    <t>Niacinamide / Vitamin B3, Ascorbyl Glucoside, Panthenol / Pro-Vitamin B5, Shea Butter</t>
  </si>
  <si>
    <t>A nourishing lip sleeping mask formulated with vitamin C, vitamin B3/niacinamide, ascorbyl glucoside and panthenol to help soften, moisturise and improve the look of dull or uneven lips. Best suited for Dry / Chapped Lips and Pigmented Lips. The brand page states it targets dryness, chapped lips, dullness and uneven lip tone.</t>
  </si>
  <si>
    <t xml:space="preserve">Phytosteryl/Isostearyl/Cetyl/Stearyl/Behenyl Dimer Dilinoleate, Diisostearyl Malate, Hydrogenated Polyisobutene, Butyrospermum Parkii Butter, Tribehenin, Synthetic Wax, 1,2-Hexanediol, Microcrystalline Wax, Synthetic Fluorphlogopite, Ethylene/Propylene Copolymer, Simethicone, Ascorbic Acid, Ascorbyl Glucoside, Niacinamide, Panthenol, Parfum, Limonene, Linalool, Citral, CI 15850, CI 19140, CI 77891. </t>
  </si>
  <si>
    <t>Apply on clean lips. Use a thin layer in the day or a thicker layer at night. Use regularly for dry, dull or rough lips. Wipe off excess in the morning if used overnight.</t>
  </si>
  <si>
    <t>Do not apply on cracked, bleeding, infected or severely irritated lips. Do not overuse if lips feel stinging or burning. Avoid licking lips after application. Do not share the tub directly with others.</t>
  </si>
  <si>
    <t>Store in a cool, dry place away from direct sunlight and heat. Keep the lid tightly closed after use. Use with clean fingers or a spatula to avoid contamination.</t>
  </si>
  <si>
    <t>Apply a generous layer before bedtime and leave overnight. Can also be used as a daily balm in a smaller amount when lips feel dry.</t>
  </si>
  <si>
    <t>Key ingredient focus: Vitamin C, niacinamide, panthenol and shea butter. Review the full ingredient list for personal allergens, fragrance sensitivity, citrus/fragrance allergen sensitivity, shea butter sensitivity, colorant sensitivity and past reactions. Vitamin C derivatives and fragrance allergens like limonene, linalool and citral may irritate very sensitive or cracked lips. Patch test on a small area near the lip or behind the ear for 24–48 hours if sensitive, allergy-prone, pregnant/breastfeeding, using prescription treatments or recovering from procedures. This is cosmetic guidance and not a substitute for dermatologist advice for active infection, severe lip irritation, eczema, cheilitis or persistent pigmentation.</t>
  </si>
  <si>
    <r>
      <rPr>
        <rFont val="Calibri, sans-serif"/>
        <color rgb="FF000000"/>
        <sz val="11.0"/>
      </rPr>
      <t>["</t>
    </r>
    <r>
      <rPr>
        <rFont val="Calibri, sans-serif"/>
        <color rgb="FF1155CC"/>
        <sz val="11.0"/>
        <u/>
      </rPr>
      <t>https://thefaceshop.in/cdn/shop/files/8801051254006_5_a4c71783-4987-41c9-aad1-06d7b94d3589.jpg?v=1745235605&amp;width=1100</t>
    </r>
    <r>
      <rPr>
        <rFont val="Calibri, sans-serif"/>
        <color rgb="FF000000"/>
        <sz val="11.0"/>
      </rPr>
      <t>", "</t>
    </r>
    <r>
      <rPr>
        <rFont val="Calibri, sans-serif"/>
        <color rgb="FF1155CC"/>
        <sz val="11.0"/>
        <u/>
      </rPr>
      <t>https://thefaceshop.in/cdn/shop/files/8801051254006_4_04b830b0-8857-4492-b0f2-89dca9aaa22b.jpg?v=1745235605&amp;width=1100</t>
    </r>
    <r>
      <rPr>
        <rFont val="Calibri, sans-serif"/>
        <color rgb="FF000000"/>
        <sz val="11.0"/>
      </rPr>
      <t>", "</t>
    </r>
    <r>
      <rPr>
        <rFont val="Calibri, sans-serif"/>
        <color rgb="FF1155CC"/>
        <sz val="11.0"/>
        <u/>
      </rPr>
      <t>https://thefaceshop.in/cdn/shop/files/8801051254006_3_db27fec4-9da6-4439-9833-ad39a2f23416.jpg?v=1745235605&amp;width=1100</t>
    </r>
    <r>
      <rPr>
        <rFont val="Calibri, sans-serif"/>
        <color rgb="FF000000"/>
        <sz val="11.0"/>
      </rPr>
      <t>", "</t>
    </r>
    <r>
      <rPr>
        <rFont val="Calibri, sans-serif"/>
        <color rgb="FF1155CC"/>
        <sz val="11.0"/>
        <u/>
      </rPr>
      <t>https://thefaceshop.in/cdn/shop/files/8801051254006_2_0cefcb54-1f28-434a-bf19-aedbd86af65f.jpg?v=1745235605&amp;width=1100</t>
    </r>
    <r>
      <rPr>
        <rFont val="Calibri, sans-serif"/>
        <color rgb="FF000000"/>
        <sz val="11.0"/>
      </rPr>
      <t>"]</t>
    </r>
  </si>
  <si>
    <t>Roopsee-L-BA-18</t>
  </si>
  <si>
    <t>The Face Shop Vitamin B lip mask Watermelon 14g</t>
  </si>
  <si>
    <t>Vitamin B / Vitamin B12</t>
  </si>
  <si>
    <t>Panthenol / Pro-Vitamin B5, Hyaluronic Acid, Watermelon Extract, Shea Butter</t>
  </si>
  <si>
    <t xml:space="preserve">A hydrating lip mask that works as both a daily balm and overnight lip mask. It is powered by Vitamin B12, Pro-Vitamin B5, hyaluronic acid and watermelon extract to hydrate, soften and smooth dry lips, with a sheer pink finish. Best suited for Dry / Chapped Lips. The brand page mentions hydration for up to 12 hours and use as daily balm or overnight mask. </t>
  </si>
  <si>
    <t>Phytosteryl/Isostearyl/Cetyl/Stearyl/Behenyl Dimer Dilinoleate, Hydrogenated Polyisobutene, Diisostearyl Malate, Butyrospermum Parkii (Shea) Butter, Tribehenin, Synthetic Wax, Microcrystalline Wax, 1,2-Hexanediol, Synthetic Fluorphlogopite, Ethylene/Propylene Copolymer, Simethicone, Maltodextrin, Dipentaerythrityl Hexa C5-9 Acid Esters, Water, Panthenol, Tocopherol, Hydrolyzed Sodium Hyaluronate, Hydrolyzed Hyaluronic Acid, Hydroxypropyltrimonium Hyaluronate, Butylene Glycol, Sodium Citrate, Citric Acid, Pentylene Glycol, BHT, Cyanocobalamin, Lactobacillus/Pear Juice Ferment Filtrate, Ethylhexylglycerin, Sodium Hyaluronate, Ananas Sativus Fruit Extract, Carica Papaya Fruit Extract, Citrullus Lanatus Fruit Extract, Persea Gratissima Fruit Extract, Rubus Idaeus Fruit Extract, Sodium Hyaluronate Crosspolymer, Vitis Vinifera Fruit Extract, Soluble Proteoglycan, Fragrance, Benzyl Benzoate, Sunset Yellow FCF, Lithol Rubine BCA, Lithol Rubine B</t>
  </si>
  <si>
    <t>Use on clean lips whenever lips feel dry. Apply a thicker layer at night for intensive hydration. Use a spatula or clean finger. Good for daily hydration and flaky lips.</t>
  </si>
  <si>
    <t>Do not use on open cuts, bleeding lips or infected lips. Do not scrub lips aggressively before applying. Stop use if burning, swelling or irritation occurs. Avoid direct contact with eyes.</t>
  </si>
  <si>
    <t>Store away from direct sunlight, humidity and heat. Keep the jar closed tightly. Avoid dipping unclean fingers into the product.</t>
  </si>
  <si>
    <t>For daily use, apply a small amount on clean lips. For overnight care, apply a generous layer before bed and leave overnight.</t>
  </si>
  <si>
    <t>Key ingredient focus: Vitamin B12, panthenol, hyaluronic acid, watermelon extract and shea butter. Review the full ingredient list for personal allergens, fragrance sensitivity, fruit extract sensitivity, benzyl benzoate sensitivity, shea butter sensitivity, colorant sensitivity and past reactions. Fragrance and colorants may irritate highly sensitive or cracked lips. Patch test on a small area near the lip or behind the ear for 24–48 hours if sensitive, allergy-prone, pregnant/breastfeeding, using prescription treatments or recovering from procedures. This is cosmetic guidance and not a substitute for dermatologist advice for severe chapping, active infection, eczema, cheilitis or persistent irritation.</t>
  </si>
  <si>
    <r>
      <rPr>
        <rFont val="Calibri, sans-serif"/>
        <color rgb="FF000000"/>
        <sz val="11.0"/>
      </rPr>
      <t>["</t>
    </r>
    <r>
      <rPr>
        <rFont val="Calibri, sans-serif"/>
        <color rgb="FF1155CC"/>
        <sz val="11.0"/>
        <u/>
      </rPr>
      <t>https://thefaceshop.in/cdn/shop/files/1_Watermelon_Lip_mask.jpg?v=1771237593&amp;width=1100</t>
    </r>
    <r>
      <rPr>
        <rFont val="Calibri, sans-serif"/>
        <color rgb="FF000000"/>
        <sz val="11.0"/>
      </rPr>
      <t>", "</t>
    </r>
    <r>
      <rPr>
        <rFont val="Calibri, sans-serif"/>
        <color rgb="FF1155CC"/>
        <sz val="11.0"/>
        <u/>
      </rPr>
      <t>https://thefaceshop.in/cdn/shop/files/2_e7e8b757-0a0e-4a4c-b590-9d0c92f5400f.jpg?v=1770635604&amp;width=1100</t>
    </r>
    <r>
      <rPr>
        <rFont val="Calibri, sans-serif"/>
        <color rgb="FF000000"/>
        <sz val="11.0"/>
      </rPr>
      <t>", "</t>
    </r>
    <r>
      <rPr>
        <rFont val="Calibri, sans-serif"/>
        <color rgb="FF1155CC"/>
        <sz val="11.0"/>
        <u/>
      </rPr>
      <t>https://thefaceshop.in/cdn/shop/files/3_43d41d96-dedf-4134-874f-cba945db906c.jpg?v=1770635604&amp;width=1100</t>
    </r>
    <r>
      <rPr>
        <rFont val="Calibri, sans-serif"/>
        <color rgb="FF000000"/>
        <sz val="11.0"/>
      </rPr>
      <t>", "</t>
    </r>
    <r>
      <rPr>
        <rFont val="Calibri, sans-serif"/>
        <color rgb="FF1155CC"/>
        <sz val="11.0"/>
        <u/>
      </rPr>
      <t>https://thefaceshop.in/cdn/shop/files/4_de919804-4989-4551-9679-8026e67cb712.png?v=1770635604&amp;width=1100</t>
    </r>
    <r>
      <rPr>
        <rFont val="Calibri, sans-serif"/>
        <color rgb="FF000000"/>
        <sz val="11.0"/>
      </rPr>
      <t>"]</t>
    </r>
  </si>
  <si>
    <t>Roopsee-L-BA-19</t>
  </si>
  <si>
    <t>The Face Shop Vitamin A lip mask Blueberry 14g</t>
  </si>
  <si>
    <t>Vitamin A / Retinol</t>
  </si>
  <si>
    <t>Blueberry Extract, Shea Butter, Vitamin E / Tocopherol, Soybean Oil</t>
  </si>
  <si>
    <t xml:space="preserve">A balm-type lip mask that can be used as a daily lip balm or sleeping mask to moisturise dry lips, improve rough dead-skin texture and give lips a plump, dewy look. It contains Vitamin A/retinol and blueberry extract, with 10% shea butter for moisturising care. Best suited for Dry / Chapped Lips. </t>
  </si>
  <si>
    <t>Phytosteryl/Isostearyl/Cetyl/Stearyl/Behenyl Dimer Dilinoleate, Hydrogenated Polyisobutene, Diisostearyl Malate, Butyrospermum Parkii (Shea) Butter, Tribehenin, Synthetic Wax, Microcrystalline Wax, 1,2-Hexanediol, Synthetic Fluorphlogopite, Ethylene/Propylene Copolymer, Simethicone, Menthoxypropanediol, Menthol, Glycine Soja (Soybean) Oil, Dipentaerythrityl Hexa C5-9 Acid Esters, Tocopherol, Retinol, Water, Butylene Glycol, BHT, Vaccinium Angustifolium (Blueberry) Fruit Extract, Anemarrhena Asphodeloides Root Extract, Fragrance, Brilliant Blue FCF, Lithol Rubine BCA.</t>
  </si>
  <si>
    <t>Use on clean lips. Apply a thin layer in the day when dry, or a thicker layer at night. Use sunscreen on lips during the day if you are using retinol-based lip care frequently.</t>
  </si>
  <si>
    <t>Do not use on cracked, bleeding, peeling or irritated lips. Do not combine with strong exfoliating lip scrubs or other retinol/acid lip products on the same day. Avoid during pregnancy/breastfeeding unless cleared by a doctor. Stop if burning or excessive peeling occurs.</t>
  </si>
  <si>
    <t>Store in a cool, dry place away from heat and sunlight, as retinol can be light/heat sensitive. Close tightly after use.</t>
  </si>
  <si>
    <t>As a daily balm, apply when lips feel dry. As a sleeping mask, apply a moderate to generous layer before bed.</t>
  </si>
  <si>
    <t>Key ingredient focus: Retinol/Vitamin A, blueberry extract, shea butter and tocopherol. Review the full ingredient list for personal allergens, retinol sensitivity, menthol sensitivity, fragrance sensitivity, soybean oil sensitivity, shea butter sensitivity, colorant sensitivity and past reactions. Retinol and menthol may irritate sensitive, cracked or over-exfoliated lips. Retinol is generally not advised during pregnancy/breastfeeding unless approved by a doctor. Patch test on a small area near the lip or behind the ear for 24–48 hours if sensitive, allergy-prone, pregnant/breastfeeding, using prescription treatments or recovering from procedures. This is cosmetic guidance and not a substitute for dermatologist advice for eczema, cheilitis, active infection, severe irritation or persistent pigmentation.</t>
  </si>
  <si>
    <r>
      <rPr>
        <rFont val="Calibri, sans-serif"/>
        <color rgb="FF000000"/>
        <sz val="11.0"/>
      </rPr>
      <t>["</t>
    </r>
    <r>
      <rPr>
        <rFont val="Calibri, sans-serif"/>
        <color rgb="FF1155CC"/>
        <sz val="11.0"/>
        <u/>
      </rPr>
      <t>https://thefaceshop.in/cdn/shop/files/1Blueberry_Lip_mask.jpg?v=1770635564&amp;width=1100</t>
    </r>
    <r>
      <rPr>
        <rFont val="Calibri, sans-serif"/>
        <color rgb="FF000000"/>
        <sz val="11.0"/>
      </rPr>
      <t>", "</t>
    </r>
    <r>
      <rPr>
        <rFont val="Calibri, sans-serif"/>
        <color rgb="FF1155CC"/>
        <sz val="11.0"/>
        <u/>
      </rPr>
      <t>https://thefaceshop.in/cdn/shop/files/2_f6b2bc14-c6e7-46d1-8d76-f997eb2c4970.jpg?v=1770635564&amp;width=1100</t>
    </r>
    <r>
      <rPr>
        <rFont val="Calibri, sans-serif"/>
        <color rgb="FF000000"/>
        <sz val="11.0"/>
      </rPr>
      <t>", "</t>
    </r>
    <r>
      <rPr>
        <rFont val="Calibri, sans-serif"/>
        <color rgb="FF1155CC"/>
        <sz val="11.0"/>
        <u/>
      </rPr>
      <t>https://thefaceshop.in/cdn/shop/files/3_371fa28d-e3a4-4e59-9a66-fe1acb9ec747.jpg?v=1770635564&amp;width=1100</t>
    </r>
    <r>
      <rPr>
        <rFont val="Calibri, sans-serif"/>
        <color rgb="FF000000"/>
        <sz val="11.0"/>
      </rPr>
      <t>", "</t>
    </r>
    <r>
      <rPr>
        <rFont val="Calibri, sans-serif"/>
        <color rgb="FF1155CC"/>
        <sz val="11.0"/>
        <u/>
      </rPr>
      <t>https://thefaceshop.in/cdn/shop/files/4_5460664e-53cd-4f93-a803-b6fe875c5776.jpg?v=1770635564&amp;width=1100</t>
    </r>
    <r>
      <rPr>
        <rFont val="Calibri, sans-serif"/>
        <color rgb="FF000000"/>
        <sz val="11.0"/>
      </rPr>
      <t>']</t>
    </r>
  </si>
  <si>
    <t>Roopsee-L-BA-20</t>
  </si>
  <si>
    <t>The Face Shop Vitamin E lip mask Rice 14g</t>
  </si>
  <si>
    <t>Vitamin E / Tocopherol</t>
  </si>
  <si>
    <t>Rice Extract, Shea Butter, Amino Acids, Soybean Oil</t>
  </si>
  <si>
    <t xml:space="preserve">A nourishing lip mask that doubles as a daily balm and overnight sleeping mask. It contains 10% shea butter, vitamin E, rice extract and amino acids to hydrate dry/chapped lips, smooth rough texture and leave lips soft and moisturised. Best suited for Dry / Chapped Lips. The brand page mentions vitamin E, rice extract, amino acids and 10% shea butter. </t>
  </si>
  <si>
    <t xml:space="preserve">Phytosteryl/Isostearyl/Cetyl/Stearyl/Behenyl Dimer Dilinoleate, Hydrogenated Polyisobutene, Diisostearyl Malate, Butyrospermum Parkii (Shea) Butter, Tribehenin, Synthetic Wax, Microcrystalline Wax, 1,2-Hexanediol, Synthetic Fluorphlogopite, Ethylene/Propylene Copolymer, Simethicone, Tocopherol, Water, Glycine Soja (Soybean) Oil, Serine, Arginine, Citric Acid, Butylene Glycol, BHT, Oryza Sativa (Rice) Extract, Fragrance, Titanium Dioxide, Iron Oxide Red, Iron Oxide Yellow, Iron Oxide Black. </t>
  </si>
  <si>
    <t>Apply on clean lips whenever they feel dry or flaky. Use a generous layer at night for overnight repair. Good for rough texture, chapped lips and daily nourishment.</t>
  </si>
  <si>
    <t>Do not apply on infected, bleeding or severely cracked lips. Do not over-scrub lips before applying. Stop use if irritation, swelling or burning occurs. Avoid direct eye contact.</t>
  </si>
  <si>
    <t>Store in a cool, dry place away from direct sunlight and high heat. Keep lid tightly closed. Use clean fingers or spatula.</t>
  </si>
  <si>
    <t>Key ingredient focus: Vitamin E, rice extract, shea butter and amino acids. Review the full ingredient list for personal allergens, fragrance sensitivity, rice extract sensitivity, soybean oil sensitivity, shea butter sensitivity, colorant sensitivity and past reactions. Fragrance and colorants may irritate very sensitive or cracked lips. Patch test on a small area near the lip or behind the ear for 24–48 hours if sensitive, allergy-prone, pregnant/breastfeeding, using prescription treatments or recovering from procedures. This is cosmetic guidance and not a substitute for dermatologist advice for severe chapping, eczema, cheilitis, active infection or persistent irritation.</t>
  </si>
  <si>
    <r>
      <rPr>
        <rFont val="Calibri, sans-serif"/>
        <color rgb="FF000000"/>
        <sz val="11.0"/>
      </rPr>
      <t>["</t>
    </r>
    <r>
      <rPr>
        <rFont val="Calibri, sans-serif"/>
        <color rgb="FF1155CC"/>
        <sz val="11.0"/>
        <u/>
      </rPr>
      <t>https://thefaceshop.in/cdn/shop/files/1_e95737ba-7d7a-4867-bbfd-028c3dd75352.jpg?v=1756207680&amp;width=1100</t>
    </r>
    <r>
      <rPr>
        <rFont val="Calibri, sans-serif"/>
        <color rgb="FF000000"/>
        <sz val="11.0"/>
      </rPr>
      <t>", "</t>
    </r>
    <r>
      <rPr>
        <rFont val="Calibri, sans-serif"/>
        <color rgb="FF1155CC"/>
        <sz val="11.0"/>
        <u/>
      </rPr>
      <t>https://thefaceshop.in/cdn/shop/files/2_94b0703a-fa4e-4fa5-8458-436e1fcaf449.jpg?v=1756991899&amp;width=1100</t>
    </r>
    <r>
      <rPr>
        <rFont val="Calibri, sans-serif"/>
        <color rgb="FF000000"/>
        <sz val="11.0"/>
      </rPr>
      <t>", "</t>
    </r>
    <r>
      <rPr>
        <rFont val="Calibri, sans-serif"/>
        <color rgb="FF1155CC"/>
        <sz val="11.0"/>
        <u/>
      </rPr>
      <t>https://thefaceshop.in/cdn/shop/files/3_5124d805-c34f-43ac-beee-ad26c2d7f020.jpg?v=1756991899&amp;width=1100</t>
    </r>
    <r>
      <rPr>
        <rFont val="Calibri, sans-serif"/>
        <color rgb="FF000000"/>
        <sz val="11.0"/>
      </rPr>
      <t>", "</t>
    </r>
    <r>
      <rPr>
        <rFont val="Calibri, sans-serif"/>
        <color rgb="FF1155CC"/>
        <sz val="11.0"/>
        <u/>
      </rPr>
      <t>https://thefaceshop.in/cdn/shop/files/4_91885366-65fa-4344-b643-338d21545a20.jpg?v=1756991899&amp;width=1100</t>
    </r>
    <r>
      <rPr>
        <rFont val="Calibri, sans-serif"/>
        <color rgb="FF000000"/>
        <sz val="11.0"/>
      </rPr>
      <t>", "</t>
    </r>
    <r>
      <rPr>
        <rFont val="Calibri, sans-serif"/>
        <color rgb="FF1155CC"/>
        <sz val="11.0"/>
        <u/>
      </rPr>
      <t>https://thefaceshop.in/cdn/shop/files/6_ce6f2585-de07-4339-873e-09346998de47.jpg?v=1756991899&amp;width=1100</t>
    </r>
    <r>
      <rPr>
        <rFont val="Calibri, sans-serif"/>
        <color rgb="FF000000"/>
        <sz val="11.0"/>
      </rPr>
      <t>"]</t>
    </r>
  </si>
  <si>
    <t>content name</t>
  </si>
  <si>
    <t>Roopsee-L-CO-01</t>
  </si>
  <si>
    <t>LANEIGE Berry Bliss Lip Duo Mini (2pcs)</t>
  </si>
  <si>
    <t>Lip</t>
  </si>
  <si>
    <t>Lip combo</t>
  </si>
  <si>
    <t>10 gm, 8 gm</t>
  </si>
  <si>
    <t>Murumuru Seed Butter, Coconut Oil, Berry Mix Complex, Vitamin C</t>
  </si>
  <si>
    <t>A day-and-night hydration duo for dry, dull and chapped lips. The Lip Glowy Balm works as a glossy daytime balm, while the Lip Sleeping Mask gives richer overnight nourishment. Laneige lists shea and murumuru seed butters for Lip Glowy Balm, and Berry Mix Complex, coconut oil, shea butter, murumuru butter and Vitamin C for the Lip Sleeping Mask</t>
  </si>
  <si>
    <t>Shea Butter, Murumuru Seed Butter, Coconut Oil, Berry Fruit Complex, Vitamin C, emollient oils, waxes, glossing agents, fragrance/flavour and colourants.</t>
  </si>
  <si>
    <t>• Use balm during the day for shine and hydration. • Use sleeping mask at night for deeper repair. • Reapply balm when lips feel dry. • Use clean fingers/spatula for the mask.</t>
  </si>
  <si>
    <t>• Don’t lick lips after applying. • Don’t apply on bleeding cracks. • Don’t share tub products for hygiene. • Don’t over-apply outside the lip line.</t>
  </si>
  <si>
    <t>• Store in a cool, dry place. • Keep away from direct sunlight. • Close cap/tub tightly. • Keep applicator clean.</t>
  </si>
  <si>
    <t>• Apply Lip Glowy Balm in the morning or whenever needed. • At night, apply a thicker layer of Lip Sleeping Mask. • Leave overnight. • Wipe off excess in the morning if needed.</t>
  </si>
  <si>
    <t>Contains fragrance/flavour and colourants, which may irritate very sensitive or cracked lips. Avoid licking lips after application. Patch test if lips are reactive.</t>
  </si>
  <si>
    <r>
      <rPr>
        <color rgb="FF1155CC"/>
        <u/>
      </rPr>
      <t>https://assets-jiocdn.ajio.com/medias/sys_master/root1/20260302/O7gi/69a51f322078eb3010c02f16/-1117Wx1400H-4946242090-multi-MODEL.jpg</t>
    </r>
    <r>
      <rPr/>
      <t xml:space="preserve">, </t>
    </r>
    <r>
      <rPr>
        <color rgb="FF1155CC"/>
        <u/>
      </rPr>
      <t>https://assets-jiocdn.ajio.com/medias/sys_master/root1/20260303/cmCT/69a6f65c4146d13d34bca638/-473Wx593H-4946242090-multi-MODEL4.jpg</t>
    </r>
  </si>
  <si>
    <t>Roopsee-L-CO-02</t>
  </si>
  <si>
    <t>SOS Lips combo</t>
  </si>
  <si>
    <t xml:space="preserve">The Ordinary Pha 5% Lip Exfoliating Lip Serum, Bioderma Atoderm Levres Ultra Hydrating Lip Balm with Shea Butter for Dry &amp; Chapped Lips </t>
  </si>
  <si>
    <t>The ordinary, Bioderma</t>
  </si>
  <si>
    <t>15 ml, 4 g</t>
  </si>
  <si>
    <t>Canada, India</t>
  </si>
  <si>
    <t>PHA / Gluconolactone</t>
  </si>
  <si>
    <t>1.5% AHAs, Glycerin, Ectoin, Shea Butter, Mineral Oil, Beeswax, Sunflower Oil, Tocopherol</t>
  </si>
  <si>
    <t>A repair-focused combo for dry, flaky and chapped lips. The Ordinary serum gently exfoliates dead lip skin with 5% PHA and 1.5% AHAs, while Bioderma Atoderm Lèvres seals moisture and comforts dry lips with shea butter and nourishing emollients.</t>
  </si>
  <si>
    <t>Gluconolactone, Citric Acid, Malic Acid, Tartaric Acid, Glycerin, Ectoin, Mineral Oil, Synthetic Wax, Microcrystalline Wax, Paraffin, Shea Butter, Beeswax, Sunflower Seed Oil, Tocopherol, fragrance.</t>
  </si>
  <si>
    <t>• Use exfoliating serum only 2–3 times a week at first. • Always follow with Bioderma lip balm. • Use balm multiple times daily. • Use SPF lip balm separately in daytime if outdoors.</t>
  </si>
  <si>
    <t>• Don’t use PHA serum on cracked or bleeding lips. • Don’t scrub lips on the same day. • Don’t use serum many times a day. • Don’t peel flakes manually.</t>
  </si>
  <si>
    <t>• Keep serum and balm away from heat. • Close caps tightly. • Store in a dry place. • Keep away from direct sunlight.</t>
  </si>
  <si>
    <t>• Apply a thin layer of PHA serum on clean lips at night. • Let it absorb. • Seal with Bioderma balm. • On non-exfoliation days, use only balm as needed.</t>
  </si>
  <si>
    <t>Do not over-exfoliate. PHA/AHA serum may sting on cracked, bleeding or freshly irritated lips. Use balm after serum. Avoid using serum multiple times daily.</t>
  </si>
  <si>
    <t>Roopsee-L-CO-03</t>
  </si>
  <si>
    <t>Lip repair Duo</t>
  </si>
  <si>
    <t>Kiehl's Lip Balm #1, LANEIGE Lip Sleeping Mask Gummy bear</t>
  </si>
  <si>
    <t>Kiehls's, Laneige</t>
  </si>
  <si>
    <t>8 gm, 15 ml</t>
  </si>
  <si>
    <t>Petrolatum, Lanolin, Vitamin E, Shea Butter, Murumuru Butter, Coconut Oil, Berry Mix Complex</t>
  </si>
  <si>
    <t xml:space="preserve">A rich lip repair duo for very dry, cracked and uncomfortable lips. Kiehl’s Lip Balm #1 moisturises with squalane and Vitamin E, while Laneige Gummy Bear Lip Sleeping Mask gives overnight cushiony hydration with nourishing butters and antioxidant-rich berry ingredients. </t>
  </si>
  <si>
    <t>Petrolatum, Squalane, Lanolin, Wheat Germ Oil, Vitamin E, Shea Butter, Murumuru Seed Butter, Coconut Oil, Berry/Fruit Extracts, Glycerin, Sodium Hyaluronate, fragrance/flavour, colourants.</t>
  </si>
  <si>
    <t>• Use Kiehl’s balm during the day. • Use Laneige mask at night. • Apply balm before lipstick to smooth lips. • Use regularly for very dry lips.</t>
  </si>
  <si>
    <t>• Don’t use if lanolin causes irritation. • Don’t apply on infected cuts. • Don’t keep dipping unclean fingers in the mask. • Don’t lick or rub lips repeatedly.</t>
  </si>
  <si>
    <t>• Store both in a cool, dry place. • Keep tub closed tightly. • Keep away from heat. • Clean the mask applicator regularly.</t>
  </si>
  <si>
    <t>• Apply Kiehl’s balm whenever lips feel dry. • At night, apply Laneige sleeping mask generously. • Leave overnight. • Use daily during dry weather.</t>
  </si>
  <si>
    <t>Lanolin can trigger sensitivity in some users. Laneige has fragrance/flavour. Avoid if lips are allergic to scented lip masks or lanolin-based balms.</t>
  </si>
  <si>
    <t>Roopsee-L-CO-04</t>
  </si>
  <si>
    <t>Lip Glow-Up Combo</t>
  </si>
  <si>
    <t>Tirtir My Glow Lip Oil Rosy 5.7 ml, Foxtale Night Shift Lip Sleeping Mask With Ceramides &amp; Maracuja Oil</t>
  </si>
  <si>
    <t>Tirtir, Foxtale</t>
  </si>
  <si>
    <t>5.7 ml, 12 gm</t>
  </si>
  <si>
    <t>India, South Korea</t>
  </si>
  <si>
    <t>Vitamin E, Maracuja Oil, Ceramides, nourishing oils</t>
  </si>
  <si>
    <t xml:space="preserve">A glossy + overnight repair combo for lips that look dull, dry or flat. Tirtir lip oil gives shine and daytime nourishment with jojoba seed oil and Vitamin E, while Foxtale’s sleeping mask supports overnight barrier repair with Maracuja Oil, Ceramides and Vitamin E. </t>
  </si>
  <si>
    <t>Jojoba Seed Oil, Vitamin E/Tocopherol, glossy emollient oils, Maracuja Oil, Ceramides, nourishing butters/oils, waxes, flavour/fragrance.</t>
  </si>
  <si>
    <t>• Use Tirtir lip oil in the day for shine. • Use Foxtale mask at night for repair. • Apply oil over lip tint/lipstick for gloss. • Use mask daily if lips are chapped.</t>
  </si>
  <si>
    <t>• Don’t use lip oil on dirty lips. • Don’t over-apply around the mouth. • Don’t apply on open cuts. • Don’t use if flavour/fragrance irritates lips.</t>
  </si>
  <si>
    <t>• Store upright if possible. • Keep away from sunlight. • Close cap tightly. • Avoid keeping lip oil in extreme heat.</t>
  </si>
  <si>
    <t>• Apply Tirtir lip oil during the day as needed. • At night, apply Foxtale sleeping mask. • Leave overnight. • Reapply lip oil whenever shine/hydration fades.</t>
  </si>
  <si>
    <t>Lip oils can feel slippery and may need reapplication. Foxtale mask contains richer occlusives, so avoid applying too close to lip line if you get clogged pores around the mouth.</t>
  </si>
  <si>
    <t>Roopsee-L-CO-06</t>
  </si>
  <si>
    <t>Perfect Pout Picks</t>
  </si>
  <si>
    <t>Chemist at Play Ceramides Cherry SPF 50 PA++ Lip Balm, The Face Shop Vitamin B lip mask Watermelon</t>
  </si>
  <si>
    <t>Chemist at play, The Face Shop</t>
  </si>
  <si>
    <t>4.5 g, 14 gm</t>
  </si>
  <si>
    <t>SPF Filters, Kojic Acid, Hyaluronic Acid, Tri-Peptides, Vitamin B Complex, Panthenol, Watermelon Extract, Shea Butter</t>
  </si>
  <si>
    <r>
      <t>A daytime SPF + overnight hydration combo for pigmented, dry and chapped lips. Chemist at Play lip balm protects and supports lip pigmentation concerns with SPF 50, Kojic Acid, Ceramides, Hyaluronic Acid and peptides, while The Face Shop Vitamin B Watermelon Lip Mask deeply hydrates with Vitamin B complex, watermelon extract, shea butter and hyaluronic acid. (</t>
    </r>
    <r>
      <rPr>
        <color rgb="FF1155CC"/>
        <u/>
      </rPr>
      <t>Innovist</t>
    </r>
    <r>
      <rPr/>
      <t>)</t>
    </r>
  </si>
  <si>
    <t>Ceramides, Kojic Acid, Hyaluronic Acid, Tri-Peptides, SPF filters, Vitamin B Complex, Panthenol, Cyanocobalamin, Watermelon Extract, Shea Butter, fruit extracts, emollient waxes/oils, fragrance/flavour, colourants.</t>
  </si>
  <si>
    <t>• Use Chemist at Play SPF balm during the day. • Reapply SPF balm outdoors. • Use The Face Shop lip mask at night. • Use consistently for dryness and pigmentation support.</t>
  </si>
  <si>
    <t>• Don’t skip SPF reapplication. • Don’t apply kojic acid balm on cracked lips if it stings. • Don’t use harsh lip scrubs. • Don’t use if irritation persists.</t>
  </si>
  <si>
    <t>• Store away from direct sunlight. • Don’t leave SPF balm in hot car/bag. • Close both products tightly. • Keep tub hygienic.</t>
  </si>
  <si>
    <t>• Apply Chemist at Play balm in the morning. • Reapply every 2–3 hours outdoors. • At night, apply The Face Shop Vitamin B Watermelon mask. • Leave overnight.</t>
  </si>
  <si>
    <t>SPF lip balms need reapplication. Kojic Acid may irritate cracked lips. The Face Shop mask contains fragrance and colourants. Patch test if prone to lip allergy.</t>
  </si>
  <si>
    <t>Roopsee-L-CO-07</t>
  </si>
  <si>
    <t>The Rosy Lip Combo</t>
  </si>
  <si>
    <t>Minimalist 8% L-Ascorbic Acid Lip Treatment Balm, WishCare Ceramide Lip Balm SPF 50 PA+++</t>
  </si>
  <si>
    <t>Minimalist, WishCare</t>
  </si>
  <si>
    <t>12 gm, 5gm</t>
  </si>
  <si>
    <t>India, India</t>
  </si>
  <si>
    <t>Radianskin, Vitamin E, Glycerin, Ceramides, Niacinamide, Kojic Acid, SPF Filters</t>
  </si>
  <si>
    <t>A lip pigmentation + sun-protection combo. Minimalist targets lip hyperpigmentation with 8% L-Ascorbic Acid, Radianskin, Vitamin E and Glycerin, while WishCare adds SPF 50 protection with Ceramides, Niacinamide and Kojic Acid for brightening and moisturising support.</t>
  </si>
  <si>
    <t>L-Ascorbic Acid, Glycerin, Vitamin E, Radianskin/Hydroxyphenoxy Propionic Acid, Avocado Oil, Coffee Seed Oil, Ceramides, Niacinamide, Kojic Acid, SPF filters, waxes, emollients.</t>
  </si>
  <si>
    <t>• Use WishCare SPF balm during the day. • Use Minimalist Vitamin C balm preferably at night. • Reapply SPF when outdoors. • Use consistently for pigmented lips.</t>
  </si>
  <si>
    <t>• Don’t use Vitamin C balm on cracked/bleeding lips. • Don’t layer multiple brightening lip actives together. • Don’t skip SPF if treating pigmentation. • Don’t expect instant lip lightening.</t>
  </si>
  <si>
    <t>• Keep Vitamin C balm away from heat and sunlight. • Store both in a cool, dry place. • Close caps tightly. • Avoid leaving in direct sun.</t>
  </si>
  <si>
    <t>• Morning: apply WishCare SPF lip balm. • Reapply during the day. • Night: apply Minimalist L-Ascorbic Acid balm. • Start alternate nights if lips are sensitive.</t>
  </si>
  <si>
    <t>Vitamin C and Kojic Acid can sting on cracked lips. Use SPF balm in daytime and Vitamin C balm preferably at night or under SPF. Avoid overuse if lips peel.</t>
  </si>
  <si>
    <t>Roopsee-L-CO-08</t>
  </si>
  <si>
    <t>The Lip Brightening Duo</t>
  </si>
  <si>
    <t>Fixderma 4% Kojic Acid Brightening Lip Balm, Foxtale Night Shift Lip Sleeping Mask With Ceramides &amp; Maracuja Oil</t>
  </si>
  <si>
    <t>Fixderma, Foxtale</t>
  </si>
  <si>
    <t>15 gm, 12 gm</t>
  </si>
  <si>
    <t>India, india</t>
  </si>
  <si>
    <t>Alpha Arbutin, Nano Curcumin, SPF 50, Maracuja Oil, Ceramides, Vitamin E</t>
  </si>
  <si>
    <t>A brightening + repair duo for pigmented, dry and dull lips. Fixderma focuses on dark/pigmented lips with 4% Kojic Acid, Alpha Arbutin, Nano Curcumin and SPF 50 protection, while Foxtale repairs dryness overnight with Maracuja Oil, Ceramides and Vitamin E.</t>
  </si>
  <si>
    <t>Kojic Acid, Alpha Arbutin, Nano Curcumin, SPF filters, Maracuja Oil, Ceramides, Vitamin E, emollients, waxes, nourishing oils.</t>
  </si>
  <si>
    <t>• Use Fixderma SPF lip balm during the day. • Use Foxtale mask at night. • Reapply Fixderma when outdoors. • Keep lips moisturised while treating pigmentation.</t>
  </si>
  <si>
    <t>• Don’t use kojic acid balm on broken lips. • Don’t skip night repair if lips feel dry. • Don’t combine with other lip exfoliants daily. • Don’t rub lips aggressively.</t>
  </si>
  <si>
    <t>• Store away from heat. • Keep SPF balm away from direct sunlight. • Close caps tightly. • Keep mask tub clean.</t>
  </si>
  <si>
    <t>• Morning: apply Fixderma lip balm. • Reapply every few hours outdoors. • Night: apply Foxtale sleeping mask generously. • Leave overnight.</t>
  </si>
  <si>
    <t>Kojic Acid may irritate cracked or sensitive lips. SPF lip balm should be reapplied in the day. Do not layer too many brightening lip actives together.</t>
  </si>
  <si>
    <t>Roopsee-L-CO-09</t>
  </si>
  <si>
    <t>Plump &amp; Pamper Combo</t>
  </si>
  <si>
    <t>Tirtir My Glow Lip Oil Mint 5.7 ml, Minimalist 8% L-Ascorbic Acid Lip Treatment Balm</t>
  </si>
  <si>
    <t>Tirtir, Minimalist</t>
  </si>
  <si>
    <t>5.7 ml, 12gm</t>
  </si>
  <si>
    <t>South Korea, India</t>
  </si>
  <si>
    <t>Jojoba Seed Oil, Vitamin E, Glycerin, Radianskin, nourishing oils</t>
  </si>
  <si>
    <t>A glossy + brightening combo for dry, dull and pigmented lips. Tirtir lip oil gives a glossy nourished finish with jojoba seed oil and Vitamin E, while Minimalist 8% L-Ascorbic Acid Lip Treatment Balm targets pigmentation and softening with Vitamin C, Radianskin, Vitamin E and Glycerin.</t>
  </si>
  <si>
    <t>Jojoba Seed Oil, Vitamin E, L-Ascorbic Acid, Glycerin, Radianskin/Hydroxyphenoxy Propionic Acid, Avocado Oil, Coffee Seed Oil, waxes, emollients, flavour/fragrance.</t>
  </si>
  <si>
    <t>• Use Tirtir Mint lip oil for daytime gloss. • Use Minimalist balm at night for pigmentation care. • Start Vitamin C balm slowly. • Use SPF lip balm separately in daytime if outdoors.</t>
  </si>
  <si>
    <t>• Don’t use mint lip oil if it burns or irritates. • Don’t apply Vitamin C balm on cracked lips. • Don’t use with strong lip exfoliants daily. • Don’t lick lips repeatedly.</t>
  </si>
  <si>
    <t>• Store in a cool, dry place. • Keep away from sunlight. • Close caps tightly. • Avoid heat exposure for Vitamin C balm.</t>
  </si>
  <si>
    <t>• Day: apply Tirtir lip oil whenever needed. • Night: apply Minimalist L-Ascorbic Acid balm. • Start 3–4 nights a week. • Increase if lips tolerate it.</t>
  </si>
  <si>
    <t>Mint/flavour may tingle or irritate sensitive lips. L-Ascorbic Acid can sting on cracked lips. Avoid using Vitamin C balm on broken skin.</t>
  </si>
  <si>
    <t>Roopsee-L-CO-10</t>
  </si>
  <si>
    <t>Everyday Lip Fix</t>
  </si>
  <si>
    <t>LANEIGE Lip Glowy Balm - Sweet Candy, The Face Shop Vitamin lip sleeping mask</t>
  </si>
  <si>
    <t>Laneige, The Face Shop</t>
  </si>
  <si>
    <t>10 gm, 14 gm</t>
  </si>
  <si>
    <t>Murumuru Butter, Vitamin C, Vitamin B3/Niacinamide, Panthenol, Hyaluronic Acid</t>
  </si>
  <si>
    <t xml:space="preserve">A simple daily lip-care combo for hydration, shine and overnight softness. Laneige Lip Glowy Balm gives daytime glossy moisture with shea and murumuru butter, while The Face Shop Vitamin Lip Sleeping Mask targets dryness, dullness and uneven tone with Vitamin C, Niacinamide, Panthenol, Hyaluronic Acid and Shea Butter. </t>
  </si>
  <si>
    <t>Shea Butter, Murumuru Seed Butter, glossing emollients, Vitamin C/Ascorbyl Glucoside, Niacinamide, Panthenol, Hyaluronic Acid, botanical oils, waxes, fragrance/flavour, colourants.</t>
  </si>
  <si>
    <t>• Use Laneige Lip Glowy Balm during the day. • Use The Face Shop Vitamin Lip Sleeping Mask at night. • Reapply balm when lips feel dry. • Use mask regularly for soft lips.</t>
  </si>
  <si>
    <t>• Don’t share tub lip mask. • Don’t apply over dirty lips. • Don’t use if fragrance causes irritation. • Don’t peel dry flakes manually.</t>
  </si>
  <si>
    <t>• Store in a cool, dry place. • Keep away from direct sunlight. • Close caps/tub properly. • Keep applicator clean.</t>
  </si>
  <si>
    <t>• Apply Laneige balm in the morning and through the day. • At night, apply a generous layer of The Face Shop sleeping mask. • Leave overnight. • Wipe off extra product in the morning if needed.</t>
  </si>
  <si>
    <t>Both products are scented/flavoured, so patch test if lips are sensitive. Avoid over-application outside the lip line if prone to tiny bumps around mouth.</t>
  </si>
  <si>
    <t>Skin type</t>
  </si>
  <si>
    <t>Roopsee-B-CO-17</t>
  </si>
  <si>
    <t>Strawberry Skin for oily skin</t>
  </si>
  <si>
    <t>Minimalist 2% Salicylic Acid + LHA Body Wash, Wishcare 10% AHA + 1% BHA body lotion, Chemist at play Exfoliating Body Scrub with Coffee &amp; Brown Sugar</t>
  </si>
  <si>
    <t>Minimalist, WishCare, Chemist at play</t>
  </si>
  <si>
    <t>Body Combo</t>
  </si>
  <si>
    <t>200ml, 200ml, 75 gm</t>
  </si>
  <si>
    <t>Oily</t>
  </si>
  <si>
    <t>Salicylic Acid / BHA</t>
  </si>
  <si>
    <t>LHA, Niacinamide, Glycolic Acid, Lactic Acid, Coffee Extract, Brown Sugar, Natural AHAs, Ceramides, Glycerin</t>
  </si>
  <si>
    <t>A body-care kit for oily skin with strawberry skin, rough bumps, clogged body pores, body acne, uneven texture, and dull-looking body skin. It combines BHA-based cleansing, AHA/BHA leave-on exfoliation, and physical polishing to help smooth bumpy texture, remove dead skin buildup, and reduce pore congestion on arms, legs, back, thighs, and bum area.</t>
  </si>
  <si>
    <t>Minimalist Body Wash: Salicylic Acid, Capryloyl Salicylic Acid / LHA, Niacinamide, Glycerin, Betaine, Sodium PCA, mild cleansing base. WishCare Body Lotion: Glycolic Acid, Lactic Acid, Salicylic Acid, Niacinamide, Blueberry Extract, Grapefruit Extract, Glycerine, Oats, Olive Squalane, Hyaluronic Acid, Ceramide. Chemist at Play Body Scrub: Natural AHAs, Coffee Extract, Brown Sugar, Ceramides, exfoliating scrub base.</t>
  </si>
  <si>
    <t>Use exfoliating products slowly and consistently. Moisturize after exfoliation. Use sunscreen on exposed body areas during the day. Focus on rough areas like arms, legs, thighs, elbows, knees, back, and bum. Patch test before full use.</t>
  </si>
  <si>
    <t>Do not use body wash, AHA/BHA lotion, and scrub all together daily. Do not scrub aggressively. Do not apply on cuts, wounds, sunburn, active rash, freshly shaved/waxed skin, or irritated skin. Do not use on face or intimate areas.</t>
  </si>
  <si>
    <t>Store in a cool, dry place away from direct sunlight, heat, and excess bathroom moisture. Keep caps tightly closed after use. Keep away from children.</t>
  </si>
  <si>
    <t>Use Minimalist Salicylic Acid + LHA Body Wash 3–4 times a week on oily/bumpy body areas. Apply WishCare AHA + BHA Body Lotion at night on dry skin, starting 2–3 times a week and increasing only if tolerated. Use Chemist at Play Body Scrub 1 time a week on damp skin, preferably not on the same day as the AHA/BHA lotion.</t>
  </si>
  <si>
    <t>Salicylic Acid, LHA, Glycolic Acid, Lactic Acid, and Natural AHAs are exfoliating actives. Overuse may cause dryness, peeling, redness, itching, burning, or barrier damage. Coffee, brown sugar, and scrub particles may irritate if rubbed harshly. Avoid during active irritation and patch test first.</t>
  </si>
  <si>
    <t>Roopsee-B-CO-18</t>
  </si>
  <si>
    <t>Strawberry skin for dry skin</t>
  </si>
  <si>
    <t>Be Bodywise 1 Salicylic Acid Body Wash, Minimalist Niacinamide 5% body lotion, Foxtale Hula hoop exfoliating body scrub</t>
  </si>
  <si>
    <t>Be Bodywise, Minimalist, Foxtale</t>
  </si>
  <si>
    <t>375ml, 180g, 75 g</t>
  </si>
  <si>
    <t>Niacinamide 5%, Salicylic Acid 1%, Lactic Acid 2%</t>
  </si>
  <si>
    <t>Glycerin, Shea Butter, Betaine, Chamomile Extract, Pentavitin, Dead Sea Salt, Perlite, Meadowfoam Oil</t>
  </si>
  <si>
    <t>A body-care kit for strawberry skin, rough bumps, dry texture, clogged body pores, and dull-looking body skin. It combines gentle chemical exfoliation, physical polishing, and barrier-supporting hydration to help smooth rough body texture while keeping dry skin nourished. Best suited for arms, legs, thighs, and areas with bumpy or uneven body texture.</t>
  </si>
  <si>
    <t>Be Bodywise Body Wash: Salicylic Acid, Chamomile Extract, Pentavitin, cleansing base. Minimalist Body Lotion: Water/Aqua, Glycerin, Niacinamide, Caprylic/Capric Triglyceride, Dimethicone, Betaine, Petrolatum, Cetearyl Alcohol and other lotion-base ingredients. Foxtale Body Polish: Glycerin, Aqua, Perlite, Lactic Acid, Meadowfoam Seed Oil, Sea Salt, Caprylic/Capric Triglyceride, Dimethicone, fragrance components and polishing base.</t>
  </si>
  <si>
    <t>Use exfoliating products only on the body, not on face or intimate areas. Moisturize after every exfoliating wash/scrub. Start slowly, especially if skin is very dry or sensitive. Use sunscreen on exposed body areas during the day. Patch test before full use.</t>
  </si>
  <si>
    <t>Do not use the body wash and body scrub together every day. Do not scrub aggressively. Do not apply on cuts, wounds, freshly shaved skin, sunburn, active rash, or irritated skin. Do not use if your skin feels burning, peeling, or excessively dry.</t>
  </si>
  <si>
    <t>Store in a cool, dry place away from direct sunlight, heat, and bathroom moisture. Keep caps tightly closed after use. Keep away from children.</t>
  </si>
  <si>
    <t>Use Be Bodywise Body Wash 2–3 times a week on wet skin, massage gently, then rinse thoroughly. Use Foxtale Body Polish 1–2 times a week only, preferably on non-body-wash days. Apply Minimalist Niacinamide 5% Body Lotion daily after bath on slightly damp skin. For very dry skin, use lotion twice daily.</t>
  </si>
  <si>
    <t>Salicylic Acid and Lactic Acid are exfoliating actives and may cause dryness, tingling, redness, or irritation if overused. Avoid combining too many exfoliating steps in one routine. Fragrance in the scrub may irritate very sensitive skin. Niacinamide is usually well tolerated but patch testing is recommended. Stop use if irritation persists.</t>
  </si>
  <si>
    <t>Roopsee-B-CO-15</t>
  </si>
  <si>
    <t>Anti-Fungal Skin Relief Kit</t>
  </si>
  <si>
    <t>IPCA Keraglo-AD Body Wash, Lulifin Luliconazole Cream, Abzorb dusting powder</t>
  </si>
  <si>
    <t xml:space="preserve">IPCA, Lulifin, LUBEX </t>
  </si>
  <si>
    <t xml:space="preserve">Body </t>
  </si>
  <si>
    <t>100 ml, 20gm, 120 gm</t>
  </si>
  <si>
    <t>Luliconazole</t>
  </si>
  <si>
    <t>Ketoconazole 2%, Clotrimazole 1%, Aloe Vera, D-Panthenol, Ichthyol Pale, Talc &amp; Starch moisture-control base</t>
  </si>
  <si>
    <t>A Curated antifungal care kit designed to support skin affected by fungal infections, sweat rash, itching, redness, scaling, and moisture-related irritation. The kit combines an antifungal body wash, targeted antifungal cream, and sweat-absorbing dusting powder to cleanse, treat, and keep affected areas dry. Use only as directed by a healthcare professional.</t>
  </si>
  <si>
    <t>Keraglo-AD Body Wash: Ketoconazole 2%, Aloe Vera, D-Panthenol, Ichthyol Pale. Lulifin Cream: Luliconazole 1%. Abzorb Dusting Powder: Clotrimazole 1%, Talc IP, Starch IP base q.s.</t>
  </si>
  <si>
    <t>Keep affected areas clean and dry. Wear loose, breathable clothing. Wash hands before and after application. Complete the full prescribed course even if symptoms improve. Use a separate towel and avoid sharing personal items.</t>
  </si>
  <si>
    <t>Do not use on open wounds, severely broken skin, eyes, mouth, or intimate mucosal areas unless prescribed. Do not scratch the infected area. Do not cover treated areas with tight bandages unless advised by a doctor. Do not stop early just because itching reduces.</t>
  </si>
  <si>
    <t>Store in a cool, dry place away from direct sunlight. Keep products tightly closed and out of reach of children. Keraglo-AD and Lulifin are generally stored below 30°C / around room temperature depending on label instructions.</t>
  </si>
  <si>
    <t>Step 1: Use Keraglo-AD Body Wash on affected body areas, lather gently, leave for 2–5 minutes, then rinse well. Step 2: On clean, dry skin, apply a thin layer of Lulifin Cream to affected areas as prescribed. Step 3: Use Abzorb Dusting Powder on clean, dry areas prone to sweat/friction, especially folds, feet, underarms, or groin crease, as directed.</t>
  </si>
  <si>
    <t>Contains antifungal actives. Possible side effects may include burning, redness, irritation, itching, peeling, or dryness at the application site. Avoid if allergic to ketoconazole, luliconazole, clotrimazole, or any listed ingredient. Pregnant or breastfeeding users should consult a doctor before use. Lulifin is a prescription antifungal cream and should be used under medical guidance.</t>
  </si>
  <si>
    <t>Roopsee-B-CO-16</t>
  </si>
  <si>
    <t>Monsoon essentials</t>
  </si>
  <si>
    <t>Ketotrail Ketoconazole Body wash, Lulifin Luliconazole Cream, Candid dusting powder</t>
  </si>
  <si>
    <t>Ketotrail, Lulifin, Candid</t>
  </si>
  <si>
    <t>100ml, 20gm, 250gm</t>
  </si>
  <si>
    <t>Ketoconazole 1%, Clotrimazole, Tea Tree Oil, Glycerin, Talc-based moisture-absorbing base</t>
  </si>
  <si>
    <t>A monsoon-focused antifungal care kit designed to help manage sweat-related fungal discomfort, itching, redness, body rashes, and moisture-prone skin irritation. It combines an antifungal body wash, targeted antifungal cream, and dusting powder to cleanse affected areas, support fungal control, and keep sweat-prone skin folds dry and comfortable.</t>
  </si>
  <si>
    <t>Ketotrail Ketoconazole Body Wash: Ketoconazole 1%, Melaleuca Alternifolia / Tea Tree Leaf Oil, Glycerin, mild cleansing base. Lulifin Cream: Luliconazole 1% w/w. Candid Dusting Powder: Clotrimazole, dusting powder base with moisture-absorbing agents.</t>
  </si>
  <si>
    <t>Keep affected areas clean and completely dry. Use loose, breathable cotton clothing during humid weather. Wash hands before and after applying cream or powder. Use the cream only on the affected area as advised. Complete the full recommended course even if itching improves early.</t>
  </si>
  <si>
    <t>Do not apply on open wounds, cuts, eyes, mouth, or intimate mucosal areas unless advised by a doctor. Do not share towels, innerwear, or personal-use clothing. Do not scratch the infected area. Do not layer multiple antifungal products unnecessarily without medical advice.</t>
  </si>
  <si>
    <t>Store in a cool, dry place away from direct sunlight, heat, and moisture. Keep bottles/tubes tightly closed after use. Keep away from children. Do not store the powder in a damp bathroom area.</t>
  </si>
  <si>
    <t>Step 1: Use Ketotrail Body Wash on affected or sweat-prone body areas. Lather gently, leave briefly, and rinse well. Step 2: Pat skin completely dry, then apply a thin layer of Lulifin Cream on affected areas as advised. Step 3: Use Candid Dusting Powder lightly on clean, dry, sweat-prone areas such as underarms, feet, skin folds, or groin crease as directed.</t>
  </si>
  <si>
    <t>Contains antifungal actives. Possible side effects may include mild burning, itching, redness, dryness, peeling, or irritation at the application site. Avoid use if allergic to ketoconazole, luliconazole, clotrimazole, tea tree oil, or any listed ingredient. Pregnant or breastfeeding users, children, or users with severe/recurrent fungal infections should consult a doctor before use.</t>
  </si>
  <si>
    <t>Roopsee-B-CO-01</t>
  </si>
  <si>
    <t>Body Hydration Combo- for Dry Skin</t>
  </si>
  <si>
    <t>Be Bodywise Hyaluronic Acid Body Wash For Dry Skin - With 3 Essential Ceramides &amp; Aloe Vera Extract, Fixderma Ceramide Body Lotion</t>
  </si>
  <si>
    <t>Be Bodywise, Fixderma</t>
  </si>
  <si>
    <t>250 ml, 100 ml</t>
  </si>
  <si>
    <t>Dry</t>
  </si>
  <si>
    <t>Hyaluronic Acid, Allantoin, Aloe Vera, Glycerin, Shea Butter, Panthenol, Coconut Oil</t>
  </si>
  <si>
    <t xml:space="preserve">A deep hydration + barrier repair set for dry, rough and flaky body skin. The Be Bodywise wash hydrates with Hyaluronic Acid, Allantoin, Aloe Vera and Ceramides 1, 3 &amp; 6-II, while Fixderma Dewrav Deep Hydration Body Lotion supports 24-hour moisturization with Ceramide Complex, Shea Butter, Panthenol and Coconut Oil. </t>
  </si>
  <si>
    <t xml:space="preserve">Body Wash: Aqua, Cocamidopropyl Betaine, Sodium Cocoyl Isethionate, Glycerin, Sodium Cocoamphoacetate, Cocamide MEA, Sunflower Seed Oil, Glycol Distearate, Perfume, Phenoxyethanol &amp; Ethylhexylglycerin, Aloe Vera Leaf Extract, Betaine, Guar Hydroxypropyltrimonium Chloride, Allantoin, Ceramide NP/AP/EOP blend, Phytosphingosine, Cholesterol, Sodium Lauroyl Lactylate, Carbomer, Xanthan Gum, Shea Butter, Tocopheryl Acetate, Hyaluronic Acid. Lotion: Shea Butter, Ceramide Complex, Panthenol, Coconut Oil, Colloidal Oatmeal, Sodium PCA and supporting lotion base ingredients. </t>
  </si>
  <si>
    <t>• Use daily for dry skin hydration. • Apply lotion immediately after bath on slightly damp skin. • Apply extra lotion on elbows, knees, legs and rough patches. • Use lukewarm or cold water instead of hot water.</t>
  </si>
  <si>
    <t>• Don’t use very hot water, as it can worsen dryness. • Don’t scrub aggressively with a harsh loofah. • Don’t skip lotion after body wash. • Don’t apply on cuts, rashes or actively irritated skin.</t>
  </si>
  <si>
    <t>• Store both products in a cool and dry place. • Keep away from direct sunlight and heat. • Close caps/pumps tightly after every use. • Avoid storing in very humid bathroom corners.</t>
  </si>
  <si>
    <t>• Wet the body with water. • Take body wash on palms/loofah. • Massage gently in circular motions. • Rinse with lukewarm or cold water. • Pat dry and apply Fixderma lotion all over the body. • Use daily, preferably after shower.</t>
  </si>
  <si>
    <t>Perfume in the body wash may irritate very sensitive skin. Coconut oil, shea butter and richer emollients may feel heavy on acne-prone body areas. Ceramide products are generally barrier-friendly, but patch test before full-body use.</t>
  </si>
  <si>
    <t>Roopsee-B-CO-02</t>
  </si>
  <si>
    <t>Body Hydration Combo- for Normal Skin</t>
  </si>
  <si>
    <t>Be Bodywise Hyaluronic Acid Body Wash For Dry Skin - With 3 Essential Ceramides &amp; Aloe Vera Extract, Aqualogica Radiance+ Silky Body Lotion with Watermelon &amp; Niacinamide</t>
  </si>
  <si>
    <t>Be Bodywise, Aqualogica</t>
  </si>
  <si>
    <t>250 ml, 200 ml</t>
  </si>
  <si>
    <t>Normal</t>
  </si>
  <si>
    <t>Ceramides, Allantoin, Aloe Vera, Watermelon, Glycerin, Niacinamide, Shea Butter, Sodium Ascorbyl Phosphate</t>
  </si>
  <si>
    <t xml:space="preserve">A hydration + radiance set for normal skin that feels slightly dry, dull or dehydrated. The Be Bodywise wash gives hydration and barrier support, while Aqualogica body lotion adds lightweight moisturization with Watermelon, Glycerin, Hyaluronic Acid and Niacinamide. </t>
  </si>
  <si>
    <t xml:space="preserve">Body Wash: Aqua, Cocamidopropyl Betaine, Sodium Cocoyl Isethionate, Glycerin, Sodium Cocoamphoacetate, Cocamide MEA, Sunflower Seed Oil, Glycol Distearate, Perfume, Phenoxyethanol &amp; Ethylhexylglycerin, Aloe Vera Leaf Extract, Betaine, Allantoin, Ceramide NP/AP/EOP blend, Shea Butter, Tocopheryl Acetate, Hyaluronic Acid. Lotion: Aqua, Ethyl Olivate, Olive Oil, Glycerin, Glyceryl Glucoside, Cetostearyl Alcohol, Coconut Oil, Stearic Acid, Isopropyl Myristate, Dimethicone, Niacinamide, Shea Butter, Almond Oil, Watermelon Extract, Kokum Butter, Sodium Ascorbyl Phosphate, Hyaluronic Acid, Fragrance and preservatives. </t>
  </si>
  <si>
    <t>• Use daily for maintaining soft and hydrated skin. • Apply lotion after every shower. • Use more lotion on dry areas. • Use sunscreen on exposed body areas during the day.</t>
  </si>
  <si>
    <t>• Don’t overuse body wash if skin starts feeling tight. • Don’t apply lotion on broken or irritated skin. • Don’t skip moisturizer after shower. • Don’t use very hot water regularly.</t>
  </si>
  <si>
    <t>• Store away from direct sunlight. • Keep both products in a cool, dry area. • Close the pump/cap properly. • Avoid exposing the lotion to high heat for long periods.</t>
  </si>
  <si>
    <t>• Use body wash on wet skin during bath. • Massage gently and rinse properly. • Pat skin dry. • Apply Aqualogica lotion evenly all over the body. • Use once daily; reapply if skin feels dry.</t>
  </si>
  <si>
    <t>Fragrance may not suit very reactive skin. Aqualogica lotion contains richer emollients like coconut oil, shea butter and isopropyl myristate, which may feel heavy on very oily or body-acne-prone skin. Patch test first.</t>
  </si>
  <si>
    <t>Roopsee-B-CO-03</t>
  </si>
  <si>
    <t>Body Hydration Combo- for Sensitive Skin</t>
  </si>
  <si>
    <t>Aveeno Skin Relief Body Wash - Prebiotic Oat to Cleanse &amp; Moisturize Dry, Itchy &amp; Sensitive Skin, Aveeno Daily Moisturizing Lotion</t>
  </si>
  <si>
    <t>354 ml, 354 ml</t>
  </si>
  <si>
    <t>sensitive</t>
  </si>
  <si>
    <t>Prebiotic Oat / Colloidal Oatmeal</t>
  </si>
  <si>
    <t>Glycerin, Dimethicone, Oat Flour, Oat Extract, Rich Emollients</t>
  </si>
  <si>
    <t xml:space="preserve">A gentle hydration and soothing set for dry, itchy and sensitive body skin. Aveeno Skin Relief Body Wash is soap-free, dye-free, hypoallergenic and made with natural oatmeal for dry, itchy skin, while Aveeno Daily Moisturizing Lotion uses prebiotic oat to help replenish the skin’s moisture barrier and provide long-lasting hydration. </t>
  </si>
  <si>
    <t xml:space="preserve">Body Wash: Water/Aqua, Glycerin, Cocamidopropyl Betaine, Sodium Laureth Sulfate or mild cleanser base, Avena Sativa/Oat ingredients, Glycol Distearate, Myristyl Alcohol, Citric Acid, Tetrasodium EDTA and supporting ingredients depending on market variant. Lotion: Dimethicone 1.2%, Water, Glycerin, Distearyldimonium Chloride, Petrolatum, Isopropyl Palmitate, Cetyl Alcohol, Avena Sativa/Oat Kernel Flour, Benzyl Alcohol, Sodium Chloride. </t>
  </si>
  <si>
    <t>• Patch test before using on very sensitive skin. • Use lukewarm water only. • Apply lotion twice daily if skin is dry or itchy. • Use immediately after bath to lock in moisture.</t>
  </si>
  <si>
    <t>• Don’t use harsh scrubs or strong exfoliating body products with this routine. • Don’t apply on open wounds or severe rashes. • Don’t continue if itching, burning or redness increases. • Don’t let the product enter the eyes.</t>
  </si>
  <si>
    <t>• Keep away from direct sunlight. • Store in a cool, dry place. • Keep out of reach of children. • Close the bottle properly after use.</t>
  </si>
  <si>
    <t>• Take Aveeno body wash on wet hands, washcloth or loofah. • Work into a creamy lather. • Rinse well. • Pat skin dry gently. • Apply Aveeno lotion twice daily or whenever skin feels dry.</t>
  </si>
  <si>
    <t>Oat-based products may not suit people with oat allergy. Cocamidopropyl Betaine/SLES-type cleansers may irritate very compromised skin. Aveeno lotion contains petrolatum and emollients, which are good for barrier repair but may feel heavy in humid weather.</t>
  </si>
  <si>
    <t>Roopsee-B-CO-04</t>
  </si>
  <si>
    <t>Body Hydration Combo- for Oily Skin</t>
  </si>
  <si>
    <t>Dr. Sheth's Ceramide Body Wash, Minimalist Niacinamide 5% Body Lotion</t>
  </si>
  <si>
    <t>Dr. Sheth's, Minimalist</t>
  </si>
  <si>
    <t>250ml, 180g</t>
  </si>
  <si>
    <t>Ceramide, Glycerin, Shea Butter, Betaine, Vitamin C derivative</t>
  </si>
  <si>
    <t xml:space="preserve">A gentle brightening and barrier-support set for sensitive skin. The body wash provides mild cleansing with ceramide and Vitamin C support, while Minimalist Niacinamide 5% Body Lotion helps repair the skin barrier, soothe skin and support hydration with niacinamide, glycerin and shea butter. </t>
  </si>
  <si>
    <t xml:space="preserve">Body Wash: Aqua, Cocamidopropyl Betaine, Decyl Glucoside, Sodium Lauroyl Sarcosinate, Glycerin, Caprylyl/Capryl Glucoside, Sodium Methyl Cocoyl Taurate, PEG-150 Distearate, Sodium Ascorbyl Phosphate, Xylitol, Glucose, Anhydroxylitol, Phoenix Dactylifera Extract, Sodium Lauroyl Oat Amino Acids, Polyquaternium-22, Disodium Cocoamphodiacetate, Guar Hydroxypropyltrimonium Chloride, Potassium Sorbate, Sodium Benzoate, Citric Acid, Lemon Oil, Ceramide, Disodium EDTA. Body Lotion: Aqua/Water, Glycerin, Niacinamide, Caprylic/Capric Triglyceride, Isododecane, Betaine, Shea Butter/skin-softening emollients, Dimethicone, Petrolatum, Stearic Acid, Cetearyl Alcohol, Phenoxyethanol, Ethylhexylglycerin, stabilizers and pH adjusters. </t>
  </si>
  <si>
    <t>• Patch test before full-body use. • Use lukewarm water instead of hot water. • Apply lotion right after bath to support the skin barrier. • Keep the routine simple and avoid adding too many actives.</t>
  </si>
  <si>
    <t>• Don’t scrub aggressively with a loofah. • Don’t use with AHA/BHA body exfoliants unless skin is already tolerant. • Don’t apply on rashes, cuts or irritated skin. • Don’t use if burning or strong itching occurs.</t>
  </si>
  <si>
    <t>• Store in a cool and dry place. • Keep away from direct sunlight. • Avoid storing in very humid bathroom corners. • Keep caps tightly closed after use.</t>
  </si>
  <si>
    <t>• Apply body wash gently on wet skin. • Do not scrub harshly. • Rinse well and pat dry. • Apply Minimalist body lotion on slightly damp skin. • Use once daily; can be used twice if skin feels dry.</t>
  </si>
  <si>
    <t>Lemon oil/fragrance in the body wash may not suit highly reactive skin. Niacinamide is generally barrier-friendly but can cause mild flushing or tingling in some users. Patch test for 24 hours before full-body use.</t>
  </si>
  <si>
    <t>Roopsee-B-CO-13</t>
  </si>
  <si>
    <t>Body Hydration Combo- for exessive dry Skin</t>
  </si>
  <si>
    <t>Cetaphil Restoraderm Body Wash to Repair Skin Barrier for Dry Itchy Irritated Skin - 295ml, CeraVe Moisturising Lotion for Normal to Dry Skin with Ceramides &amp; Hyaluronic Acid</t>
  </si>
  <si>
    <t>Cetaphil, Cerave</t>
  </si>
  <si>
    <t>295 ml, 236ml</t>
  </si>
  <si>
    <t>Exsessive dry</t>
  </si>
  <si>
    <t>Filaggrin Technology, Hyaluronic Acid, Glycerin, Niacinamide/Vitamin B3, Vitamin E, Shea Butter, Sunflower Seed Oil, Sodium PCA, MVE Technology</t>
  </si>
  <si>
    <t xml:space="preserve">A barrier-repair hydration combo for very dry, itchy, irritated and barrier-compromised body skin. Cetaphil Restoraderm Body Wash is a creamy, soap-free wash made for dry sensitive skin and is formulated with moisturizers, Vitamin E, Vitamin B3 and a filaggrin blend to support the skin’s moisture barrier. CeraVe Moisturising Lotion adds long-lasting hydration with 3 essential ceramides, hyaluronic acid and MVE technology, while staying lightweight, oil-free, non-comedogenic and fragrance-free. </t>
  </si>
  <si>
    <t>Cetaphil Body Wash: Aqua, Butyrospermum Parkii Butter, Sodium Trideceth Sulfate, Helianthus Annuus Seed Oil, Glycerin, Sodium Lauroamphoacetate, Sodium Chloride, Cocamide MEA, Allantoin, Arginine, Caprylyl Glycol, Citric Acid, Disodium EDTA, Guar Hydroxypropyltrimonium Chloride, 1,2-Hexanediol, Niacinamide, Potassium Sorbate, Sodium PCA, Tocopheryl Acetate. CeraVe Lotion: Aqua/Water, Glycerin, Caprylic/Capric Triglyceride, Cetearyl Alcohol, Cetyl Alcohol, Potassium Phosphate, Ceramide NP, Ceramide AP, Ceramide EOP, Carbomer, Dimethicone, Ceteareth-20, Behentrimonium Methosulfate, Methylparaben, Sodium Lauroyl Lactylate, Cholesterol, Disodium EDTA, Dipotassium Phosphate, Propylparaben, Hydrolyzed Hyaluronic Acid, Phytosphingosine, Xanthan Gum, Polysorbate 20, Polyglyceryl-3 Diisostearate.</t>
  </si>
  <si>
    <t>• Use daily if skin feels comfortable. • Use lukewarm water instead of hot water. • Apply CeraVe lotion immediately after bath on slightly damp skin. • Reapply lotion on extremely dry areas like elbows, knees, legs and arms. • Use consistently to support the damaged moisture barrier.</t>
  </si>
  <si>
    <t>• Don’t use harsh scrubs or exfoliating gloves with this routine. • Don’t take very hot showers. • Don’t skip lotion after using the body wash. • Don’t apply on open cuts, bleeding cracks or infected skin. • Don’t layer with strong AHA/BHA/retinol body products when the skin barrier is weak.</t>
  </si>
  <si>
    <t>• Store both products in a cool, dry place. • Keep away from direct sunlight and heat. • Close the cap/pump tightly after every use. • Avoid keeping bottles in very humid bathroom corners. • Do not leave the lotion in a hot car or bag.</t>
  </si>
  <si>
    <t>• Wet the body with lukewarm water. • Take Cetaphil Restoraderm Body Wash on palms or a soft washcloth. • Massage gently without harsh scrubbing. • Rinse thoroughly and pat skin dry. • Apply CeraVe Moisturising Lotion generously all over the body. • Reapply lotion as often as needed on very dry areas.</t>
  </si>
  <si>
    <t>• Cetaphil is fragrance-free, paraben-free and hypoallergenic, but extremely irritated skin can still react to cleansing surfactants. • CeraVe contains ceramides, hyaluronic acid and is fragrance-free/non-comedogenic, but patch test if sensitive to parabens, fatty alcohols or rich moisturising bases.• If there is severe eczema, active rash, bleeding, infection or intense itching, use only after dermatologist guidance.</t>
  </si>
  <si>
    <t>Roopsee-B-CO-05</t>
  </si>
  <si>
    <t>Body Brightening routine- for Dry Skin</t>
  </si>
  <si>
    <t>Dr. Sheth's Ceramide Body Wash, Dr. Sheth's Ceramide Body Lotion</t>
  </si>
  <si>
    <t>250ml, 200ml</t>
  </si>
  <si>
    <t>Vitamin C derivative, Glycerin, Aquaxyl, Amla Extract, Aloe, Vitamin E</t>
  </si>
  <si>
    <t xml:space="preserve">A nourishing body-brightening set for dry, dull and uneven body skin. The body wash helps cleanse without stripping, while the ceramide body lotion helps restore moisture, support the skin barrier and improve the look of dullness. Dr. Sheth’s lotion is positioned around ceramides, Vitamin C and Amla Extract for hydration and dark-spot/dullness support. </t>
  </si>
  <si>
    <t xml:space="preserve">Body Wash: Aqua, Cocamidopropyl Betaine, Decyl Glucoside, Sodium Lauroyl Sarcosinate, Glycerin, Caprylyl/Capryl Glucoside, Sodium Methyl Cocoyl Taurate, PEG-150 Distearate, Sodium Ascorbyl Phosphate, Xylitol, Glucose, Anhydroxylitol, Phoenix Dactylifera Extract, Sodium Lauroyl Oat Amino Acids, Polyquaternium-22, Disodium Cocoamphodiacetate, Guar Hydroxypropyltrimonium Chloride, Potassium Sorbate, Sodium Benzoate, Citric Acid, Lemon Oil, Ceramide, Disodium EDTA. Body Lotion: Water, Glycerin, Aquaxyl/Xylitylglucoside blend, Sodium Ascorbyl Phosphate, Ceramide, Aloe, Olive Oil, Vitamin E Acetate, Amla Extract, Dimethicone, Light Liquid Paraffin, Stearic Acid, Glyceryl Monostearate, Cetostearyl Alcohol, preservatives and stabilizers. </t>
  </si>
  <si>
    <t>• Use the body wash daily if skin feels comfortable. • Apply lotion immediately after shower on slightly damp skin. • Apply extra lotion on dry areas like elbows, knees and legs. • Use sunscreen on exposed body areas during the day.</t>
  </si>
  <si>
    <t>• Don’t use harsh physical scrubs with this routine. • Don’t apply on cuts, rashes or irritated skin. • Don’t use very hot water as it can worsen dryness. • Don’t expect instant brightening; use consistently.</t>
  </si>
  <si>
    <t>• Store in a cool and dry place. • Keep away from direct sunlight. • Close the cap/pump properly after every use. • Avoid keeping near excess bathroom heat or steam.</t>
  </si>
  <si>
    <t>• Wet the body with water. • Take the body wash and massage gently on the skin. • Rinse properly and pat skin dry. • Apply the ceramide body lotion generously all over the body. • Best used once daily after bath.</t>
  </si>
  <si>
    <t>Lemon oil/fragrance in the body wash may irritate very sensitive skin. Vitamin C derivatives may cause mild tingling on compromised skin. The lotion is richer, so acne-prone body areas should avoid over-application. Patch test before use.</t>
  </si>
  <si>
    <t>Roopsee-B-CO-06</t>
  </si>
  <si>
    <t>Body Brightening routine- for Normal Skin</t>
  </si>
  <si>
    <t>Chemist at Play Brightening Body Wash with Vitamin C &amp; Niacinamide, Dot &amp; Key Vitamin C + E Super Bright Body Lotion with Blood Orange &amp; Niacinamide</t>
  </si>
  <si>
    <t>Chemist At Play, Dot &amp; Key</t>
  </si>
  <si>
    <t>236ml, 250ml</t>
  </si>
  <si>
    <t>Niacinamide, Alpha Arbutin, Glycolic Acid, Camu Camu, Ceramides, Vitamin E, Blood Orange</t>
  </si>
  <si>
    <t xml:space="preserve">A glow-enhancing set for normal skin with dullness, tanning, uneven tone and mild dark spots. The body wash uses brightening actives like Vitamin C, Niacinamide, Alpha Arbutin and Glycolic Acid, while the Dot &amp; Key lotion adds Vitamin C, Vitamin E, Blood Orange and Niacinamide for daily radiance and nourishment. </t>
  </si>
  <si>
    <t xml:space="preserve">Body Wash: Purified Water, Cocamidopropyl Betaine, Sodium C14-16 Alpha Olefin Sulfonate, Sorbitol, Glycerine, Niacinamide, Sodium Lauroyl Sarcosinate, PEG-150 Distearate, Glycolic Acid, Fragrance, PEG-7 Glyceryl Cocoate, 3-O-Ethyl Ascorbic Acid, Alpha Arbutin, Ceramide Complex, Phospholipids, Sphingolipids, Guar Hydroxypropyltrimonium Chloride, Propanediol, Camu Camu Fruit Extract, Phenoxyethanol, Disodium EDTA, Sodium Hydroxide. Body Lotion: Aqua, Caprylic/Capric Triglyceride, Glycerine, Cyclomethicone, Glyceryl Stearate, PEG-100 Stearate, Cetyl Alcohol, Vitamin C derivatives, Niacinamide, Blood Orange Extract, Vitamin E/Tocopheryl Acetate, emollients, thickeners, fragrance, preservatives and stabilizers. </t>
  </si>
  <si>
    <t>• Use regularly for dullness, tanning and uneven tone. • Apply body lotion after every shower. • Use sunscreen on exposed areas if going outdoors. • Start slowly if skin is new to active body care.</t>
  </si>
  <si>
    <t>• Don’t use with strong body scrubs on the same day. • Don’t apply immediately after shaving or waxing if skin feels sensitive. • Don’t skip moisturiser after using the body wash. • Don’t skip sunscreen when targeting tan or pigmentation.</t>
  </si>
  <si>
    <t>• Store both products in a cool, dry place. • Keep away from direct sunlight and heat. • Close the cap/pump after use. • Do not expose Vitamin C products to high heat for long.</t>
  </si>
  <si>
    <t>• Use the body wash on wet skin during bath. • Massage gently for a few seconds. • Rinse well and pat dry. • Apply Dot &amp; Key body lotion evenly. • Use daily for best results.</t>
  </si>
  <si>
    <t>Glycolic Acid can irritate freshly shaved, waxed or sensitive skin. Fragrance and citrus extracts may trigger irritation in reactive skin. Start alternate days if the skin is not used to active body care.</t>
  </si>
  <si>
    <t>Roopsee-B-CO-07</t>
  </si>
  <si>
    <t>Body Brightening routine- for Sensitive Skin</t>
  </si>
  <si>
    <t>Dr. Sheth's Ceramide Body Wash , Minimalist Niacinamide 5% Body Lotion</t>
  </si>
  <si>
    <t>250 ml, 180 ml</t>
  </si>
  <si>
    <t>Vitamin C derivative, Glycerin, Ceramide, Betaine, Shea Butter, Petrolatum</t>
  </si>
  <si>
    <t>A lightweight hydration + barrier support set for oily or combination body skin that still feels dehydrated. Dr. Sheth’s Ceramide &amp; Vitamin C Body Wash cleanses without drying and supports brightening/barrier repair, while Minimalist Niacinamide 5% Body Lotion hydrates with Niacinamide, Glycerin, Betaine and Shea Butter in a fragrance-free, non-comedogenic formula.</t>
  </si>
  <si>
    <t xml:space="preserve">Body Wash: Aqua, Cocamidopropyl Betaine, Decyl Glucoside, Sodium Lauroyl Sarcosinate, Glycerin, Caprylyl/Capryl Glucoside, Sodium Methyl Cocoyl Taurate, PEG-150 Distearate, Sodium Ascorbyl Phosphate, Xylitol, Glucose, Anhydroxylitol, Date Palm Extract, Sodium Lauroyl Oat Amino Acids, Polyquaternium-22, Disodium Cocoamphodiacetate, Guar Hydroxypropyltrimonium Chloride, Potassium Sorbate, Sodium Benzoate, Citric Acid, Lemon Oil, Ceramide, Disodium EDTA. Lotion: Water/Aqua, Glycerin, Niacinamide, Caprylic/Capric Triglyceride, Cyclopentasiloxane, Isododecane, Dimethicone, Glyceryl Stearate, PEG-100 Stearate, Betaine, Petrolatum, Stearic Acid, Phenoxyethanol, Cetearyl Alcohol, Carbomer, Ethylhexylglycerin, Hydroxyethyl Acrylate/Sodium Acryloyldimethyl Taurate Copolymer, Sodium Hydroxide, Trisodium Ethylenediamine Disuccinate. </t>
  </si>
  <si>
    <t>• Use daily if skin tolerates it well. • Apply a thin layer of lotion after bath. • Apply extra only on rough/dehydrated areas. • Use sunscreen on exposed body areas during the day.</t>
  </si>
  <si>
    <t>• Don’t over-apply lotion on body-acne-prone areas. • Don’t use body wash on irritated or freshly shaved skin if it stings. • Don’t layer with too many body actives. • Don’t skip moisturizer just because skin is oily.</t>
  </si>
  <si>
    <t>• Store in a cool and dry place. • Keep away from direct heat and sunlight. • Close caps/pumps tightly after use. • Avoid keeping products near excess bathroom steam.</t>
  </si>
  <si>
    <t>• Use Dr. Sheth’s body wash on wet skin. • Massage gently and rinse well. • Pat skin dry. • Apply Minimalist lotion on hands and body. • Use AM and PM if needed; use a lighter amount for oily skin.</t>
  </si>
  <si>
    <t>Lemon oil/fragrance in the body wash may irritate sensitive skin. Niacinamide is usually well tolerated but can cause mild tingling or flushing in some users. Petrolatum and emollients in the lotion may feel heavy if overused on oily/acne-prone body areas. Patch test before use.</t>
  </si>
  <si>
    <t>Roopsee-B-CO-08</t>
  </si>
  <si>
    <t>Body Brightening routine- for Oily Skin</t>
  </si>
  <si>
    <t>Chemist at Play Brightening Body Wash with Vitamin C &amp; Niacinamide, Deconstruct Detan Body Sunscreen Lotion - 4% Niacinamide + 1% Kojic Acid + SPF 50 PA++++</t>
  </si>
  <si>
    <t>Chemist At Play, Deconstruct</t>
  </si>
  <si>
    <t>236ml, 90ml</t>
  </si>
  <si>
    <t>Kojic Acid Dipalmitate, Vitamin C, Alpha Arbutin, Glycolic Acid, Camu Camu, Ceramides, UV Filters</t>
  </si>
  <si>
    <t xml:space="preserve">A brightening + sun-protection set for oily body skin prone to tanning, uneven tone and dullness. The body wash supports glow and smoother texture with Vitamin C, Niacinamide, Alpha Arbutin and Glycolic Acid, while Deconstruct body sunscreen lotion adds 4% Niacinamide, 1% Kojic Acid Dipalmitate and SPF 50 PA++++ protection. </t>
  </si>
  <si>
    <t xml:space="preserve">Body Wash: Purified Water, Cocamidopropyl Betaine, Sodium C14-16 Alpha Olefin Sulfonate, Sorbitol, Glycerine, Niacinamide, Sodium Lauroyl Sarcosinate, PEG-150 Distearate, Glycolic Acid, Fragrance, PEG-7 Glyceryl Cocoate, 3-O-Ethyl Ascorbic Acid, Alpha Arbutin, Ceramide Complex, Phospholipids, Sphingolipids, Guar Hydroxypropyltrimonium Chloride, Propanediol, Camu Camu Fruit Extract, Phenoxyethanol, Disodium EDTA, Sodium Hydroxide. Sunscreen Lotion: Demineralised Water/Aqua, Ethylhexyl Methoxycinnamate, Butyl Methoxydibenzoylmethane, Benzophenone-3, Niacinamide, Kojic Acid Dipalmitate, Glycerin, Betaine, Licorice Extract, D-Panthenol, Tocopherol, Sunflower Seed Oil, Petrolatum, Menthol, emulsifiers, stabilizers and preservatives. </t>
  </si>
  <si>
    <t>• Use the body wash regularly if skin tolerates it. • Apply sunscreen lotion every morning on exposed body areas. • Reapply sunscreen every 2–3 hours when outdoors. • Use consistently for tanning and uneven tone.</t>
  </si>
  <si>
    <t>• Don’t use the glycolic body wash right after shaving or waxing. • Don’t rely only on body wash for detan; sunscreen is important. • Don’t skip sunscreen reapplication outdoors. • Don’t apply sunscreen on broken or irritated skin.</t>
  </si>
  <si>
    <t>• Store sunscreen away from heat and sunlight. • Do not leave it inside a hot car or bag for long hours. • Keep both products tightly closed. • Store in a cool, dry place.</t>
  </si>
  <si>
    <t>• Use body wash on wet skin during bath. • Massage gently and rinse thoroughly. • Pat skin dry. • Apply Deconstruct sunscreen body lotion generously on exposed body areas in the morning. • Reapply every 2–3 hours outdoors or after sweating.</t>
  </si>
  <si>
    <t>Glycolic Acid can sting on shaved or sensitive skin. Kojic Acid Dipalmitate and Niacinamide may cause mild irritation in some users. Benzophenone-3 and menthol may not suit very sensitive skin. Patch test before use.</t>
  </si>
  <si>
    <t>Roopsee-B-CO-14</t>
  </si>
  <si>
    <t xml:space="preserve">Body Brightening routine- for Intimate area skin </t>
  </si>
  <si>
    <t>Biluma Advance Cream For Sensitive Areas (25g), Fixderma Underarm Roll-On</t>
  </si>
  <si>
    <t>Encube Ethicals, Fixderma</t>
  </si>
  <si>
    <t>25 g, 45 gm</t>
  </si>
  <si>
    <t>All</t>
  </si>
  <si>
    <t>β-White Extract, Tasmannia Lanceolata, Caviar Lime Extract, Lactic Acid, Mandelic Acid, Kojic Acid Dipalmitate, Niacinamide, Cybright-G, Glycerin, Vitamin E</t>
  </si>
  <si>
    <t xml:space="preserve">A targeted brightening routine for external sensitive body areas such as underarms and inner thighs. Biluma Advance Cream helps improve uneven tone in sensitive areas while soothing discomfort, and Fixderma Nigrifix Roll-On supports underarm pigmentation, smooth texture and odour control with 6% AHA, lactic acid, mandelic acid and kojic acid. Biluma lists Rumex Occidentalis, Tasmannia Lanceolata and Caviar Lime Extract as key brightening/soothing/exfoliating ingredients, while Fixderma lists lactic acid, kojic acid, mandelic acid, niacinamide and Cybright-G for underarm brightening. </t>
  </si>
  <si>
    <t xml:space="preserve">Biluma Advance Cream: Aqua, Dimethicone, Dimethicone/Vinyl Dimethicone Crosspolymer, Hydrogenated Lecithin, C12-16 Alcohols, Palmitic Acid, Glycerin, Phenoxyethanol, Triethylene Glycol, Butylene Glycol, Sodium Oleate, Oligopeptide-68, Disodium EDTA, Soybean Oil, Rumex Occidentalis Extract, Microcitrus Australasica Fruit Extract, Tasmannia Lanceolata Fruit/Leaf Extract, Carbomer, Parfum, Triethanolamine. Fixderma Underarm Roll-On: Niacinamide, Lactic Acid, Silica, Kojic Acid Dipalmitate, Butylene Glycol, Pentylene Glycol, Hydroxyphenyl Propamidobenzoic Acid, Willow Bark Extract, Mandelic Acid, Glycerin, Cystoseira Tamariscifolia Extract/Cybright-G, Tocopheryl Acetate, fatty alcohols, Phenoxyethanol, Ethylhexylglycerin, Fragrance. </t>
  </si>
  <si>
    <t>• Patch test on a small area first. • Use only on external body areas like underarms and inner thighs. • Keep the area clean and dry before application. • Use sunscreen or cover the area if exposed to sunlight. • Start slowly if the skin is sensitive.</t>
  </si>
  <si>
    <t>• Don’t apply inside intimate/private parts. • Don’t use on cuts, rashes, burns, infection or active irritation. • Don’t apply immediately after waxing, shaving or laser. • Don’t combine with scrubs, retinol, AHA/BHA lotions or bleaching creams. • Don’t continue if burning, itching or redness increases.</t>
  </si>
  <si>
    <t>• Store in a cool, dry place. • Keep away from direct sunlight and heat. • Close cap/roll-on tightly after use. • Keep away from children. • Avoid storing in very hot bathroom corners.</t>
  </si>
  <si>
    <r>
      <t>• For underarms: Clean and pat dry the area, then apply 4–6 swipes of Fixderma roll-on. Fixderma recommends use twice daily for optimal results. (</t>
    </r>
    <r>
      <rPr>
        <color rgb="FF1155CC"/>
        <u/>
      </rPr>
      <t>Fixderma Skincare</t>
    </r>
    <r>
      <rPr/>
      <t>) • For inner thighs/external sensitive areas: Apply a thin layer of Biluma Advance Cream only on the external pigmented area. • Start once daily at night for 1 week, then increase only if skin tolerates it. • Do not layer both products on the same exact area in the beginning.</t>
    </r>
  </si>
  <si>
    <r>
      <t>• Fixderma has AHA exfoliants, so it may sting on freshly shaved/waxed or sensitive skin; Fixderma itself recommends waiting 24 hours after waxing. (</t>
    </r>
    <r>
      <rPr>
        <color rgb="FF1155CC"/>
        <u/>
      </rPr>
      <t>Fixderma Skincare</t>
    </r>
    <r>
      <rPr/>
      <t>) • Biluma contains fragrance allergens, which may irritate reactive skin. • Kojic acid, mandelic acid, lactic acid and caviar lime extract can increase sensitivity if overused. • For severe darkening, itching, thick/velvety skin, pregnancy, breastfeeding, eczema or fungal infection, use only after dermatologist guidance.</t>
    </r>
  </si>
  <si>
    <t>Roopsee-B-CO-09</t>
  </si>
  <si>
    <t>Body Acne Treatment- for Dry Skin</t>
  </si>
  <si>
    <t>Be Bodywise 1 Salicylic Acid Body Wash, Fixderma Fidelia Nourishing Body Lotion</t>
  </si>
  <si>
    <t>375ml, 100ml</t>
  </si>
  <si>
    <t>Chamomile Extract, Saccharide Isomerate, Avocado Oil, Glycerin, Sodium Lactate, Willow Bark Extract, Vitamin E</t>
  </si>
  <si>
    <t xml:space="preserve">A body acne routine for dry skin where the salicylic acid body wash helps exfoliate dead skin cells, unclog pores and prevent recurring body acne, while Fixderma Fidelia helps add nourishment and hydration so the skin does not feel stripped. Be Bodywise positions the body wash for exfoliating, unclogging pores and refreshing the skin barrier. </t>
  </si>
  <si>
    <t>Body Wash: Purified Water, Sodium Lauroyl Sarcosinate, Coco-Glucoside, Cocamidopropyl Betaine, Salicylic Acid, Erythritol, Saccharide Isomerate, Chamomile Extract, Citric Acid, Sodium Citrate, preservatives. Lotion: Water, Sodium Lactate, Avocado Oil, Glycerin, Cetearyl Alcohol, Willow Bark Extract, Beta-Sitosterol, Tocopheryl Acetate, Sodium Gluconate, preservatives.</t>
  </si>
  <si>
    <t>• Use the salicylic acid body wash 3–4 times a week at first. • Apply Fixderma lotion immediately after bath. • Apply extra lotion on dry areas like legs, elbows and knees. • Use lukewarm water instead of hot water. • Use sunscreen on exposed body areas.</t>
  </si>
  <si>
    <t>• Don’t use the body wash multiple times a day. • Don’t use harsh scrubs with salicylic acid. • Don’t apply on cuts, rashes or freshly waxed skin. • Don’t skip lotion after using acne body wash. • Don’t continue if skin becomes too dry or flaky.</t>
  </si>
  <si>
    <t>• Store in a cool, dry place. • Keep away from direct sunlight and heat. • Close caps/pumps tightly after use. • Avoid keeping products in very humid bathroom corners.</t>
  </si>
  <si>
    <t>• Wet the body with water. • Apply Be Bodywise body wash on acne-prone areas. • Massage gently for a few seconds. • Rinse thoroughly. • Pat skin dry and apply Fixderma lotion all over the body.</t>
  </si>
  <si>
    <t>Salicylic Acid can make dry skin feel drier if overused. Use lotion after every wash. Willow Bark Extract also has mild exfoliating/soothing relevance, so patch test if skin is reactive. Avoid on broken, freshly waxed or irritated skin.</t>
  </si>
  <si>
    <t>Roopsee-B-CO-10</t>
  </si>
  <si>
    <t>Body Acne Treatment- for Normal Skin</t>
  </si>
  <si>
    <t>The Derma Co 1% Salicylic Acid Daily Exfoliating Body Wash with Salicylic Acid, Glycolic Acid &amp; Pentavitin, Chemist at Play 5% AHA Body Lotion with Niacinamide &amp; Shea Butter</t>
  </si>
  <si>
    <t>The Derma Co., Chemist at play</t>
  </si>
  <si>
    <t>250ml, 236ml</t>
  </si>
  <si>
    <t>Glycolic Acid, Pentavitin, Natural AHA, Niacinamide, Shea Butter, Ceramides, Glycerin</t>
  </si>
  <si>
    <t>A stronger body acne + texture routine for normal skin with back acne, chest acne, clogged pores, rough bumps and uneven texture. The Derma Co body wash uses 1% Salicylic Acid, Glycolic Acid and Pentavitin for exfoliation, pore cleansing and hydration, while Chemist at Play’s 5% AHA lotion helps smooth rough/bumpy skin and improve uneven tone.</t>
  </si>
  <si>
    <t xml:space="preserve">Body Wash: Purified Water, Disodium Laureth Sulfosuccinate, Cocamidopropyl Betaine, Glycerin, Salicylic Acid, Glycolic Acid, Oat Amino Acids, Zinc PCA, Saccharide Isomerate/Pentavitin, Betaine, Menthol, Tea Tree Oil, preservatives. Lotion: Water, 5% Natural AHA, Niacinamide, Shea Butter, Ceramides, Glycerin, emollients, stabilizers and preservatives. </t>
  </si>
  <si>
    <t>• Use the body wash regularly for back acne, chest acne and rough bumps. • Use Chemist at Play AHA lotion preferably at night. • Start lotion on alternate nights if new to acids. • Moisturise well to avoid over-drying. • Use sunscreen on exposed areas.</t>
  </si>
  <si>
    <t>• Don’t use body scrubs on the same day. • Don’t apply AHA lotion right after shaving/waxing. • Don’t layer with retinol or other exfoliating acids. • Don’t use if skin starts burning or peeling. • Don’t apply on broken or irritated skin.</t>
  </si>
  <si>
    <t>• Store away from direct sunlight. • Keep bottles tightly closed. • Avoid high heat exposure. • Keep out of reach of children.</t>
  </si>
  <si>
    <t>• Use The Derma Co body wash on wet skin. • Massage gently and leave for a few seconds. • Rinse well. • Pat dry. • Apply Chemist at Play lotion on acne-prone or rough areas at night.</t>
  </si>
  <si>
    <t>This set combines BHA in the wash + AHA in the lotion, so overuse can cause dryness, tingling, peeling or sensitivity. Start slowly and use sunscreen on exposed areas. Avoid using scrubs or extra exfoliating products with this combo.</t>
  </si>
  <si>
    <t>Roopsee-B-CO-11</t>
  </si>
  <si>
    <t>Body Acne Treatment- for Sensitive Skin</t>
  </si>
  <si>
    <t>Be Bodywise 1 Salicylic Acid Body Wash, Minimalist Niacinamide 5% Body Lotion</t>
  </si>
  <si>
    <t>Be Bodywise, Minimalist</t>
  </si>
  <si>
    <t>375ml, 180g</t>
  </si>
  <si>
    <t>Salicylic Acid, Chamomile Extract, Glycerin, Shea Butter, Betaine, Petrolatum</t>
  </si>
  <si>
    <t>A gentler body acne routine for sensitive skin. The Be Bodywise wash helps target clogged pores and body acne with 1% Salicylic Acid, while Minimalist Niacinamide 5% Body Lotion helps hydrate, nourish and repair the skin barrier. Minimalist also lists the lotion as fragrance-free, non-comedogenic and essential-oil-free.</t>
  </si>
  <si>
    <t xml:space="preserve">Body Wash: Purified Water, Sodium Lauroyl Sarcosinate, Coco-Glucoside, Cocamidopropyl Betaine, Salicylic Acid, Erythritol, Saccharide Isomerate, Chamomile Extract, Citric Acid, Sodium Citrate, preservatives. Lotion: Aqua, Glycerin, Niacinamide, Isododecane, Shea Butter, Caprylic/Capric Triglyceride, Petrolatum, Betaine, Cetearyl Alcohol, Phenoxyethanol, Ethylhexylglycerin and stabilizers. </t>
  </si>
  <si>
    <t>• Patch test before full-body use. • Start body wash only 2–3 times a week. • Use Minimalist lotion daily to support the skin barrier. • Use lukewarm water only. • Keep the rest of the body routine simple.</t>
  </si>
  <si>
    <t>• Don’t scrub aggressively with a loofah. • Don’t use with AHA/BHA lotions or benzoyl peroxide body products initially. • Don’t apply on rashes, cuts or irritated skin. • Don’t continue if burning or itching increases. • Don’t use hot water.</t>
  </si>
  <si>
    <t>• Store both products in a cool, dry place. • Keep away from sunlight. • Close caps/pumps properly. • Avoid long exposure to bathroom steam.</t>
  </si>
  <si>
    <t>• Apply Be Bodywise wash on wet skin. • Massage gently without harsh pressure. • Rinse well. • Pat dry. • Apply Minimalist Niacinamide lotion on slightly damp skin.</t>
  </si>
  <si>
    <t>Sensitive skin should start with limited use of salicylic acid. The body wash contains fragrance and colourant, so patch test first. If burning, itching or redness increases, stop using the wash and continue only with barrier lotion.</t>
  </si>
  <si>
    <t>Roopsee-B-CO-12</t>
  </si>
  <si>
    <t>Body Acne Treatment- for Oily Skin</t>
  </si>
  <si>
    <t>Minimalist 2% Salicylic Acid + LHA Body Wash, WishCare 10% AHA + 1% BHA Body Lotion</t>
  </si>
  <si>
    <t>200ml, 200 ml</t>
  </si>
  <si>
    <t>Salicylic Acid + LHA</t>
  </si>
  <si>
    <t>Niacinamide, Glycerin, Sodium PCA, Betaine, Glycolic Acid, Lactic Acid, Blueberry Extract, Grapefruit Extract, Hyaluronic Acid, Ceramide</t>
  </si>
  <si>
    <t>A stronger body acne, bumps and strawberry-legs routine for oily acne-prone skin. Minimalist body wash combines Salicylic Acid + LHA in a 2% exfoliating blend to reduce body acne and smooth bumps, while WishCare’s lotion uses 10% AHA + 1% BHA with Niacinamide to target rough texture, body acne, strawberry legs and uneven tone.</t>
  </si>
  <si>
    <t>Body Wash: Water, Sodium Lauroyl Sarcosinate, Cocamidopropyl Betaine, Coco-Glucoside, Glycerin, Salicylic Acid, Sodium PCA, Niacinamide, Betaine, Capryloyl Salicylic Acid/LHA, preservatives. Lotion: Aqua, Glycerine, Glycolic Acid, Lactic Acid, Niacinamide, Salicylic Acid, Blueberry Extract, Grapefruit Extract, Oats, Olive Squalane, Hyaluronic Acid, Ceramide, preservatives.</t>
  </si>
  <si>
    <t>• Use Minimalist body wash on acne-prone areas like back, chest, shoulders and arms. • Use WishCare lotion at night on bumps, acne marks or strawberry legs. • Start lotion 2–3 nights a week. • Increase only if skin tolerates it. • Use sunscreen on exposed areas.</t>
  </si>
  <si>
    <t>• Don’t use both products twice daily in the beginning. • Don’t use body scrubs with this combo. • Don’t apply WishCare lotion right after shaving/waxing. • Don’t layer with other AHA/BHA/retinol body products. • Don’t continue if skin becomes red, flaky or painful.</t>
  </si>
  <si>
    <t>• Store in a cool, dry place. • Keep away from heat and direct sunlight. • Close caps tightly. • Do not leave in a hot car or bag.</t>
  </si>
  <si>
    <t>• Use Minimalist body wash on wet skin. • Massage gently on acne-prone areas. • Rinse thoroughly. • Pat skin dry. • Apply WishCare AHA+BHA lotion at night, starting alternate nights.</t>
  </si>
  <si>
    <t>This is the strongest exfoliating combo. It has BHA + LHA in the wash and AHA + BHA in the lotion, so do not start with daily use. Overuse can damage the barrier, causing dryness, burning, peeling or redness. Sunscreen is important on exposed areas.</t>
  </si>
  <si>
    <t>Sr No</t>
  </si>
  <si>
    <t>Concern</t>
  </si>
  <si>
    <t>Moisturizer</t>
  </si>
  <si>
    <t>Night cream</t>
  </si>
  <si>
    <t>Fungal Acne</t>
  </si>
  <si>
    <t>Nizoral Anti dandruff shampoo + Minimalist Oat Extract 6 Gentle Cleanser</t>
  </si>
  <si>
    <t>Nizral cream</t>
  </si>
  <si>
    <t>Combination</t>
  </si>
  <si>
    <t>Nizoral Anti dandruff shampoo + Cetaphil gentle skin cleanser</t>
  </si>
  <si>
    <t>Sensitive</t>
  </si>
  <si>
    <t>Nizoral Anti dandruff shampoo + Simple Kind To Skin Refreshing Facial Wash</t>
  </si>
  <si>
    <t>AM</t>
  </si>
  <si>
    <t>Gentle cleanser</t>
  </si>
  <si>
    <t>Sunscreen SPF 50+</t>
  </si>
  <si>
    <t>PM</t>
  </si>
  <si>
    <t>Ketoconazole 2% shampoo as a face wash 2–3 times/week and rest of the days only gentle cleanser</t>
  </si>
  <si>
    <t>Apply night cream to affected areas.</t>
  </si>
  <si>
    <t>How to use Ketconazole shampoo on face as cleanser:-</t>
  </si>
  <si>
    <t>Wet your face.
Apply a small amount of shampoo over the affected areas.
Leave it on for 3–5 minutes.
Rinse thoroughly.</t>
  </si>
</sst>
</file>

<file path=xl/styles.xml><?xml version="1.0" encoding="utf-8"?>
<styleSheet xmlns="http://schemas.openxmlformats.org/spreadsheetml/2006/main" xmlns:x14ac="http://schemas.microsoft.com/office/spreadsheetml/2009/9/ac" xmlns:mc="http://schemas.openxmlformats.org/markup-compatibility/2006">
  <fonts count="68">
    <font>
      <sz val="10.0"/>
      <color rgb="FF000000"/>
      <name val="Arial"/>
      <scheme val="minor"/>
    </font>
    <font>
      <b/>
      <sz val="11.0"/>
      <color rgb="FFFFFFFF"/>
      <name val="Calibri"/>
    </font>
    <font>
      <b/>
      <sz val="14.0"/>
      <color rgb="FFFFFFFF"/>
      <name val="Calibri"/>
    </font>
    <font>
      <b/>
      <sz val="11.0"/>
      <color rgb="FFFFFFFF"/>
      <name val="Arial"/>
      <scheme val="minor"/>
    </font>
    <font>
      <sz val="13.0"/>
      <color theme="1"/>
      <name val="Arial"/>
    </font>
    <font>
      <sz val="11.0"/>
      <color rgb="FF000000"/>
      <name val="Calibri"/>
    </font>
    <font>
      <sz val="14.0"/>
      <color theme="1"/>
      <name val="Calibri"/>
    </font>
    <font>
      <sz val="11.0"/>
      <color theme="1"/>
      <name val="Calibri"/>
    </font>
    <font>
      <sz val="11.0"/>
      <color theme="1"/>
      <name val="Arial"/>
      <scheme val="minor"/>
    </font>
    <font>
      <sz val="11.0"/>
      <color rgb="FF000000"/>
      <name val="Arial"/>
    </font>
    <font>
      <color rgb="FF000000"/>
      <name val="Arial"/>
    </font>
    <font>
      <u/>
      <sz val="11.0"/>
      <color rgb="FF000000"/>
      <name val="Carlito"/>
    </font>
    <font>
      <sz val="13.0"/>
      <color theme="1"/>
      <name val="Arial"/>
      <scheme val="minor"/>
    </font>
    <font>
      <color rgb="FF000000"/>
      <name val="Calibri"/>
    </font>
    <font>
      <sz val="11.0"/>
      <color theme="1"/>
      <name val="Arial"/>
    </font>
    <font>
      <color theme="1"/>
      <name val="Arial"/>
      <scheme val="minor"/>
    </font>
    <font>
      <sz val="11.0"/>
      <color rgb="FF000000"/>
      <name val="Carlito"/>
    </font>
    <font>
      <u/>
      <sz val="11.0"/>
      <color rgb="FF000000"/>
      <name val="Carlito"/>
    </font>
    <font>
      <b/>
      <color theme="1"/>
      <name val="Arial"/>
      <scheme val="minor"/>
    </font>
    <font>
      <u/>
      <color rgb="FF0000FF"/>
    </font>
    <font>
      <u/>
      <color rgb="FF0000FF"/>
    </font>
    <font>
      <u/>
      <sz val="11.0"/>
      <color rgb="FF1155CC"/>
    </font>
    <font>
      <sz val="11.0"/>
      <color rgb="FF000000"/>
      <name val="Poppins-Regular !important"/>
    </font>
    <font>
      <u/>
      <color rgb="FF0000FF"/>
    </font>
    <font>
      <u/>
      <color rgb="FF0000FF"/>
    </font>
    <font>
      <u/>
      <sz val="11.0"/>
      <color rgb="FF0000FF"/>
      <name val="Carlito"/>
    </font>
    <font>
      <u/>
      <sz val="11.0"/>
      <color rgb="FF0000FF"/>
      <name val="Carlito"/>
    </font>
    <font>
      <u/>
      <color rgb="FF0000FF"/>
    </font>
    <font>
      <color rgb="FF0000FF"/>
    </font>
    <font>
      <sz val="11.0"/>
      <color theme="1"/>
      <name val="Carlito"/>
    </font>
    <font>
      <sz val="14.0"/>
      <color rgb="FF001325"/>
      <name val="Inter"/>
    </font>
    <font>
      <u/>
      <color rgb="FF0000FF"/>
    </font>
    <font>
      <u/>
      <sz val="11.0"/>
      <color rgb="FF0000FF"/>
    </font>
    <font>
      <sz val="11.0"/>
      <color theme="1"/>
      <name val="&quot;Google Sans&quot;"/>
    </font>
    <font>
      <sz val="11.0"/>
      <color rgb="FF001325"/>
      <name val="Inter"/>
    </font>
    <font>
      <u/>
      <color rgb="FF1155CC"/>
    </font>
    <font>
      <sz val="11.0"/>
      <color rgb="FF1D1D1D"/>
      <name val="Roboto"/>
    </font>
    <font>
      <u/>
      <color rgb="FF1155CC"/>
      <name val="Arial"/>
      <scheme val="minor"/>
    </font>
    <font>
      <u/>
      <sz val="11.0"/>
      <color rgb="FF1155CC"/>
    </font>
    <font>
      <sz val="14.0"/>
      <color theme="1"/>
      <name val="Arial"/>
      <scheme val="minor"/>
    </font>
    <font>
      <sz val="14.0"/>
      <color rgb="FF191919"/>
      <name val="Jost"/>
    </font>
    <font>
      <sz val="14.0"/>
      <color rgb="FF000000"/>
      <name val="Poppins"/>
    </font>
    <font>
      <b/>
      <color rgb="FF181A1F"/>
      <name val="Figtree"/>
    </font>
    <font>
      <sz val="15.0"/>
      <color rgb="FF001325"/>
      <name val="Inter"/>
    </font>
    <font>
      <sz val="14.0"/>
      <color rgb="FF000000"/>
      <name val="Calibri"/>
    </font>
    <font>
      <sz val="13.0"/>
      <color theme="1"/>
      <name val="Calibri"/>
    </font>
    <font>
      <sz val="13.0"/>
      <color rgb="FF000000"/>
      <name val="Arial"/>
    </font>
    <font>
      <b/>
      <color theme="1"/>
      <name val="Roboto"/>
    </font>
    <font>
      <color theme="1"/>
      <name val="Arial"/>
    </font>
    <font>
      <color rgb="FF434343"/>
      <name val="Roboto"/>
    </font>
    <font>
      <sz val="11.0"/>
      <color rgb="FF434343"/>
      <name val="Calibri"/>
    </font>
    <font>
      <color rgb="FF434343"/>
      <name val="Arial"/>
    </font>
    <font>
      <sz val="11.0"/>
      <color rgb="FF434343"/>
      <name val="Arial"/>
    </font>
    <font>
      <b/>
      <sz val="11.0"/>
      <color rgb="FFFFFFFF"/>
      <name val="Arial"/>
    </font>
    <font>
      <u/>
      <sz val="11.0"/>
      <color rgb="FF0000FF"/>
      <name val="Carlito"/>
    </font>
    <font>
      <u/>
      <color rgb="FF0000FF"/>
      <name val="Arial"/>
    </font>
    <font>
      <sz val="11.0"/>
      <color rgb="FF211A1E"/>
      <name val="&quot;PP Object sans&quot;"/>
    </font>
    <font>
      <sz val="8.0"/>
      <color rgb="FF000000"/>
      <name val="Arial"/>
    </font>
    <font>
      <sz val="7.0"/>
      <color rgb="FF1A1B18"/>
      <name val="Arial"/>
    </font>
    <font>
      <sz val="8.0"/>
      <color rgb="FF000000"/>
      <name val="Calibri"/>
    </font>
    <font>
      <u/>
      <sz val="11.0"/>
      <color rgb="FF000000"/>
      <name val="Calibri"/>
    </font>
    <font>
      <sz val="12.0"/>
      <color rgb="FF000000"/>
      <name val="Calibri"/>
    </font>
    <font>
      <u/>
      <sz val="11.0"/>
      <color rgb="FF000000"/>
      <name val="Calibri"/>
    </font>
    <font>
      <u/>
      <color rgb="FF0000FF"/>
    </font>
    <font>
      <u/>
      <color rgb="FF0000FF"/>
    </font>
    <font>
      <b/>
      <sz val="13.0"/>
      <color theme="1"/>
      <name val="Arial"/>
      <scheme val="minor"/>
    </font>
    <font>
      <b/>
      <sz val="11.0"/>
      <color theme="1"/>
      <name val="Arial"/>
      <scheme val="minor"/>
    </font>
    <font>
      <sz val="11.0"/>
      <color rgb="FF18191F"/>
      <name val="Manrope"/>
    </font>
  </fonts>
  <fills count="10">
    <fill>
      <patternFill patternType="none"/>
    </fill>
    <fill>
      <patternFill patternType="lightGray"/>
    </fill>
    <fill>
      <patternFill patternType="solid">
        <fgColor rgb="FF052172"/>
        <bgColor rgb="FF052172"/>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6F8F9"/>
        <bgColor rgb="FFF6F8F9"/>
      </patternFill>
    </fill>
    <fill>
      <patternFill patternType="solid">
        <fgColor rgb="FFF4F5F7"/>
        <bgColor rgb="FFF4F5F7"/>
      </patternFill>
    </fill>
  </fills>
  <borders count="7">
    <border/>
    <border>
      <left style="thin">
        <color rgb="FF000000"/>
      </left>
      <right style="thin">
        <color rgb="FF000000"/>
      </right>
      <top style="thin">
        <color rgb="FF000000"/>
      </top>
      <bottom style="thin">
        <color rgb="FF000000"/>
      </bottom>
    </border>
    <border>
      <left/>
      <right/>
      <top/>
    </border>
    <border>
      <right style="thin">
        <color rgb="FF000000"/>
      </right>
      <bottom style="thin">
        <color rgb="FF000000"/>
      </bottom>
    </border>
    <border>
      <top style="thin">
        <color rgb="FF44B3E1"/>
      </top>
      <bottom style="thin">
        <color rgb="FF44B3E1"/>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2" numFmtId="0" xfId="0" applyAlignment="1" applyBorder="1" applyFont="1">
      <alignment horizontal="center" shrinkToFit="0" vertical="bottom" wrapText="1"/>
    </xf>
    <xf borderId="1" fillId="2" fontId="3" numFmtId="4" xfId="0" applyAlignment="1" applyBorder="1" applyFont="1" applyNumberFormat="1">
      <alignment horizontal="center" readingOrder="0" shrinkToFit="0" vertical="bottom"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shrinkToFit="0" vertical="bottom" wrapText="0"/>
    </xf>
    <xf borderId="1" fillId="2" fontId="1" numFmtId="0" xfId="0" applyAlignment="1" applyBorder="1" applyFont="1">
      <alignment horizontal="center" readingOrder="0" shrinkToFit="0" vertical="bottom" wrapText="0"/>
    </xf>
    <xf borderId="2" fillId="3" fontId="4" numFmtId="0" xfId="0" applyAlignment="1" applyBorder="1" applyFill="1" applyFont="1">
      <alignment shrinkToFit="0" vertical="bottom" wrapText="1"/>
    </xf>
    <xf borderId="0" fillId="3" fontId="4" numFmtId="0" xfId="0" applyAlignment="1" applyFont="1">
      <alignment shrinkToFit="0" vertical="bottom" wrapText="1"/>
    </xf>
    <xf borderId="0" fillId="4" fontId="5" numFmtId="0" xfId="0" applyAlignment="1" applyFill="1" applyFont="1">
      <alignment readingOrder="0" shrinkToFit="0" vertical="bottom" wrapText="0"/>
    </xf>
    <xf borderId="1" fillId="4" fontId="6" numFmtId="0" xfId="0" applyAlignment="1" applyBorder="1" applyFont="1">
      <alignment horizontal="center" shrinkToFit="0" vertical="bottom" wrapText="1"/>
    </xf>
    <xf borderId="1" fillId="4" fontId="7" numFmtId="0" xfId="0" applyAlignment="1" applyBorder="1" applyFont="1">
      <alignment horizontal="center" vertical="bottom"/>
    </xf>
    <xf borderId="1" fillId="4" fontId="8" numFmtId="4" xfId="0" applyAlignment="1" applyBorder="1" applyFont="1" applyNumberFormat="1">
      <alignment horizontal="center" readingOrder="0" vertical="bottom"/>
    </xf>
    <xf borderId="0" fillId="4" fontId="8" numFmtId="0" xfId="0" applyFont="1"/>
    <xf borderId="1" fillId="4" fontId="7" numFmtId="0" xfId="0" applyAlignment="1" applyBorder="1" applyFont="1">
      <alignment horizontal="center" readingOrder="0" vertical="bottom"/>
    </xf>
    <xf borderId="1" fillId="4" fontId="9" numFmtId="0" xfId="0" applyAlignment="1" applyBorder="1" applyFont="1">
      <alignment horizontal="center" readingOrder="0" shrinkToFit="0" wrapText="1"/>
    </xf>
    <xf borderId="1" fillId="4" fontId="9" numFmtId="0" xfId="0" applyAlignment="1" applyBorder="1" applyFont="1">
      <alignment horizontal="center" readingOrder="0" shrinkToFit="0" vertical="bottom" wrapText="1"/>
    </xf>
    <xf borderId="1" fillId="4" fontId="8" numFmtId="0" xfId="0" applyAlignment="1" applyBorder="1" applyFont="1">
      <alignment horizontal="right" readingOrder="0"/>
    </xf>
    <xf borderId="3" fillId="0" fontId="10" numFmtId="0" xfId="0" applyAlignment="1" applyBorder="1" applyFont="1">
      <alignment readingOrder="0" shrinkToFit="0" vertical="top" wrapText="0"/>
    </xf>
    <xf borderId="3" fillId="0" fontId="10" numFmtId="0" xfId="0" applyAlignment="1" applyBorder="1" applyFont="1">
      <alignment readingOrder="0" vertical="top"/>
    </xf>
    <xf borderId="0" fillId="0" fontId="10" numFmtId="0" xfId="0" applyAlignment="1" applyFont="1">
      <alignment readingOrder="0" shrinkToFit="0" vertical="top" wrapText="0"/>
    </xf>
    <xf borderId="0" fillId="0" fontId="10" numFmtId="0" xfId="0" applyAlignment="1" applyFont="1">
      <alignment readingOrder="0" shrinkToFit="0" vertical="top" wrapText="1"/>
    </xf>
    <xf borderId="0" fillId="0" fontId="10" numFmtId="0" xfId="0" applyAlignment="1" applyFont="1">
      <alignment readingOrder="0" shrinkToFit="0" vertical="top" wrapText="0"/>
    </xf>
    <xf borderId="4" fillId="4" fontId="11" numFmtId="0" xfId="0" applyAlignment="1" applyBorder="1" applyFont="1">
      <alignment readingOrder="0" shrinkToFit="0" vertical="bottom" wrapText="0"/>
    </xf>
    <xf borderId="1" fillId="4" fontId="12" numFmtId="0" xfId="0" applyBorder="1" applyFont="1"/>
    <xf borderId="0" fillId="0" fontId="5" numFmtId="0" xfId="0" applyAlignment="1" applyFont="1">
      <alignment readingOrder="0" shrinkToFit="0" vertical="bottom" wrapText="0"/>
    </xf>
    <xf borderId="1" fillId="0" fontId="6" numFmtId="0" xfId="0" applyAlignment="1" applyBorder="1" applyFont="1">
      <alignment horizontal="center" shrinkToFit="0" vertical="bottom" wrapText="1"/>
    </xf>
    <xf borderId="1" fillId="0" fontId="7" numFmtId="0" xfId="0" applyAlignment="1" applyBorder="1" applyFont="1">
      <alignment horizontal="center" vertical="bottom"/>
    </xf>
    <xf borderId="1" fillId="0" fontId="8" numFmtId="4" xfId="0" applyAlignment="1" applyBorder="1" applyFont="1" applyNumberFormat="1">
      <alignment horizontal="center" readingOrder="0" vertical="bottom"/>
    </xf>
    <xf borderId="1" fillId="0" fontId="7" numFmtId="0" xfId="0" applyAlignment="1" applyBorder="1" applyFont="1">
      <alignment horizontal="center" readingOrder="0" vertical="bottom"/>
    </xf>
    <xf borderId="1" fillId="0" fontId="9" numFmtId="0" xfId="0" applyAlignment="1" applyBorder="1" applyFont="1">
      <alignment horizontal="center" readingOrder="0" shrinkToFit="0" wrapText="1"/>
    </xf>
    <xf borderId="1" fillId="0" fontId="9" numFmtId="0" xfId="0" applyAlignment="1" applyBorder="1" applyFont="1">
      <alignment horizontal="center" readingOrder="0" shrinkToFit="0" vertical="bottom" wrapText="1"/>
    </xf>
    <xf borderId="0" fillId="0" fontId="9" numFmtId="0" xfId="0" applyAlignment="1" applyFont="1">
      <alignment horizontal="center" readingOrder="0" shrinkToFit="0" vertical="bottom" wrapText="1"/>
    </xf>
    <xf borderId="1" fillId="0" fontId="8" numFmtId="0" xfId="0" applyAlignment="1" applyBorder="1" applyFont="1">
      <alignment horizontal="right" readingOrder="0"/>
    </xf>
    <xf borderId="1" fillId="0" fontId="12" numFmtId="0" xfId="0" applyBorder="1" applyFont="1"/>
    <xf borderId="1" fillId="0" fontId="13" numFmtId="0" xfId="0" applyAlignment="1" applyBorder="1" applyFont="1">
      <alignment readingOrder="0"/>
    </xf>
    <xf borderId="0" fillId="4" fontId="8" numFmtId="1" xfId="0" applyFont="1" applyNumberFormat="1"/>
    <xf borderId="1" fillId="0" fontId="14" numFmtId="0" xfId="0" applyAlignment="1" applyBorder="1" applyFont="1">
      <alignment horizontal="center" readingOrder="0" shrinkToFit="0" wrapText="1"/>
    </xf>
    <xf borderId="1" fillId="4" fontId="15" numFmtId="0" xfId="0" applyBorder="1" applyFont="1"/>
    <xf borderId="0" fillId="5" fontId="5" numFmtId="0" xfId="0" applyAlignment="1" applyFill="1" applyFont="1">
      <alignment readingOrder="0" shrinkToFit="0" vertical="bottom" wrapText="0"/>
    </xf>
    <xf borderId="1" fillId="5" fontId="6" numFmtId="0" xfId="0" applyAlignment="1" applyBorder="1" applyFont="1">
      <alignment horizontal="center" shrinkToFit="0" vertical="bottom" wrapText="1"/>
    </xf>
    <xf borderId="1" fillId="5" fontId="7" numFmtId="0" xfId="0" applyAlignment="1" applyBorder="1" applyFont="1">
      <alignment horizontal="center" vertical="bottom"/>
    </xf>
    <xf borderId="1" fillId="5" fontId="8" numFmtId="4" xfId="0" applyAlignment="1" applyBorder="1" applyFont="1" applyNumberFormat="1">
      <alignment horizontal="center" readingOrder="0" vertical="bottom"/>
    </xf>
    <xf borderId="1" fillId="5" fontId="7" numFmtId="0" xfId="0" applyAlignment="1" applyBorder="1" applyFont="1">
      <alignment horizontal="center" readingOrder="0" vertical="bottom"/>
    </xf>
    <xf borderId="1" fillId="5" fontId="9" numFmtId="0" xfId="0" applyAlignment="1" applyBorder="1" applyFont="1">
      <alignment horizontal="center" readingOrder="0" shrinkToFit="0" wrapText="1"/>
    </xf>
    <xf borderId="1" fillId="5" fontId="9" numFmtId="0" xfId="0" applyAlignment="1" applyBorder="1" applyFont="1">
      <alignment horizontal="center" readingOrder="0" shrinkToFit="0" vertical="bottom" wrapText="1"/>
    </xf>
    <xf borderId="1" fillId="5" fontId="8" numFmtId="0" xfId="0" applyAlignment="1" applyBorder="1" applyFont="1">
      <alignment horizontal="right" readingOrder="0"/>
    </xf>
    <xf borderId="1" fillId="5" fontId="12" numFmtId="0" xfId="0" applyBorder="1" applyFont="1"/>
    <xf borderId="4" fillId="0" fontId="12" numFmtId="0" xfId="0" applyBorder="1" applyFont="1"/>
    <xf borderId="1" fillId="4" fontId="16" numFmtId="0" xfId="0" applyAlignment="1" applyBorder="1" applyFont="1">
      <alignment readingOrder="0" shrinkToFit="0" vertical="bottom" wrapText="0"/>
    </xf>
    <xf borderId="1" fillId="4" fontId="16" numFmtId="0" xfId="0" applyAlignment="1" applyBorder="1" applyFont="1">
      <alignment readingOrder="0" shrinkToFit="0" vertical="bottom" wrapText="0"/>
    </xf>
    <xf borderId="1" fillId="0" fontId="12" numFmtId="0" xfId="0" applyAlignment="1" applyBorder="1" applyFont="1">
      <alignment readingOrder="0"/>
    </xf>
    <xf borderId="0" fillId="0" fontId="12" numFmtId="0" xfId="0" applyFont="1"/>
    <xf borderId="0" fillId="4" fontId="17" numFmtId="0" xfId="0" applyAlignment="1" applyFont="1">
      <alignment readingOrder="0" shrinkToFit="0" vertical="bottom" wrapText="0"/>
    </xf>
    <xf borderId="0" fillId="0" fontId="18" numFmtId="0" xfId="0" applyAlignment="1" applyFont="1">
      <alignment horizontal="center" readingOrder="0" shrinkToFit="0" wrapText="0"/>
    </xf>
    <xf borderId="0" fillId="0" fontId="18" numFmtId="0" xfId="0" applyAlignment="1" applyFont="1">
      <alignment horizontal="center" readingOrder="0"/>
    </xf>
    <xf borderId="0" fillId="0" fontId="19" numFmtId="0" xfId="0" applyAlignment="1" applyFont="1">
      <alignment readingOrder="0" shrinkToFit="0" wrapText="0"/>
    </xf>
    <xf borderId="0" fillId="0" fontId="15" numFmtId="0" xfId="0" applyAlignment="1" applyFont="1">
      <alignment readingOrder="0" shrinkToFit="0" wrapText="0"/>
    </xf>
    <xf borderId="0" fillId="0" fontId="20" numFmtId="0" xfId="0" applyAlignment="1" applyFont="1">
      <alignment readingOrder="0" shrinkToFit="0" wrapText="0"/>
    </xf>
    <xf borderId="1" fillId="0" fontId="15" numFmtId="0" xfId="0" applyBorder="1" applyFont="1"/>
    <xf borderId="0" fillId="0" fontId="21" numFmtId="0" xfId="0" applyAlignment="1" applyFont="1">
      <alignment readingOrder="0" shrinkToFit="0" wrapText="0"/>
    </xf>
    <xf borderId="1" fillId="4" fontId="22" numFmtId="0" xfId="0" applyAlignment="1" applyBorder="1" applyFont="1">
      <alignment horizontal="center" readingOrder="0" shrinkToFit="0" wrapText="1"/>
    </xf>
    <xf borderId="4" fillId="0" fontId="23" numFmtId="0" xfId="0" applyAlignment="1" applyBorder="1" applyFont="1">
      <alignment readingOrder="0" shrinkToFit="0" wrapText="0"/>
    </xf>
    <xf borderId="1" fillId="4" fontId="9" numFmtId="0" xfId="0" applyAlignment="1" applyBorder="1" applyFont="1">
      <alignment horizontal="center" readingOrder="0" shrinkToFit="0" wrapText="1"/>
    </xf>
    <xf borderId="0" fillId="4" fontId="16" numFmtId="0" xfId="0" applyAlignment="1" applyFont="1">
      <alignment readingOrder="0" shrinkToFit="0" vertical="bottom" wrapText="0"/>
    </xf>
    <xf borderId="0" fillId="6" fontId="5" numFmtId="0" xfId="0" applyAlignment="1" applyFill="1" applyFont="1">
      <alignment readingOrder="0" shrinkToFit="0" vertical="bottom" wrapText="0"/>
    </xf>
    <xf borderId="1" fillId="6" fontId="6" numFmtId="0" xfId="0" applyAlignment="1" applyBorder="1" applyFont="1">
      <alignment horizontal="center" shrinkToFit="0" vertical="bottom" wrapText="1"/>
    </xf>
    <xf borderId="1" fillId="6" fontId="7" numFmtId="0" xfId="0" applyAlignment="1" applyBorder="1" applyFont="1">
      <alignment horizontal="center" vertical="bottom"/>
    </xf>
    <xf borderId="1" fillId="6" fontId="8" numFmtId="4" xfId="0" applyAlignment="1" applyBorder="1" applyFont="1" applyNumberFormat="1">
      <alignment horizontal="center" readingOrder="0" vertical="bottom"/>
    </xf>
    <xf borderId="0" fillId="6" fontId="8" numFmtId="1" xfId="0" applyFont="1" applyNumberFormat="1"/>
    <xf borderId="1" fillId="6" fontId="7" numFmtId="0" xfId="0" applyAlignment="1" applyBorder="1" applyFont="1">
      <alignment horizontal="center" readingOrder="0" vertical="bottom"/>
    </xf>
    <xf borderId="1" fillId="6" fontId="9" numFmtId="0" xfId="0" applyAlignment="1" applyBorder="1" applyFont="1">
      <alignment horizontal="center" readingOrder="0" shrinkToFit="0" wrapText="1"/>
    </xf>
    <xf borderId="1" fillId="6" fontId="9" numFmtId="0" xfId="0" applyAlignment="1" applyBorder="1" applyFont="1">
      <alignment horizontal="center" readingOrder="0" shrinkToFit="0" vertical="bottom" wrapText="1"/>
    </xf>
    <xf borderId="1" fillId="6" fontId="8" numFmtId="0" xfId="0" applyAlignment="1" applyBorder="1" applyFont="1">
      <alignment horizontal="right" readingOrder="0"/>
    </xf>
    <xf borderId="3" fillId="6" fontId="10" numFmtId="0" xfId="0" applyAlignment="1" applyBorder="1" applyFont="1">
      <alignment readingOrder="0" shrinkToFit="0" vertical="top" wrapText="0"/>
    </xf>
    <xf borderId="0" fillId="6" fontId="10" numFmtId="0" xfId="0" applyAlignment="1" applyFont="1">
      <alignment readingOrder="0" shrinkToFit="0" vertical="top" wrapText="0"/>
    </xf>
    <xf borderId="0" fillId="6" fontId="10" numFmtId="0" xfId="0" applyAlignment="1" applyFont="1">
      <alignment readingOrder="0" shrinkToFit="0" vertical="top" wrapText="1"/>
    </xf>
    <xf borderId="0" fillId="6" fontId="10" numFmtId="0" xfId="0" applyAlignment="1" applyFont="1">
      <alignment readingOrder="0" shrinkToFit="0" vertical="top" wrapText="0"/>
    </xf>
    <xf borderId="0" fillId="6" fontId="24" numFmtId="0" xfId="0" applyAlignment="1" applyFont="1">
      <alignment readingOrder="0" shrinkToFit="0" wrapText="0"/>
    </xf>
    <xf borderId="1" fillId="6" fontId="12" numFmtId="0" xfId="0" applyBorder="1" applyFont="1"/>
    <xf borderId="0" fillId="6" fontId="15" numFmtId="0" xfId="0" applyFont="1"/>
    <xf borderId="0" fillId="0" fontId="10" numFmtId="0" xfId="0" applyAlignment="1" applyFont="1">
      <alignment readingOrder="0" shrinkToFit="0" vertical="bottom" wrapText="0"/>
    </xf>
    <xf borderId="0" fillId="0" fontId="10" numFmtId="0" xfId="0" applyAlignment="1" applyFont="1">
      <alignment readingOrder="0" shrinkToFit="0" vertical="bottom" wrapText="1"/>
    </xf>
    <xf borderId="0" fillId="0" fontId="10" numFmtId="0" xfId="0" applyAlignment="1" applyFont="1">
      <alignment readingOrder="0" shrinkToFit="0" vertical="bottom" wrapText="0"/>
    </xf>
    <xf borderId="1" fillId="0" fontId="18" numFmtId="0" xfId="0" applyAlignment="1" applyBorder="1" applyFont="1">
      <alignment horizontal="center" readingOrder="0"/>
    </xf>
    <xf borderId="0" fillId="0" fontId="25" numFmtId="0" xfId="0" applyAlignment="1" applyFont="1">
      <alignment readingOrder="0" shrinkToFit="0" vertical="top" wrapText="0"/>
    </xf>
    <xf borderId="0" fillId="4" fontId="7" numFmtId="0" xfId="0" applyAlignment="1" applyFont="1">
      <alignment horizontal="center" readingOrder="0" vertical="bottom"/>
    </xf>
    <xf borderId="3" fillId="4" fontId="10" numFmtId="0" xfId="0" applyAlignment="1" applyBorder="1" applyFont="1">
      <alignment readingOrder="0" shrinkToFit="0" vertical="top" wrapText="0"/>
    </xf>
    <xf borderId="0" fillId="4" fontId="10" numFmtId="0" xfId="0" applyAlignment="1" applyFont="1">
      <alignment readingOrder="0" shrinkToFit="0" vertical="top" wrapText="0"/>
    </xf>
    <xf borderId="0" fillId="4" fontId="10" numFmtId="0" xfId="0" applyAlignment="1" applyFont="1">
      <alignment readingOrder="0" shrinkToFit="0" vertical="top" wrapText="1"/>
    </xf>
    <xf borderId="0" fillId="4" fontId="10" numFmtId="0" xfId="0" applyAlignment="1" applyFont="1">
      <alignment readingOrder="0" shrinkToFit="0" vertical="top" wrapText="0"/>
    </xf>
    <xf borderId="0" fillId="4" fontId="26" numFmtId="0" xfId="0" applyAlignment="1" applyFont="1">
      <alignment readingOrder="0" shrinkToFit="0" vertical="top" wrapText="0"/>
    </xf>
    <xf borderId="0" fillId="4" fontId="15" numFmtId="0" xfId="0" applyFont="1"/>
    <xf borderId="0" fillId="0" fontId="7" numFmtId="0" xfId="0" applyAlignment="1" applyFont="1">
      <alignment horizontal="center" readingOrder="0" vertical="bottom"/>
    </xf>
    <xf borderId="0" fillId="0" fontId="27" numFmtId="0" xfId="0" applyAlignment="1" applyFont="1">
      <alignment readingOrder="0"/>
    </xf>
    <xf borderId="0" fillId="0" fontId="28" numFmtId="0" xfId="0" applyAlignment="1" applyFont="1">
      <alignment readingOrder="0"/>
    </xf>
    <xf borderId="1" fillId="0" fontId="5" numFmtId="0" xfId="0" applyAlignment="1" applyBorder="1" applyFont="1">
      <alignment readingOrder="0" shrinkToFit="0" vertical="bottom" wrapText="0"/>
    </xf>
    <xf borderId="1" fillId="0" fontId="8" numFmtId="0" xfId="0" applyAlignment="1" applyBorder="1" applyFont="1">
      <alignment readingOrder="0"/>
    </xf>
    <xf borderId="0" fillId="0" fontId="15" numFmtId="0" xfId="0" applyAlignment="1" applyFont="1">
      <alignment readingOrder="0"/>
    </xf>
    <xf borderId="1" fillId="0" fontId="7" numFmtId="3" xfId="0" applyAlignment="1" applyBorder="1" applyFont="1" applyNumberFormat="1">
      <alignment horizontal="center" readingOrder="0" vertical="bottom"/>
    </xf>
    <xf borderId="1" fillId="0" fontId="29" numFmtId="0" xfId="0" applyAlignment="1" applyBorder="1" applyFont="1">
      <alignment horizontal="center" readingOrder="0" vertical="top"/>
    </xf>
    <xf borderId="1" fillId="0" fontId="29" numFmtId="4" xfId="0" applyAlignment="1" applyBorder="1" applyFont="1" applyNumberFormat="1">
      <alignment horizontal="center" readingOrder="0" vertical="top"/>
    </xf>
    <xf borderId="1" fillId="0" fontId="10" numFmtId="0" xfId="0" applyAlignment="1" applyBorder="1" applyFont="1">
      <alignment horizontal="center" readingOrder="0" shrinkToFit="0" wrapText="1"/>
    </xf>
    <xf borderId="1" fillId="0" fontId="6" numFmtId="0" xfId="0" applyAlignment="1" applyBorder="1" applyFont="1">
      <alignment horizontal="center" readingOrder="0" shrinkToFit="0" vertical="bottom" wrapText="1"/>
    </xf>
    <xf borderId="1" fillId="0" fontId="8" numFmtId="0" xfId="0" applyAlignment="1" applyBorder="1" applyFont="1">
      <alignment horizontal="center" readingOrder="0" shrinkToFit="0" wrapText="1"/>
    </xf>
    <xf borderId="1" fillId="0" fontId="5" numFmtId="0" xfId="0" applyAlignment="1" applyBorder="1" applyFont="1">
      <alignment horizontal="right" readingOrder="0"/>
    </xf>
    <xf borderId="1" fillId="4" fontId="30" numFmtId="0" xfId="0" applyAlignment="1" applyBorder="1" applyFont="1">
      <alignment horizontal="center" readingOrder="0" shrinkToFit="0" wrapText="1"/>
    </xf>
    <xf borderId="0" fillId="0" fontId="31" numFmtId="0" xfId="0" applyAlignment="1" applyFont="1">
      <alignment readingOrder="0"/>
    </xf>
    <xf borderId="0" fillId="0" fontId="32" numFmtId="0" xfId="0" applyAlignment="1" applyFont="1">
      <alignment readingOrder="0"/>
    </xf>
    <xf borderId="0" fillId="0" fontId="8" numFmtId="0" xfId="0" applyAlignment="1" applyFont="1">
      <alignment readingOrder="0"/>
    </xf>
    <xf borderId="1" fillId="0" fontId="10" numFmtId="0" xfId="0" applyAlignment="1" applyBorder="1" applyFont="1">
      <alignment horizontal="center" readingOrder="0" shrinkToFit="0" vertical="bottom" wrapText="1"/>
    </xf>
    <xf borderId="1" fillId="0" fontId="15" numFmtId="0" xfId="0" applyAlignment="1" applyBorder="1" applyFont="1">
      <alignment horizontal="center" readingOrder="0" shrinkToFit="0" wrapText="1"/>
    </xf>
    <xf borderId="1" fillId="0" fontId="33" numFmtId="0" xfId="0" applyAlignment="1" applyBorder="1" applyFont="1">
      <alignment readingOrder="0"/>
    </xf>
    <xf borderId="3" fillId="0" fontId="10" numFmtId="0" xfId="0" applyAlignment="1" applyBorder="1" applyFont="1">
      <alignment horizontal="right" readingOrder="0" shrinkToFit="0" vertical="top" wrapText="1"/>
    </xf>
    <xf borderId="1" fillId="4" fontId="34" numFmtId="0" xfId="0" applyAlignment="1" applyBorder="1" applyFont="1">
      <alignment readingOrder="0"/>
    </xf>
    <xf borderId="0" fillId="0" fontId="35" numFmtId="0" xfId="0" applyAlignment="1" applyFont="1">
      <alignment readingOrder="0"/>
    </xf>
    <xf borderId="1" fillId="0" fontId="33" numFmtId="0" xfId="0" applyAlignment="1" applyBorder="1" applyFont="1">
      <alignment horizontal="center" readingOrder="0" shrinkToFit="0" wrapText="1"/>
    </xf>
    <xf borderId="1" fillId="4" fontId="36" numFmtId="0" xfId="0" applyAlignment="1" applyBorder="1" applyFont="1">
      <alignment horizontal="center" readingOrder="0" shrinkToFit="0" wrapText="1"/>
    </xf>
    <xf borderId="3" fillId="0" fontId="10" numFmtId="0" xfId="0" applyAlignment="1" applyBorder="1" applyFont="1">
      <alignment horizontal="center" readingOrder="0" shrinkToFit="0" vertical="top" wrapText="0"/>
    </xf>
    <xf borderId="0" fillId="0" fontId="10" numFmtId="0" xfId="0" applyAlignment="1" applyFont="1">
      <alignment horizontal="center" readingOrder="0" shrinkToFit="0" wrapText="1"/>
    </xf>
    <xf borderId="1" fillId="0" fontId="9" numFmtId="0" xfId="0" applyAlignment="1" applyBorder="1" applyFont="1">
      <alignment horizontal="center" readingOrder="0" shrinkToFit="0" vertical="bottom" wrapText="1"/>
    </xf>
    <xf borderId="0" fillId="0" fontId="10" numFmtId="0" xfId="0" applyAlignment="1" applyFont="1">
      <alignment readingOrder="0" vertical="top"/>
    </xf>
    <xf borderId="0" fillId="0" fontId="37" numFmtId="0" xfId="0" applyAlignment="1" applyFont="1">
      <alignment readingOrder="0"/>
    </xf>
    <xf borderId="0" fillId="0" fontId="38" numFmtId="0" xfId="0" applyAlignment="1" applyFont="1">
      <alignment readingOrder="0"/>
    </xf>
    <xf borderId="0" fillId="0" fontId="8" numFmtId="0" xfId="0" applyAlignment="1" applyFont="1">
      <alignment readingOrder="0"/>
    </xf>
    <xf borderId="0" fillId="0" fontId="39" numFmtId="0" xfId="0" applyAlignment="1" applyFont="1">
      <alignment readingOrder="0" shrinkToFit="0" wrapText="1"/>
    </xf>
    <xf borderId="0" fillId="0" fontId="10" numFmtId="0" xfId="0" applyAlignment="1" applyFont="1">
      <alignment vertical="top"/>
    </xf>
    <xf borderId="0" fillId="0" fontId="10" numFmtId="0" xfId="0" applyAlignment="1" applyFont="1">
      <alignment shrinkToFit="0" vertical="top" wrapText="1"/>
    </xf>
    <xf borderId="0" fillId="0" fontId="10" numFmtId="0" xfId="0" applyAlignment="1" applyFont="1">
      <alignment shrinkToFit="0" vertical="top" wrapText="0"/>
    </xf>
    <xf borderId="0" fillId="4" fontId="40" numFmtId="0" xfId="0" applyAlignment="1" applyFont="1">
      <alignment readingOrder="0" shrinkToFit="0" wrapText="1"/>
    </xf>
    <xf borderId="0" fillId="4" fontId="41" numFmtId="0" xfId="0" applyAlignment="1" applyFont="1">
      <alignment readingOrder="0"/>
    </xf>
    <xf borderId="0" fillId="4" fontId="42" numFmtId="0" xfId="0" applyAlignment="1" applyFont="1">
      <alignment readingOrder="0"/>
    </xf>
    <xf borderId="0" fillId="4" fontId="43" numFmtId="0" xfId="0" applyAlignment="1" applyFont="1">
      <alignment readingOrder="0"/>
    </xf>
    <xf borderId="0" fillId="0" fontId="44" numFmtId="0" xfId="0" applyFont="1"/>
    <xf borderId="1" fillId="0" fontId="45" numFmtId="0" xfId="0" applyAlignment="1" applyBorder="1" applyFont="1">
      <alignment horizontal="center" shrinkToFit="0" vertical="bottom" wrapText="1"/>
    </xf>
    <xf borderId="0" fillId="0" fontId="12" numFmtId="4" xfId="0" applyFont="1" applyNumberFormat="1"/>
    <xf borderId="0" fillId="0" fontId="12" numFmtId="0" xfId="0" applyAlignment="1" applyFont="1">
      <alignment horizontal="center" shrinkToFit="0" wrapText="1"/>
    </xf>
    <xf borderId="0" fillId="0" fontId="13" numFmtId="0" xfId="0" applyFont="1"/>
    <xf borderId="0" fillId="0" fontId="12" numFmtId="0" xfId="0" applyAlignment="1" applyFont="1">
      <alignment shrinkToFit="0" wrapText="0"/>
    </xf>
    <xf borderId="0" fillId="0" fontId="12" numFmtId="0" xfId="0" applyAlignment="1" applyFont="1">
      <alignment shrinkToFit="0" wrapText="1"/>
    </xf>
    <xf borderId="0" fillId="0" fontId="46" numFmtId="0" xfId="0" applyAlignment="1" applyFont="1">
      <alignment shrinkToFit="0" vertical="bottom" wrapText="0"/>
    </xf>
    <xf borderId="0" fillId="0" fontId="8" numFmtId="0" xfId="0" applyAlignment="1" applyFont="1">
      <alignment shrinkToFit="0" wrapText="0"/>
    </xf>
    <xf borderId="0" fillId="0" fontId="47" numFmtId="0" xfId="0" applyAlignment="1" applyFont="1">
      <alignment horizontal="left" readingOrder="0" shrinkToFit="0" vertical="top" wrapText="1"/>
    </xf>
    <xf borderId="0" fillId="0" fontId="47" numFmtId="0" xfId="0" applyAlignment="1" applyFont="1">
      <alignment horizontal="left" readingOrder="0" shrinkToFit="0" vertical="top" wrapText="1"/>
    </xf>
    <xf borderId="1" fillId="0" fontId="48" numFmtId="0" xfId="0" applyAlignment="1" applyBorder="1" applyFont="1">
      <alignment vertical="top"/>
    </xf>
    <xf borderId="1" fillId="4" fontId="49" numFmtId="0" xfId="0" applyAlignment="1" applyBorder="1" applyFont="1">
      <alignment shrinkToFit="0" vertical="top" wrapText="1"/>
    </xf>
    <xf borderId="0" fillId="0" fontId="5" numFmtId="0" xfId="0" applyAlignment="1" applyFont="1">
      <alignment readingOrder="0" shrinkToFit="0" vertical="bottom" wrapText="0"/>
    </xf>
    <xf borderId="1" fillId="4" fontId="49" numFmtId="0" xfId="0" applyAlignment="1" applyBorder="1" applyFont="1">
      <alignment shrinkToFit="0" vertical="top" wrapText="0"/>
    </xf>
    <xf borderId="1" fillId="7" fontId="49" numFmtId="0" xfId="0" applyAlignment="1" applyBorder="1" applyFill="1" applyFont="1">
      <alignment shrinkToFit="0" vertical="top" wrapText="1"/>
    </xf>
    <xf borderId="1" fillId="4" fontId="49" numFmtId="0" xfId="0" applyAlignment="1" applyBorder="1" applyFont="1">
      <alignment readingOrder="0" shrinkToFit="0" vertical="top" wrapText="1"/>
    </xf>
    <xf borderId="1" fillId="0" fontId="7" numFmtId="0" xfId="0" applyAlignment="1" applyBorder="1" applyFont="1">
      <alignment horizontal="center" readingOrder="0" shrinkToFit="0" vertical="bottom" wrapText="1"/>
    </xf>
    <xf borderId="1" fillId="4" fontId="49" numFmtId="1" xfId="0" applyAlignment="1" applyBorder="1" applyFont="1" applyNumberFormat="1">
      <alignment shrinkToFit="0" vertical="top" wrapText="1"/>
    </xf>
    <xf borderId="1" fillId="8" fontId="49" numFmtId="0" xfId="0" applyAlignment="1" applyBorder="1" applyFill="1" applyFont="1">
      <alignment shrinkToFit="0" vertical="top" wrapText="1"/>
    </xf>
    <xf borderId="1" fillId="8" fontId="49" numFmtId="0" xfId="0" applyAlignment="1" applyBorder="1" applyFont="1">
      <alignment shrinkToFit="0" vertical="top" wrapText="0"/>
    </xf>
    <xf borderId="1" fillId="8" fontId="50" numFmtId="0" xfId="0" applyAlignment="1" applyBorder="1" applyFont="1">
      <alignment shrinkToFit="0" vertical="top" wrapText="1"/>
    </xf>
    <xf borderId="1" fillId="8" fontId="49" numFmtId="1" xfId="0" applyAlignment="1" applyBorder="1" applyFont="1" applyNumberFormat="1">
      <alignment shrinkToFit="0" vertical="top" wrapText="1"/>
    </xf>
    <xf borderId="1" fillId="0" fontId="5" numFmtId="0" xfId="0" applyAlignment="1" applyBorder="1" applyFont="1">
      <alignment readingOrder="0" shrinkToFit="0" vertical="bottom" wrapText="0"/>
    </xf>
    <xf borderId="1" fillId="8" fontId="51" numFmtId="0" xfId="0" applyAlignment="1" applyBorder="1" applyFont="1">
      <alignment shrinkToFit="0" vertical="top" wrapText="1"/>
    </xf>
    <xf borderId="1" fillId="8" fontId="50" numFmtId="0" xfId="0" applyAlignment="1" applyBorder="1" applyFont="1">
      <alignment shrinkToFit="0" vertical="top" wrapText="0"/>
    </xf>
    <xf borderId="1" fillId="4" fontId="50" numFmtId="0" xfId="0" applyAlignment="1" applyBorder="1" applyFont="1">
      <alignment shrinkToFit="0" vertical="top" wrapText="0"/>
    </xf>
    <xf borderId="1" fillId="4" fontId="50" numFmtId="0" xfId="0" applyAlignment="1" applyBorder="1" applyFont="1">
      <alignment shrinkToFit="0" vertical="top" wrapText="1"/>
    </xf>
    <xf borderId="1" fillId="7" fontId="7" numFmtId="0" xfId="0" applyAlignment="1" applyBorder="1" applyFont="1">
      <alignment shrinkToFit="0" vertical="top" wrapText="1"/>
    </xf>
    <xf borderId="1" fillId="4" fontId="50" numFmtId="4" xfId="0" applyAlignment="1" applyBorder="1" applyFont="1" applyNumberFormat="1">
      <alignment shrinkToFit="0" vertical="top" wrapText="0"/>
    </xf>
    <xf borderId="1" fillId="0" fontId="7" numFmtId="0" xfId="0" applyAlignment="1" applyBorder="1" applyFont="1">
      <alignment horizontal="center" shrinkToFit="0" vertical="bottom" wrapText="1"/>
    </xf>
    <xf borderId="1" fillId="4" fontId="52" numFmtId="4" xfId="0" applyAlignment="1" applyBorder="1" applyFont="1" applyNumberFormat="1">
      <alignment shrinkToFit="0" vertical="top" wrapText="0"/>
    </xf>
    <xf borderId="1" fillId="8" fontId="52" numFmtId="4" xfId="0" applyAlignment="1" applyBorder="1" applyFont="1" applyNumberFormat="1">
      <alignment shrinkToFit="0" vertical="top" wrapText="0"/>
    </xf>
    <xf borderId="1" fillId="8" fontId="50" numFmtId="0" xfId="0" applyAlignment="1" applyBorder="1" applyFont="1">
      <alignment readingOrder="0" shrinkToFit="0" vertical="top" wrapText="1"/>
    </xf>
    <xf borderId="1" fillId="8" fontId="50" numFmtId="4" xfId="0" applyAlignment="1" applyBorder="1" applyFont="1" applyNumberFormat="1">
      <alignment shrinkToFit="0" vertical="top" wrapText="0"/>
    </xf>
    <xf borderId="1" fillId="7" fontId="51" numFmtId="0" xfId="0" applyAlignment="1" applyBorder="1" applyFont="1">
      <alignment shrinkToFit="0" vertical="top" wrapText="1"/>
    </xf>
    <xf borderId="1" fillId="4" fontId="51" numFmtId="0" xfId="0" applyAlignment="1" applyBorder="1" applyFont="1">
      <alignment shrinkToFit="0" vertical="top" wrapText="1"/>
    </xf>
    <xf borderId="0" fillId="6" fontId="5" numFmtId="0" xfId="0" applyAlignment="1" applyFont="1">
      <alignment readingOrder="0" shrinkToFit="0" vertical="bottom" wrapText="0"/>
    </xf>
    <xf borderId="0" fillId="6" fontId="48" numFmtId="0" xfId="0" applyAlignment="1" applyFont="1">
      <alignment readingOrder="0" shrinkToFit="0" vertical="bottom" wrapText="0"/>
    </xf>
    <xf borderId="0" fillId="6" fontId="15" numFmtId="0" xfId="0" applyAlignment="1" applyFont="1">
      <alignment readingOrder="0" shrinkToFit="0" vertical="center" wrapText="0"/>
    </xf>
    <xf borderId="0" fillId="0" fontId="48" numFmtId="0" xfId="0" applyAlignment="1" applyFont="1">
      <alignment readingOrder="0" shrinkToFit="0" vertical="bottom" wrapText="0"/>
    </xf>
    <xf borderId="0" fillId="8" fontId="48" numFmtId="0" xfId="0" applyAlignment="1" applyFont="1">
      <alignment readingOrder="0" shrinkToFit="0" vertical="bottom" wrapText="0"/>
    </xf>
    <xf borderId="0" fillId="0" fontId="15" numFmtId="0" xfId="0" applyAlignment="1" applyFont="1">
      <alignment readingOrder="0" shrinkToFit="0" vertical="center" wrapText="0"/>
    </xf>
    <xf borderId="1" fillId="4" fontId="48" numFmtId="0" xfId="0" applyAlignment="1" applyBorder="1" applyFont="1">
      <alignment horizontal="left" readingOrder="0" shrinkToFit="0" vertical="top" wrapText="1"/>
    </xf>
    <xf borderId="1" fillId="4" fontId="49" numFmtId="0" xfId="0" applyAlignment="1" applyBorder="1" applyFont="1">
      <alignment horizontal="left" shrinkToFit="0" vertical="top" wrapText="1"/>
    </xf>
    <xf borderId="1" fillId="0" fontId="5" numFmtId="0" xfId="0" applyAlignment="1" applyBorder="1" applyFont="1">
      <alignment horizontal="left" readingOrder="0" shrinkToFit="0" vertical="bottom" wrapText="1"/>
    </xf>
    <xf borderId="1" fillId="0" fontId="5" numFmtId="1" xfId="0" applyAlignment="1" applyBorder="1" applyFont="1" applyNumberFormat="1">
      <alignment readingOrder="0" shrinkToFit="0" vertical="bottom" wrapText="0"/>
    </xf>
    <xf borderId="1" fillId="8" fontId="49" numFmtId="0" xfId="0" applyAlignment="1" applyBorder="1" applyFont="1">
      <alignment horizontal="left" shrinkToFit="0" vertical="top" wrapText="1"/>
    </xf>
    <xf borderId="1" fillId="8" fontId="48" numFmtId="0" xfId="0" applyAlignment="1" applyBorder="1" applyFont="1">
      <alignment horizontal="left" shrinkToFit="0" vertical="top" wrapText="1"/>
    </xf>
    <xf borderId="1" fillId="4" fontId="48" numFmtId="0" xfId="0" applyAlignment="1" applyBorder="1" applyFont="1">
      <alignment horizontal="left" shrinkToFit="0" vertical="top" wrapText="1"/>
    </xf>
    <xf borderId="1" fillId="8" fontId="48" numFmtId="0" xfId="0" applyAlignment="1" applyBorder="1" applyFont="1">
      <alignment shrinkToFit="0" vertical="top" wrapText="0"/>
    </xf>
    <xf borderId="1" fillId="4" fontId="48" numFmtId="0" xfId="0" applyAlignment="1" applyBorder="1" applyFont="1">
      <alignment shrinkToFit="0" vertical="top" wrapText="0"/>
    </xf>
    <xf borderId="1" fillId="2" fontId="53" numFmtId="4" xfId="0" applyAlignment="1" applyBorder="1" applyFont="1" applyNumberFormat="1">
      <alignment horizontal="center" shrinkToFit="0" vertical="bottom" wrapText="1"/>
    </xf>
    <xf borderId="0" fillId="0" fontId="48" numFmtId="0" xfId="0" applyAlignment="1" applyFont="1">
      <alignment vertical="bottom"/>
    </xf>
    <xf borderId="0" fillId="4" fontId="48" numFmtId="0" xfId="0" applyAlignment="1" applyFont="1">
      <alignment shrinkToFit="0" vertical="bottom" wrapText="1"/>
    </xf>
    <xf borderId="0" fillId="4" fontId="29" numFmtId="0" xfId="0" applyAlignment="1" applyFont="1">
      <alignment vertical="top"/>
    </xf>
    <xf borderId="1" fillId="4" fontId="7" numFmtId="0" xfId="0" applyAlignment="1" applyBorder="1" applyFont="1">
      <alignment vertical="bottom"/>
    </xf>
    <xf borderId="4" fillId="4" fontId="29" numFmtId="0" xfId="0" applyAlignment="1" applyBorder="1" applyFont="1">
      <alignment shrinkToFit="0" vertical="top" wrapText="1"/>
    </xf>
    <xf borderId="4" fillId="4" fontId="29" numFmtId="0" xfId="0" applyAlignment="1" applyBorder="1" applyFont="1">
      <alignment shrinkToFit="0" vertical="top" wrapText="0"/>
    </xf>
    <xf borderId="0" fillId="4" fontId="29" numFmtId="0" xfId="0" applyAlignment="1" applyFont="1">
      <alignment shrinkToFit="0" vertical="top" wrapText="0"/>
    </xf>
    <xf borderId="0" fillId="8" fontId="48" numFmtId="0" xfId="0" applyAlignment="1" applyFont="1">
      <alignment vertical="bottom"/>
    </xf>
    <xf borderId="0" fillId="8" fontId="48" numFmtId="0" xfId="0" applyAlignment="1" applyFont="1">
      <alignment shrinkToFit="0" vertical="bottom" wrapText="1"/>
    </xf>
    <xf borderId="0" fillId="8" fontId="29" numFmtId="0" xfId="0" applyAlignment="1" applyFont="1">
      <alignment vertical="top"/>
    </xf>
    <xf borderId="0" fillId="4" fontId="48" numFmtId="0" xfId="0" applyAlignment="1" applyFont="1">
      <alignment vertical="bottom"/>
    </xf>
    <xf borderId="1" fillId="8" fontId="7" numFmtId="0" xfId="0" applyAlignment="1" applyBorder="1" applyFont="1">
      <alignment shrinkToFit="0" vertical="bottom" wrapText="1"/>
    </xf>
    <xf borderId="1" fillId="8" fontId="7" numFmtId="4" xfId="0" applyAlignment="1" applyBorder="1" applyFont="1" applyNumberFormat="1">
      <alignment vertical="bottom"/>
    </xf>
    <xf borderId="1" fillId="8" fontId="14" numFmtId="4" xfId="0" applyAlignment="1" applyBorder="1" applyFont="1" applyNumberFormat="1">
      <alignment vertical="bottom"/>
    </xf>
    <xf borderId="1" fillId="8" fontId="7" numFmtId="0" xfId="0" applyAlignment="1" applyBorder="1" applyFont="1">
      <alignment vertical="bottom"/>
    </xf>
    <xf borderId="1" fillId="4" fontId="48" numFmtId="0" xfId="0" applyAlignment="1" applyBorder="1" applyFont="1">
      <alignment horizontal="center" shrinkToFit="0" vertical="bottom" wrapText="1"/>
    </xf>
    <xf borderId="1" fillId="8" fontId="48" numFmtId="0" xfId="0" applyAlignment="1" applyBorder="1" applyFont="1">
      <alignment horizontal="center" shrinkToFit="0" vertical="bottom" wrapText="1"/>
    </xf>
    <xf borderId="0" fillId="4" fontId="54" numFmtId="0" xfId="0" applyAlignment="1" applyFont="1">
      <alignment shrinkToFit="0" vertical="top" wrapText="0"/>
    </xf>
    <xf borderId="0" fillId="4" fontId="48" numFmtId="0" xfId="0" applyAlignment="1" applyFont="1">
      <alignment horizontal="center" shrinkToFit="0" vertical="bottom" wrapText="1"/>
    </xf>
    <xf borderId="1" fillId="4" fontId="48" numFmtId="0" xfId="0" applyAlignment="1" applyBorder="1" applyFont="1">
      <alignment shrinkToFit="0" vertical="top" wrapText="1"/>
    </xf>
    <xf borderId="0" fillId="8" fontId="48" numFmtId="0" xfId="0" applyAlignment="1" applyFont="1">
      <alignment horizontal="center" shrinkToFit="0" vertical="bottom" wrapText="1"/>
    </xf>
    <xf borderId="1" fillId="8" fontId="48" numFmtId="0" xfId="0" applyAlignment="1" applyBorder="1" applyFont="1">
      <alignment vertical="top"/>
    </xf>
    <xf borderId="1" fillId="8" fontId="48" numFmtId="0" xfId="0" applyAlignment="1" applyBorder="1" applyFont="1">
      <alignment shrinkToFit="0" vertical="top" wrapText="1"/>
    </xf>
    <xf borderId="1" fillId="8" fontId="7" numFmtId="0" xfId="0" applyAlignment="1" applyBorder="1" applyFont="1">
      <alignment shrinkToFit="0" vertical="top" wrapText="1"/>
    </xf>
    <xf borderId="1" fillId="4" fontId="49" numFmtId="0" xfId="0" applyAlignment="1" applyBorder="1" applyFont="1">
      <alignment shrinkToFit="0" vertical="top" wrapText="1"/>
    </xf>
    <xf borderId="0" fillId="4" fontId="48" numFmtId="0" xfId="0" applyAlignment="1" applyFont="1">
      <alignment readingOrder="0" vertical="bottom"/>
    </xf>
    <xf borderId="0" fillId="8" fontId="48" numFmtId="0" xfId="0" applyAlignment="1" applyFont="1">
      <alignment readingOrder="0" shrinkToFit="0" vertical="top" wrapText="1"/>
    </xf>
    <xf borderId="0" fillId="0" fontId="48" numFmtId="0" xfId="0" applyAlignment="1" applyFont="1">
      <alignment readingOrder="0" vertical="bottom"/>
    </xf>
    <xf borderId="1" fillId="8" fontId="49" numFmtId="0" xfId="0" applyAlignment="1" applyBorder="1" applyFont="1">
      <alignment shrinkToFit="0" vertical="top" wrapText="1"/>
    </xf>
    <xf borderId="0" fillId="8" fontId="48" numFmtId="0" xfId="0" applyAlignment="1" applyFont="1">
      <alignment readingOrder="0" vertical="bottom"/>
    </xf>
    <xf borderId="0" fillId="4" fontId="48" numFmtId="0" xfId="0" applyAlignment="1" applyFont="1">
      <alignment readingOrder="0" shrinkToFit="0" vertical="top" wrapText="1"/>
    </xf>
    <xf borderId="0" fillId="4" fontId="15" numFmtId="0" xfId="0" applyAlignment="1" applyFont="1">
      <alignment readingOrder="0"/>
    </xf>
    <xf borderId="0" fillId="0" fontId="15" numFmtId="0" xfId="0" applyAlignment="1" applyFont="1">
      <alignment horizontal="center" readingOrder="0" shrinkToFit="0" wrapText="1"/>
    </xf>
    <xf borderId="0" fillId="8" fontId="15" numFmtId="0" xfId="0" applyAlignment="1" applyFont="1">
      <alignment readingOrder="0"/>
    </xf>
    <xf borderId="0" fillId="0" fontId="55" numFmtId="0" xfId="0" applyAlignment="1" applyFont="1">
      <alignment readingOrder="0" vertical="bottom"/>
    </xf>
    <xf borderId="0" fillId="4" fontId="56" numFmtId="0" xfId="0" applyAlignment="1" applyFont="1">
      <alignment readingOrder="0"/>
    </xf>
    <xf borderId="0" fillId="4" fontId="29" numFmtId="0" xfId="0" applyAlignment="1" applyFont="1">
      <alignment readingOrder="0" shrinkToFit="0" vertical="top" wrapText="0"/>
    </xf>
    <xf borderId="0" fillId="4" fontId="18" numFmtId="0" xfId="0" applyAlignment="1" applyFont="1">
      <alignment horizontal="center" readingOrder="0"/>
    </xf>
    <xf borderId="0" fillId="0" fontId="48" numFmtId="0" xfId="0" applyAlignment="1" applyFont="1">
      <alignment readingOrder="0" vertical="bottom"/>
    </xf>
    <xf borderId="0" fillId="0" fontId="5" numFmtId="0" xfId="0" applyAlignment="1" applyFont="1">
      <alignment horizontal="center" readingOrder="0" shrinkToFit="0" vertical="bottom" wrapText="1"/>
    </xf>
    <xf borderId="0" fillId="0" fontId="5" numFmtId="0" xfId="0" applyAlignment="1" applyFont="1">
      <alignment readingOrder="0" vertical="bottom"/>
    </xf>
    <xf borderId="3" fillId="0" fontId="57" numFmtId="0" xfId="0" applyAlignment="1" applyBorder="1" applyFont="1">
      <alignment readingOrder="0"/>
    </xf>
    <xf borderId="0" fillId="0" fontId="5" numFmtId="0" xfId="0" applyAlignment="1" applyFont="1">
      <alignment horizontal="center" readingOrder="0" shrinkToFit="0" vertical="bottom" wrapText="0"/>
    </xf>
    <xf borderId="0" fillId="0" fontId="15" numFmtId="0" xfId="0" applyFont="1"/>
    <xf borderId="0" fillId="0" fontId="5" numFmtId="0" xfId="0" applyAlignment="1" applyFont="1">
      <alignment readingOrder="0" shrinkToFit="0" vertical="bottom" wrapText="1"/>
    </xf>
    <xf borderId="0" fillId="0" fontId="5" numFmtId="0" xfId="0" applyAlignment="1" applyFont="1">
      <alignment readingOrder="0" shrinkToFit="0" vertical="bottom" wrapText="0"/>
    </xf>
    <xf borderId="0" fillId="0" fontId="58" numFmtId="0" xfId="0" applyAlignment="1" applyFont="1">
      <alignment readingOrder="0" shrinkToFit="0" vertical="bottom" wrapText="0"/>
    </xf>
    <xf borderId="1" fillId="0" fontId="57" numFmtId="0" xfId="0" applyAlignment="1" applyBorder="1" applyFont="1">
      <alignment horizontal="center" readingOrder="0" shrinkToFit="0" wrapText="1"/>
    </xf>
    <xf borderId="0" fillId="0" fontId="5" numFmtId="0" xfId="0" applyAlignment="1" applyFont="1">
      <alignment vertical="bottom"/>
    </xf>
    <xf borderId="5" fillId="0" fontId="59" numFmtId="0" xfId="0" applyAlignment="1" applyBorder="1" applyFont="1">
      <alignment horizontal="center" readingOrder="0" shrinkToFit="0" wrapText="1"/>
    </xf>
    <xf borderId="0" fillId="0" fontId="57" numFmtId="0" xfId="0" applyAlignment="1" applyFont="1">
      <alignment readingOrder="0" vertical="bottom"/>
    </xf>
    <xf borderId="5" fillId="0" fontId="57" numFmtId="0" xfId="0" applyAlignment="1" applyBorder="1" applyFont="1">
      <alignment horizontal="center" readingOrder="0" shrinkToFit="0" wrapText="1"/>
    </xf>
    <xf borderId="1" fillId="0" fontId="5" numFmtId="0" xfId="0" applyAlignment="1" applyBorder="1" applyFont="1">
      <alignment horizontal="center" readingOrder="0" shrinkToFit="0" vertical="bottom" wrapText="1"/>
    </xf>
    <xf borderId="0" fillId="0" fontId="15" numFmtId="0" xfId="0" applyAlignment="1" applyFont="1">
      <alignment readingOrder="0" shrinkToFit="0" wrapText="1"/>
    </xf>
    <xf borderId="0" fillId="0" fontId="60" numFmtId="0" xfId="0" applyAlignment="1" applyFont="1">
      <alignment readingOrder="0" shrinkToFit="0" vertical="bottom" wrapText="0"/>
    </xf>
    <xf borderId="0" fillId="0" fontId="61"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4" fontId="5" numFmtId="0" xfId="0" applyAlignment="1" applyFont="1">
      <alignment horizontal="center" readingOrder="0" shrinkToFit="0" vertical="bottom" wrapText="1"/>
    </xf>
    <xf borderId="0" fillId="0" fontId="61" numFmtId="0" xfId="0" applyAlignment="1" applyFont="1">
      <alignment readingOrder="0" shrinkToFit="0" vertical="bottom" wrapText="0"/>
    </xf>
    <xf borderId="0" fillId="0" fontId="10" numFmtId="3" xfId="0" applyAlignment="1" applyFont="1" applyNumberFormat="1">
      <alignment horizontal="right" readingOrder="0" shrinkToFit="0" vertical="bottom" wrapText="0"/>
    </xf>
    <xf borderId="0" fillId="0" fontId="62" numFmtId="0" xfId="0" applyAlignment="1" applyFont="1">
      <alignment readingOrder="0" shrinkToFit="0" vertical="bottom" wrapText="1"/>
    </xf>
    <xf borderId="0" fillId="0" fontId="15" numFmtId="0" xfId="0" applyAlignment="1" applyFont="1">
      <alignment horizontal="center" shrinkToFit="0" wrapText="1"/>
    </xf>
    <xf borderId="0" fillId="0" fontId="18" numFmtId="0" xfId="0" applyAlignment="1" applyFont="1">
      <alignment horizontal="center" readingOrder="0" shrinkToFit="0" wrapText="1"/>
    </xf>
    <xf borderId="0" fillId="0" fontId="15" numFmtId="0" xfId="0" applyAlignment="1" applyFont="1">
      <alignment shrinkToFit="0" wrapText="1"/>
    </xf>
    <xf borderId="1" fillId="2" fontId="1" numFmtId="0" xfId="0" applyAlignment="1" applyBorder="1" applyFont="1">
      <alignment horizontal="center" shrinkToFit="0" vertical="bottom" wrapText="0"/>
    </xf>
    <xf borderId="0" fillId="0" fontId="15" numFmtId="0" xfId="0" applyAlignment="1" applyFont="1">
      <alignment horizontal="center" readingOrder="0" shrinkToFit="0" wrapText="0"/>
    </xf>
    <xf borderId="0" fillId="0" fontId="63" numFmtId="0" xfId="0" applyAlignment="1" applyFont="1">
      <alignment horizontal="center" readingOrder="0" shrinkToFit="0" wrapText="0"/>
    </xf>
    <xf borderId="0" fillId="0" fontId="15" numFmtId="0" xfId="0" applyAlignment="1" applyFont="1">
      <alignment horizontal="center" shrinkToFit="0" wrapText="0"/>
    </xf>
    <xf borderId="0" fillId="0" fontId="64" numFmtId="0" xfId="0" applyAlignment="1" applyFont="1">
      <alignment horizontal="center" readingOrder="0" shrinkToFit="0" wrapText="0"/>
    </xf>
    <xf borderId="0" fillId="0" fontId="18" numFmtId="0" xfId="0" applyAlignment="1" applyFont="1">
      <alignment horizontal="center" readingOrder="0" shrinkToFit="0" wrapText="0"/>
    </xf>
    <xf borderId="1" fillId="0" fontId="12" numFmtId="0" xfId="0" applyAlignment="1" applyBorder="1" applyFont="1">
      <alignment horizontal="left" readingOrder="0" shrinkToFit="0" wrapText="1"/>
    </xf>
    <xf borderId="1" fillId="0" fontId="45" numFmtId="0" xfId="0" applyAlignment="1" applyBorder="1" applyFont="1">
      <alignment horizontal="center" readingOrder="0" shrinkToFit="0" vertical="bottom" wrapText="1"/>
    </xf>
    <xf borderId="1" fillId="0" fontId="15" numFmtId="0" xfId="0" applyAlignment="1" applyBorder="1" applyFont="1">
      <alignment horizontal="left" readingOrder="0" shrinkToFit="0" wrapText="1"/>
    </xf>
    <xf borderId="0" fillId="0" fontId="12" numFmtId="0" xfId="0" applyAlignment="1" applyFont="1">
      <alignment horizontal="center" readingOrder="0" shrinkToFit="0" wrapText="1"/>
    </xf>
    <xf borderId="0" fillId="0" fontId="12" numFmtId="0" xfId="0" applyAlignment="1" applyFont="1">
      <alignment horizontal="left" shrinkToFit="0" wrapText="1"/>
    </xf>
    <xf borderId="0" fillId="0" fontId="65" numFmtId="0" xfId="0" applyAlignment="1" applyFont="1">
      <alignment horizontal="left" readingOrder="0" shrinkToFit="0" wrapText="0"/>
    </xf>
    <xf borderId="0" fillId="0" fontId="12" numFmtId="0" xfId="0" applyAlignment="1" applyFont="1">
      <alignment horizontal="left" readingOrder="0" shrinkToFit="0" wrapText="0"/>
    </xf>
    <xf borderId="0" fillId="0" fontId="12" numFmtId="0" xfId="0" applyAlignment="1" applyFont="1">
      <alignment readingOrder="0"/>
    </xf>
    <xf borderId="0" fillId="0" fontId="12" numFmtId="0" xfId="0" applyAlignment="1" applyFont="1">
      <alignment horizontal="left" readingOrder="0" shrinkToFit="0" wrapText="1"/>
    </xf>
    <xf borderId="1" fillId="0" fontId="66" numFmtId="0" xfId="0" applyAlignment="1" applyBorder="1" applyFont="1">
      <alignment horizontal="left" readingOrder="0" shrinkToFit="0" wrapText="1"/>
    </xf>
    <xf borderId="1" fillId="0" fontId="66" numFmtId="0" xfId="0" applyAlignment="1" applyBorder="1" applyFont="1">
      <alignment horizontal="left" readingOrder="0" shrinkToFit="0" wrapText="0"/>
    </xf>
    <xf borderId="1" fillId="0" fontId="15" numFmtId="0" xfId="0" applyAlignment="1" applyBorder="1" applyFont="1">
      <alignment horizontal="left" readingOrder="0" shrinkToFit="0" wrapText="0"/>
    </xf>
    <xf borderId="0" fillId="9" fontId="67" numFmtId="0" xfId="0" applyAlignment="1" applyFill="1" applyFont="1">
      <alignment readingOrder="0"/>
    </xf>
    <xf borderId="1" fillId="0" fontId="15" numFmtId="1" xfId="0" applyAlignment="1" applyBorder="1" applyFont="1" applyNumberFormat="1">
      <alignment horizontal="left" readingOrder="0" shrinkToFit="0" wrapText="0"/>
    </xf>
    <xf borderId="1" fillId="0" fontId="15" numFmtId="0" xfId="0" applyAlignment="1" applyBorder="1" applyFont="1">
      <alignment horizontal="center" readingOrder="0" shrinkToFit="0" vertical="center" wrapText="1"/>
    </xf>
    <xf borderId="0" fillId="0" fontId="15" numFmtId="0" xfId="0" applyAlignment="1" applyFont="1">
      <alignment horizontal="left" readingOrder="0" shrinkToFit="0" wrapText="1"/>
    </xf>
    <xf borderId="1" fillId="0" fontId="15" numFmtId="0" xfId="0" applyAlignment="1" applyBorder="1" applyFont="1">
      <alignment horizontal="left" shrinkToFit="0" wrapText="1"/>
    </xf>
    <xf borderId="1" fillId="0" fontId="15" numFmtId="0" xfId="0" applyAlignment="1" applyBorder="1" applyFont="1">
      <alignment horizontal="left" shrinkToFit="0" wrapText="0"/>
    </xf>
    <xf borderId="0" fillId="0" fontId="15" numFmtId="0" xfId="0" applyAlignment="1" applyFont="1">
      <alignment horizontal="left" shrinkToFit="0" wrapText="1"/>
    </xf>
    <xf borderId="0" fillId="0" fontId="15" numFmtId="0" xfId="0" applyAlignment="1" applyFont="1">
      <alignment horizontal="left" shrinkToFit="0" wrapText="0"/>
    </xf>
    <xf borderId="0" fillId="0" fontId="15" numFmtId="0" xfId="0" applyAlignment="1" applyFont="1">
      <alignment horizontal="right" readingOrder="0" shrinkToFit="0" wrapText="1"/>
    </xf>
    <xf borderId="0" fillId="0" fontId="66" numFmtId="0" xfId="0" applyAlignment="1" applyFont="1">
      <alignment horizontal="left" readingOrder="0" shrinkToFit="0" wrapText="1"/>
    </xf>
    <xf borderId="0" fillId="0" fontId="15" numFmtId="0" xfId="0" applyAlignment="1" applyFont="1">
      <alignment horizontal="right" readingOrder="0"/>
    </xf>
    <xf borderId="0" fillId="0" fontId="15" numFmtId="0" xfId="0" applyAlignment="1" applyFont="1">
      <alignment shrinkToFit="0" wrapText="0"/>
    </xf>
    <xf borderId="6" fillId="2" fontId="1" numFmtId="0" xfId="0" applyAlignment="1" applyBorder="1" applyFont="1">
      <alignment horizontal="center" readingOrder="0" shrinkToFit="0" vertical="bottom" wrapText="1"/>
    </xf>
    <xf borderId="6" fillId="2" fontId="1" numFmtId="0" xfId="0" applyAlignment="1" applyBorder="1" applyFont="1">
      <alignment horizontal="center" shrinkToFit="0" vertical="bottom" wrapText="1"/>
    </xf>
    <xf borderId="6" fillId="2" fontId="3" numFmtId="4" xfId="0" applyAlignment="1" applyBorder="1" applyFont="1" applyNumberFormat="1">
      <alignment horizontal="center" readingOrder="0" shrinkToFit="0" vertical="bottom" wrapText="1"/>
    </xf>
    <xf borderId="0" fillId="4" fontId="15" numFmtId="0" xfId="0" applyAlignment="1" applyFont="1">
      <alignment horizontal="center" readingOrder="0" shrinkToFit="0" wrapText="1"/>
    </xf>
    <xf borderId="0" fillId="4" fontId="15" numFmtId="0" xfId="0" applyAlignment="1" applyFont="1">
      <alignment horizontal="center" shrinkToFit="0" wrapText="1"/>
    </xf>
    <xf borderId="0" fillId="4" fontId="15" numFmtId="0" xfId="0" applyAlignment="1" applyFont="1">
      <alignment readingOrder="0"/>
    </xf>
    <xf borderId="0" fillId="4" fontId="8" numFmtId="0" xfId="0" applyAlignment="1" applyFont="1">
      <alignment horizontal="center" readingOrder="0" shrinkToFit="0" wrapText="1"/>
    </xf>
    <xf borderId="0" fillId="4" fontId="15" numFmtId="0" xfId="0" applyAlignment="1" applyFont="1">
      <alignment horizontal="center" readingOrder="0" shrinkToFit="0" wrapText="0"/>
    </xf>
    <xf borderId="0" fillId="4" fontId="15" numFmtId="0" xfId="0" applyAlignment="1" applyFont="1">
      <alignment horizontal="center" shrinkToFit="0" wrapText="0"/>
    </xf>
    <xf borderId="0" fillId="4" fontId="15" numFmtId="0" xfId="0" applyAlignment="1" applyFont="1">
      <alignment shrinkToFit="0" wrapText="0"/>
    </xf>
    <xf borderId="0" fillId="0" fontId="7" numFmtId="0" xfId="0" applyAlignment="1" applyFont="1">
      <alignment horizontal="center" readingOrder="0" shrinkToFit="0" vertical="bottom" wrapText="1"/>
    </xf>
    <xf borderId="0" fillId="0" fontId="8" numFmtId="4" xfId="0" applyAlignment="1" applyFont="1" applyNumberFormat="1">
      <alignment horizontal="center" readingOrder="0" shrinkToFit="0" vertical="bottom" wrapText="1"/>
    </xf>
    <xf borderId="0" fillId="0" fontId="15" numFmtId="0" xfId="0" applyAlignment="1" applyFont="1">
      <alignment horizontal="center" readingOrder="0" shrinkToFit="0" wrapText="1"/>
    </xf>
    <xf borderId="0" fillId="0" fontId="15" numFmtId="0" xfId="0" applyAlignment="1" applyFont="1">
      <alignment horizontal="center" readingOrder="0" shrinkToFit="0" wrapText="0"/>
    </xf>
    <xf borderId="0" fillId="0" fontId="8" numFmtId="0" xfId="0" applyAlignment="1" applyFont="1">
      <alignment horizontal="center" readingOrder="0" shrinkToFit="0" wrapText="1"/>
    </xf>
    <xf borderId="0" fillId="0" fontId="18" numFmtId="4" xfId="0" applyAlignment="1" applyFont="1" applyNumberFormat="1">
      <alignment horizontal="center" readingOrder="0" shrinkToFit="0" wrapText="1"/>
    </xf>
    <xf borderId="0" fillId="7" fontId="15" numFmtId="0" xfId="0" applyFont="1"/>
    <xf borderId="0" fillId="0" fontId="7" numFmtId="0" xfId="0" applyAlignment="1" applyFont="1">
      <alignment horizontal="center" shrinkToFit="0" vertical="bottom" wrapText="1"/>
    </xf>
    <xf borderId="0" fillId="4" fontId="7" numFmtId="0" xfId="0" applyAlignment="1" applyFont="1">
      <alignment horizontal="center" shrinkToFit="0" vertical="bottom" wrapText="1"/>
    </xf>
    <xf borderId="1" fillId="0" fontId="65" numFmtId="0" xfId="0" applyAlignment="1" applyBorder="1" applyFont="1">
      <alignment readingOrder="0" shrinkToFit="0" wrapText="1"/>
    </xf>
    <xf borderId="1" fillId="0" fontId="12" numFmtId="0" xfId="0" applyAlignment="1" applyBorder="1" applyFont="1">
      <alignment readingOrder="0" shrinkToFit="0" wrapText="1"/>
    </xf>
    <xf borderId="6" fillId="0" fontId="12" numFmtId="0" xfId="0" applyAlignment="1" applyBorder="1" applyFont="1">
      <alignment shrinkToFit="0" wrapText="1"/>
    </xf>
    <xf borderId="0" fillId="0" fontId="65"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ll bund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1027" displayName="Table1" name="Table1" id="1">
  <autoFilter ref="$A$1:$AF$1027"/>
  <tableColumns count="32">
    <tableColumn name="L1" id="1"/>
    <tableColumn name="L2" id="2"/>
    <tableColumn name="Premium/ Budget -Fit" id="3"/>
    <tableColumn name="UID" id="4"/>
    <tableColumn name="Cleanser (AM+PM)" id="5"/>
    <tableColumn name="sku" id="6"/>
    <tableColumn name="MRP" id="7"/>
    <tableColumn name="UID 2" id="8"/>
    <tableColumn name="Serum (PM)" id="9"/>
    <tableColumn name="sku 2" id="10"/>
    <tableColumn name="MRP 2" id="11"/>
    <tableColumn name="UID 3" id="12"/>
    <tableColumn name="Moisturiser (AM+PM)" id="13"/>
    <tableColumn name="sku 3" id="14"/>
    <tableColumn name="MRP 3" id="15"/>
    <tableColumn name="UID 4" id="16"/>
    <tableColumn name="Sunscreen (AM)" id="17"/>
    <tableColumn name="sku 4" id="18"/>
    <tableColumn name="MRP 4" id="19"/>
    <tableColumn name="Total Bundle MRP" id="20"/>
    <tableColumn name="Column 1" id="21"/>
    <tableColumn name="Column 2" id="22"/>
    <tableColumn name="Column 3" id="23"/>
    <tableColumn name="Column 4" id="24"/>
    <tableColumn name="Column 5" id="25"/>
    <tableColumn name="Column 6" id="26"/>
    <tableColumn name="Column 7" id="27"/>
    <tableColumn name="Column 8" id="28"/>
    <tableColumn name="Column 9" id="29"/>
    <tableColumn name="Column 10" id="30"/>
    <tableColumn name="Column 11" id="31"/>
    <tableColumn name="Column 12" id="32"/>
  </tableColumns>
  <tableStyleInfo name="All bund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otandkey.com/cdn/shop/files/1_7f9431fd-0fff-4f9b-92cc-03433d58abae.png?v=1778925484&amp;width=700" TargetMode="External"/><Relationship Id="rId190" Type="http://schemas.openxmlformats.org/officeDocument/2006/relationships/hyperlink" Target="https://in.innisfree.com/cdn/shop/files/131174483_1.jpg?v=1693472608" TargetMode="External"/><Relationship Id="rId42" Type="http://schemas.openxmlformats.org/officeDocument/2006/relationships/hyperlink" Target="https://www.dotandkey.com/cdn/shop/files/1CicaSunscreenListing1-50g.jpg?v=1778925569&amp;width=700" TargetMode="External"/><Relationship Id="rId41" Type="http://schemas.openxmlformats.org/officeDocument/2006/relationships/hyperlink" Target="https://www.dotandkey.com/cdn/shop/files/1a_3ef32ac6-5192-495c-b4bb-dafb0e806260.jpg?v=1778839652&amp;width=700" TargetMode="External"/><Relationship Id="rId44" Type="http://schemas.openxmlformats.org/officeDocument/2006/relationships/hyperlink" Target="https://www.dotandkey.com/cdn/shop/files/1_b1e08716-cac1-4066-8010-dfb012ae9f2a.jpg?v=1781243511&amp;width=700" TargetMode="External"/><Relationship Id="rId194" Type="http://schemas.openxmlformats.org/officeDocument/2006/relationships/hyperlink" Target="https://celimax.us/cdn/shop/files/celimax-50ml-celimax-dual-barrier-skin-wearable-cream-36500675952790.jpg?v=1721669759&amp;width=828" TargetMode="External"/><Relationship Id="rId43" Type="http://schemas.openxmlformats.org/officeDocument/2006/relationships/hyperlink" Target="https://www.dotandkey.com/cdn/shop/files/VitaminCSunscreenListing1-1_637b02a6-7537-475e-989f-bd472a2e415c.jpg?v=1778839085&amp;width=700" TargetMode="External"/><Relationship Id="rId193" Type="http://schemas.openxmlformats.org/officeDocument/2006/relationships/hyperlink" Target="https://celimax.us/cdn/shop/files/celimax-the-real-noni-hydra-firming-lotion-150ml-pdp1-828X828.jpg" TargetMode="External"/><Relationship Id="rId46" Type="http://schemas.openxmlformats.org/officeDocument/2006/relationships/hyperlink" Target="https://www.dotandkey.com/cdn/shop/files/1_7.jpg?v=1764061107&amp;width=700" TargetMode="External"/><Relationship Id="rId192" Type="http://schemas.openxmlformats.org/officeDocument/2006/relationships/hyperlink" Target="https://celimax.us/cdn/shop/files/sdaf.jpg?v=1737875148&amp;width=1500" TargetMode="External"/><Relationship Id="rId45" Type="http://schemas.openxmlformats.org/officeDocument/2006/relationships/hyperlink" Target="https://www.dotandkey.com/cdn/shop/files/1-72-hrs-gel---listing.jpg?v=1744369744&amp;width=700" TargetMode="External"/><Relationship Id="rId191" Type="http://schemas.openxmlformats.org/officeDocument/2006/relationships/hyperlink" Target="https://celimax.us/cdn/shop/files/celimax-serum-ampoule-the-real-noni-energy-ampoule-1234217388.jpg?v=1777022710&amp;width=1500" TargetMode="External"/><Relationship Id="rId48" Type="http://schemas.openxmlformats.org/officeDocument/2006/relationships/hyperlink" Target="https://www.dotandkey.com/cdn/shop/files/Artboard_1_f94f4456-d328-4271-ab7e-94bde8c9bbd3.jpg?v=1745323515&amp;width=700" TargetMode="External"/><Relationship Id="rId187" Type="http://schemas.openxmlformats.org/officeDocument/2006/relationships/hyperlink" Target="https://in.innisfree.com/cdn/shop/files/131174343.jpg?v=1707818600" TargetMode="External"/><Relationship Id="rId47" Type="http://schemas.openxmlformats.org/officeDocument/2006/relationships/hyperlink" Target="https://www.dotandkey.com/cdn/shop/files/1_224ccda5-d63e-416b-90a9-bb4ea3ee7990.jpg?v=1780055142&amp;width=700" TargetMode="External"/><Relationship Id="rId186" Type="http://schemas.openxmlformats.org/officeDocument/2006/relationships/hyperlink" Target="https://in.innisfree.com/cdn/shop/files/01.png?v=1693472271" TargetMode="External"/><Relationship Id="rId185" Type="http://schemas.openxmlformats.org/officeDocument/2006/relationships/hyperlink" Target="https://in.innisfree.com/cdn/shop/files/131174333.jpg?v=1693472264" TargetMode="External"/><Relationship Id="rId49" Type="http://schemas.openxmlformats.org/officeDocument/2006/relationships/hyperlink" Target="https://www.dotandkey.com/cdn/shop/files/1-1_2.jpg?v=1761888895&amp;width=700" TargetMode="External"/><Relationship Id="rId184" Type="http://schemas.openxmlformats.org/officeDocument/2006/relationships/hyperlink" Target="https://images-static.nykaa.com/media/catalog/product/a/9/a96a0408809612864732a_1.jpg" TargetMode="External"/><Relationship Id="rId189" Type="http://schemas.openxmlformats.org/officeDocument/2006/relationships/hyperlink" Target="https://images-static.nykaa.com/media/catalog/product/2/1/210d9568806173556632_r1.jpg" TargetMode="External"/><Relationship Id="rId188" Type="http://schemas.openxmlformats.org/officeDocument/2006/relationships/hyperlink" Target="https://in.innisfree.com/cdn/shop/files/131174342_e5ed64fc-d16d-47e0-bd70-6f984af99e4d.png?v=1699008291" TargetMode="External"/><Relationship Id="rId31" Type="http://schemas.openxmlformats.org/officeDocument/2006/relationships/hyperlink" Target="https://thedeconstruct.in/cdn/shop/files/Skin_Soothe_Moisturizer_-_1__Ceramide_0.2__Bisabolol.webp?v=1782482332&amp;width=1500" TargetMode="External"/><Relationship Id="rId30" Type="http://schemas.openxmlformats.org/officeDocument/2006/relationships/hyperlink" Target="https://innovist.com/cdn/shop/files/First_Image_Guides__3x_ba86737c-8cfd-48e7-b3cc-d5da74cbfda2.jpg?v=1756538344&amp;width=720" TargetMode="External"/><Relationship Id="rId33" Type="http://schemas.openxmlformats.org/officeDocument/2006/relationships/hyperlink" Target="https://thedeconstruct.in/cdn/shop/files/APP_listing.webp?v=1769876463&amp;width=416" TargetMode="External"/><Relationship Id="rId183" Type="http://schemas.openxmlformats.org/officeDocument/2006/relationships/hyperlink" Target="https://images-static.nykaa.com/media/catalog/product/6/7/67640498809612864725_1x.jpg" TargetMode="External"/><Relationship Id="rId32" Type="http://schemas.openxmlformats.org/officeDocument/2006/relationships/hyperlink" Target="https://thedeconstruct.in/cdn/shop/files/Fluid_Brightening_Sunscreen_SPF_50_PA_5__Niacinamide_In_Vivo_Tested_All_Skin_Types.webp?v=1782482332&amp;width=1500" TargetMode="External"/><Relationship Id="rId182" Type="http://schemas.openxmlformats.org/officeDocument/2006/relationships/hyperlink" Target="https://in.innisfree.com/cdn/shop/files/131174790_medium.jpg?v=1754914454" TargetMode="External"/><Relationship Id="rId35" Type="http://schemas.openxmlformats.org/officeDocument/2006/relationships/hyperlink" Target="https://thedeconstruct.in/cdn/shop/files/final-resized-imagesArtboard-25.webp?v=1779360190&amp;width=1500" TargetMode="External"/><Relationship Id="rId181" Type="http://schemas.openxmlformats.org/officeDocument/2006/relationships/hyperlink" Target="https://in.innisfree.com/cdn/shop/files/131174905_medium.jpg?v=1754914603" TargetMode="External"/><Relationship Id="rId34" Type="http://schemas.openxmlformats.org/officeDocument/2006/relationships/hyperlink" Target="https://thedeconstruct.in/cdn/shop/files/Salicylic_Acid_Body_Wash.webp?v=1782482331&amp;width=1500" TargetMode="External"/><Relationship Id="rId180" Type="http://schemas.openxmlformats.org/officeDocument/2006/relationships/hyperlink" Target="https://in.innisfree.com/cdn/shop/files/131174634_medium.jpg?v=1754914368" TargetMode="External"/><Relationship Id="rId37" Type="http://schemas.openxmlformats.org/officeDocument/2006/relationships/hyperlink" Target="https://www.dotandkey.com/cdn/shop/files/1-BRfacewash-Listing-175ml.jpg?v=1754918416&amp;width=700" TargetMode="External"/><Relationship Id="rId176" Type="http://schemas.openxmlformats.org/officeDocument/2006/relationships/hyperlink" Target="https://thefaceshop.in/cdn/shop/files/5_2_915dc06a-9925-4c3b-88bc-5e189d7c90cb.jpg?v=1765773662&amp;width=3840" TargetMode="External"/><Relationship Id="rId297" Type="http://schemas.openxmlformats.org/officeDocument/2006/relationships/hyperlink" Target="https://thefaceshop.in/cdn/shop/files/1080_9c23f067-734b-4fa0-8e98-820e822dcece.jpg?v=1781583244&amp;width=3840" TargetMode="External"/><Relationship Id="rId36" Type="http://schemas.openxmlformats.org/officeDocument/2006/relationships/hyperlink" Target="https://www.dotandkey.com/cdn/shop/files/175ml.jpg?v=1781243494&amp;width=700" TargetMode="External"/><Relationship Id="rId175" Type="http://schemas.openxmlformats.org/officeDocument/2006/relationships/hyperlink" Target="https://thefaceshop.in/cdn/shop/files/2_1_aa5e5baf-5ec5-446c-9fce-727342d481a2.jpg?v=1760592292&amp;width=1500" TargetMode="External"/><Relationship Id="rId296" Type="http://schemas.openxmlformats.org/officeDocument/2006/relationships/hyperlink" Target="https://images-static.nykaa.com/media/catalog/product/a/0/a0fda8c8806194022857_1.jpg" TargetMode="External"/><Relationship Id="rId39" Type="http://schemas.openxmlformats.org/officeDocument/2006/relationships/hyperlink" Target="https://www.dotandkey.com/cdn/shop/files/1-1_b4ae866f-e0a8-43d1-971f-1d143d76f01c.jpg?v=1761888942&amp;width=700" TargetMode="External"/><Relationship Id="rId174" Type="http://schemas.openxmlformats.org/officeDocument/2006/relationships/hyperlink" Target="https://thefaceshop.in/cdn/shop/files/1_78eccdbd-a3c9-4a18-917c-5c5a3bc282b2.jpg?v=1760596124&amp;width=3840" TargetMode="External"/><Relationship Id="rId295" Type="http://schemas.openxmlformats.org/officeDocument/2006/relationships/hyperlink" Target="https://thefaceshop.in/cdn/shop/files/3_f6ec9734-dc7f-415d-ac92-085505613658.jpg?v=1745238457&amp;width=1500" TargetMode="External"/><Relationship Id="rId38" Type="http://schemas.openxmlformats.org/officeDocument/2006/relationships/hyperlink" Target="https://www.dotandkey.com/cdn/shop/files/1-2.jpg?v=1773549636&amp;width=700" TargetMode="External"/><Relationship Id="rId173" Type="http://schemas.openxmlformats.org/officeDocument/2006/relationships/hyperlink" Target="https://thefaceshop.in/cdn/shop/files/2_96feab55-a209-4153-a18e-e36d6c4030f7.jpg?v=1760522281&amp;width=3840" TargetMode="External"/><Relationship Id="rId294" Type="http://schemas.openxmlformats.org/officeDocument/2006/relationships/hyperlink" Target="https://www.skin1004.com/cdn/shop/products/skin1004-mask-pad-hyalu-cica-sleeping-pack-38642854985974.png?v=1677149605" TargetMode="External"/><Relationship Id="rId179" Type="http://schemas.openxmlformats.org/officeDocument/2006/relationships/hyperlink" Target="https://in.innisfree.com/cdn/shop/files/131174323_medium.jpg?v=1754914068" TargetMode="External"/><Relationship Id="rId178" Type="http://schemas.openxmlformats.org/officeDocument/2006/relationships/hyperlink" Target="https://cdn.tirabeauty.com/v2/billowing-snowflake-434234/tira-p/wrkr/products/pictures/item/free/resize-w%3A540/4Tqoo_OpTv-1128569_5.jpg" TargetMode="External"/><Relationship Id="rId299" Type="http://schemas.openxmlformats.org/officeDocument/2006/relationships/hyperlink" Target="https://thefaceshop.in/cdn/shop/files/3_a8a448a4-01cc-4570-9bc3-4a88af1c8870.jpg?v=1745237610&amp;width=1500" TargetMode="External"/><Relationship Id="rId177" Type="http://schemas.openxmlformats.org/officeDocument/2006/relationships/hyperlink" Target="https://images-static.nykaa.com/media/catalog/product/8/8/8806182552373c.jpg" TargetMode="External"/><Relationship Id="rId298" Type="http://schemas.openxmlformats.org/officeDocument/2006/relationships/hyperlink" Target="https://thefaceshop.in/cdn/shop/files/3_d437d76b-c5a1-4d8f-a958-ebf3fbb52011.jpg?v=1773988751&amp;width=1500" TargetMode="External"/><Relationship Id="rId20" Type="http://schemas.openxmlformats.org/officeDocument/2006/relationships/hyperlink" Target="https://thedeconstruct.in/cdn/shop/files/03_bf96163a-72e4-470f-976c-faca88a4d4a7.webp?v=1782194592&amp;width=1500" TargetMode="External"/><Relationship Id="rId22" Type="http://schemas.openxmlformats.org/officeDocument/2006/relationships/hyperlink" Target="https://thedeconstruct.in/cdn/shop/files/Slide-5_61afb350-5a03-47a5-b98d-b1d8624d1836.webp?v=1769877852&amp;width=1500" TargetMode="External"/><Relationship Id="rId21" Type="http://schemas.openxmlformats.org/officeDocument/2006/relationships/hyperlink" Target="https://thedeconstruct.in/cdn/shop/files/2-hyaluronic-acid-serum-with-1-niacinamide-oil-free-hydrating-face-serum-622683.webp?v=1769876211&amp;width=1500" TargetMode="External"/><Relationship Id="rId24" Type="http://schemas.openxmlformats.org/officeDocument/2006/relationships/hyperlink" Target="https://thedeconstruct.in/cdn/shop/files/invisible-sunscreen-spf-50-pa-470548.webp?v=1769879000&amp;width=1500" TargetMode="External"/><Relationship Id="rId23" Type="http://schemas.openxmlformats.org/officeDocument/2006/relationships/hyperlink" Target="https://thedeconstruct.in/cdn/shop/files/brightening-moisturizer-5-niacinamide-1-kojic-acid-618840.webp?v=1769875011&amp;width=1500" TargetMode="External"/><Relationship Id="rId26" Type="http://schemas.openxmlformats.org/officeDocument/2006/relationships/hyperlink" Target="https://innovist.com/cdn/shop/files/2_236-1.jpg?v=1756726257&amp;width=720" TargetMode="External"/><Relationship Id="rId25" Type="http://schemas.openxmlformats.org/officeDocument/2006/relationships/hyperlink" Target="https://m.media-amazon.com/images/I/61L07ifCzHL._SL1000_.jpg" TargetMode="External"/><Relationship Id="rId28" Type="http://schemas.openxmlformats.org/officeDocument/2006/relationships/hyperlink" Target="https://innovist.com/cdn/shop/files/Artboard_1_copy_3_3x_a2025daf-bdfd-40bd-82dd-fd67e7684d0e.jpg?v=1756539858&amp;width=720" TargetMode="External"/><Relationship Id="rId27" Type="http://schemas.openxmlformats.org/officeDocument/2006/relationships/hyperlink" Target="https://innovist.com/cdn/shop/files/Brightening_Face_Serum_910301d7-de8c-44b0-8c15-f0b82de3fd64.jpg?v=1772107374&amp;width=1800" TargetMode="External"/><Relationship Id="rId29" Type="http://schemas.openxmlformats.org/officeDocument/2006/relationships/hyperlink" Target="https://innovist.com/cdn/shop/files/Artboard2_69.jpg?v=1764073787&amp;width=720" TargetMode="External"/><Relationship Id="rId11" Type="http://schemas.openxmlformats.org/officeDocument/2006/relationships/hyperlink" Target="https://cdn.tirabeauty.com/v2/billowing-snowflake-434234/tira-p/wrkr/products/pictures/item/free/resize-w:2200/1083450/reSsozHqxt-8906087778608_1.jpg" TargetMode="External"/><Relationship Id="rId10" Type="http://schemas.openxmlformats.org/officeDocument/2006/relationships/hyperlink" Target="https://thedermaco.com/cdn/shop/files/1_5_3.jpg?v=1758286787&amp;width=990" TargetMode="External"/><Relationship Id="rId13" Type="http://schemas.openxmlformats.org/officeDocument/2006/relationships/hyperlink" Target="https://thedeconstruct.in/cdn/shop/files/final-resized-imagesArtboard-10.webp?v=1779362110&amp;width=1100" TargetMode="External"/><Relationship Id="rId12" Type="http://schemas.openxmlformats.org/officeDocument/2006/relationships/hyperlink" Target="https://thedermaco.com/cdn/shop/files/1st_image.jpg?v=1758286477&amp;width=990" TargetMode="External"/><Relationship Id="rId15" Type="http://schemas.openxmlformats.org/officeDocument/2006/relationships/hyperlink" Target="https://thedeconstruct.in/cdn/shop/files/clearing.webp?v=1780471648&amp;width=1500" TargetMode="External"/><Relationship Id="rId198" Type="http://schemas.openxmlformats.org/officeDocument/2006/relationships/hyperlink" Target="https://celimax.us/cdn/shop/files/celimax-cleanser-150ml-derma-nature-fresh-blackhead-jojoba-cleansing-oil-1234217389.jpg?v=1777022649&amp;width=1500" TargetMode="External"/><Relationship Id="rId14" Type="http://schemas.openxmlformats.org/officeDocument/2006/relationships/hyperlink" Target="https://thedeconstruct.in/cdn/shop/files/04_70eec55b-7d46-43a7-a621-e514d9f91eda.webp?v=1782463422&amp;width=1500" TargetMode="External"/><Relationship Id="rId197" Type="http://schemas.openxmlformats.org/officeDocument/2006/relationships/hyperlink" Target="https://celimax.us/cdn/shop/files/celimax-celimax-ji-woo-gae-cica-bha-blemish-toner-pad-36500319010966.jpg?v=1721669399&amp;width=828" TargetMode="External"/><Relationship Id="rId17" Type="http://schemas.openxmlformats.org/officeDocument/2006/relationships/hyperlink" Target="https://thedeconstruct.in/cdn/shop/files/03_db9dba79-1173-4f57-8ec5-99d7626a1d73.webp?v=1782463444&amp;width=1500" TargetMode="External"/><Relationship Id="rId196" Type="http://schemas.openxmlformats.org/officeDocument/2006/relationships/hyperlink" Target="https://celimax.us/cdn/shop/files/celimax-exfoliant-60pcs-125ml-celimax-ji-woo-gae-heartleaf-bha-peeling-pad-36500726710422.jpg?v=1721669406&amp;width=828" TargetMode="External"/><Relationship Id="rId16" Type="http://schemas.openxmlformats.org/officeDocument/2006/relationships/hyperlink" Target="https://thedeconstruct.in/cdn/shop/files/03_bf96163a-72e4-470f-976c-faca88a4d4a7.webp?v=1782194592&amp;width=1500" TargetMode="External"/><Relationship Id="rId195" Type="http://schemas.openxmlformats.org/officeDocument/2006/relationships/hyperlink" Target="https://celimax.us/cdn/shop/files/celimax-30ml-celimax-dual-barrier-boosting-serum-36500661469334.jpg?v=1721669583&amp;width=828" TargetMode="External"/><Relationship Id="rId19" Type="http://schemas.openxmlformats.org/officeDocument/2006/relationships/hyperlink" Target="https://thedeconstruct.in/cdn/shop/files/05_10c3f335-f9f2-4e32-bfba-42b51675f236.webp?v=1779963886&amp;width=1500" TargetMode="External"/><Relationship Id="rId18" Type="http://schemas.openxmlformats.org/officeDocument/2006/relationships/hyperlink" Target="https://thedeconstruct.in/cdn/shop/files/NMF_50_gm_-_BeigeArtboard_11.webp?v=1769873384&amp;width=1500" TargetMode="External"/><Relationship Id="rId199" Type="http://schemas.openxmlformats.org/officeDocument/2006/relationships/hyperlink" Target="https://celimax.us/cdn/shop/products/celimax-moisturizer-primer-the-real-noni-energy-repair-cream-50ml-20807340753046.jpg?v=1721110870&amp;width=828" TargetMode="External"/><Relationship Id="rId84" Type="http://schemas.openxmlformats.org/officeDocument/2006/relationships/hyperlink" Target="https://aqualogica.in/cdn/shop/files/shoot_29167885-caa0-4766-8586-e32f3692319b.jpg?v=1730720056&amp;width=300" TargetMode="External"/><Relationship Id="rId83" Type="http://schemas.openxmlformats.org/officeDocument/2006/relationships/hyperlink" Target="https://aqualogica.in/cdn/shop/files/Photoshoot_9bf941f9-b04e-4cb2-91cd-a8134e77e64e.jpg?v=1747050989&amp;width=300" TargetMode="External"/><Relationship Id="rId86" Type="http://schemas.openxmlformats.org/officeDocument/2006/relationships/hyperlink" Target="https://www.drsheths.com/cdn/shop/files/Shoot_1_162ce95f-e587-4da5-a984-1cfe65a3c660.jpg?v=1771323399&amp;width=800" TargetMode="External"/><Relationship Id="rId85" Type="http://schemas.openxmlformats.org/officeDocument/2006/relationships/hyperlink" Target="https://www.drsheths.com/cdn/shop/files/1_67103e0e-11a5-4dcf-8c94-0a486ec46003.jpg?v=1759832627&amp;width=800" TargetMode="External"/><Relationship Id="rId88" Type="http://schemas.openxmlformats.org/officeDocument/2006/relationships/hyperlink" Target="https://www.drsheths.com/cdn/shop/products/13.jpg?v=1681463123&amp;width=800" TargetMode="External"/><Relationship Id="rId150" Type="http://schemas.openxmlformats.org/officeDocument/2006/relationships/hyperlink" Target="https://anua.com/cdn/shop/files/Group_909.png?v=1781165799" TargetMode="External"/><Relationship Id="rId271" Type="http://schemas.openxmlformats.org/officeDocument/2006/relationships/hyperlink" Target="https://i.mscwlns.co/media/misc/pdp_rcl/hyaluronic-acid-body-wash/Product_Hero%20copy_klci48.jpg?tr=w-1080%2Cc-at_max" TargetMode="External"/><Relationship Id="rId87" Type="http://schemas.openxmlformats.org/officeDocument/2006/relationships/hyperlink" Target="https://www.drsheths.com/cdn/shop/files/shoot_b0ae5c13-dfb7-4d2f-a594-251e9d0823e2.jpg?v=1745474405&amp;width=1200" TargetMode="External"/><Relationship Id="rId270" Type="http://schemas.openxmlformats.org/officeDocument/2006/relationships/hyperlink" Target="https://i.mscwlns.co/media/misc/pdp_rcl/1-salicylic-acid-body-wash/250ml%20-%20Hero_iihi7g.jpg?tr=w-1080%2Cc-at_max" TargetMode="External"/><Relationship Id="rId89" Type="http://schemas.openxmlformats.org/officeDocument/2006/relationships/hyperlink" Target="https://www.drsheths.com/cdn/shop/files/29.jpg?v=1689414858&amp;width=1000" TargetMode="External"/><Relationship Id="rId80" Type="http://schemas.openxmlformats.org/officeDocument/2006/relationships/hyperlink" Target="https://aqualogica.in/cdn/shop/files/Shoot_64edc2f4-9053-4345-80eb-3bf0830f4792.jpg?v=1714456556&amp;width=1200" TargetMode="External"/><Relationship Id="rId82" Type="http://schemas.openxmlformats.org/officeDocument/2006/relationships/hyperlink" Target="https://aqualogica.in/cdn/shop/files/FOPwhiteBG_6b2fdef9-dd59-44b6-9695-2cc87e2e139b.jpg?v=1777971908&amp;width=1500" TargetMode="External"/><Relationship Id="rId81" Type="http://schemas.openxmlformats.org/officeDocument/2006/relationships/hyperlink" Target="https://aqualogica.in/cdn/shop/files/COLOUREDBG.jpg?v=1719215342&amp;width=300" TargetMode="External"/><Relationship Id="rId1" Type="http://schemas.openxmlformats.org/officeDocument/2006/relationships/hyperlink" Target="https://global.beminimalist.co/cdn/shop/products/Aquaporin5Cleanser1200-3.png?v=1670231017&amp;width=480" TargetMode="External"/><Relationship Id="rId2" Type="http://schemas.openxmlformats.org/officeDocument/2006/relationships/hyperlink" Target="https://cdn.tirabeauty.com/v2/billowing-snowflake-434234/tira-p/wrkr/products/pictures/item/free/resize-w:2200/1090195/y6UtyhWLn1-1090195_1.jpg" TargetMode="External"/><Relationship Id="rId3" Type="http://schemas.openxmlformats.org/officeDocument/2006/relationships/hyperlink" Target="https://sfycdn.speedsize.com/56385b25-4e17-4a9a-9bec-c421c18686fb/beminimalist.co/cdn/shop/files/Ceramide_Madecassoside.png?crop=center&amp;height=1260&amp;v=1721398128&amp;width=840" TargetMode="External"/><Relationship Id="rId149" Type="http://schemas.openxmlformats.org/officeDocument/2006/relationships/hyperlink" Target="https://www.fixderma.com/cdn/shop/files/clovera_cica_cream.webp?v=1756374329" TargetMode="External"/><Relationship Id="rId4" Type="http://schemas.openxmlformats.org/officeDocument/2006/relationships/hyperlink" Target="https://sfycdn.speedsize.com/56385b25-4e17-4a9a-9bec-c421c18686fb/beminimalist.co/cdn/shop/files/SaliBodyWashNew.jpg?crop=center&amp;height=1260&amp;v=1747392983&amp;width=840" TargetMode="External"/><Relationship Id="rId148" Type="http://schemas.openxmlformats.org/officeDocument/2006/relationships/hyperlink" Target="https://m.media-amazon.com/images/I/51S9HCXKsBL._SL1080_.jpg" TargetMode="External"/><Relationship Id="rId269" Type="http://schemas.openxmlformats.org/officeDocument/2006/relationships/hyperlink" Target="https://www.thesassbar.com/cdn/shop/files/13.jpg?v=1729443179&amp;width=2000" TargetMode="External"/><Relationship Id="rId9" Type="http://schemas.openxmlformats.org/officeDocument/2006/relationships/hyperlink" Target="https://thedermaco.com/cdn/shop/files/2_PDP_516d5d09-bf60-4181-9611-34bbcb9c4e81.jpg?v=1782729928&amp;width=990" TargetMode="External"/><Relationship Id="rId143" Type="http://schemas.openxmlformats.org/officeDocument/2006/relationships/hyperlink" Target="https://www.fixderma.com/cdn/shop/files/Dewrav_Moisturizing_Cream_50g.webp?v=1757915814" TargetMode="External"/><Relationship Id="rId264" Type="http://schemas.openxmlformats.org/officeDocument/2006/relationships/hyperlink" Target="https://innovist.com/cdn/shop/files/CAP---White-Bg-1st-ImageHPS-_-SS-copy-8.jpg?v=1756538281&amp;width=720" TargetMode="External"/><Relationship Id="rId142" Type="http://schemas.openxmlformats.org/officeDocument/2006/relationships/hyperlink" Target="https://fclskincare.com/cdn/shop/files/C_Scape_Cleanser_1_ee81fbee-3fd7-475f-a6af-264e9bb0e9b1.png?v=1757667918&amp;width=1946" TargetMode="External"/><Relationship Id="rId263" Type="http://schemas.openxmlformats.org/officeDocument/2006/relationships/hyperlink" Target="https://i.mscwlns.co/media/misc/pdp_rcl/5-lactic-acid-body-lotion/IntroPage_ep3sog.jpg?tr=w-1080%2Cc-at_max" TargetMode="External"/><Relationship Id="rId141" Type="http://schemas.openxmlformats.org/officeDocument/2006/relationships/hyperlink" Target="https://www.fixderma.com/cdn/shop/files/SKARFIX_TX_FACE_CLEANSER.webp?v=1756380463" TargetMode="External"/><Relationship Id="rId262" Type="http://schemas.openxmlformats.org/officeDocument/2006/relationships/hyperlink" Target="https://limese.com/cdn/shop/files/CicaSoothingMask_1_8ad18d3b-19f4-452f-bf17-1e7030db4986_1800x1800.jpg?v=1730092500" TargetMode="External"/><Relationship Id="rId140" Type="http://schemas.openxmlformats.org/officeDocument/2006/relationships/hyperlink" Target="https://www.fixderma.com/cdn/shop/files/Strawberry_Face_Wash.webp?v=1758027891" TargetMode="External"/><Relationship Id="rId261" Type="http://schemas.openxmlformats.org/officeDocument/2006/relationships/hyperlink" Target="https://limese.com/cdn/shop/files/RetinolSerum_1_eb63828b-fb3f-439f-bee4-c262f2621a7d_1800x1800.jpg?v=1730093850" TargetMode="External"/><Relationship Id="rId5" Type="http://schemas.openxmlformats.org/officeDocument/2006/relationships/hyperlink" Target="https://m.media-amazon.com/images/I/61adfawSHkL._SL1500_.jpg" TargetMode="External"/><Relationship Id="rId147" Type="http://schemas.openxmlformats.org/officeDocument/2006/relationships/hyperlink" Target="https://www.fixderma.com/cdn/shop/files/Shadow_Light_Fluid_Sunscreen.webp?v=1780913303" TargetMode="External"/><Relationship Id="rId268" Type="http://schemas.openxmlformats.org/officeDocument/2006/relationships/hyperlink" Target="https://www.thesassbar.com/cdn/shop/files/PRA_0031copy.jpg?v=1705396879" TargetMode="External"/><Relationship Id="rId6" Type="http://schemas.openxmlformats.org/officeDocument/2006/relationships/hyperlink" Target="https://sfycdn.speedsize.com/56385b25-4e17-4a9a-9bec-c421c18686fb/beminimalist.co/cdn/shop/files/GlycolicNew.png?crop=center&amp;height=1260&amp;v=1721398128&amp;width=840" TargetMode="External"/><Relationship Id="rId146" Type="http://schemas.openxmlformats.org/officeDocument/2006/relationships/hyperlink" Target="https://www.fixderma.com/cdn/shop/files/FDSKARFIXTXCREAM15GM34925.webp?v=1756378625" TargetMode="External"/><Relationship Id="rId267" Type="http://schemas.openxmlformats.org/officeDocument/2006/relationships/hyperlink" Target="https://www.thesassbar.com/cdn/shop/files/2_0395e2e8-7bd0-4529-b95e-8dc9a4a1aa8c.jpg?v=1770832500&amp;width=2000" TargetMode="External"/><Relationship Id="rId7" Type="http://schemas.openxmlformats.org/officeDocument/2006/relationships/hyperlink" Target="https://sfycdn.speedsize.com/56385b25-4e17-4a9a-9bec-c421c18686fb/beminimalist.co/cdn/shop/products/SPF30BodyLotion1100-1.png?crop=center&amp;height=1260&amp;v=1649353641&amp;width=840" TargetMode="External"/><Relationship Id="rId145" Type="http://schemas.openxmlformats.org/officeDocument/2006/relationships/hyperlink" Target="https://www.fixderma.com/cdn/shop/files/FDVITAMINC17SERUM30GM39845.webp?v=1756381605" TargetMode="External"/><Relationship Id="rId266" Type="http://schemas.openxmlformats.org/officeDocument/2006/relationships/hyperlink" Target="https://www.thesassbar.com/cdn/shop/files/2_26742f51-b9b7-4172-8113-1e086dadd53b.jpg?v=1770831993&amp;width=2000" TargetMode="External"/><Relationship Id="rId8" Type="http://schemas.openxmlformats.org/officeDocument/2006/relationships/hyperlink" Target="https://thedermaco.com/cdn/shop/files/1-niacinamide_gentle_skin_cleanser_for_sensitive_dry_normal_skin_79a6002c-a0fa-47c4-bed1-3aa6c41f48e7.jpg?v=1758286821&amp;width=990" TargetMode="External"/><Relationship Id="rId144" Type="http://schemas.openxmlformats.org/officeDocument/2006/relationships/hyperlink" Target="https://www.fixderma.com/cdn/shop/files/brightening_oil_free_face_moisturizer_front_box.webp?v=1770031890" TargetMode="External"/><Relationship Id="rId265" Type="http://schemas.openxmlformats.org/officeDocument/2006/relationships/hyperlink" Target="https://innovist.com/cdn/shop/files/Artboard1_6.jpg?v=1772187236&amp;width=720" TargetMode="External"/><Relationship Id="rId73" Type="http://schemas.openxmlformats.org/officeDocument/2006/relationships/hyperlink" Target="https://aqualogica.in/cdn/shop/products/02290b-2ab6-46-b3ce-22c58aabad__20_a.jpg?v=1701345778&amp;width=300" TargetMode="External"/><Relationship Id="rId72" Type="http://schemas.openxmlformats.org/officeDocument/2006/relationships/hyperlink" Target="https://aqualogica.in/cdn/shop/files/7_9fe53e0d-c9a7-40bb-a383-31e0613ea814.jpg?v=1720416818&amp;width=1200" TargetMode="External"/><Relationship Id="rId75" Type="http://schemas.openxmlformats.org/officeDocument/2006/relationships/hyperlink" Target="https://aqualogica.in/cdn/shop/products/46a72227-5da8-4ae6-86a8-5d82d045555__20_a.jpg?v=1701345884&amp;width=300" TargetMode="External"/><Relationship Id="rId74" Type="http://schemas.openxmlformats.org/officeDocument/2006/relationships/hyperlink" Target="https://aqualogica.in/cdn/shop/files/FOP_94895e81-60b1-42bc-9029-9252b2b5d75b.jpg?v=1775046402&amp;width=300" TargetMode="External"/><Relationship Id="rId77" Type="http://schemas.openxmlformats.org/officeDocument/2006/relationships/hyperlink" Target="https://aqualogica.in/cdn/shop/files/shoot_36865947-ed18-4078-a052-39278e84825c.jpg?v=1723098766&amp;width=300" TargetMode="External"/><Relationship Id="rId260" Type="http://schemas.openxmlformats.org/officeDocument/2006/relationships/hyperlink" Target="https://www.clinikally.com/cdn/shop/products/Benzacgelwash100ml.jpg?v=1677840273&amp;width=1000" TargetMode="External"/><Relationship Id="rId76" Type="http://schemas.openxmlformats.org/officeDocument/2006/relationships/hyperlink" Target="https://aqualogica.in/cdn/shop/products/glow_mousse_night_gel_01_1.jpg?v=1701692646&amp;width=800" TargetMode="External"/><Relationship Id="rId79" Type="http://schemas.openxmlformats.org/officeDocument/2006/relationships/hyperlink" Target="https://aqualogica.in/cdn/shop/files/Photoshoot_1dbf28c5-ba93-4b9f-a4cb-3d6db7037fa7.jpg?v=1728020726&amp;width=300" TargetMode="External"/><Relationship Id="rId78" Type="http://schemas.openxmlformats.org/officeDocument/2006/relationships/hyperlink" Target="https://aqualogica.in/cdn/shop/files/Photoshoot.jpg?v=1727948221&amp;width=300" TargetMode="External"/><Relationship Id="rId71" Type="http://schemas.openxmlformats.org/officeDocument/2006/relationships/hyperlink" Target="https://aqualogica.in/cdn/shop/products/hydrate_refresh_toning_mist_100_ml.jpg?v=1701692124&amp;width=2850" TargetMode="External"/><Relationship Id="rId70" Type="http://schemas.openxmlformats.org/officeDocument/2006/relationships/hyperlink" Target="https://aqualogica.in/cdn/shop/files/shoot_e4d357f4-6628-4911-a7b8-589da9c91e4c.jpg?v=1710915543&amp;width=1200" TargetMode="External"/><Relationship Id="rId139" Type="http://schemas.openxmlformats.org/officeDocument/2006/relationships/hyperlink" Target="https://www.fixderma.com/cdn/shop/files/FDSHADOW50PLUSGEL75ML.webp?v=1756357335" TargetMode="External"/><Relationship Id="rId138" Type="http://schemas.openxmlformats.org/officeDocument/2006/relationships/hyperlink" Target="https://www.fixderma.com/cdn/shop/files/FDSPF50TINTED30GM38251.webp?v=1756381464" TargetMode="External"/><Relationship Id="rId259" Type="http://schemas.openxmlformats.org/officeDocument/2006/relationships/hyperlink" Target="https://limese.com/cdn/shop/files/GlycolicToner_1_f27a92aa-b6af-43c8-bcec-57be6c7e1eb2_1800x1800.jpg?v=1730093254" TargetMode="External"/><Relationship Id="rId137" Type="http://schemas.openxmlformats.org/officeDocument/2006/relationships/hyperlink" Target="https://www.fixderma.com/cdn/shop/files/Fidelia_Nourishing_Body_Lotion_100_ml.webp?v=1758110072" TargetMode="External"/><Relationship Id="rId258" Type="http://schemas.openxmlformats.org/officeDocument/2006/relationships/hyperlink" Target="https://limese.com/cdn/shop/files/ExfoliatingFaceSerum_1_c7860130-3d5c-4bfb-bf5a-b3e2985e5855_1800x1800.jpg?v=1730093127" TargetMode="External"/><Relationship Id="rId132" Type="http://schemas.openxmlformats.org/officeDocument/2006/relationships/hyperlink" Target="https://www.fixderma.com/cdn/shop/files/Dewrav_deep_exfoliating_body_lotion_tube.webp?v=1767344796" TargetMode="External"/><Relationship Id="rId253" Type="http://schemas.openxmlformats.org/officeDocument/2006/relationships/hyperlink" Target="https://cdn01.pharmeasy.in/dam/productsnowatermark/018915/aziderm-20-tube-of-15gm-cream-front-2-1756894133-non-watermarked.jpg?dim=320x320&amp;dpr=1&amp;q=100" TargetMode="External"/><Relationship Id="rId374" Type="http://schemas.openxmlformats.org/officeDocument/2006/relationships/hyperlink" Target="https://cdn.tirabeauty.com/v2/billowing-snowflake-434234/tira-p/wrkr/products/pictures/item/free/resize-w%3A750/1149664/vYyHc_sI-5-1149664_1.jpg" TargetMode="External"/><Relationship Id="rId131" Type="http://schemas.openxmlformats.org/officeDocument/2006/relationships/hyperlink" Target="https://www.fixderma.com/cdn/shop/files/brightening_body_lotion.webp?v=1770033372" TargetMode="External"/><Relationship Id="rId252" Type="http://schemas.openxmlformats.org/officeDocument/2006/relationships/hyperlink" Target="https://m.media-amazon.com/images/I/61RXS2LhV2L._SL1500_.jpg" TargetMode="External"/><Relationship Id="rId373" Type="http://schemas.openxmlformats.org/officeDocument/2006/relationships/hyperlink" Target="https://cdn.tirabeauty.com/v2/billowing-snowflake-434234/tira-p/wrkr/products/pictures/item/free/resize-w%3A750/IhWhPW1sRq-1123620_1.jpg" TargetMode="External"/><Relationship Id="rId130" Type="http://schemas.openxmlformats.org/officeDocument/2006/relationships/hyperlink" Target="https://www.fixderma.com/cdn/shop/files/Dewrav_Deep_Hydration_Body_Lotion.webp?v=1770034141" TargetMode="External"/><Relationship Id="rId251" Type="http://schemas.openxmlformats.org/officeDocument/2006/relationships/hyperlink" Target="https://cdn01.pharmeasy.in/dam/productsnowatermark/329894/demelan-tube-of-20gm-cream-box-front-1-1773157357-non-watermark.jpg?dim=320x320&amp;dpr=1&amp;q=100" TargetMode="External"/><Relationship Id="rId372" Type="http://schemas.openxmlformats.org/officeDocument/2006/relationships/hyperlink" Target="https://cdn.tirabeauty.com/v2/billowing-snowflake-434234/tira-p/wrkr/products/pictures/item/free/resize-w%3A750/14qTb7bR9I-1157496_1.jpg" TargetMode="External"/><Relationship Id="rId250" Type="http://schemas.openxmlformats.org/officeDocument/2006/relationships/hyperlink" Target="https://cdn01.pharmeasy.in/dam/productsnowatermark/246333/kojivit-plus-advanced-tube-of-15gm-gel-box-front-1-1756884866-non-watermarked.jpg?dim=320x320&amp;dpr=1&amp;q=100" TargetMode="External"/><Relationship Id="rId371" Type="http://schemas.openxmlformats.org/officeDocument/2006/relationships/hyperlink" Target="https://cdn.tirabeauty.com/v2/billowing-snowflake-434234/tira-p/wrkr/products/pictures/item/free/resize-w%3A750/3YUMmC8Mk-1199105_1.jpg" TargetMode="External"/><Relationship Id="rId136" Type="http://schemas.openxmlformats.org/officeDocument/2006/relationships/hyperlink" Target="https://www.fixderma.com/cdn/shop/files/Fidelia_Hydrating_Body_Lotion.webp?v=1758027044" TargetMode="External"/><Relationship Id="rId257" Type="http://schemas.openxmlformats.org/officeDocument/2006/relationships/hyperlink" Target="https://limese.com/cdn/shop/files/IntensiveMoistureSerum_1_dc617f23-44bb-454f-a7d4-63873e6ba73c_1800x1800.jpg?v=1730093481" TargetMode="External"/><Relationship Id="rId135" Type="http://schemas.openxmlformats.org/officeDocument/2006/relationships/hyperlink" Target="https://www.fixderma.com/cdn/shop/files/gold-body-lotion_medium.jpg?v=1721023195" TargetMode="External"/><Relationship Id="rId256" Type="http://schemas.openxmlformats.org/officeDocument/2006/relationships/hyperlink" Target="https://thedermaco.com/cdn/shop/files/1st-image_2_6.jpg?v=1758286736&amp;width=1080" TargetMode="External"/><Relationship Id="rId377" Type="http://schemas.openxmlformats.org/officeDocument/2006/relationships/drawing" Target="../drawings/drawing1.xml"/><Relationship Id="rId134" Type="http://schemas.openxmlformats.org/officeDocument/2006/relationships/hyperlink" Target="https://www.fixderma.com/cdn/shop/files/FDNIGRIFIXROLLONOCEAN60ML90779.webp?v=1756363227" TargetMode="External"/><Relationship Id="rId255" Type="http://schemas.openxmlformats.org/officeDocument/2006/relationships/hyperlink" Target="https://thedermaco.com/cdn/shop/files/cica-glow-fs-2.jpg?v=1758286646&amp;width=1080" TargetMode="External"/><Relationship Id="rId376" Type="http://schemas.openxmlformats.org/officeDocument/2006/relationships/hyperlink" Target="https://cdn.tirabeauty.com/v2/billowing-snowflake-434234/tira-p/wrkr/products/pictures/item/free/resize-w%3A750/1166540/g_-PqWYkQp-1166540_1.jpg" TargetMode="External"/><Relationship Id="rId133" Type="http://schemas.openxmlformats.org/officeDocument/2006/relationships/hyperlink" Target="https://www.fixderma.com/cdn/shop/files/bum-body-cream-1.webp?v=1732705295" TargetMode="External"/><Relationship Id="rId254" Type="http://schemas.openxmlformats.org/officeDocument/2006/relationships/hyperlink" Target="https://images-1.eucerin.com/~/media/eucerin%20relaunch%20media/media-center-items/5/8/b/31c775884cd24d5ea395580fad180905-screen.jpg?db=web&amp;hash=878ffaf14c7c59996336f535a7d34fa4" TargetMode="External"/><Relationship Id="rId375" Type="http://schemas.openxmlformats.org/officeDocument/2006/relationships/hyperlink" Target="https://cdn.tirabeauty.com/v2/billowing-snowflake-434234/tira-p/wrkr/products/pictures/item/free/resize-w%3A750/PaDAOZRL8u-1182196_1.jpg" TargetMode="External"/><Relationship Id="rId62" Type="http://schemas.openxmlformats.org/officeDocument/2006/relationships/hyperlink" Target="https://aqualogica.in/cdn/shop/products/glow_-concentrate-face-serum.jpg?v=1702016651&amp;width=1200" TargetMode="External"/><Relationship Id="rId61" Type="http://schemas.openxmlformats.org/officeDocument/2006/relationships/hyperlink" Target="https://aqualogica.in/cdn/shop/files/2_e16adde4-f744-4b8f-a2ac-6631b07265e7.jpg?v=1701348747&amp;width=1000" TargetMode="External"/><Relationship Id="rId64" Type="http://schemas.openxmlformats.org/officeDocument/2006/relationships/hyperlink" Target="https://aqualogica.in/cdn/shop/files/1b_f8cb6cae-382a-4793-94f1-5f627f0dd73f.jpg?v=1719466573&amp;width=1200" TargetMode="External"/><Relationship Id="rId63" Type="http://schemas.openxmlformats.org/officeDocument/2006/relationships/hyperlink" Target="https://aqualogica.in/cdn/shop/products/acf8324d-2df9-450b-8c2-ed540076f60__20_a.jpg?v=1701346066&amp;width=2086" TargetMode="External"/><Relationship Id="rId66" Type="http://schemas.openxmlformats.org/officeDocument/2006/relationships/hyperlink" Target="https://aqualogica.in/cdn/shop/files/1_750c25f5-0610-41b9-be07-b8bb76cc3dd5.jpg?v=1719554320&amp;width=1200" TargetMode="External"/><Relationship Id="rId172" Type="http://schemas.openxmlformats.org/officeDocument/2006/relationships/hyperlink" Target="https://thefaceshop.in/cdn/shop/files/2_a02ceb82-72d0-43ed-b4ea-e58592471778.jpg?v=1774352004&amp;width=1500" TargetMode="External"/><Relationship Id="rId293" Type="http://schemas.openxmlformats.org/officeDocument/2006/relationships/hyperlink" Target="https://us.innisfree.com/cdn/shop/files/1-IF_V-CM_Packshot_2026_1080x1080_fd7e52ce-608a-49b9-a09b-62066dc4abd8.jpg?v=1776980885&amp;width=1080" TargetMode="External"/><Relationship Id="rId65" Type="http://schemas.openxmlformats.org/officeDocument/2006/relationships/hyperlink" Target="https://aqualogica.in/cdn/shop/products/d8a2e5ea-5bfd-4af4-86e-7cc09feb364a__20_a_b4df8b55-b871-4df7-8ed3-1adcc246be57.jpg?v=1701345962&amp;width=705" TargetMode="External"/><Relationship Id="rId171" Type="http://schemas.openxmlformats.org/officeDocument/2006/relationships/hyperlink" Target="https://thefaceshop.in/cdn/shop/files/1_2ce9db99-5f47-4305-9c8b-00f3eb8c4b61.jpg?v=1760591917&amp;width=1500" TargetMode="External"/><Relationship Id="rId292" Type="http://schemas.openxmlformats.org/officeDocument/2006/relationships/hyperlink" Target="https://thedermaco.com/cdn/shop/files/2_salicylic_acid_face_mask_usyznuzzbhoz6fbe.jpg?v=1758286533&amp;width=1200" TargetMode="External"/><Relationship Id="rId68" Type="http://schemas.openxmlformats.org/officeDocument/2006/relationships/hyperlink" Target="https://aqualogica.in/cdn/shop/files/Hydrate_-facewash.jpg?v=1709290628&amp;width=1200" TargetMode="External"/><Relationship Id="rId170" Type="http://schemas.openxmlformats.org/officeDocument/2006/relationships/hyperlink" Target="https://thefaceshop.in/cdn/shop/files/1_8456f122-ca7b-40c6-bd35-63d9b41c48db.jpg?v=1781692956&amp;width=1500" TargetMode="External"/><Relationship Id="rId291" Type="http://schemas.openxmlformats.org/officeDocument/2006/relationships/hyperlink" Target="https://theordinary.com/dw/image/v2/BFKJ_PRD/on/demandware.static/-/Sites-deciem-master/default/dwb391b95c/Images/products/The%20Ordinary/rdn-salicylic-acid-2pct-masque-50ml.png?sh=860&amp;sm=fit&amp;sw=860" TargetMode="External"/><Relationship Id="rId67" Type="http://schemas.openxmlformats.org/officeDocument/2006/relationships/hyperlink" Target="https://aqualogica.in/cdn/shop/files/2a.jpg?v=1702973615&amp;width=1200" TargetMode="External"/><Relationship Id="rId290" Type="http://schemas.openxmlformats.org/officeDocument/2006/relationships/hyperlink" Target="https://www.skin1004.com/cdn/shop/products/skin1004-mask-pad-madagascar-centella-watergel-sheet-ampoule-mask-36440531796214.jpg?v=1677149235" TargetMode="External"/><Relationship Id="rId60" Type="http://schemas.openxmlformats.org/officeDocument/2006/relationships/hyperlink" Target="https://www.dotandkey.com/cdn/shop/files/1-Deep-Pore-Cleanser_1.jpg?v=1705741985&amp;width=700" TargetMode="External"/><Relationship Id="rId165" Type="http://schemas.openxmlformats.org/officeDocument/2006/relationships/hyperlink" Target="https://thefaceshop.in/cdn/shop/files/1_45d3536e-45b9-403a-b226-90e09909daf9.jpg?v=1760510738&amp;width=1500" TargetMode="External"/><Relationship Id="rId286" Type="http://schemas.openxmlformats.org/officeDocument/2006/relationships/hyperlink" Target="https://thedermaco.com/cdn/shop/files/3_FOP_f8a230f4-58d5-4e93-ba77-6117a16b4347.jpg?v=1772447889&amp;width=1080" TargetMode="External"/><Relationship Id="rId69" Type="http://schemas.openxmlformats.org/officeDocument/2006/relationships/hyperlink" Target="https://aqualogica.in/cdn/shop/files/1_2e1f8699-985a-4264-9ebe-d63252fcfb91.jpg?v=1702031696&amp;width=1200" TargetMode="External"/><Relationship Id="rId164" Type="http://schemas.openxmlformats.org/officeDocument/2006/relationships/hyperlink" Target="https://anua.com/cdn/shop/files/anua-us-ampoule-serum-rice-ceramide-7-hydrating-barrier-serum-1239193730.jpg?v=1779178029&amp;width=2000" TargetMode="External"/><Relationship Id="rId285" Type="http://schemas.openxmlformats.org/officeDocument/2006/relationships/hyperlink" Target="https://www.cetaphil.in/dw/image/v2/BGGN_PRD/on/demandware.static/-/Sites-galderma-in-m-catalog/default/dw2803e62d/OSC%20Revive%20A%2B/OSC%20236ml/ATF/1.%20FoP.png?q=85&amp;sh=900&amp;sm=fit&amp;sw=900" TargetMode="External"/><Relationship Id="rId163" Type="http://schemas.openxmlformats.org/officeDocument/2006/relationships/hyperlink" Target="https://anua.com/cdn/shop/files/anua-us-moisturizer-3-ceramide-panthenol-moisture-barrier-cream-1239193739.jpg?v=1779177070&amp;width=2000" TargetMode="External"/><Relationship Id="rId284" Type="http://schemas.openxmlformats.org/officeDocument/2006/relationships/hyperlink" Target="https://cdn.tirabeauty.com/v2/billowing-snowflake-434234/tira-p/wrkr/products/pictures/item/free/resize-w%3A540/zgbipNsWuR-1124775_1.jpg" TargetMode="External"/><Relationship Id="rId162" Type="http://schemas.openxmlformats.org/officeDocument/2006/relationships/hyperlink" Target="https://anua.com/cdn/shop/files/anua-us-sunscreen-zero-cast-moisturizing-finish-sunscreen-1244398149.jpg?v=1781507109&amp;width=2000" TargetMode="External"/><Relationship Id="rId283" Type="http://schemas.openxmlformats.org/officeDocument/2006/relationships/hyperlink" Target="https://thedermaco.com/cdn/shop/files/1st_1_1.jpg?v=1758286570&amp;width=1080" TargetMode="External"/><Relationship Id="rId169" Type="http://schemas.openxmlformats.org/officeDocument/2006/relationships/hyperlink" Target="https://thefaceshop.in/cdn/shop/files/1_1131c206-edb4-4c8c-85ba-14e47759c8c1.jpg?v=1758870401&amp;width=1500" TargetMode="External"/><Relationship Id="rId168" Type="http://schemas.openxmlformats.org/officeDocument/2006/relationships/hyperlink" Target="https://thefaceshop.in/cdn/shop/files/1_e1f753a2-b048-44f9-8b64-574633099485.jpg?v=1759488346&amp;width=1500" TargetMode="External"/><Relationship Id="rId289" Type="http://schemas.openxmlformats.org/officeDocument/2006/relationships/hyperlink" Target="https://images-static.nykaa.com/media/catalog/product/e/2/e2449ddDOTKE00000393_01.jpg" TargetMode="External"/><Relationship Id="rId167" Type="http://schemas.openxmlformats.org/officeDocument/2006/relationships/hyperlink" Target="https://thefaceshop.in/cdn/shop/files/1_77548062-2d9a-4309-ba4a-f32748c3938c.jpg?v=1760521859&amp;width=1500" TargetMode="External"/><Relationship Id="rId288" Type="http://schemas.openxmlformats.org/officeDocument/2006/relationships/hyperlink" Target="https://cdn.tirabeauty.com/v2/billowing-snowflake-434234/tira-p/wrkr/products/pictures/item/free/resize-w%3A540/1090193/qGGMYv7iAy-1090193_1.jpg" TargetMode="External"/><Relationship Id="rId166" Type="http://schemas.openxmlformats.org/officeDocument/2006/relationships/hyperlink" Target="https://thefaceshop.in/cdn/shop/files/1_16a51294-1eeb-466c-88c0-870bb0d13be9.jpg?v=1760512625&amp;width=1500" TargetMode="External"/><Relationship Id="rId287" Type="http://schemas.openxmlformats.org/officeDocument/2006/relationships/hyperlink" Target="https://cdn.shopify.com/s/files/1/0609/6096/4855/files/HYDRATING_CLEANSER-01.jpg?quality=60&amp;v=1768983451&amp;width=1440" TargetMode="External"/><Relationship Id="rId51" Type="http://schemas.openxmlformats.org/officeDocument/2006/relationships/hyperlink" Target="https://www.dotandkey.com/cdn/shop/files/1c-25ml.jpg?v=1721026895" TargetMode="External"/><Relationship Id="rId50" Type="http://schemas.openxmlformats.org/officeDocument/2006/relationships/hyperlink" Target="https://www.dotandkey.com/cdn/shop/files/1-Pink-Clay-Mask.jpg?v=1727355949&amp;width=700" TargetMode="External"/><Relationship Id="rId53" Type="http://schemas.openxmlformats.org/officeDocument/2006/relationships/hyperlink" Target="https://www.dotandkey.com/cdn/shop/files/2_de4046ce-14f0-428d-9c30-5629ef752a60.jpg?v=1745240682&amp;width=700" TargetMode="External"/><Relationship Id="rId52" Type="http://schemas.openxmlformats.org/officeDocument/2006/relationships/hyperlink" Target="https://www.dotandkey.com/cdn/shop/files/Artboard1copy_c9675994-8c27-4894-9bea-a1955aaa404f.jpg?v=1754039836&amp;width=700" TargetMode="External"/><Relationship Id="rId55" Type="http://schemas.openxmlformats.org/officeDocument/2006/relationships/hyperlink" Target="https://www.dotandkey.com/cdn/shop/files/VitaminCSunscreenListing1-1_637b02a6-7537-475e-989f-bd472a2e415c.jpg?v=1778839085&amp;width=700" TargetMode="External"/><Relationship Id="rId161" Type="http://schemas.openxmlformats.org/officeDocument/2006/relationships/hyperlink" Target="https://anua.com/cdn/shop/files/anua-us-cleanser-heartleaf-pore-control-cleansing-oil-1239193742.jpg?v=1779181871&amp;width=2000" TargetMode="External"/><Relationship Id="rId282" Type="http://schemas.openxmlformats.org/officeDocument/2006/relationships/hyperlink" Target="https://www.simpleskincare.in/cdn/shop/files/27278-H_8909106061781_1080x1440.jpg?v=1769510079" TargetMode="External"/><Relationship Id="rId54" Type="http://schemas.openxmlformats.org/officeDocument/2006/relationships/hyperlink" Target="https://www.dotandkey.com/cdn/shop/files/2_d87d169d-7d1d-4dee-b038-a62057b8c62a.jpg?v=1770814208&amp;width=700" TargetMode="External"/><Relationship Id="rId160" Type="http://schemas.openxmlformats.org/officeDocument/2006/relationships/hyperlink" Target="https://anua.com/cdn/shop/files/anua-global-cleanser-heartleaf-lha-moisture-peeling-gel-1239193740.jpg?v=1779177731&amp;width=2000" TargetMode="External"/><Relationship Id="rId281" Type="http://schemas.openxmlformats.org/officeDocument/2006/relationships/hyperlink" Target="https://cdn.shopify.com/s/files/1/0609/6096/4855/files/FXN-OAFW100_71.jpg?quality=60&amp;v=1777364507&amp;width=2048" TargetMode="External"/><Relationship Id="rId57" Type="http://schemas.openxmlformats.org/officeDocument/2006/relationships/hyperlink" Target="https://www.dotandkey.com/cdn/shop/files/1-1_cc24a602-1169-487d-8419-5681659434b2.jpg?v=1757933155&amp;width=700" TargetMode="External"/><Relationship Id="rId280" Type="http://schemas.openxmlformats.org/officeDocument/2006/relationships/hyperlink" Target="https://thedermaco.com/cdn/shop/files/pdp_2_salicylic_fw.jpg?v=1758287053&amp;width=1080" TargetMode="External"/><Relationship Id="rId56" Type="http://schemas.openxmlformats.org/officeDocument/2006/relationships/hyperlink" Target="https://www.dotandkey.com/cdn/shop/files/2_ac762ff8-509d-419e-b13d-84b6980bcb3d.jpg?v=1770964873&amp;width=700" TargetMode="External"/><Relationship Id="rId159" Type="http://schemas.openxmlformats.org/officeDocument/2006/relationships/hyperlink" Target="https://anua.com/cdn/shop/files/anua-us-moisturizer-peach-77-niacin-conditioning-milk-1239193729.jpg?v=1779177442&amp;width=2000" TargetMode="External"/><Relationship Id="rId59" Type="http://schemas.openxmlformats.org/officeDocument/2006/relationships/hyperlink" Target="https://www.dotandkey.com/cdn/shop/files/1a_055631d9-8489-46d1-bddf-bd21e2b6e9aa.jpg?v=1771219495&amp;width=700" TargetMode="External"/><Relationship Id="rId154" Type="http://schemas.openxmlformats.org/officeDocument/2006/relationships/hyperlink" Target="https://anua.com/cdn/shop/files/anua-global-ampoule-serum-niacinamide-10-txa-4-serum-for-brightening-and-dark-spots-1239193722.jpg?v=1779177130&amp;width=2000" TargetMode="External"/><Relationship Id="rId275" Type="http://schemas.openxmlformats.org/officeDocument/2006/relationships/hyperlink" Target="https://www.cetaphil.in/dw/image/v2/BGGN_PRD/on/demandware.static/-/Sites-galderma-in-m-catalog/default/dw311450bb/GSC%20Revive%20A%2B/236%20ml/ATF/1.FoP-236.png?q=85&amp;sh=900&amp;sm=fit&amp;sw=900" TargetMode="External"/><Relationship Id="rId58" Type="http://schemas.openxmlformats.org/officeDocument/2006/relationships/hyperlink" Target="https://www.dotandkey.com/cdn/shop/files/1-1_83caee88-11d2-4437-8e29-7b1da46ffb71.jpg?v=1778838200&amp;width=700" TargetMode="External"/><Relationship Id="rId153" Type="http://schemas.openxmlformats.org/officeDocument/2006/relationships/hyperlink" Target="https://anua.com/cdn/shop/files/anua-global-ampoule-serum-heartleaf-80-moisture-soothing-ampoule-1239193699.jpg?v=1779174130&amp;width=2000" TargetMode="External"/><Relationship Id="rId274" Type="http://schemas.openxmlformats.org/officeDocument/2006/relationships/hyperlink" Target="https://www.ceraveindia.com/-/media/project/loreal/brand-sites/cerave/americas/in/scx/products/pdp/packshots/v2/hydrating-cleanser/in-hc-1-lg.webp?hash=B3C1284E6A4E460EE96C4B5A1713323E&amp;rev=-1%3Fw%3D667" TargetMode="External"/><Relationship Id="rId152" Type="http://schemas.openxmlformats.org/officeDocument/2006/relationships/hyperlink" Target="https://anua.com/cdn/shop/files/anua-us-cleanser-heartleaf-quercetinol-pore-deep-cleansing-foam-1239193718.jpg?v=1779181814&amp;width=2000" TargetMode="External"/><Relationship Id="rId273" Type="http://schemas.openxmlformats.org/officeDocument/2006/relationships/hyperlink" Target="https://innovist.com/cdn/shop/files/First_Image_Guides_copy_2_3x_1879e414-8ce5-4d69-b04d-a8038a5b519b_1_1.jpg?v=1756540569&amp;width=720" TargetMode="External"/><Relationship Id="rId151" Type="http://schemas.openxmlformats.org/officeDocument/2006/relationships/hyperlink" Target="https://anua.com/cdn/shop/files/anua-global-moisturizer-heartleaf-70-intense-calming-cream-1239193697.jpg?v=1779174249&amp;width=2000" TargetMode="External"/><Relationship Id="rId272" Type="http://schemas.openxmlformats.org/officeDocument/2006/relationships/hyperlink" Target="https://www.fixderma.com/cdn/shop/files/FDSALYZAPACNEBODYWASH100ML90434.webp?v=1774257098" TargetMode="External"/><Relationship Id="rId158" Type="http://schemas.openxmlformats.org/officeDocument/2006/relationships/hyperlink" Target="https://images-static.nykaa.com/media/catalog/product/d/0/d088d5a8809640733185_5.jpg" TargetMode="External"/><Relationship Id="rId279" Type="http://schemas.openxmlformats.org/officeDocument/2006/relationships/hyperlink" Target="https://beminimalist.co/cdn/shop/files/SalicylicCleanserNew.jpg?v=1756796206&amp;width=1080" TargetMode="External"/><Relationship Id="rId157" Type="http://schemas.openxmlformats.org/officeDocument/2006/relationships/hyperlink" Target="https://anua.com/cdn/shop/files/anua-us-toner-rice-70-glow-milky-toner-1239193716.jpg?v=1779178210&amp;width=2000" TargetMode="External"/><Relationship Id="rId278" Type="http://schemas.openxmlformats.org/officeDocument/2006/relationships/hyperlink" Target="https://images-static.nykaa.com/media/catalog/product/5/2/52c16568809416471112_01.jpg" TargetMode="External"/><Relationship Id="rId156" Type="http://schemas.openxmlformats.org/officeDocument/2006/relationships/hyperlink" Target="https://anua.com/cdn/shop/files/anua-us-moisturizer-peach-77-niacin-enriched-cream-1239193728.jpg?v=1779177492&amp;width=2000" TargetMode="External"/><Relationship Id="rId277" Type="http://schemas.openxmlformats.org/officeDocument/2006/relationships/hyperlink" Target="https://www.cosrx.com/cdn/shop/files/low-ph-good-morning-gel-cleanser-cosrx-official-1.jpg?v=1768785801" TargetMode="External"/><Relationship Id="rId155" Type="http://schemas.openxmlformats.org/officeDocument/2006/relationships/hyperlink" Target="https://anua.com/cdn/shop/files/anua-global-ampoule-serum-peach-70-niacinamide-serum-1239193727.jpg?v=1779177611&amp;width=2000" TargetMode="External"/><Relationship Id="rId276" Type="http://schemas.openxmlformats.org/officeDocument/2006/relationships/hyperlink" Target="https://www.cetaphil.in/dw/image/v2/BGGN_PRD/on/demandware.static/-/Sites-galderma-in-m-catalog/en/dwffb8d644/soothing%20cleanser/HFCC/NO-BG-FoP.png?q=85&amp;sh=900&amp;sm=fit&amp;sw=900" TargetMode="External"/><Relationship Id="rId107" Type="http://schemas.openxmlformats.org/officeDocument/2006/relationships/hyperlink" Target="https://www.drsheths.com/cdn/shop/files/Copyof1_d3d2e9e5-842a-4f04-8cc8-a0db68cde0dc.jpg?v=1744263676&amp;width=800" TargetMode="External"/><Relationship Id="rId228" Type="http://schemas.openxmlformats.org/officeDocument/2006/relationships/hyperlink" Target="https://plumgoodness.com/cdn/shop/files/Listing_1st_Tile_GTOFM_1001x1001_px_b3122998-de05-4161-9645-057264e3eaa2.webp?v=1782458593&amp;width=1001" TargetMode="External"/><Relationship Id="rId349" Type="http://schemas.openxmlformats.org/officeDocument/2006/relationships/hyperlink" Target="https://cdn.tirabeauty.com/v2/billowing-snowflake-434234/tira-p/wrkr/products/pictures/item/free/resize-w%3A750/LcOJMkcHAC-1143210_1.jpg" TargetMode="External"/><Relationship Id="rId106" Type="http://schemas.openxmlformats.org/officeDocument/2006/relationships/hyperlink" Target="https://www.drsheths.com/cdn/shop/files/1_445129af-3c35-44a5-97e7-9acf2dc63cce.jpg?v=1761896025&amp;width=800" TargetMode="External"/><Relationship Id="rId227" Type="http://schemas.openxmlformats.org/officeDocument/2006/relationships/hyperlink" Target="https://plumgoodness.com/cdn/shop/files/Listing_1st_Tile_GT_FW_150ml_1001x1001_px.webp?v=1779351297&amp;width=1001" TargetMode="External"/><Relationship Id="rId348" Type="http://schemas.openxmlformats.org/officeDocument/2006/relationships/hyperlink" Target="https://cdn.tirabeauty.com/v2/billowing-snowflake-434234/tira-p/wrkr/products/pictures/item/free/resize-w%3A750/1133704/JkAYsNaixD-1133704_1.jpg" TargetMode="External"/><Relationship Id="rId105" Type="http://schemas.openxmlformats.org/officeDocument/2006/relationships/hyperlink" Target="https://www.drsheths.com/cdn/shop/files/9_fbfbe9de-ffcc-420b-b2af-1fcd0ae2cdbc.jpg?v=1747043411&amp;width=800" TargetMode="External"/><Relationship Id="rId226" Type="http://schemas.openxmlformats.org/officeDocument/2006/relationships/hyperlink" Target="https://cdn.shopify.com/s/files/1/0231/6609/1311/files/aha_bha.jpg?v=1707212623" TargetMode="External"/><Relationship Id="rId347" Type="http://schemas.openxmlformats.org/officeDocument/2006/relationships/hyperlink" Target="https://cdn.tirabeauty.com/v2/billowing-snowflake-434234/tira-p/wrkr/products/pictures/item/free/resize-w%3A750/1133709/4UNfYRogsY-1133709_1.jpg" TargetMode="External"/><Relationship Id="rId104" Type="http://schemas.openxmlformats.org/officeDocument/2006/relationships/hyperlink" Target="https://www.drsheths.com/cdn/shop/files/9_fbfbe9de-ffcc-420b-b2af-1fcd0ae2cdbc.jpg?v=1747043411&amp;width=800" TargetMode="External"/><Relationship Id="rId225" Type="http://schemas.openxmlformats.org/officeDocument/2006/relationships/hyperlink" Target="https://www.mywishcare.com/cdn/shop/files/1_1.jpg?v=1780657511&amp;width=1200" TargetMode="External"/><Relationship Id="rId346" Type="http://schemas.openxmlformats.org/officeDocument/2006/relationships/hyperlink" Target="https://cdn.tirabeauty.com/v2/billowing-snowflake-434234/tira-p/wrkr/products/pictures/item/free/resize-w%3A750/GqxThONI6-COSRX-The-6-Peptide-Skin-Booster-Serum-%28150-ml%29.jpeg" TargetMode="External"/><Relationship Id="rId109" Type="http://schemas.openxmlformats.org/officeDocument/2006/relationships/hyperlink" Target="https://www.drsheths.com/cdn/shop/files/Copyof1.1.jpg?v=1743574068&amp;width=800" TargetMode="External"/><Relationship Id="rId108" Type="http://schemas.openxmlformats.org/officeDocument/2006/relationships/hyperlink" Target="https://www.drsheths.com/cdn/shop/files/G_G-OFM-1.jpg?v=1697778229&amp;width=800" TargetMode="External"/><Relationship Id="rId229" Type="http://schemas.openxmlformats.org/officeDocument/2006/relationships/hyperlink" Target="https://plumgoodness.com/cdn/shop/files/Listing_1st_Tile_GT_Night_Gel_1001x1001_px_1.webp?v=1782114106&amp;width=1001" TargetMode="External"/><Relationship Id="rId220" Type="http://schemas.openxmlformats.org/officeDocument/2006/relationships/hyperlink" Target="https://int.laneige.com/cdn/shop/files/pdp_mig_2023-12-20-20230100_final_INT_WATER-BANK-BLUE-HYALURONIC-MOISTURE-CREAM_thumbnail01_1.jpg?v=1754037597" TargetMode="External"/><Relationship Id="rId341" Type="http://schemas.openxmlformats.org/officeDocument/2006/relationships/hyperlink" Target="https://cdn.tirabeauty.com/v2/billowing-snowflake-434234/tira-p/wrkr/products/pictures/item/free/resize-w%3A750/1107018/-DjjeRbolc-8906087775690_1.jpg" TargetMode="External"/><Relationship Id="rId340" Type="http://schemas.openxmlformats.org/officeDocument/2006/relationships/hyperlink" Target="https://cdn.tirabeauty.com/v2/billowing-snowflake-434234/tira-p/wrkr/products/pictures/item/free/resize-w%3A750/1127137/3A8FK_lqJ-1127137_1.jpg" TargetMode="External"/><Relationship Id="rId103" Type="http://schemas.openxmlformats.org/officeDocument/2006/relationships/hyperlink" Target="https://www.dotandkey.com/cdn/shop/files/2_de4046ce-14f0-428d-9c30-5629ef752a60.jpg?v=1745240682&amp;width=700" TargetMode="External"/><Relationship Id="rId224" Type="http://schemas.openxmlformats.org/officeDocument/2006/relationships/hyperlink" Target="https://www.mywishcare.com/cdn/shop/files/SUPERBRIGHTC16VITAMINCSERUM.png?v=1728119688&amp;width=1080" TargetMode="External"/><Relationship Id="rId345" Type="http://schemas.openxmlformats.org/officeDocument/2006/relationships/hyperlink" Target="https://cdn.tirabeauty.com/v2/billowing-snowflake-434234/tira-p/wrkr/products/pictures/item/free/resize-w%3A750/HRjowXxVg-COSRX-Advanced-Snail-96-Mucin-Power-Essence-%28100ml%29.jpeg" TargetMode="External"/><Relationship Id="rId102" Type="http://schemas.openxmlformats.org/officeDocument/2006/relationships/hyperlink" Target="https://www.drsheths.com/cdn/shop/products/Ceramide-_-Vitamin-C-Body-Lotion_c8f74f29-02ea-45a0-b621-d06f97648d08.jpg?v=1665755032&amp;width=1200" TargetMode="External"/><Relationship Id="rId223" Type="http://schemas.openxmlformats.org/officeDocument/2006/relationships/hyperlink" Target="https://int.laneige.com/cdn/shop/files/pdp_mig_2024-02-08-bouncy_firm_sleeping_mask_thumbnail01_20040208.jpg?v=1754037619" TargetMode="External"/><Relationship Id="rId344" Type="http://schemas.openxmlformats.org/officeDocument/2006/relationships/hyperlink" Target="https://cdn.tirabeauty.com/v2/billowing-snowflake-434234/tira-p/wrkr/products/pictures/item/free/resize-w%3A750/1111217/UjELK1Wl8u-8809598454781_1.jpg" TargetMode="External"/><Relationship Id="rId101" Type="http://schemas.openxmlformats.org/officeDocument/2006/relationships/hyperlink" Target="https://www.drsheths.com/cdn/shop/files/H_H_1stImage_68136ae6-cd06-44d3-851a-8efcf5e3fd86.jpg?v=1696929219&amp;width=1200" TargetMode="External"/><Relationship Id="rId222" Type="http://schemas.openxmlformats.org/officeDocument/2006/relationships/hyperlink" Target="https://int.laneige.com/cdn/shop/files/pdp_mig_2024-11-13-241107_final_INT_Gel_cleanser_Thumbnail_500x600_01_1.jpg?v=1754037637" TargetMode="External"/><Relationship Id="rId343" Type="http://schemas.openxmlformats.org/officeDocument/2006/relationships/hyperlink" Target="https://cdn.tirabeauty.com/v2/billowing-snowflake-434234/tira-p/wrkr/products/pictures/item/free/resize-w%3A750/6vlqb7bIrF-1155998_1.jpg" TargetMode="External"/><Relationship Id="rId100" Type="http://schemas.openxmlformats.org/officeDocument/2006/relationships/hyperlink" Target="https://www.drsheths.com/cdn/shop/files/C_COFM_1st.png?v=1696316256&amp;width=1200" TargetMode="External"/><Relationship Id="rId221" Type="http://schemas.openxmlformats.org/officeDocument/2006/relationships/hyperlink" Target="https://int.laneige.com/cdn/shop/files/pdp_mig_2025-01-06-250106_final_INT_waterbank_blue_hyaluronic_serum_PDP_Thumbnail_01_1.jpg?v=1754037536" TargetMode="External"/><Relationship Id="rId342" Type="http://schemas.openxmlformats.org/officeDocument/2006/relationships/hyperlink" Target="https://cdn.tirabeauty.com/v2/billowing-snowflake-434234/tira-p/wrkr/products/pictures/item/free/resize-w%3A750/2LMQ2kr_U8-1182401_1.jpg" TargetMode="External"/><Relationship Id="rId217" Type="http://schemas.openxmlformats.org/officeDocument/2006/relationships/hyperlink" Target="https://discoverpilgrim.com/cdn/shop/files/1.5_30682f78-3546-4854-821a-accb39044946.jpg?v=1770978974&amp;width=1080" TargetMode="External"/><Relationship Id="rId338" Type="http://schemas.openxmlformats.org/officeDocument/2006/relationships/hyperlink" Target="https://cdn.tirabeauty.com/v2/billowing-snowflake-434234/tira-p/wrkr/products/pictures/item/free/resize-w%3A750/1160964/dsSjxhSaE-1160964_1.jpg" TargetMode="External"/><Relationship Id="rId216" Type="http://schemas.openxmlformats.org/officeDocument/2006/relationships/hyperlink" Target="https://discoverpilgrim.com/cdn/shop/files/1.1_83ead6af-4ffe-479d-bc03-f116faae9edc.jpg?v=1762757026&amp;width=1080" TargetMode="External"/><Relationship Id="rId337" Type="http://schemas.openxmlformats.org/officeDocument/2006/relationships/hyperlink" Target="https://cdn.tirabeauty.com/v2/billowing-snowflake-434234/tira-p/wrkr/products/pictures/item/free/resize-w%3A750/1002778/arh5pep22o-1002778_1.jpg" TargetMode="External"/><Relationship Id="rId215" Type="http://schemas.openxmlformats.org/officeDocument/2006/relationships/hyperlink" Target="https://discoverpilgrim.com/cdn/shop/files/1.2_54b0d3da-e3c7-43a3-a21a-e269c808b1e7.jpg?v=1764844901&amp;width=1080" TargetMode="External"/><Relationship Id="rId336" Type="http://schemas.openxmlformats.org/officeDocument/2006/relationships/hyperlink" Target="https://cdn.tirabeauty.com/v2/billowing-snowflake-434234/tira-p/wrkr/products/pictures/item/free/resize-w%3A750/1002781/qjKUm5OhP-1002781_1.jpg" TargetMode="External"/><Relationship Id="rId214" Type="http://schemas.openxmlformats.org/officeDocument/2006/relationships/hyperlink" Target="https://discoverpilgrim.com/cdn/shop/files/1_4__WB_copy_3_1080.jpg?v=1779704922&amp;width=1080" TargetMode="External"/><Relationship Id="rId335" Type="http://schemas.openxmlformats.org/officeDocument/2006/relationships/hyperlink" Target="https://cdn.tirabeauty.com/v2/billowing-snowflake-434234/tira-p/wrkr/products/pictures/item/free/resize-w%3A750/1002784/2ZgUn37MDG-1002784_1.jpg" TargetMode="External"/><Relationship Id="rId219" Type="http://schemas.openxmlformats.org/officeDocument/2006/relationships/hyperlink" Target="https://int.laneige.com/cdn/shop/files/pdp_mig_2024-05-07-240416_final_INT_CREAM-SKIN_thumbnail_01_4.jpg?v=1754037599" TargetMode="External"/><Relationship Id="rId218" Type="http://schemas.openxmlformats.org/officeDocument/2006/relationships/hyperlink" Target="https://int.laneige.com/cdn/shop/files/pdp_mig_2025-07-16-250711_final_KR_WaterSleepingMask_Thumbnail1_3.jpg?v=1754037502" TargetMode="External"/><Relationship Id="rId339" Type="http://schemas.openxmlformats.org/officeDocument/2006/relationships/hyperlink" Target="https://cdn.tirabeauty.com/v2/billowing-snowflake-434234/tira-p/wrkr/products/pictures/item/free/resize-w%3A750/1002782/CaE0u32ri-1002782_1.jpg" TargetMode="External"/><Relationship Id="rId330" Type="http://schemas.openxmlformats.org/officeDocument/2006/relationships/hyperlink" Target="https://cdn.tirabeauty.com/v2/billowing-snowflake-434234/tira-p/wrkr/products/pictures/item/free/resize-w%3A750/XSd1xKTV9-SKIN1004-Madagascar-Centella-Tone-Brightening-Capsule-Ampoule-%2830ml%29.jpeg" TargetMode="External"/><Relationship Id="rId213" Type="http://schemas.openxmlformats.org/officeDocument/2006/relationships/hyperlink" Target="https://discoverpilgrim.com/cdn/shop/files/1_e6841aa2-67fa-4993-aa5a-1eb2e69234bf.jpg?v=1770799215&amp;width=1080" TargetMode="External"/><Relationship Id="rId334" Type="http://schemas.openxmlformats.org/officeDocument/2006/relationships/hyperlink" Target="https://cdn.tirabeauty.com/v2/billowing-snowflake-434234/tira-p/wrkr/products/pictures/item/free/resize-w%3A750/1090181/QGW7ymxy4-1090181_1.jpg" TargetMode="External"/><Relationship Id="rId212" Type="http://schemas.openxmlformats.org/officeDocument/2006/relationships/hyperlink" Target="https://discoverpilgrim.com/cdn/shop/files/1.2_13f34e78-2e87-4f0e-9f34-b1c8f3c0818e.jpg?v=1762944223&amp;width=1080" TargetMode="External"/><Relationship Id="rId333" Type="http://schemas.openxmlformats.org/officeDocument/2006/relationships/hyperlink" Target="https://theordinary.com/dw/image/v2/BFKJ_PRD/on/demandware.static/-/Sites-deciem-master/default/dwc17b2bd6/Images/products/The%20Ordinary/rdn-salicylic-acid-2pct-solution-otc.png?sh=860&amp;sm=fit&amp;sw=860" TargetMode="External"/><Relationship Id="rId211" Type="http://schemas.openxmlformats.org/officeDocument/2006/relationships/hyperlink" Target="https://discoverpilgrim.com/cdn/shop/files/2_ad543062-7794-4fd2-b0fa-6ab32b2242ff.jpg?v=1769517509&amp;width=1080" TargetMode="External"/><Relationship Id="rId332" Type="http://schemas.openxmlformats.org/officeDocument/2006/relationships/hyperlink" Target="https://theordinary.com/dw/image/v2/BFKJ_PRD/on/demandware.static/-/Sites-deciem-master/default/dwf2a8fcd2/Images/products/The%20Ordinary/rdn-retinol-0-5pct-in-squalane-30ml.png?sh=860&amp;sm=fit&amp;sw=860" TargetMode="External"/><Relationship Id="rId210" Type="http://schemas.openxmlformats.org/officeDocument/2006/relationships/hyperlink" Target="https://discoverpilgrim.com/cdn/shop/files/1.3_White_background_texture_47963947-12fb-4073-8751-a6dfbcf992bd.jpg?v=1775810126&amp;width=1080" TargetMode="External"/><Relationship Id="rId331" Type="http://schemas.openxmlformats.org/officeDocument/2006/relationships/hyperlink" Target="https://theordinary.com/dw/image/v2/BFKJ_PRD/on/demandware.static/-/Sites-deciem-master/default/dwa689472f/Images/products/The%20Ordinary/FY25-D41247-ORD-Web-Alp-Arb-2pct-30ml-1x1-EN-1.jpg?sh=860&amp;sm=fit&amp;sw=860" TargetMode="External"/><Relationship Id="rId370" Type="http://schemas.openxmlformats.org/officeDocument/2006/relationships/hyperlink" Target="https://cdn.tirabeauty.com/v2/billowing-snowflake-434234/tira-p/wrkr/products/pictures/item/free/resize-w%3A750/1166902/Y28uPTYsx4g-1166902_1.jpg" TargetMode="External"/><Relationship Id="rId129" Type="http://schemas.openxmlformats.org/officeDocument/2006/relationships/hyperlink" Target="https://www.fixderma.com/cdn/shop/files/SHADOW_BRIGHTENING_CREAM.webp?v=1756377060" TargetMode="External"/><Relationship Id="rId128" Type="http://schemas.openxmlformats.org/officeDocument/2006/relationships/hyperlink" Target="https://www.fixderma.com/cdn/shop/files/Epifager_Ultra_Cream.webp?v=1759217513" TargetMode="External"/><Relationship Id="rId249" Type="http://schemas.openxmlformats.org/officeDocument/2006/relationships/hyperlink" Target="https://limese.com/cdn/shop/files/PapayaCleanser_2_9913e1ca-6360-4769-be77-f18d8661e838_1800x1800.jpg?v=1730093760" TargetMode="External"/><Relationship Id="rId127" Type="http://schemas.openxmlformats.org/officeDocument/2006/relationships/hyperlink" Target="https://www.fixderma.com/cdn/shop/files/TOMAGLOW_BRIGHTENING_CREAM_464d7ae3-a8bc-40b6-b62a-30eb7ce3e4ed.webp?v=1756380649" TargetMode="External"/><Relationship Id="rId248" Type="http://schemas.openxmlformats.org/officeDocument/2006/relationships/hyperlink" Target="https://images.ctfassets.net/j7jv1vcgqjb4/5g9WdT0zRAK9FS8M6nbX6K/28fa9423a0f92f1256d55e507ff03fce/dm_lotion-_354ml_front-en-in?fm=avif&amp;q=80&amp;w=3840" TargetMode="External"/><Relationship Id="rId369" Type="http://schemas.openxmlformats.org/officeDocument/2006/relationships/hyperlink" Target="https://cdn.tirabeauty.com/v2/billowing-snowflake-434234/tira-p/wrkr/products/pictures/item/free/resize-w%3A750/1133716/iaDg69zw2-1133716_1.jpg" TargetMode="External"/><Relationship Id="rId126" Type="http://schemas.openxmlformats.org/officeDocument/2006/relationships/hyperlink" Target="https://www.fixderma.com/cdn/shop/files/brightening_oil_free_face_moisturizer_single_product.webp?v=1770031890" TargetMode="External"/><Relationship Id="rId247" Type="http://schemas.openxmlformats.org/officeDocument/2006/relationships/hyperlink" Target="https://www.drreddysvenusia.com/cdn/shop/files/VENUS00000002_1.jpg?v=1768983816&amp;width=2000https://www.drreddysvenusia.com/cdn/shop/files/VENUS00000002_2.jpg?v=1768983816&amp;width=2000https://www.drreddysvenusia.com/cdn/shop/files/VENUS00000002_3.jpg?v=1768983816&amp;width=2000https://www.drreddysvenusia.com/cdn/shop/files/VENUS00000002_4.jpg?v=1768983816&amp;width=2000https://www.drreddysvenusia.com/cdn/shop/files/VENUS00000002_5.jpg?v=1768983816&amp;width=2000" TargetMode="External"/><Relationship Id="rId368" Type="http://schemas.openxmlformats.org/officeDocument/2006/relationships/hyperlink" Target="https://cdn.tirabeauty.com/v2/billowing-snowflake-434234/tira-p/wrkr/products/pictures/item/free/resize-w%3A750/1146056/dxvQAMwMw6-1146056_1.jpg" TargetMode="External"/><Relationship Id="rId121" Type="http://schemas.openxmlformats.org/officeDocument/2006/relationships/hyperlink" Target="https://www.fixderma.com/cdn/shop/files/Anti_acne_Spray_3.webp?v=1774258435" TargetMode="External"/><Relationship Id="rId242" Type="http://schemas.openxmlformats.org/officeDocument/2006/relationships/hyperlink" Target="https://www.simpleskincare.in/cdn/shop/files/Module1_403394c1-593f-43db-a512-b879a0cf6200_1000x1000.jpg?v=1769517443" TargetMode="External"/><Relationship Id="rId363" Type="http://schemas.openxmlformats.org/officeDocument/2006/relationships/hyperlink" Target="https://cdn.tirabeauty.com/v2/billowing-snowflake-434234/tira-p/wrkr/products/pictures/item/free/resize-w%3A750/1137434/yvBGAVlkVXP-1137434_1.jpg" TargetMode="External"/><Relationship Id="rId120" Type="http://schemas.openxmlformats.org/officeDocument/2006/relationships/hyperlink" Target="https://www.fixderma.com/cdn/shop/files/Salyzap_Acne_Spot_Corrector_4c741819-0572-455b-9e81-a43d1141e16b.webp?v=1758538818" TargetMode="External"/><Relationship Id="rId241" Type="http://schemas.openxmlformats.org/officeDocument/2006/relationships/hyperlink" Target="https://images-static.nykaa.com/media/catalog/product/7/4/74e66e6SIMPL00000077_1.jpg" TargetMode="External"/><Relationship Id="rId362" Type="http://schemas.openxmlformats.org/officeDocument/2006/relationships/hyperlink" Target="https://cdn.tirabeauty.com/v2/billowing-snowflake-434234/tira-p/wrkr/products/pictures/item/free/resize-w%3A750/1083417/hChEq6XBil-8906087778363_1.jpg" TargetMode="External"/><Relationship Id="rId240" Type="http://schemas.openxmlformats.org/officeDocument/2006/relationships/hyperlink" Target="https://images-static.nykaa.com/media/catalog/product/0/d/0df681b27280_H-8901030954061.jpg" TargetMode="External"/><Relationship Id="rId361" Type="http://schemas.openxmlformats.org/officeDocument/2006/relationships/hyperlink" Target="https://cdn.tirabeauty.com/v2/billowing-snowflake-434234/tira-p/wrkr/products/pictures/item/free/resize-w%3A750/OccgsZ-K4M-1165924_1.jpg" TargetMode="External"/><Relationship Id="rId360" Type="http://schemas.openxmlformats.org/officeDocument/2006/relationships/hyperlink" Target="https://www.cetaphil.in/dw/image/v2/BGGN_PRD/on/demandware.static/-/Sites-galderma-in-m-catalog/default/dw76b723b9/Sun%2050%20Revive%20A%2B/ATF/1.%20FoP%20%281%29.png?q=85&amp;sh=900&amp;sm=fit&amp;sw=900" TargetMode="External"/><Relationship Id="rId125" Type="http://schemas.openxmlformats.org/officeDocument/2006/relationships/hyperlink" Target="https://www.fixderma.com/cdn/shop/files/Vitamin_C_Face_Cleanser.webp?v=1758028168" TargetMode="External"/><Relationship Id="rId246" Type="http://schemas.openxmlformats.org/officeDocument/2006/relationships/hyperlink" Target="https://cdn01.pharmeasy.in/dam/products_otc/O88124/physiogel-daily-moisture-therapy-tube-of-75gm-cream-6.5-1775912796.jpg?dim=480x480&amp;q=75https://cdn01.pharmeasy.in/dam/products_otc/O88124/physiogel-daily-moisture-therapy-tube-of-75gm-cream-6.2-1775912783.jpg?dim=480x480&amp;q=75https://cdn01.pharmeasy.in/dam/products_otc/O88124/physiogel-daily-moisture-therapy-tube-of-75gm-cream-6.3-1775912871.jpg?dim=480x480&amp;q=75https://cdn01.pharmeasy.in/dam/products_otc/O88124/physiogel-daily-moisture-therapy-tube-of-75gm-cream-6.4-1775912860.jpg?dim=480x480&amp;q=75https://cdn01.pharmeasy.in/dam/products_otc/O88124/physiogel-daily-moisture-therapy-tube-of-75gm-cream-6.5-1775912796.jpg?dim=480x480&amp;q=75https://cdn01.pharmeasy.in/dam/products_otc/O88124/physiogel-daily-moisture-therapy-tube-of-75gm-cream-6.6-1775912711.jpg?dim=480x480&amp;q=75" TargetMode="External"/><Relationship Id="rId367" Type="http://schemas.openxmlformats.org/officeDocument/2006/relationships/hyperlink" Target="https://cdn.tirabeauty.com/v2/billowing-snowflake-434234/tira-p/wrkr/products/pictures/item/free/resize-w%3A750/1072693/DSeKkkRGSr-1072693_1.jpg" TargetMode="External"/><Relationship Id="rId124" Type="http://schemas.openxmlformats.org/officeDocument/2006/relationships/hyperlink" Target="https://www.fixderma.com/cdn/shop/files/DEWRAV_GENTLE_AND_HYDRATING_FACE_WASH.webp?v=1756373275" TargetMode="External"/><Relationship Id="rId245" Type="http://schemas.openxmlformats.org/officeDocument/2006/relationships/hyperlink" Target="https://bioderma.naosindia.in/cdn/shop/files/1_9f1a7d02-7bb4-4c72-9d11-6bbdbf4cfc2d.jpg" TargetMode="External"/><Relationship Id="rId366" Type="http://schemas.openxmlformats.org/officeDocument/2006/relationships/hyperlink" Target="https://cdn.tirabeauty.com/v2/billowing-snowflake-434234/tira-p/wrkr/products/pictures/item/free/resize-w%3A750/1079530/Bht2b-OE_7-1079530-1.jpg" TargetMode="External"/><Relationship Id="rId123" Type="http://schemas.openxmlformats.org/officeDocument/2006/relationships/hyperlink" Target="https://www.fixderma.com/cdn/shop/files/Face_21_Cream.webp?v=1757915562" TargetMode="External"/><Relationship Id="rId244" Type="http://schemas.openxmlformats.org/officeDocument/2006/relationships/hyperlink" Target="https://bioderma.naosindia.in/cdn/shop/files/490x560-01.jpg?v=1764163528&amp;width=1445" TargetMode="External"/><Relationship Id="rId365" Type="http://schemas.openxmlformats.org/officeDocument/2006/relationships/hyperlink" Target="https://cdn.tirabeauty.com/v2/billowing-snowflake-434234/tira-p/wrkr/products/pictures/item/free/resize-w%3A750/939477/wx8_5Lw4c-939477_1.jpg" TargetMode="External"/><Relationship Id="rId122" Type="http://schemas.openxmlformats.org/officeDocument/2006/relationships/hyperlink" Target="https://www.fixderma.com/cdn/shop/files/Moisturizing_Lotion.webp?v=1757916109" TargetMode="External"/><Relationship Id="rId243" Type="http://schemas.openxmlformats.org/officeDocument/2006/relationships/hyperlink" Target="https://bioderma.naosindia.in/cdn/shop/files/Atoderm-Intensive-Baume.jpg?v=1720078824" TargetMode="External"/><Relationship Id="rId364" Type="http://schemas.openxmlformats.org/officeDocument/2006/relationships/hyperlink" Target="https://cdn.tirabeauty.com/v2/billowing-snowflake-434234/tira-p/wrkr/products/pictures/item/free/resize-w%3A750/sRCGkv0oS-1079474_01.jpg" TargetMode="External"/><Relationship Id="rId95" Type="http://schemas.openxmlformats.org/officeDocument/2006/relationships/hyperlink" Target="https://www.drsheths.com/cdn/shop/products/Ceramide-_-Vitamin-C.jpg?v=1670929648&amp;width=1000" TargetMode="External"/><Relationship Id="rId94" Type="http://schemas.openxmlformats.org/officeDocument/2006/relationships/hyperlink" Target="https://www.drsheths.com/cdn/shop/files/1_8.jpg?v=1771322918&amp;width=1200" TargetMode="External"/><Relationship Id="rId97" Type="http://schemas.openxmlformats.org/officeDocument/2006/relationships/hyperlink" Target="https://www.drsheths.com/cdn/shop/files/FOP_3e1f7892-516d-48fd-b882-d5e007d3e7ea.jpg?v=1754567410&amp;width=1200" TargetMode="External"/><Relationship Id="rId96" Type="http://schemas.openxmlformats.org/officeDocument/2006/relationships/hyperlink" Target="https://www.drsheths.com/cdn/shop/files/1_0024b838-1ff8-4f56-b6ae-e2a76f2898af.jpg?v=1732170810&amp;width=1200" TargetMode="External"/><Relationship Id="rId99" Type="http://schemas.openxmlformats.org/officeDocument/2006/relationships/hyperlink" Target="https://www.drsheths.com/cdn/shop/products/PRA_0347.jpg?v=1665674005&amp;width=1200" TargetMode="External"/><Relationship Id="rId98" Type="http://schemas.openxmlformats.org/officeDocument/2006/relationships/hyperlink" Target="https://www.drsheths.com/cdn/shop/files/Shoot_858fabe7-a72a-4353-acf2-ce3f6e38fee0.jpg?v=1719573180&amp;width=1200" TargetMode="External"/><Relationship Id="rId91" Type="http://schemas.openxmlformats.org/officeDocument/2006/relationships/hyperlink" Target="https://www.drsheths.com/cdn/shop/files/4_e972f2d5-dfee-40ff-a3d8-bf786d00c36d.jpg?v=1740551629&amp;width=1200" TargetMode="External"/><Relationship Id="rId90" Type="http://schemas.openxmlformats.org/officeDocument/2006/relationships/hyperlink" Target="https://www.drsheths.com/cdn/shop/files/Shoot_1ef07b53-c870-4be7-97c9-5241bcc557bd.jpg?v=1738241494&amp;width=1200" TargetMode="External"/><Relationship Id="rId93" Type="http://schemas.openxmlformats.org/officeDocument/2006/relationships/hyperlink" Target="https://www.drsheths.com/cdn/shop/files/1_Website.jpg?v=1746015642&amp;width=1200" TargetMode="External"/><Relationship Id="rId92" Type="http://schemas.openxmlformats.org/officeDocument/2006/relationships/hyperlink" Target="https://www.drsheths.com/cdn/shop/files/1.1_1.jpg?v=1757486633&amp;width=1200" TargetMode="External"/><Relationship Id="rId118" Type="http://schemas.openxmlformats.org/officeDocument/2006/relationships/hyperlink" Target="https://www.fixderma.com/cdn/shop/files/FDSHADOWSPF30LOTIONKIDS75GM36516_1200x.webp?v=1756381126" TargetMode="External"/><Relationship Id="rId239" Type="http://schemas.openxmlformats.org/officeDocument/2006/relationships/hyperlink" Target="https://images-static.nykaa.com/media/catalog/product/8/8/88e09af5011451103931_1.jpg" TargetMode="External"/><Relationship Id="rId117" Type="http://schemas.openxmlformats.org/officeDocument/2006/relationships/hyperlink" Target="https://www.fixderma.com/cdn/shop/files/Shadow-30_-Cream-1024.webp?v=1756197626" TargetMode="External"/><Relationship Id="rId238" Type="http://schemas.openxmlformats.org/officeDocument/2006/relationships/hyperlink" Target="https://images-static.nykaa.com/media/catalog/product/0/a/0a388085011451103870_1x.jpg" TargetMode="External"/><Relationship Id="rId359" Type="http://schemas.openxmlformats.org/officeDocument/2006/relationships/hyperlink" Target="https://cdn.tirabeauty.com/v2/billowing-snowflake-434234/tira-p/wrkr/products/pictures/item/free/resize-w%3A750/miCid97da-1132048_1.jpg" TargetMode="External"/><Relationship Id="rId116" Type="http://schemas.openxmlformats.org/officeDocument/2006/relationships/hyperlink" Target="https://www.fixderma.com/cdn/shop/files/reticuram_face_serum_medium.webp?v=1756385564" TargetMode="External"/><Relationship Id="rId237" Type="http://schemas.openxmlformats.org/officeDocument/2006/relationships/hyperlink" Target="https://plumgoodness.com/cdn/shop/files/Listing_1st_Tile_HA_Toner_100ml_1001x1001_px.webp?v=1776939460&amp;width=1001" TargetMode="External"/><Relationship Id="rId358" Type="http://schemas.openxmlformats.org/officeDocument/2006/relationships/hyperlink" Target="https://cdn.tirabeauty.com/v2/billowing-snowflake-434234/tira-p/wrkr/products/pictures/item/free/resize-w%3A750/1168114/oLyjloyREj-1168114_1.jpg" TargetMode="External"/><Relationship Id="rId115" Type="http://schemas.openxmlformats.org/officeDocument/2006/relationships/hyperlink" Target="https://www.fixderma.com/cdn/shop/files/clovera_cica_cream.webp?v=1756374329" TargetMode="External"/><Relationship Id="rId236" Type="http://schemas.openxmlformats.org/officeDocument/2006/relationships/hyperlink" Target="https://plumgoodness.com/cdn/shop/files/Listing_1st_Tile_Nia_Moisturizer_1001x1001_px.webp?v=1773147598&amp;width=1001" TargetMode="External"/><Relationship Id="rId357" Type="http://schemas.openxmlformats.org/officeDocument/2006/relationships/hyperlink" Target="https://cdn.tirabeauty.com/v2/billowing-snowflake-434234/tira-p/wrkr/products/pictures/item/free/resize-w%3A750/1133690/gf2adI57ac-1133690_1.jpg" TargetMode="External"/><Relationship Id="rId119" Type="http://schemas.openxmlformats.org/officeDocument/2006/relationships/hyperlink" Target="https://www.fixderma.com/cdn/shop/files/shadow-spf-80-sunscreen-lotion-4.webp?v=1776426364" TargetMode="External"/><Relationship Id="rId110" Type="http://schemas.openxmlformats.org/officeDocument/2006/relationships/hyperlink" Target="https://www.drsheths.com/cdn/shop/files/Shoot_image_1_3927434c-7167-43a3-b98d-6155649a5b62.jpg?v=1772111524&amp;width=800" TargetMode="External"/><Relationship Id="rId231" Type="http://schemas.openxmlformats.org/officeDocument/2006/relationships/hyperlink" Target="https://images-static.nykaa.com/media/catalog/product/6/1/614ba9bPLUMX00000229_v01.jpg" TargetMode="External"/><Relationship Id="rId352" Type="http://schemas.openxmlformats.org/officeDocument/2006/relationships/hyperlink" Target="https://cdn.tirabeauty.com/v2/billowing-snowflake-434234/tira-p/wrkr/products/pictures/item/free/resize-w%3A750/tsTa_hg2bl-1123635_1.jpg" TargetMode="External"/><Relationship Id="rId230" Type="http://schemas.openxmlformats.org/officeDocument/2006/relationships/hyperlink" Target="https://images-static.nykaa.com/media/catalog/product/7/0/7078024PLUMX00000068_01.jpg" TargetMode="External"/><Relationship Id="rId351" Type="http://schemas.openxmlformats.org/officeDocument/2006/relationships/hyperlink" Target="https://cdn.tirabeauty.com/v2/billowing-snowflake-434234/tira-p/wrkr/products/pictures/item/free/resize-w%3A750/1143224/z-yNZjDKFs-1143224-1.jpg" TargetMode="External"/><Relationship Id="rId350" Type="http://schemas.openxmlformats.org/officeDocument/2006/relationships/hyperlink" Target="https://cdn.tirabeauty.com/v2/billowing-snowflake-434234/tira-p/wrkr/products/pictures/item/free/resize-w%3A750/T1JFy3GZ00-1143211_1.jpg" TargetMode="External"/><Relationship Id="rId114" Type="http://schemas.openxmlformats.org/officeDocument/2006/relationships/hyperlink" Target="https://www.fixderma.com/cdn/shop/files/Fidelia_Moisturizing_Cream_b01039c6-f895-4ce6-9c9a-9dba9d9aa007.webp?v=1758537683" TargetMode="External"/><Relationship Id="rId235" Type="http://schemas.openxmlformats.org/officeDocument/2006/relationships/hyperlink" Target="https://plumgoodness.com/cdn/shop/files/Listing_1st_Tile_Retinol_Serum_1001x1001_px_a696a89c-b09d-4772-a26f-cf656d4eb326.webp?v=1781098227&amp;width=1001" TargetMode="External"/><Relationship Id="rId356" Type="http://schemas.openxmlformats.org/officeDocument/2006/relationships/hyperlink" Target="https://cdn.tirabeauty.com/v2/billowing-snowflake-434234/tira-p/wrkr/products/pictures/item/free/resize-w%3A750/fSE6Sr1cn-Reequil-Ultra-Matte-Dry-Touch-Sunscreen-Gel-SPF-50-%2850g%29.jpeg" TargetMode="External"/><Relationship Id="rId113" Type="http://schemas.openxmlformats.org/officeDocument/2006/relationships/hyperlink" Target="https://fclskincare.com/cdn/shop/files/Oatsilk_Body_Lotion_27.png?v=1757669274&amp;width=1445" TargetMode="External"/><Relationship Id="rId234" Type="http://schemas.openxmlformats.org/officeDocument/2006/relationships/hyperlink" Target="https://plumgoodness.com/cdn/shop/files/Listing_1st_Tile_Saffron_Gel_1001x1001_px.webp?v=1775811368&amp;width=1001" TargetMode="External"/><Relationship Id="rId355" Type="http://schemas.openxmlformats.org/officeDocument/2006/relationships/hyperlink" Target="https://cdn.tirabeauty.com/v2/billowing-snowflake-434234/tira-p/wrkr/products/pictures/item/free/resize-w%3A750/1002795/9p1Dql06WO-1002795_1.jpg" TargetMode="External"/><Relationship Id="rId112" Type="http://schemas.openxmlformats.org/officeDocument/2006/relationships/hyperlink" Target="https://www.drsheths.com/cdn/shop/products/PRA_0286.jpg?v=1681578396&amp;width=3347" TargetMode="External"/><Relationship Id="rId233" Type="http://schemas.openxmlformats.org/officeDocument/2006/relationships/hyperlink" Target="https://plumgoodness.com/cdn/shop/files/Listing_1st_Tile_E-Lum_Creme_1001x1001_px.webp?v=1777969914&amp;width=1001" TargetMode="External"/><Relationship Id="rId354" Type="http://schemas.openxmlformats.org/officeDocument/2006/relationships/hyperlink" Target="https://www.clinikally.com/cdn/shop/files/UVdouxsiliconesunscreengelspf50100g.jpg?v=1756386444&amp;width=1000" TargetMode="External"/><Relationship Id="rId111" Type="http://schemas.openxmlformats.org/officeDocument/2006/relationships/hyperlink" Target="https://www.drsheths.com/cdn/shop/files/1_8.jpg?v=1771322918&amp;width=800" TargetMode="External"/><Relationship Id="rId232" Type="http://schemas.openxmlformats.org/officeDocument/2006/relationships/hyperlink" Target="https://plumgoodness.com/cdn/shop/files/Listing_1st_Tile_Nia_SPF_80g_1001x1001_px.webp?v=1777964426&amp;width=1001" TargetMode="External"/><Relationship Id="rId353" Type="http://schemas.openxmlformats.org/officeDocument/2006/relationships/hyperlink" Target="https://cdn.tirabeauty.com/v2/billowing-snowflake-434234/tira-p/wrkr/products/pictures/item/free/resize-w%3A750/YYf61-loEE-1143221_1.jpg" TargetMode="External"/><Relationship Id="rId305" Type="http://schemas.openxmlformats.org/officeDocument/2006/relationships/hyperlink" Target="https://cdn.tirabeauty.com/v2/billowing-snowflake-434234/tira-p/wrkr/products/pictures/item/free/resize-w%3A750/wpWIOoM5-g-1067204_1.jpg" TargetMode="External"/><Relationship Id="rId304" Type="http://schemas.openxmlformats.org/officeDocument/2006/relationships/hyperlink" Target="https://images-static.nykaa.com/media/catalog/product/b/4/b4152d38906063411185_0.jpg" TargetMode="External"/><Relationship Id="rId303" Type="http://schemas.openxmlformats.org/officeDocument/2006/relationships/hyperlink" Target="https://images-static.nykaa.com/media/catalog/product/b/4/b4152d38906063411178_0.jpg" TargetMode="External"/><Relationship Id="rId302" Type="http://schemas.openxmlformats.org/officeDocument/2006/relationships/hyperlink" Target="https://cdn.shopify.com/s/files/1/0609/6096/4855/files/1_830b882db6.jpg?quality=60&amp;v=1781164708&amp;width=2048" TargetMode="External"/><Relationship Id="rId309" Type="http://schemas.openxmlformats.org/officeDocument/2006/relationships/hyperlink" Target="https://cdn.tirabeauty.com/v2/billowing-snowflake-434234/tira-p/wrkr/products/pictures/item/free/resize-w%3A750/382109/HWjVIxf-O3-382109_1.jpg" TargetMode="External"/><Relationship Id="rId308" Type="http://schemas.openxmlformats.org/officeDocument/2006/relationships/hyperlink" Target="https://cdn.tirabeauty.com/v2/billowing-snowflake-434234/tira-p/wrkr/products/pictures/item/free/resize-w%3A750/nK_a1D5qP-1124767_1.jpg" TargetMode="External"/><Relationship Id="rId307" Type="http://schemas.openxmlformats.org/officeDocument/2006/relationships/hyperlink" Target="https://images-static.nykaa.com/media/catalog/product/8/6/863d6c7CERAV00000015_1.jpg" TargetMode="External"/><Relationship Id="rId306" Type="http://schemas.openxmlformats.org/officeDocument/2006/relationships/hyperlink" Target="https://cdn.tirabeauty.com/v2/billowing-snowflake-434234/tira-p/wrkr/products/pictures/item/free/resize-w%3A750/cosrx/1023407/0/-Fat-gt8TV-Hc9S6E8m1n-8809416470559_1.jpg" TargetMode="External"/><Relationship Id="rId301" Type="http://schemas.openxmlformats.org/officeDocument/2006/relationships/hyperlink" Target="https://cdn.tirabeauty.com/v2/billowing-snowflake-434234/tira-p/wrkr/products/pictures/item/free/resize-w%3A750/1132071/rBfYcgyjpH-1132071-1.jpg" TargetMode="External"/><Relationship Id="rId300" Type="http://schemas.openxmlformats.org/officeDocument/2006/relationships/hyperlink" Target="https://cdn.tirabeauty.com/v2/billowing-snowflake-434234/tira-p/wrkr/products/pictures/item/free/resize-w%3A750/1132072/ttAapi7oTS8-1132072-1.jpg" TargetMode="External"/><Relationship Id="rId206" Type="http://schemas.openxmlformats.org/officeDocument/2006/relationships/hyperlink" Target="https://discoverpilgrim.com/cdn/shop/products/Salicylic-Acid-_-Niacinamide-Oil-Control-Serum.jpg?v=1683283948&amp;width=1080" TargetMode="External"/><Relationship Id="rId327" Type="http://schemas.openxmlformats.org/officeDocument/2006/relationships/hyperlink" Target="https://cdn.tirabeauty.com/v2/billowing-snowflake-434234/tira-p/wrkr/products/pictures/item/free/resize-w%3A750/some-by-mi/1023601/0/XabEzeHI3--rsHZSmg8O3-1023601_1.jpg" TargetMode="External"/><Relationship Id="rId205" Type="http://schemas.openxmlformats.org/officeDocument/2006/relationships/hyperlink" Target="https://discoverpilgrim.com/cdn/shop/files/1.2_e9ded1b8-2dd4-4fa1-bfc7-b1efe3b2642b.jpg?v=1762865025&amp;width=1080" TargetMode="External"/><Relationship Id="rId326" Type="http://schemas.openxmlformats.org/officeDocument/2006/relationships/hyperlink" Target="https://cdn.tirabeauty.com/v2/billowing-snowflake-434234/tira-p/wrkr/products/pictures/item/free/resize-w%3A750/1102659/DRcQ9GZqW-1102659_1.jpg" TargetMode="External"/><Relationship Id="rId204" Type="http://schemas.openxmlformats.org/officeDocument/2006/relationships/hyperlink" Target="https://celimax.us/cdn/shop/files/celimax-40pcs-100ml-celimax-pore-dark-spot-brightening-pad-36500713799830.jpg?v=1721669238&amp;width=828" TargetMode="External"/><Relationship Id="rId325" Type="http://schemas.openxmlformats.org/officeDocument/2006/relationships/hyperlink" Target="https://cdn.tirabeauty.com/v2/billowing-snowflake-434234/tira-p/wrkr/products/pictures/item/free/resize-w%3A750/1002776/8ayANYsMX-1002776_1.jpg" TargetMode="External"/><Relationship Id="rId203" Type="http://schemas.openxmlformats.org/officeDocument/2006/relationships/hyperlink" Target="https://celimax.us/cdn/shop/files/celimax-30ml-celimax-pore-dark-spot-brightening-serum-36500983971990.jpg?v=1721669943&amp;width=828" TargetMode="External"/><Relationship Id="rId324" Type="http://schemas.openxmlformats.org/officeDocument/2006/relationships/hyperlink" Target="https://cdn.tirabeauty.com/v2/billowing-snowflake-434234/tira-p/wrkr/products/pictures/item/free/resize-w%3A750/1002793/XJGNQBfYJ-1002793_1.jpg" TargetMode="External"/><Relationship Id="rId209" Type="http://schemas.openxmlformats.org/officeDocument/2006/relationships/hyperlink" Target="https://discoverpilgrim.com/cdn/shop/files/1.3_White_background_texture.jpg?v=1767696028&amp;width=1080" TargetMode="External"/><Relationship Id="rId208" Type="http://schemas.openxmlformats.org/officeDocument/2006/relationships/hyperlink" Target="https://discoverpilgrim.com/cdn/shop/files/1.6_White_background_carton.jpg?v=1776515474&amp;width=1080" TargetMode="External"/><Relationship Id="rId329" Type="http://schemas.openxmlformats.org/officeDocument/2006/relationships/hyperlink" Target="https://cdn.tirabeauty.com/v2/billowing-snowflake-434234/tira-p/wrkr/products/pictures/item/free/resize-w%3A750/1084820/vM_zUlbvCF-1084820_1.jpg" TargetMode="External"/><Relationship Id="rId207" Type="http://schemas.openxmlformats.org/officeDocument/2006/relationships/hyperlink" Target="https://discoverpilgrim.com/cdn/shop/files/1.1_30a00794-6a3d-4b32-ab0c-6ee1392aaa18.jpg?v=1776666674&amp;width=1080" TargetMode="External"/><Relationship Id="rId328" Type="http://schemas.openxmlformats.org/officeDocument/2006/relationships/hyperlink" Target="https://cdn.tirabeauty.com/v2/billowing-snowflake-434234/tira-p/wrkr/products/pictures/item/free/resize-w%3A750/1084819/WoOywJqJd-1084819_1.jpg" TargetMode="External"/><Relationship Id="rId202" Type="http://schemas.openxmlformats.org/officeDocument/2006/relationships/hyperlink" Target="https://celimax.us/cdn/shop/files/celimax-celimax-ji-woo-gae-one-step-mild-cleansing-pad-36500915486870.jpg?v=1721669220&amp;width=828" TargetMode="External"/><Relationship Id="rId323" Type="http://schemas.openxmlformats.org/officeDocument/2006/relationships/hyperlink" Target="https://cdn.tirabeauty.com/v2/billowing-snowflake-434234/tira-p/wrkr/products/pictures/item/free/resize-w%3A750/1002790/gScjdJKnzf-1002790_3.jpg" TargetMode="External"/><Relationship Id="rId201" Type="http://schemas.openxmlformats.org/officeDocument/2006/relationships/hyperlink" Target="https://celimax.us/cdn/shop/files/celimax-200ml-celimax-dual-barrier-mild-gel-cleanser-36500647346326.jpg?v=1721669595&amp;width=828" TargetMode="External"/><Relationship Id="rId322" Type="http://schemas.openxmlformats.org/officeDocument/2006/relationships/hyperlink" Target="https://cdn.tirabeauty.com/v2/billowing-snowflake-434234/tira-p/wrkr/products/pictures/item/free/resize-w%3A750/1002792/3tUdvNSDa-1002792_1.jpg" TargetMode="External"/><Relationship Id="rId200" Type="http://schemas.openxmlformats.org/officeDocument/2006/relationships/hyperlink" Target="https://images-static.nykaa.com/media/catalog/product/f/8/f81292a8809686388172_1.jpg" TargetMode="External"/><Relationship Id="rId321" Type="http://schemas.openxmlformats.org/officeDocument/2006/relationships/hyperlink" Target="https://cdn.tirabeauty.com/v2/billowing-snowflake-434234/tira-p/wrkr/products/pictures/item/free/resize-w%3A750/1002788/cSW5hp8ry--1002788_1.jpg" TargetMode="External"/><Relationship Id="rId320" Type="http://schemas.openxmlformats.org/officeDocument/2006/relationships/hyperlink" Target="https://cdn.tirabeauty.com/v2/billowing-snowflake-434234/tira-p/wrkr/products/pictures/item/free/resize-w%3A750/rq5dKknP4-1181810_1.jpg" TargetMode="External"/><Relationship Id="rId316" Type="http://schemas.openxmlformats.org/officeDocument/2006/relationships/hyperlink" Target="https://cdn.tirabeauty.com/v2/billowing-snowflake-434234/tira-p/wrkr/products/pictures/item/free/resize-w%3A750/NwgYLOdxlc-1143205_1.jpg" TargetMode="External"/><Relationship Id="rId315" Type="http://schemas.openxmlformats.org/officeDocument/2006/relationships/hyperlink" Target="https://cdn.tirabeauty.com/v2/billowing-snowflake-434234/tira-p/wrkr/products/pictures/item/free/resize-w%3A750/kstxs6vTGF-1123621_1.jpg" TargetMode="External"/><Relationship Id="rId314" Type="http://schemas.openxmlformats.org/officeDocument/2006/relationships/hyperlink" Target="https://cdn.tirabeauty.com/v2/billowing-snowflake-434234/tira-p/wrkr/products/pictures/item/free/resize-w%3A750/Lo5jLwTap-COSRX-Advanced-Snail-92-All-In-One-Cream-%28100g%29.jpeg" TargetMode="External"/><Relationship Id="rId313" Type="http://schemas.openxmlformats.org/officeDocument/2006/relationships/hyperlink" Target="https://cdn.tirabeauty.com/v2/billowing-snowflake-434234/tira-p/wrkr/products/pictures/item/free/resize-w%3A750/1090175/3PwuuBBgAD-1090175_1.jpg" TargetMode="External"/><Relationship Id="rId319" Type="http://schemas.openxmlformats.org/officeDocument/2006/relationships/hyperlink" Target="https://images-static.nykaa.com/media/catalog/product/b/5/b55a507HYPHE00000024_01.jpg" TargetMode="External"/><Relationship Id="rId318" Type="http://schemas.openxmlformats.org/officeDocument/2006/relationships/hyperlink" Target="https://cdn.tirabeauty.com/v2/billowing-snowflake-434234/tira-p/wrkr/products/pictures/item/free/resize-w%3A750/EVu-JK-Tx-Axis-Y-Dark-Spot-Correcting-Glow-Serum-%2850-ml%29.jpeg" TargetMode="External"/><Relationship Id="rId317" Type="http://schemas.openxmlformats.org/officeDocument/2006/relationships/hyperlink" Target="https://cdn.tirabeauty.com/v2/billowing-snowflake-434234/tira-p/wrkr/products/pictures/item/free/resize-w%3A750/1090912/C-iRhDQGuO-4103040895554_1.jpg" TargetMode="External"/><Relationship Id="rId312" Type="http://schemas.openxmlformats.org/officeDocument/2006/relationships/hyperlink" Target="https://cdn.tirabeauty.com/v2/billowing-snowflake-434234/tira-p/wrkr/products/pictures/item/free/resize-w%3A750/1132056/K2T0e2JXEp-1132056_1.jpg" TargetMode="External"/><Relationship Id="rId311" Type="http://schemas.openxmlformats.org/officeDocument/2006/relationships/hyperlink" Target="https://cdn.tirabeauty.com/v2/billowing-snowflake-434234/tira-p/wrkr/products/pictures/item/free/resize-w%3A750/1157821/Z3m3aB7oNz-1157821_1.jpg" TargetMode="External"/><Relationship Id="rId310" Type="http://schemas.openxmlformats.org/officeDocument/2006/relationships/hyperlink" Target="https://cdn.tirabeauty.com/v2/billowing-snowflake-434234/tira-p/wrkr/products/pictures/item/free/resize-w%3A750/381943/jKwgc2Ec5u-381943_1.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cdn.shopify.com/s/files/1/0609/6096/4855/files/HHN-MEBS75_05.jpg?quality=60&amp;v=1774328910&amp;width=500" TargetMode="External"/><Relationship Id="rId1" Type="http://schemas.openxmlformats.org/officeDocument/2006/relationships/hyperlink" Target="https://cdn.kindlife.in/images/thumbnails/1000/1000/detailed/177/2_repair_cream.jpg?t=1743009331" TargetMode="External"/><Relationship Id="rId2" Type="http://schemas.openxmlformats.org/officeDocument/2006/relationships/hyperlink" Target="https://theordinary.com/dw/image/v2/BFKJ_PRD/on/demandware.static/-/Sites-deciem-master/default/dwedfce090/Images/products/The%20Ordinary/rdn-azelaic-acid-suspension-10pct-100ml.png?sw=1200&amp;sh=1200&amp;sm=fit" TargetMode="External"/><Relationship Id="rId3" Type="http://schemas.openxmlformats.org/officeDocument/2006/relationships/hyperlink" Target="https://images.apollo247.in/pub/media/catalog/product/S/E/SEB0078_1_1.jpg?tr=w-264,q-80,f-webp,dpr-false,c-at_max" TargetMode="External"/><Relationship Id="rId4" Type="http://schemas.openxmlformats.org/officeDocument/2006/relationships/hyperlink" Target="https://plumgoodness.com/cdn/shop/files/01.1_588fe0bf-e6ac-4662-a07d-b78a2fbe2545.jpg?v=1777897466&amp;width=1000" TargetMode="External"/><Relationship Id="rId9" Type="http://schemas.openxmlformats.org/officeDocument/2006/relationships/hyperlink" Target="https://www.clinikally.com/cdn/shop/files/11a.jpg?v=1713530315&amp;width=1500" TargetMode="External"/><Relationship Id="rId5" Type="http://schemas.openxmlformats.org/officeDocument/2006/relationships/hyperlink" Target="https://m.media-amazon.com/images/I/611PPZ-yBtL._SL1500_.jpg" TargetMode="External"/><Relationship Id="rId6" Type="http://schemas.openxmlformats.org/officeDocument/2006/relationships/hyperlink" Target="https://www.skinhealthandyou.com/products/biluma-advance-cream-for-sensitive-areas?srsltid=AfmBOoqtzXQxEKdQ1zkxYesSp55ILjlF9AHawX-hnRzqZV4QORQ7EEyx&amp;utm_source=chatgpt.com" TargetMode="External"/><Relationship Id="rId7" Type="http://schemas.openxmlformats.org/officeDocument/2006/relationships/hyperlink" Target="https://www.clinikally.com/cdn/shop/files/KetotrailKetoconazoleBodyWash100ml3.jpg?v=1761544752&amp;width=1000" TargetMode="External"/><Relationship Id="rId8" Type="http://schemas.openxmlformats.org/officeDocument/2006/relationships/hyperlink" Target="https://www.clinikally.com/cdn/shop/files/LulifinCream30gm3.jpg?v=1767958892&amp;width=1000"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thefaceshop.in/cdn/shop/files/1_Watermelon_Lip_mask.jpg?v=1771237593&amp;width=1100" TargetMode="External"/><Relationship Id="rId10" Type="http://schemas.openxmlformats.org/officeDocument/2006/relationships/hyperlink" Target="https://thefaceshop.in/cdn/shop/files/8801051254006_5_a4c71783-4987-41c9-aad1-06d7b94d3589.jpg?v=1745235605&amp;width=1100" TargetMode="External"/><Relationship Id="rId13" Type="http://schemas.openxmlformats.org/officeDocument/2006/relationships/hyperlink" Target="https://thefaceshop.in/cdn/shop/files/1_e95737ba-7d7a-4867-bbfd-028c3dd75352.jpg?v=1756207680&amp;width=1100" TargetMode="External"/><Relationship Id="rId12" Type="http://schemas.openxmlformats.org/officeDocument/2006/relationships/hyperlink" Target="https://thefaceshop.in/cdn/shop/files/1Blueberry_Lip_mask.jpg?v=1770635564&amp;width=1100" TargetMode="External"/><Relationship Id="rId14" Type="http://schemas.openxmlformats.org/officeDocument/2006/relationships/drawing" Target="../drawings/drawing4.xml"/><Relationship Id="rId1" Type="http://schemas.openxmlformats.org/officeDocument/2006/relationships/hyperlink" Target="https://cdn.tirabeauty.com/v2/billowing-snowflake-434234/tira-p/wrkr/products/pictures/item/free/resize-w:2200/Z52jhNWPw-Axis-Y-Vegan-Collagen-Eye-Serum-(10-ml).jpeg" TargetMode="External"/><Relationship Id="rId2" Type="http://schemas.openxmlformats.org/officeDocument/2006/relationships/hyperlink" Target="https://www.klairs.com/cdn/shop/files/FundamentalEyeAwakeningGel_product.jpg?v=1776724754&amp;width=1946" TargetMode="External"/><Relationship Id="rId3" Type="http://schemas.openxmlformats.org/officeDocument/2006/relationships/hyperlink" Target="https://limese.com/cdn/shop/files/DarkCircleEyeSerum_1_1f7f17ad-e4b5-4d03-9abc-9b3e45f8adbb_900x.jpg?v=1730092802" TargetMode="External"/><Relationship Id="rId4" Type="http://schemas.openxmlformats.org/officeDocument/2006/relationships/hyperlink" Target="https://thefaceshop.in/cdn/shop/files/1_1e3637af-bc04-4cda-910a-f311fb1acb82.jpg?v=1760512118&amp;width=1100" TargetMode="External"/><Relationship Id="rId9" Type="http://schemas.openxmlformats.org/officeDocument/2006/relationships/hyperlink" Target="https://cdn.tirabeauty.com/v2/billowing-snowflake-434234/tira-p/wrkr/products/pictures/item/free/resize-w:2200/1157791/CphmwQUgN-1157791_1.jpg" TargetMode="External"/><Relationship Id="rId5" Type="http://schemas.openxmlformats.org/officeDocument/2006/relationships/hyperlink" Target="https://cdn.tirabeauty.com/v2/billowing-snowflake-434234/tira-p/wrkr/products/pictures/item/free/resize-w:2200/1157776/cfuN_XaL0-1157776-1.jpg" TargetMode="External"/><Relationship Id="rId6" Type="http://schemas.openxmlformats.org/officeDocument/2006/relationships/hyperlink" Target="https://cdn.tirabeauty.com/v2/billowing-snowflake-434234/tira-p/wrkr/products/pictures/item/free/resize-w:2200/1157779/cRPdPuFRx_-1157779-1.jpg" TargetMode="External"/><Relationship Id="rId7" Type="http://schemas.openxmlformats.org/officeDocument/2006/relationships/hyperlink" Target="https://cdn.tirabeauty.com/v2/billowing-snowflake-434234/tira-p/wrkr/products/pictures/item/free/resize-w:2200/1157778/Go2kbbQQVy-1157778-1.jpg" TargetMode="External"/><Relationship Id="rId8" Type="http://schemas.openxmlformats.org/officeDocument/2006/relationships/hyperlink" Target="https://cdn.tirabeauty.com/v2/billowing-snowflake-434234/tira-p/wrkr/products/pictures/item/free/resize-w:2200/1157777/du87I8wiQe-1157777-1.jp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ssets-jiocdn.ajio.com/medias/sys_master/root1/20260302/O7gi/69a51f322078eb3010c02f16/-1117Wx1400H-4946242090-multi-MODEL.jpg" TargetMode="External"/><Relationship Id="rId2" Type="http://schemas.openxmlformats.org/officeDocument/2006/relationships/hyperlink" Target="https://innovist.com/products/cherry-lip-balm?srsltid=AfmBOooEDC-euGme8nWbFIxABbVy-hOZX4EpBasr_KyOVwjTGuKruyDP&amp;utm_source=chatgpt.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xderma.com/products/nigrifix-underarm-lightening-roll-on?srsltid=AfmBOorwTKSVZ_R6HbKY42o_7GA5PXZyCmnjJtXQ-aIBTNpqyCLyFMnS" TargetMode="External"/><Relationship Id="rId2" Type="http://schemas.openxmlformats.org/officeDocument/2006/relationships/hyperlink" Target="https://www.fixderma.com/products/nigrifix-underarm-lightening-roll-on?srsltid=AfmBOorwTKSVZ_R6HbKY42o_7GA5PXZyCmnjJtXQ-aIBTNpqyCLyFMnS"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25"/>
    <col customWidth="1" min="2" max="2" width="32.0"/>
    <col customWidth="1" min="3" max="3" width="17.0"/>
    <col customWidth="1" min="10" max="10" width="25.38"/>
    <col customWidth="1" min="11" max="11" width="34.0"/>
    <col customWidth="1" min="12" max="12" width="18.0"/>
    <col customWidth="1" min="13" max="13" width="23.38"/>
    <col customWidth="1" min="41" max="41" width="15.38"/>
    <col customWidth="1" min="42" max="42" width="17.75"/>
    <col customWidth="1" min="44" max="44" width="33.38"/>
    <col customWidth="1" min="45" max="45" width="23.0"/>
    <col customWidth="1" min="46" max="46" width="57.75"/>
    <col customWidth="1" min="47" max="48" width="30.0"/>
    <col customWidth="1" min="49" max="49" width="29.13"/>
  </cols>
  <sheetData>
    <row r="1">
      <c r="A1" s="1" t="s">
        <v>0</v>
      </c>
      <c r="B1" s="2" t="s">
        <v>1</v>
      </c>
      <c r="C1" s="1" t="s">
        <v>2</v>
      </c>
      <c r="D1" s="1" t="s">
        <v>3</v>
      </c>
      <c r="E1" s="1" t="s">
        <v>4</v>
      </c>
      <c r="F1" s="1" t="s">
        <v>5</v>
      </c>
      <c r="G1" s="3" t="s">
        <v>6</v>
      </c>
      <c r="H1" s="4" t="s">
        <v>7</v>
      </c>
      <c r="I1" s="4" t="s">
        <v>8</v>
      </c>
      <c r="J1" s="1" t="s">
        <v>9</v>
      </c>
      <c r="K1" s="1" t="s">
        <v>10</v>
      </c>
      <c r="L1" s="1" t="s">
        <v>11</v>
      </c>
      <c r="M1" s="1" t="s">
        <v>12</v>
      </c>
      <c r="N1" s="1" t="s">
        <v>13</v>
      </c>
      <c r="O1" s="1" t="s">
        <v>14</v>
      </c>
      <c r="P1" s="4"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5" t="s">
        <v>41</v>
      </c>
      <c r="AQ1" s="5" t="s">
        <v>42</v>
      </c>
      <c r="AR1" s="4" t="s">
        <v>43</v>
      </c>
      <c r="AS1" s="4" t="s">
        <v>44</v>
      </c>
      <c r="AT1" s="1" t="s">
        <v>45</v>
      </c>
      <c r="AU1" s="1" t="s">
        <v>46</v>
      </c>
      <c r="AV1" s="6" t="s">
        <v>47</v>
      </c>
      <c r="AW1" s="6" t="s">
        <v>48</v>
      </c>
      <c r="AX1" s="7"/>
      <c r="AY1" s="7"/>
      <c r="AZ1" s="7"/>
      <c r="BA1" s="7"/>
      <c r="BB1" s="8"/>
    </row>
    <row r="2" hidden="1">
      <c r="A2" s="9" t="s">
        <v>49</v>
      </c>
      <c r="B2" s="10" t="s">
        <v>50</v>
      </c>
      <c r="C2" s="11" t="s">
        <v>51</v>
      </c>
      <c r="D2" s="11" t="s">
        <v>52</v>
      </c>
      <c r="E2" s="11" t="s">
        <v>53</v>
      </c>
      <c r="F2" s="11" t="s">
        <v>54</v>
      </c>
      <c r="G2" s="12">
        <v>299.0</v>
      </c>
      <c r="H2" s="13">
        <f t="shared" ref="H2:H323" si="1">95*G2%</f>
        <v>284.05</v>
      </c>
      <c r="I2" s="14" t="s">
        <v>55</v>
      </c>
      <c r="J2" s="15" t="s">
        <v>56</v>
      </c>
      <c r="K2" s="15" t="s">
        <v>57</v>
      </c>
      <c r="L2" s="16" t="s">
        <v>58</v>
      </c>
      <c r="M2" s="16" t="s">
        <v>59</v>
      </c>
      <c r="N2" s="17">
        <v>100.0</v>
      </c>
      <c r="O2" s="17">
        <v>100.0</v>
      </c>
      <c r="P2" s="17">
        <v>100.0</v>
      </c>
      <c r="Q2" s="17">
        <v>90.0</v>
      </c>
      <c r="R2" s="17">
        <v>30.0</v>
      </c>
      <c r="S2" s="17">
        <v>90.0</v>
      </c>
      <c r="T2" s="17">
        <v>20.0</v>
      </c>
      <c r="U2" s="17">
        <v>15.0</v>
      </c>
      <c r="V2" s="17">
        <v>10.0</v>
      </c>
      <c r="W2" s="17">
        <v>5.0</v>
      </c>
      <c r="X2" s="17">
        <v>85.0</v>
      </c>
      <c r="Y2" s="17">
        <v>25.0</v>
      </c>
      <c r="Z2" s="17">
        <v>20.0</v>
      </c>
      <c r="AA2" s="17">
        <v>85.0</v>
      </c>
      <c r="AB2" s="17">
        <v>95.0</v>
      </c>
      <c r="AC2" s="17">
        <v>50.0</v>
      </c>
      <c r="AD2" s="17">
        <v>5.0</v>
      </c>
      <c r="AE2" s="17">
        <v>75.0</v>
      </c>
      <c r="AF2" s="17">
        <v>85.0</v>
      </c>
      <c r="AG2" s="17">
        <v>95.0</v>
      </c>
      <c r="AH2" s="17">
        <v>98.0</v>
      </c>
      <c r="AI2" s="17">
        <v>92.0</v>
      </c>
      <c r="AJ2" s="17">
        <v>95.0</v>
      </c>
      <c r="AK2" s="17">
        <v>90.0</v>
      </c>
      <c r="AL2" s="17">
        <v>92.0</v>
      </c>
      <c r="AM2" s="17">
        <v>100.0</v>
      </c>
      <c r="AN2" s="17">
        <v>100.0</v>
      </c>
      <c r="AO2" s="17">
        <v>100.0</v>
      </c>
      <c r="AP2" s="18" t="s">
        <v>60</v>
      </c>
      <c r="AQ2" s="19" t="s">
        <v>61</v>
      </c>
      <c r="AR2" s="20" t="s">
        <v>62</v>
      </c>
      <c r="AS2" s="20" t="s">
        <v>63</v>
      </c>
      <c r="AT2" s="20" t="s">
        <v>64</v>
      </c>
      <c r="AU2" s="21" t="s">
        <v>64</v>
      </c>
      <c r="AV2" s="22" t="s">
        <v>65</v>
      </c>
      <c r="AW2" s="23" t="s">
        <v>66</v>
      </c>
      <c r="AX2" s="24"/>
      <c r="AY2" s="24"/>
      <c r="AZ2" s="24"/>
      <c r="BA2" s="24"/>
      <c r="BB2" s="24"/>
    </row>
    <row r="3" hidden="1">
      <c r="A3" s="25" t="s">
        <v>67</v>
      </c>
      <c r="B3" s="26" t="s">
        <v>68</v>
      </c>
      <c r="C3" s="27" t="s">
        <v>51</v>
      </c>
      <c r="D3" s="27" t="s">
        <v>52</v>
      </c>
      <c r="E3" s="27" t="s">
        <v>69</v>
      </c>
      <c r="F3" s="27" t="s">
        <v>70</v>
      </c>
      <c r="G3" s="28">
        <v>649.0</v>
      </c>
      <c r="H3" s="13">
        <f t="shared" si="1"/>
        <v>616.55</v>
      </c>
      <c r="I3" s="29" t="s">
        <v>55</v>
      </c>
      <c r="J3" s="30" t="s">
        <v>71</v>
      </c>
      <c r="K3" s="30" t="s">
        <v>72</v>
      </c>
      <c r="L3" s="31" t="s">
        <v>73</v>
      </c>
      <c r="M3" s="32" t="s">
        <v>74</v>
      </c>
      <c r="N3" s="33">
        <v>-100.0</v>
      </c>
      <c r="O3" s="33">
        <v>100.0</v>
      </c>
      <c r="P3" s="33">
        <v>100.0</v>
      </c>
      <c r="Q3" s="33">
        <v>90.0</v>
      </c>
      <c r="R3" s="33">
        <v>45.0</v>
      </c>
      <c r="S3" s="33">
        <v>45.0</v>
      </c>
      <c r="T3" s="33">
        <v>85.0</v>
      </c>
      <c r="U3" s="33">
        <v>90.0</v>
      </c>
      <c r="V3" s="33">
        <v>86.0</v>
      </c>
      <c r="W3" s="33">
        <v>60.0</v>
      </c>
      <c r="X3" s="33">
        <v>40.0</v>
      </c>
      <c r="Y3" s="33">
        <v>90.0</v>
      </c>
      <c r="Z3" s="33">
        <v>95.0</v>
      </c>
      <c r="AA3" s="33">
        <v>35.0</v>
      </c>
      <c r="AB3" s="33">
        <v>40.0</v>
      </c>
      <c r="AC3" s="33">
        <v>90.0</v>
      </c>
      <c r="AD3" s="33">
        <v>25.0</v>
      </c>
      <c r="AE3" s="33">
        <v>90.0</v>
      </c>
      <c r="AF3" s="33">
        <v>55.0</v>
      </c>
      <c r="AG3" s="33">
        <v>75.0</v>
      </c>
      <c r="AH3" s="33">
        <v>40.0</v>
      </c>
      <c r="AI3" s="33">
        <v>90.0</v>
      </c>
      <c r="AJ3" s="33">
        <v>55.0</v>
      </c>
      <c r="AK3" s="33">
        <v>90.0</v>
      </c>
      <c r="AL3" s="33">
        <v>60.0</v>
      </c>
      <c r="AM3" s="33">
        <v>-100.0</v>
      </c>
      <c r="AN3" s="33">
        <v>-100.0</v>
      </c>
      <c r="AO3" s="33">
        <v>-100.0</v>
      </c>
      <c r="AP3" s="18" t="s">
        <v>75</v>
      </c>
      <c r="AQ3" s="18" t="s">
        <v>76</v>
      </c>
      <c r="AR3" s="20" t="s">
        <v>77</v>
      </c>
      <c r="AS3" s="20" t="s">
        <v>78</v>
      </c>
      <c r="AT3" s="20" t="s">
        <v>79</v>
      </c>
      <c r="AU3" s="21" t="s">
        <v>79</v>
      </c>
      <c r="AV3" s="22" t="s">
        <v>80</v>
      </c>
      <c r="AW3" s="23" t="s">
        <v>81</v>
      </c>
      <c r="AX3" s="34"/>
      <c r="AY3" s="34"/>
      <c r="AZ3" s="34"/>
      <c r="BA3" s="34"/>
      <c r="BB3" s="34"/>
    </row>
    <row r="4" hidden="1">
      <c r="A4" s="25" t="s">
        <v>82</v>
      </c>
      <c r="B4" s="26" t="s">
        <v>83</v>
      </c>
      <c r="C4" s="27" t="s">
        <v>51</v>
      </c>
      <c r="D4" s="27" t="s">
        <v>52</v>
      </c>
      <c r="E4" s="35" t="s">
        <v>84</v>
      </c>
      <c r="F4" s="27" t="s">
        <v>85</v>
      </c>
      <c r="G4" s="28">
        <v>599.0</v>
      </c>
      <c r="H4" s="36">
        <f t="shared" si="1"/>
        <v>569.05</v>
      </c>
      <c r="I4" s="29" t="s">
        <v>55</v>
      </c>
      <c r="J4" s="30" t="s">
        <v>86</v>
      </c>
      <c r="K4" s="30" t="s">
        <v>87</v>
      </c>
      <c r="L4" s="31" t="s">
        <v>88</v>
      </c>
      <c r="M4" s="31" t="s">
        <v>89</v>
      </c>
      <c r="N4" s="33">
        <v>100.0</v>
      </c>
      <c r="O4" s="33">
        <v>100.0</v>
      </c>
      <c r="P4" s="33">
        <v>100.0</v>
      </c>
      <c r="Q4" s="33">
        <v>70.0</v>
      </c>
      <c r="R4" s="33">
        <v>40.0</v>
      </c>
      <c r="S4" s="33">
        <v>85.0</v>
      </c>
      <c r="T4" s="33">
        <v>35.0</v>
      </c>
      <c r="U4" s="33">
        <v>25.0</v>
      </c>
      <c r="V4" s="33">
        <v>15.0</v>
      </c>
      <c r="W4" s="33">
        <v>5.0</v>
      </c>
      <c r="X4" s="33">
        <v>95.0</v>
      </c>
      <c r="Y4" s="33">
        <v>55.0</v>
      </c>
      <c r="Z4" s="33">
        <v>35.0</v>
      </c>
      <c r="AA4" s="33">
        <v>92.0</v>
      </c>
      <c r="AB4" s="33">
        <v>90.0</v>
      </c>
      <c r="AC4" s="33">
        <v>55.0</v>
      </c>
      <c r="AD4" s="33">
        <v>5.0</v>
      </c>
      <c r="AE4" s="33">
        <v>95.0</v>
      </c>
      <c r="AF4" s="33">
        <v>98.0</v>
      </c>
      <c r="AG4" s="33">
        <v>78.0</v>
      </c>
      <c r="AH4" s="33">
        <v>90.0</v>
      </c>
      <c r="AI4" s="33">
        <v>92.0</v>
      </c>
      <c r="AJ4" s="33">
        <v>96.0</v>
      </c>
      <c r="AK4" s="33">
        <v>95.0</v>
      </c>
      <c r="AL4" s="33">
        <v>98.0</v>
      </c>
      <c r="AM4" s="33">
        <v>0.0</v>
      </c>
      <c r="AN4" s="33">
        <v>100.0</v>
      </c>
      <c r="AO4" s="33">
        <v>100.0</v>
      </c>
      <c r="AP4" s="18" t="s">
        <v>90</v>
      </c>
      <c r="AQ4" s="18" t="s">
        <v>91</v>
      </c>
      <c r="AR4" s="20" t="s">
        <v>92</v>
      </c>
      <c r="AS4" s="20" t="s">
        <v>93</v>
      </c>
      <c r="AT4" s="20" t="s">
        <v>94</v>
      </c>
      <c r="AU4" s="21" t="s">
        <v>94</v>
      </c>
      <c r="AV4" s="22" t="s">
        <v>95</v>
      </c>
      <c r="AW4" s="23" t="s">
        <v>96</v>
      </c>
      <c r="AX4" s="34"/>
      <c r="AY4" s="34"/>
      <c r="AZ4" s="34"/>
      <c r="BA4" s="34"/>
      <c r="BB4" s="34"/>
    </row>
    <row r="5" hidden="1">
      <c r="A5" s="25" t="s">
        <v>97</v>
      </c>
      <c r="B5" s="26" t="s">
        <v>98</v>
      </c>
      <c r="C5" s="27" t="s">
        <v>51</v>
      </c>
      <c r="D5" s="27" t="s">
        <v>99</v>
      </c>
      <c r="E5" s="27" t="s">
        <v>100</v>
      </c>
      <c r="F5" s="27" t="s">
        <v>101</v>
      </c>
      <c r="G5" s="28">
        <v>349.0</v>
      </c>
      <c r="H5" s="36">
        <f t="shared" si="1"/>
        <v>331.55</v>
      </c>
      <c r="I5" s="29" t="s">
        <v>55</v>
      </c>
      <c r="J5" s="30" t="s">
        <v>102</v>
      </c>
      <c r="K5" s="30" t="s">
        <v>103</v>
      </c>
      <c r="L5" s="31" t="s">
        <v>104</v>
      </c>
      <c r="M5" s="37" t="s">
        <v>105</v>
      </c>
      <c r="N5" s="33">
        <v>0.0</v>
      </c>
      <c r="O5" s="33">
        <v>100.0</v>
      </c>
      <c r="P5" s="33">
        <v>100.0</v>
      </c>
      <c r="Q5" s="33">
        <v>90.0</v>
      </c>
      <c r="R5" s="33">
        <v>95.0</v>
      </c>
      <c r="S5" s="33">
        <v>45.0</v>
      </c>
      <c r="T5" s="33">
        <v>82.0</v>
      </c>
      <c r="U5" s="33">
        <v>55.0</v>
      </c>
      <c r="V5" s="33">
        <v>45.0</v>
      </c>
      <c r="W5" s="33">
        <v>15.0</v>
      </c>
      <c r="X5" s="33">
        <v>50.0</v>
      </c>
      <c r="Y5" s="33">
        <v>92.0</v>
      </c>
      <c r="Z5" s="33">
        <v>10.0</v>
      </c>
      <c r="AA5" s="33">
        <v>55.0</v>
      </c>
      <c r="AB5" s="33">
        <v>45.0</v>
      </c>
      <c r="AC5" s="33">
        <v>75.0</v>
      </c>
      <c r="AD5" s="33">
        <v>20.0</v>
      </c>
      <c r="AE5" s="33">
        <v>95.0</v>
      </c>
      <c r="AF5" s="33">
        <v>75.0</v>
      </c>
      <c r="AG5" s="33">
        <v>45.0</v>
      </c>
      <c r="AH5" s="33">
        <v>35.0</v>
      </c>
      <c r="AI5" s="33">
        <v>82.0</v>
      </c>
      <c r="AJ5" s="33">
        <v>72.0</v>
      </c>
      <c r="AK5" s="33">
        <v>92.0</v>
      </c>
      <c r="AL5" s="33">
        <v>78.0</v>
      </c>
      <c r="AM5" s="33">
        <v>-100.0</v>
      </c>
      <c r="AN5" s="33">
        <v>100.0</v>
      </c>
      <c r="AO5" s="33">
        <v>100.0</v>
      </c>
      <c r="AP5" s="18" t="s">
        <v>106</v>
      </c>
      <c r="AQ5" s="18" t="s">
        <v>107</v>
      </c>
      <c r="AR5" s="20" t="s">
        <v>62</v>
      </c>
      <c r="AS5" s="20" t="s">
        <v>63</v>
      </c>
      <c r="AT5" s="20" t="s">
        <v>64</v>
      </c>
      <c r="AU5" s="21" t="s">
        <v>64</v>
      </c>
      <c r="AV5" s="22" t="s">
        <v>108</v>
      </c>
      <c r="AW5" s="23" t="s">
        <v>109</v>
      </c>
      <c r="AX5" s="34"/>
      <c r="AY5" s="34"/>
      <c r="AZ5" s="34"/>
      <c r="BA5" s="34"/>
      <c r="BB5" s="34"/>
    </row>
    <row r="6" hidden="1">
      <c r="A6" s="9" t="s">
        <v>110</v>
      </c>
      <c r="B6" s="10" t="s">
        <v>111</v>
      </c>
      <c r="C6" s="11" t="s">
        <v>51</v>
      </c>
      <c r="D6" s="11" t="s">
        <v>99</v>
      </c>
      <c r="E6" s="11" t="s">
        <v>112</v>
      </c>
      <c r="F6" s="11" t="s">
        <v>113</v>
      </c>
      <c r="G6" s="12">
        <v>299.0</v>
      </c>
      <c r="H6" s="36">
        <f t="shared" si="1"/>
        <v>284.05</v>
      </c>
      <c r="I6" s="14" t="s">
        <v>55</v>
      </c>
      <c r="J6" s="15" t="s">
        <v>102</v>
      </c>
      <c r="K6" s="15" t="s">
        <v>57</v>
      </c>
      <c r="L6" s="16" t="s">
        <v>114</v>
      </c>
      <c r="M6" s="16" t="s">
        <v>115</v>
      </c>
      <c r="N6" s="17">
        <v>100.0</v>
      </c>
      <c r="O6" s="17">
        <v>100.0</v>
      </c>
      <c r="P6" s="17">
        <v>100.0</v>
      </c>
      <c r="Q6" s="17">
        <v>70.0</v>
      </c>
      <c r="R6" s="17">
        <v>78.0</v>
      </c>
      <c r="S6" s="17">
        <v>90.0</v>
      </c>
      <c r="T6" s="17">
        <v>65.0</v>
      </c>
      <c r="U6" s="17">
        <v>72.0</v>
      </c>
      <c r="V6" s="17">
        <v>68.0</v>
      </c>
      <c r="W6" s="17">
        <v>35.0</v>
      </c>
      <c r="X6" s="17">
        <v>82.0</v>
      </c>
      <c r="Y6" s="17">
        <v>60.0</v>
      </c>
      <c r="Z6" s="17">
        <v>25.0</v>
      </c>
      <c r="AA6" s="17">
        <v>80.0</v>
      </c>
      <c r="AB6" s="17">
        <v>90.0</v>
      </c>
      <c r="AC6" s="17">
        <v>72.0</v>
      </c>
      <c r="AD6" s="17">
        <v>20.0</v>
      </c>
      <c r="AE6" s="17">
        <v>90.0</v>
      </c>
      <c r="AF6" s="17">
        <v>85.0</v>
      </c>
      <c r="AG6" s="17">
        <v>90.0</v>
      </c>
      <c r="AH6" s="17">
        <v>80.0</v>
      </c>
      <c r="AI6" s="17">
        <v>85.0</v>
      </c>
      <c r="AJ6" s="17">
        <v>82.0</v>
      </c>
      <c r="AK6" s="17">
        <v>90.0</v>
      </c>
      <c r="AL6" s="17">
        <v>84.0</v>
      </c>
      <c r="AM6" s="33">
        <v>0.0</v>
      </c>
      <c r="AN6" s="17">
        <v>100.0</v>
      </c>
      <c r="AO6" s="17">
        <v>100.0</v>
      </c>
      <c r="AP6" s="18" t="s">
        <v>116</v>
      </c>
      <c r="AQ6" s="18" t="s">
        <v>117</v>
      </c>
      <c r="AR6" s="20" t="s">
        <v>118</v>
      </c>
      <c r="AS6" s="20" t="s">
        <v>119</v>
      </c>
      <c r="AT6" s="20" t="s">
        <v>120</v>
      </c>
      <c r="AU6" s="21" t="s">
        <v>120</v>
      </c>
      <c r="AV6" s="22" t="s">
        <v>121</v>
      </c>
      <c r="AW6" s="23" t="s">
        <v>122</v>
      </c>
      <c r="AX6" s="38"/>
      <c r="AY6" s="38"/>
      <c r="AZ6" s="38"/>
      <c r="BA6" s="38"/>
      <c r="BB6" s="38"/>
    </row>
    <row r="7" hidden="1">
      <c r="A7" s="25" t="s">
        <v>123</v>
      </c>
      <c r="B7" s="26" t="s">
        <v>124</v>
      </c>
      <c r="C7" s="27" t="s">
        <v>51</v>
      </c>
      <c r="D7" s="27" t="s">
        <v>52</v>
      </c>
      <c r="E7" s="27" t="s">
        <v>125</v>
      </c>
      <c r="F7" s="27" t="s">
        <v>126</v>
      </c>
      <c r="G7" s="28">
        <v>499.0</v>
      </c>
      <c r="H7" s="36">
        <f t="shared" si="1"/>
        <v>474.05</v>
      </c>
      <c r="I7" s="29" t="s">
        <v>55</v>
      </c>
      <c r="J7" s="30" t="s">
        <v>71</v>
      </c>
      <c r="K7" s="30" t="s">
        <v>127</v>
      </c>
      <c r="L7" s="31" t="s">
        <v>128</v>
      </c>
      <c r="M7" s="31" t="s">
        <v>129</v>
      </c>
      <c r="N7" s="33">
        <v>0.0</v>
      </c>
      <c r="O7" s="33">
        <v>100.0</v>
      </c>
      <c r="P7" s="33">
        <v>100.0</v>
      </c>
      <c r="Q7" s="33">
        <v>72.0</v>
      </c>
      <c r="R7" s="33">
        <v>55.0</v>
      </c>
      <c r="S7" s="33">
        <v>35.0</v>
      </c>
      <c r="T7" s="33">
        <v>78.0</v>
      </c>
      <c r="U7" s="33">
        <v>90.0</v>
      </c>
      <c r="V7" s="33">
        <v>90.0</v>
      </c>
      <c r="W7" s="33">
        <v>72.0</v>
      </c>
      <c r="X7" s="33">
        <v>40.0</v>
      </c>
      <c r="Y7" s="33">
        <v>75.0</v>
      </c>
      <c r="Z7" s="33">
        <v>55.0</v>
      </c>
      <c r="AA7" s="33">
        <v>40.0</v>
      </c>
      <c r="AB7" s="33">
        <v>35.0</v>
      </c>
      <c r="AC7" s="33">
        <v>85.0</v>
      </c>
      <c r="AD7" s="33">
        <v>75.0</v>
      </c>
      <c r="AE7" s="33">
        <v>82.0</v>
      </c>
      <c r="AF7" s="33">
        <v>55.0</v>
      </c>
      <c r="AG7" s="33">
        <v>40.0</v>
      </c>
      <c r="AH7" s="33">
        <v>25.0</v>
      </c>
      <c r="AI7" s="33">
        <v>72.0</v>
      </c>
      <c r="AJ7" s="33">
        <v>50.0</v>
      </c>
      <c r="AK7" s="33">
        <v>78.0</v>
      </c>
      <c r="AL7" s="33">
        <v>55.0</v>
      </c>
      <c r="AM7" s="33">
        <v>-100.0</v>
      </c>
      <c r="AN7" s="33">
        <v>100.0</v>
      </c>
      <c r="AO7" s="33">
        <v>100.0</v>
      </c>
      <c r="AP7" s="18" t="s">
        <v>130</v>
      </c>
      <c r="AQ7" s="18" t="s">
        <v>131</v>
      </c>
      <c r="AR7" s="20" t="s">
        <v>132</v>
      </c>
      <c r="AS7" s="20" t="s">
        <v>63</v>
      </c>
      <c r="AT7" s="20" t="s">
        <v>133</v>
      </c>
      <c r="AU7" s="21" t="s">
        <v>133</v>
      </c>
      <c r="AV7" s="22" t="s">
        <v>134</v>
      </c>
      <c r="AW7" s="23" t="s">
        <v>135</v>
      </c>
      <c r="AX7" s="34"/>
      <c r="AY7" s="34"/>
      <c r="AZ7" s="34"/>
      <c r="BA7" s="34"/>
      <c r="BB7" s="34"/>
    </row>
    <row r="8" hidden="1">
      <c r="A8" s="39" t="s">
        <v>136</v>
      </c>
      <c r="B8" s="40" t="s">
        <v>137</v>
      </c>
      <c r="C8" s="41" t="s">
        <v>51</v>
      </c>
      <c r="D8" s="41" t="s">
        <v>99</v>
      </c>
      <c r="E8" s="41" t="s">
        <v>112</v>
      </c>
      <c r="F8" s="41" t="s">
        <v>138</v>
      </c>
      <c r="G8" s="42">
        <v>499.0</v>
      </c>
      <c r="H8" s="36">
        <f t="shared" si="1"/>
        <v>474.05</v>
      </c>
      <c r="I8" s="43" t="s">
        <v>55</v>
      </c>
      <c r="J8" s="44" t="s">
        <v>139</v>
      </c>
      <c r="K8" s="44" t="s">
        <v>57</v>
      </c>
      <c r="L8" s="45" t="s">
        <v>140</v>
      </c>
      <c r="M8" s="45" t="s">
        <v>141</v>
      </c>
      <c r="N8" s="46">
        <v>100.0</v>
      </c>
      <c r="O8" s="46">
        <v>100.0</v>
      </c>
      <c r="P8" s="46">
        <v>100.0</v>
      </c>
      <c r="Q8" s="46">
        <v>20.0</v>
      </c>
      <c r="R8" s="46">
        <v>15.0</v>
      </c>
      <c r="S8" s="46">
        <v>90.0</v>
      </c>
      <c r="T8" s="46">
        <v>10.0</v>
      </c>
      <c r="U8" s="46">
        <v>35.0</v>
      </c>
      <c r="V8" s="46">
        <v>40.0</v>
      </c>
      <c r="W8" s="46">
        <v>25.0</v>
      </c>
      <c r="X8" s="46">
        <v>65.0</v>
      </c>
      <c r="Y8" s="46">
        <v>10.0</v>
      </c>
      <c r="Z8" s="46">
        <v>35.0</v>
      </c>
      <c r="AA8" s="46">
        <v>65.0</v>
      </c>
      <c r="AB8" s="46">
        <v>90.0</v>
      </c>
      <c r="AC8" s="46">
        <v>55.0</v>
      </c>
      <c r="AD8" s="46">
        <v>92.0</v>
      </c>
      <c r="AE8" s="46">
        <v>78.0</v>
      </c>
      <c r="AF8" s="46">
        <v>75.0</v>
      </c>
      <c r="AG8" s="17">
        <v>82.0</v>
      </c>
      <c r="AH8" s="46">
        <v>90.0</v>
      </c>
      <c r="AI8" s="46">
        <v>80.0</v>
      </c>
      <c r="AJ8" s="46">
        <v>78.0</v>
      </c>
      <c r="AK8" s="46">
        <v>79.0</v>
      </c>
      <c r="AL8" s="46">
        <v>77.0</v>
      </c>
      <c r="AM8" s="33">
        <v>0.0</v>
      </c>
      <c r="AN8" s="46">
        <v>100.0</v>
      </c>
      <c r="AO8" s="46">
        <v>100.0</v>
      </c>
      <c r="AP8" s="18" t="s">
        <v>142</v>
      </c>
      <c r="AQ8" s="18" t="s">
        <v>143</v>
      </c>
      <c r="AR8" s="20" t="s">
        <v>144</v>
      </c>
      <c r="AS8" s="20" t="s">
        <v>145</v>
      </c>
      <c r="AT8" s="20" t="s">
        <v>146</v>
      </c>
      <c r="AU8" s="21" t="s">
        <v>146</v>
      </c>
      <c r="AV8" s="22" t="s">
        <v>147</v>
      </c>
      <c r="AW8" s="23" t="s">
        <v>148</v>
      </c>
      <c r="AX8" s="47"/>
      <c r="AY8" s="47"/>
      <c r="AZ8" s="47"/>
      <c r="BA8" s="47"/>
      <c r="BB8" s="47"/>
    </row>
    <row r="9" hidden="1">
      <c r="A9" s="25" t="s">
        <v>149</v>
      </c>
      <c r="B9" s="26" t="s">
        <v>150</v>
      </c>
      <c r="C9" s="27" t="s">
        <v>151</v>
      </c>
      <c r="D9" s="27" t="s">
        <v>52</v>
      </c>
      <c r="E9" s="27" t="s">
        <v>53</v>
      </c>
      <c r="F9" s="27" t="s">
        <v>152</v>
      </c>
      <c r="G9" s="28">
        <v>299.0</v>
      </c>
      <c r="H9" s="36">
        <f t="shared" si="1"/>
        <v>284.05</v>
      </c>
      <c r="I9" s="29" t="s">
        <v>55</v>
      </c>
      <c r="J9" s="30" t="s">
        <v>153</v>
      </c>
      <c r="K9" s="30" t="s">
        <v>87</v>
      </c>
      <c r="L9" s="31" t="s">
        <v>154</v>
      </c>
      <c r="M9" s="31" t="s">
        <v>155</v>
      </c>
      <c r="N9" s="33">
        <v>100.0</v>
      </c>
      <c r="O9" s="33">
        <v>100.0</v>
      </c>
      <c r="P9" s="33">
        <v>100.0</v>
      </c>
      <c r="Q9" s="33">
        <v>60.0</v>
      </c>
      <c r="R9" s="33">
        <v>35.0</v>
      </c>
      <c r="S9" s="33">
        <v>85.0</v>
      </c>
      <c r="T9" s="33">
        <v>35.0</v>
      </c>
      <c r="U9" s="33">
        <v>25.0</v>
      </c>
      <c r="V9" s="33">
        <v>15.0</v>
      </c>
      <c r="W9" s="33">
        <v>5.0</v>
      </c>
      <c r="X9" s="33">
        <v>90.0</v>
      </c>
      <c r="Y9" s="33">
        <v>40.0</v>
      </c>
      <c r="Z9" s="33">
        <v>15.0</v>
      </c>
      <c r="AA9" s="33">
        <v>90.0</v>
      </c>
      <c r="AB9" s="33">
        <v>90.0</v>
      </c>
      <c r="AC9" s="33">
        <v>45.0</v>
      </c>
      <c r="AD9" s="33">
        <v>5.0</v>
      </c>
      <c r="AE9" s="33">
        <v>85.0</v>
      </c>
      <c r="AF9" s="33">
        <v>92.0</v>
      </c>
      <c r="AG9" s="33">
        <v>90.0</v>
      </c>
      <c r="AH9" s="33">
        <v>95.0</v>
      </c>
      <c r="AI9" s="33">
        <v>90.0</v>
      </c>
      <c r="AJ9" s="33">
        <v>95.0</v>
      </c>
      <c r="AK9" s="33">
        <v>90.0</v>
      </c>
      <c r="AL9" s="33">
        <v>94.0</v>
      </c>
      <c r="AM9" s="33">
        <v>100.0</v>
      </c>
      <c r="AN9" s="33">
        <v>100.0</v>
      </c>
      <c r="AO9" s="33">
        <v>100.0</v>
      </c>
      <c r="AP9" s="18" t="s">
        <v>156</v>
      </c>
      <c r="AQ9" s="18" t="s">
        <v>157</v>
      </c>
      <c r="AR9" s="20" t="s">
        <v>62</v>
      </c>
      <c r="AS9" s="20" t="s">
        <v>63</v>
      </c>
      <c r="AT9" s="20" t="s">
        <v>64</v>
      </c>
      <c r="AU9" s="21" t="s">
        <v>64</v>
      </c>
      <c r="AV9" s="22" t="s">
        <v>158</v>
      </c>
      <c r="AW9" s="23" t="s">
        <v>159</v>
      </c>
      <c r="AX9" s="34"/>
      <c r="AY9" s="48"/>
      <c r="AZ9" s="34"/>
      <c r="BA9" s="34"/>
      <c r="BB9" s="34"/>
    </row>
    <row r="10" hidden="1">
      <c r="A10" s="25" t="s">
        <v>160</v>
      </c>
      <c r="B10" s="26" t="s">
        <v>161</v>
      </c>
      <c r="C10" s="27" t="s">
        <v>151</v>
      </c>
      <c r="D10" s="27" t="s">
        <v>52</v>
      </c>
      <c r="E10" s="27" t="s">
        <v>69</v>
      </c>
      <c r="F10" s="27" t="s">
        <v>70</v>
      </c>
      <c r="G10" s="28">
        <v>499.0</v>
      </c>
      <c r="H10" s="36">
        <f t="shared" si="1"/>
        <v>474.05</v>
      </c>
      <c r="I10" s="29" t="s">
        <v>55</v>
      </c>
      <c r="J10" s="30" t="s">
        <v>71</v>
      </c>
      <c r="K10" s="30" t="s">
        <v>162</v>
      </c>
      <c r="L10" s="31" t="s">
        <v>104</v>
      </c>
      <c r="M10" s="31" t="s">
        <v>163</v>
      </c>
      <c r="N10" s="33">
        <v>0.0</v>
      </c>
      <c r="O10" s="33">
        <v>100.0</v>
      </c>
      <c r="P10" s="33">
        <v>100.0</v>
      </c>
      <c r="Q10" s="33">
        <v>95.0</v>
      </c>
      <c r="R10" s="33">
        <v>65.0</v>
      </c>
      <c r="S10" s="33">
        <v>25.0</v>
      </c>
      <c r="T10" s="33">
        <v>90.0</v>
      </c>
      <c r="U10" s="33">
        <v>55.0</v>
      </c>
      <c r="V10" s="33">
        <v>45.0</v>
      </c>
      <c r="W10" s="33">
        <v>20.0</v>
      </c>
      <c r="X10" s="33">
        <v>35.0</v>
      </c>
      <c r="Y10" s="33">
        <v>96.0</v>
      </c>
      <c r="Z10" s="33">
        <v>15.0</v>
      </c>
      <c r="AA10" s="33">
        <v>40.0</v>
      </c>
      <c r="AB10" s="33">
        <v>30.0</v>
      </c>
      <c r="AC10" s="33">
        <v>65.0</v>
      </c>
      <c r="AD10" s="33">
        <v>10.0</v>
      </c>
      <c r="AE10" s="33">
        <v>96.0</v>
      </c>
      <c r="AF10" s="33">
        <v>65.0</v>
      </c>
      <c r="AG10" s="33">
        <v>30.0</v>
      </c>
      <c r="AH10" s="33">
        <v>20.0</v>
      </c>
      <c r="AI10" s="33">
        <v>90.0</v>
      </c>
      <c r="AJ10" s="33">
        <v>55.0</v>
      </c>
      <c r="AK10" s="33">
        <v>94.0</v>
      </c>
      <c r="AL10" s="33">
        <v>62.0</v>
      </c>
      <c r="AM10" s="33">
        <v>-100.0</v>
      </c>
      <c r="AN10" s="33">
        <v>100.0</v>
      </c>
      <c r="AO10" s="33">
        <v>100.0</v>
      </c>
      <c r="AP10" s="18" t="s">
        <v>164</v>
      </c>
      <c r="AQ10" s="18" t="s">
        <v>165</v>
      </c>
      <c r="AR10" s="20" t="s">
        <v>166</v>
      </c>
      <c r="AS10" s="20" t="s">
        <v>167</v>
      </c>
      <c r="AT10" s="20" t="s">
        <v>168</v>
      </c>
      <c r="AU10" s="21" t="s">
        <v>168</v>
      </c>
      <c r="AV10" s="22" t="s">
        <v>169</v>
      </c>
      <c r="AW10" s="23" t="s">
        <v>170</v>
      </c>
      <c r="AX10" s="34"/>
      <c r="AY10" s="34"/>
      <c r="AZ10" s="34"/>
      <c r="BA10" s="34"/>
      <c r="BB10" s="34"/>
    </row>
    <row r="11" hidden="1">
      <c r="A11" s="25" t="s">
        <v>171</v>
      </c>
      <c r="B11" s="26" t="s">
        <v>172</v>
      </c>
      <c r="C11" s="27" t="s">
        <v>151</v>
      </c>
      <c r="D11" s="27" t="s">
        <v>52</v>
      </c>
      <c r="E11" s="27" t="s">
        <v>69</v>
      </c>
      <c r="F11" s="27" t="s">
        <v>70</v>
      </c>
      <c r="G11" s="28">
        <v>645.0</v>
      </c>
      <c r="H11" s="36">
        <f t="shared" si="1"/>
        <v>612.75</v>
      </c>
      <c r="I11" s="29" t="s">
        <v>55</v>
      </c>
      <c r="J11" s="30" t="s">
        <v>71</v>
      </c>
      <c r="K11" s="30" t="s">
        <v>173</v>
      </c>
      <c r="L11" s="31" t="s">
        <v>174</v>
      </c>
      <c r="M11" s="31" t="s">
        <v>175</v>
      </c>
      <c r="N11" s="33">
        <v>100.0</v>
      </c>
      <c r="O11" s="33">
        <v>100.0</v>
      </c>
      <c r="P11" s="33">
        <v>100.0</v>
      </c>
      <c r="Q11" s="33">
        <v>55.0</v>
      </c>
      <c r="R11" s="33">
        <v>20.0</v>
      </c>
      <c r="S11" s="33">
        <v>55.0</v>
      </c>
      <c r="T11" s="33">
        <v>45.0</v>
      </c>
      <c r="U11" s="33">
        <v>90.0</v>
      </c>
      <c r="V11" s="33">
        <v>90.0</v>
      </c>
      <c r="W11" s="17">
        <v>65.0</v>
      </c>
      <c r="X11" s="33">
        <v>50.0</v>
      </c>
      <c r="Y11" s="33">
        <v>35.0</v>
      </c>
      <c r="Z11" s="33">
        <v>75.0</v>
      </c>
      <c r="AA11" s="33">
        <v>60.0</v>
      </c>
      <c r="AB11" s="33">
        <v>65.0</v>
      </c>
      <c r="AC11" s="33">
        <v>92.0</v>
      </c>
      <c r="AD11" s="33">
        <v>65.0</v>
      </c>
      <c r="AE11" s="33">
        <v>90.0</v>
      </c>
      <c r="AF11" s="33">
        <v>75.0</v>
      </c>
      <c r="AG11" s="33">
        <v>68.0</v>
      </c>
      <c r="AH11" s="33">
        <v>60.0</v>
      </c>
      <c r="AI11" s="33">
        <v>90.0</v>
      </c>
      <c r="AJ11" s="33">
        <v>78.0</v>
      </c>
      <c r="AK11" s="33">
        <v>90.0</v>
      </c>
      <c r="AL11" s="33">
        <v>76.0</v>
      </c>
      <c r="AM11" s="33">
        <v>0.0</v>
      </c>
      <c r="AN11" s="33">
        <v>100.0</v>
      </c>
      <c r="AO11" s="33">
        <v>100.0</v>
      </c>
      <c r="AP11" s="18" t="s">
        <v>176</v>
      </c>
      <c r="AQ11" s="18" t="s">
        <v>177</v>
      </c>
      <c r="AR11" s="20" t="s">
        <v>166</v>
      </c>
      <c r="AS11" s="20" t="s">
        <v>167</v>
      </c>
      <c r="AT11" s="20" t="s">
        <v>168</v>
      </c>
      <c r="AU11" s="21" t="s">
        <v>168</v>
      </c>
      <c r="AV11" s="22" t="s">
        <v>178</v>
      </c>
      <c r="AW11" s="23" t="s">
        <v>179</v>
      </c>
      <c r="AX11" s="34"/>
      <c r="AY11" s="49"/>
      <c r="AZ11" s="34"/>
      <c r="BA11" s="34"/>
      <c r="BB11" s="34"/>
    </row>
    <row r="12" hidden="1">
      <c r="A12" s="25" t="s">
        <v>180</v>
      </c>
      <c r="B12" s="26" t="s">
        <v>181</v>
      </c>
      <c r="C12" s="27" t="s">
        <v>151</v>
      </c>
      <c r="D12" s="27" t="s">
        <v>99</v>
      </c>
      <c r="E12" s="27" t="s">
        <v>100</v>
      </c>
      <c r="F12" s="27" t="s">
        <v>182</v>
      </c>
      <c r="G12" s="28">
        <v>349.0</v>
      </c>
      <c r="H12" s="36">
        <f t="shared" si="1"/>
        <v>331.55</v>
      </c>
      <c r="I12" s="29" t="s">
        <v>55</v>
      </c>
      <c r="J12" s="30" t="s">
        <v>102</v>
      </c>
      <c r="K12" s="30" t="s">
        <v>17</v>
      </c>
      <c r="L12" s="31" t="s">
        <v>183</v>
      </c>
      <c r="M12" s="31" t="s">
        <v>184</v>
      </c>
      <c r="N12" s="33">
        <v>0.0</v>
      </c>
      <c r="O12" s="33">
        <v>100.0</v>
      </c>
      <c r="P12" s="33">
        <v>100.0</v>
      </c>
      <c r="Q12" s="33">
        <v>82.0</v>
      </c>
      <c r="R12" s="33">
        <v>92.0</v>
      </c>
      <c r="S12" s="33">
        <v>50.0</v>
      </c>
      <c r="T12" s="33">
        <v>75.0</v>
      </c>
      <c r="U12" s="33">
        <v>45.0</v>
      </c>
      <c r="V12" s="17">
        <v>65.0</v>
      </c>
      <c r="W12" s="33">
        <v>10.0</v>
      </c>
      <c r="X12" s="33">
        <v>45.0</v>
      </c>
      <c r="Y12" s="33">
        <v>90.0</v>
      </c>
      <c r="Z12" s="33">
        <v>10.0</v>
      </c>
      <c r="AA12" s="33">
        <v>55.0</v>
      </c>
      <c r="AB12" s="33">
        <v>55.0</v>
      </c>
      <c r="AC12" s="33">
        <v>65.0</v>
      </c>
      <c r="AD12" s="33">
        <v>15.0</v>
      </c>
      <c r="AE12" s="33">
        <v>92.0</v>
      </c>
      <c r="AF12" s="33">
        <v>72.0</v>
      </c>
      <c r="AG12" s="33">
        <v>50.0</v>
      </c>
      <c r="AH12" s="33">
        <v>40.0</v>
      </c>
      <c r="AI12" s="33">
        <v>82.0</v>
      </c>
      <c r="AJ12" s="33">
        <v>68.0</v>
      </c>
      <c r="AK12" s="33">
        <v>90.0</v>
      </c>
      <c r="AL12" s="33">
        <v>72.0</v>
      </c>
      <c r="AM12" s="33">
        <v>-100.0</v>
      </c>
      <c r="AN12" s="33">
        <v>100.0</v>
      </c>
      <c r="AO12" s="33">
        <v>100.0</v>
      </c>
      <c r="AP12" s="18" t="s">
        <v>185</v>
      </c>
      <c r="AQ12" s="18" t="s">
        <v>186</v>
      </c>
      <c r="AR12" s="20" t="s">
        <v>62</v>
      </c>
      <c r="AS12" s="20" t="s">
        <v>63</v>
      </c>
      <c r="AT12" s="20" t="s">
        <v>64</v>
      </c>
      <c r="AU12" s="21" t="s">
        <v>64</v>
      </c>
      <c r="AV12" s="22" t="s">
        <v>187</v>
      </c>
      <c r="AW12" s="23" t="s">
        <v>188</v>
      </c>
      <c r="AX12" s="34"/>
      <c r="AY12" s="34"/>
      <c r="AZ12" s="48"/>
      <c r="BA12" s="34"/>
      <c r="BB12" s="34"/>
    </row>
    <row r="13" hidden="1">
      <c r="A13" s="25" t="s">
        <v>189</v>
      </c>
      <c r="B13" s="26" t="s">
        <v>190</v>
      </c>
      <c r="C13" s="27" t="s">
        <v>151</v>
      </c>
      <c r="D13" s="27" t="s">
        <v>52</v>
      </c>
      <c r="E13" s="27" t="s">
        <v>53</v>
      </c>
      <c r="F13" s="27" t="s">
        <v>54</v>
      </c>
      <c r="G13" s="28">
        <v>349.0</v>
      </c>
      <c r="H13" s="36">
        <f t="shared" si="1"/>
        <v>331.55</v>
      </c>
      <c r="I13" s="29" t="s">
        <v>55</v>
      </c>
      <c r="J13" s="30" t="s">
        <v>102</v>
      </c>
      <c r="K13" s="30" t="s">
        <v>191</v>
      </c>
      <c r="L13" s="31" t="s">
        <v>192</v>
      </c>
      <c r="M13" s="31" t="s">
        <v>193</v>
      </c>
      <c r="N13" s="33">
        <v>0.0</v>
      </c>
      <c r="O13" s="33">
        <v>100.0</v>
      </c>
      <c r="P13" s="33">
        <v>100.0</v>
      </c>
      <c r="Q13" s="33">
        <v>90.0</v>
      </c>
      <c r="R13" s="33">
        <v>45.0</v>
      </c>
      <c r="S13" s="33">
        <v>30.0</v>
      </c>
      <c r="T13" s="33">
        <v>85.0</v>
      </c>
      <c r="U13" s="33">
        <v>60.0</v>
      </c>
      <c r="V13" s="33">
        <v>50.0</v>
      </c>
      <c r="W13" s="33">
        <v>20.0</v>
      </c>
      <c r="X13" s="33">
        <v>35.0</v>
      </c>
      <c r="Y13" s="33">
        <v>90.0</v>
      </c>
      <c r="Z13" s="33">
        <v>20.0</v>
      </c>
      <c r="AA13" s="33">
        <v>45.0</v>
      </c>
      <c r="AB13" s="33">
        <v>30.0</v>
      </c>
      <c r="AC13" s="33">
        <v>72.0</v>
      </c>
      <c r="AD13" s="33">
        <v>15.0</v>
      </c>
      <c r="AE13" s="33">
        <v>95.0</v>
      </c>
      <c r="AF13" s="33">
        <v>65.0</v>
      </c>
      <c r="AG13" s="33">
        <v>28.0</v>
      </c>
      <c r="AH13" s="33">
        <v>20.0</v>
      </c>
      <c r="AI13" s="33">
        <v>85.0</v>
      </c>
      <c r="AJ13" s="33">
        <v>55.0</v>
      </c>
      <c r="AK13" s="33">
        <v>92.0</v>
      </c>
      <c r="AL13" s="33">
        <v>60.0</v>
      </c>
      <c r="AM13" s="33">
        <v>-100.0</v>
      </c>
      <c r="AN13" s="33">
        <v>100.0</v>
      </c>
      <c r="AO13" s="33">
        <v>100.0</v>
      </c>
      <c r="AP13" s="18" t="s">
        <v>194</v>
      </c>
      <c r="AQ13" s="18" t="s">
        <v>195</v>
      </c>
      <c r="AR13" s="20" t="s">
        <v>62</v>
      </c>
      <c r="AS13" s="20" t="s">
        <v>63</v>
      </c>
      <c r="AT13" s="20" t="s">
        <v>64</v>
      </c>
      <c r="AU13" s="21" t="s">
        <v>64</v>
      </c>
      <c r="AV13" s="22" t="s">
        <v>196</v>
      </c>
      <c r="AW13" s="23" t="s">
        <v>197</v>
      </c>
      <c r="AX13" s="34"/>
      <c r="AY13" s="34"/>
      <c r="AZ13" s="34"/>
      <c r="BA13" s="34"/>
      <c r="BB13" s="34"/>
    </row>
    <row r="14" hidden="1">
      <c r="A14" s="25" t="s">
        <v>198</v>
      </c>
      <c r="B14" s="26" t="s">
        <v>199</v>
      </c>
      <c r="C14" s="27" t="s">
        <v>200</v>
      </c>
      <c r="D14" s="27" t="s">
        <v>52</v>
      </c>
      <c r="E14" s="27" t="s">
        <v>53</v>
      </c>
      <c r="F14" s="27" t="s">
        <v>54</v>
      </c>
      <c r="G14" s="28">
        <v>299.0</v>
      </c>
      <c r="H14" s="36">
        <f t="shared" si="1"/>
        <v>284.05</v>
      </c>
      <c r="I14" s="29" t="s">
        <v>55</v>
      </c>
      <c r="J14" s="30" t="s">
        <v>201</v>
      </c>
      <c r="K14" s="30" t="s">
        <v>202</v>
      </c>
      <c r="L14" s="31" t="s">
        <v>203</v>
      </c>
      <c r="M14" s="31" t="s">
        <v>204</v>
      </c>
      <c r="N14" s="33">
        <v>100.0</v>
      </c>
      <c r="O14" s="33">
        <v>100.0</v>
      </c>
      <c r="P14" s="33">
        <v>100.0</v>
      </c>
      <c r="Q14" s="33">
        <v>35.0</v>
      </c>
      <c r="R14" s="33">
        <v>20.0</v>
      </c>
      <c r="S14" s="33">
        <v>90.0</v>
      </c>
      <c r="T14" s="33">
        <v>15.0</v>
      </c>
      <c r="U14" s="33">
        <v>10.0</v>
      </c>
      <c r="V14" s="33">
        <v>5.0</v>
      </c>
      <c r="W14" s="33">
        <v>5.0</v>
      </c>
      <c r="X14" s="33">
        <v>85.0</v>
      </c>
      <c r="Y14" s="33">
        <v>20.0</v>
      </c>
      <c r="Z14" s="33">
        <v>15.0</v>
      </c>
      <c r="AA14" s="33">
        <v>90.0</v>
      </c>
      <c r="AB14" s="33">
        <v>95.0</v>
      </c>
      <c r="AC14" s="33">
        <v>40.0</v>
      </c>
      <c r="AD14" s="33">
        <v>5.0</v>
      </c>
      <c r="AE14" s="33">
        <v>75.0</v>
      </c>
      <c r="AF14" s="33">
        <v>90.0</v>
      </c>
      <c r="AG14" s="33">
        <v>95.0</v>
      </c>
      <c r="AH14" s="33">
        <v>98.0</v>
      </c>
      <c r="AI14" s="33">
        <v>90.0</v>
      </c>
      <c r="AJ14" s="33">
        <v>95.0</v>
      </c>
      <c r="AK14" s="33">
        <v>85.0</v>
      </c>
      <c r="AL14" s="33">
        <v>92.0</v>
      </c>
      <c r="AM14" s="33">
        <v>100.0</v>
      </c>
      <c r="AN14" s="33">
        <v>100.0</v>
      </c>
      <c r="AO14" s="33">
        <v>100.0</v>
      </c>
      <c r="AP14" s="18" t="s">
        <v>205</v>
      </c>
      <c r="AQ14" s="18" t="s">
        <v>206</v>
      </c>
      <c r="AR14" s="20" t="s">
        <v>62</v>
      </c>
      <c r="AS14" s="20" t="s">
        <v>63</v>
      </c>
      <c r="AT14" s="20" t="s">
        <v>64</v>
      </c>
      <c r="AU14" s="21" t="s">
        <v>64</v>
      </c>
      <c r="AV14" s="22" t="s">
        <v>65</v>
      </c>
      <c r="AW14" s="23" t="s">
        <v>207</v>
      </c>
      <c r="AX14" s="34"/>
      <c r="AY14" s="34"/>
      <c r="AZ14" s="50"/>
      <c r="BA14" s="51"/>
      <c r="BB14" s="34"/>
    </row>
    <row r="15" hidden="1">
      <c r="A15" s="25" t="s">
        <v>208</v>
      </c>
      <c r="B15" s="26" t="s">
        <v>209</v>
      </c>
      <c r="C15" s="27" t="s">
        <v>200</v>
      </c>
      <c r="D15" s="27" t="s">
        <v>52</v>
      </c>
      <c r="E15" s="27" t="s">
        <v>69</v>
      </c>
      <c r="F15" s="27" t="s">
        <v>70</v>
      </c>
      <c r="G15" s="28">
        <v>799.0</v>
      </c>
      <c r="H15" s="36">
        <f t="shared" si="1"/>
        <v>759.05</v>
      </c>
      <c r="I15" s="29" t="s">
        <v>55</v>
      </c>
      <c r="J15" s="30" t="s">
        <v>71</v>
      </c>
      <c r="K15" s="30" t="s">
        <v>162</v>
      </c>
      <c r="L15" s="31" t="s">
        <v>154</v>
      </c>
      <c r="M15" s="31" t="s">
        <v>210</v>
      </c>
      <c r="N15" s="33">
        <v>0.0</v>
      </c>
      <c r="O15" s="33">
        <v>100.0</v>
      </c>
      <c r="P15" s="33">
        <v>100.0</v>
      </c>
      <c r="Q15" s="33">
        <v>95.0</v>
      </c>
      <c r="R15" s="33">
        <v>55.0</v>
      </c>
      <c r="S15" s="33">
        <v>25.0</v>
      </c>
      <c r="T15" s="33">
        <v>92.0</v>
      </c>
      <c r="U15" s="33">
        <v>45.0</v>
      </c>
      <c r="V15" s="33">
        <v>35.0</v>
      </c>
      <c r="W15" s="33">
        <v>10.0</v>
      </c>
      <c r="X15" s="33">
        <v>35.0</v>
      </c>
      <c r="Y15" s="33">
        <v>97.0</v>
      </c>
      <c r="Z15" s="33">
        <v>10.0</v>
      </c>
      <c r="AA15" s="33">
        <v>45.0</v>
      </c>
      <c r="AB15" s="33">
        <v>25.0</v>
      </c>
      <c r="AC15" s="33">
        <v>60.0</v>
      </c>
      <c r="AD15" s="33">
        <v>10.0</v>
      </c>
      <c r="AE15" s="33">
        <v>98.0</v>
      </c>
      <c r="AF15" s="33">
        <v>70.0</v>
      </c>
      <c r="AG15" s="33">
        <v>25.0</v>
      </c>
      <c r="AH15" s="33">
        <v>18.0</v>
      </c>
      <c r="AI15" s="33">
        <v>90.0</v>
      </c>
      <c r="AJ15" s="33">
        <v>60.0</v>
      </c>
      <c r="AK15" s="33">
        <v>95.0</v>
      </c>
      <c r="AL15" s="33">
        <v>65.0</v>
      </c>
      <c r="AM15" s="33">
        <v>-100.0</v>
      </c>
      <c r="AN15" s="33">
        <v>100.0</v>
      </c>
      <c r="AO15" s="33">
        <v>100.0</v>
      </c>
      <c r="AP15" s="18" t="s">
        <v>211</v>
      </c>
      <c r="AQ15" s="18" t="s">
        <v>212</v>
      </c>
      <c r="AR15" s="20" t="s">
        <v>166</v>
      </c>
      <c r="AS15" s="20" t="s">
        <v>167</v>
      </c>
      <c r="AT15" s="20" t="s">
        <v>168</v>
      </c>
      <c r="AU15" s="21" t="s">
        <v>168</v>
      </c>
      <c r="AV15" s="22" t="s">
        <v>169</v>
      </c>
      <c r="AW15" s="23" t="s">
        <v>213</v>
      </c>
      <c r="AX15" s="34"/>
      <c r="AY15" s="34"/>
      <c r="AZ15" s="34"/>
      <c r="BA15" s="34"/>
      <c r="BB15" s="34"/>
    </row>
    <row r="16" hidden="1">
      <c r="A16" s="25" t="s">
        <v>214</v>
      </c>
      <c r="B16" s="26" t="s">
        <v>215</v>
      </c>
      <c r="C16" s="27" t="s">
        <v>200</v>
      </c>
      <c r="D16" s="27" t="s">
        <v>52</v>
      </c>
      <c r="E16" s="27" t="s">
        <v>69</v>
      </c>
      <c r="F16" s="27" t="s">
        <v>70</v>
      </c>
      <c r="G16" s="28">
        <v>699.0</v>
      </c>
      <c r="H16" s="36">
        <f t="shared" si="1"/>
        <v>664.05</v>
      </c>
      <c r="I16" s="29" t="s">
        <v>55</v>
      </c>
      <c r="J16" s="30" t="s">
        <v>216</v>
      </c>
      <c r="K16" s="30" t="s">
        <v>127</v>
      </c>
      <c r="L16" s="31" t="s">
        <v>114</v>
      </c>
      <c r="M16" s="31" t="s">
        <v>217</v>
      </c>
      <c r="N16" s="33">
        <v>100.0</v>
      </c>
      <c r="O16" s="33">
        <v>100.0</v>
      </c>
      <c r="P16" s="33">
        <v>100.0</v>
      </c>
      <c r="Q16" s="33">
        <v>45.0</v>
      </c>
      <c r="R16" s="33">
        <v>15.0</v>
      </c>
      <c r="S16" s="33">
        <v>55.0</v>
      </c>
      <c r="T16" s="33">
        <v>35.0</v>
      </c>
      <c r="U16" s="33">
        <v>90.0</v>
      </c>
      <c r="V16" s="33">
        <v>92.0</v>
      </c>
      <c r="W16" s="33">
        <v>82.0</v>
      </c>
      <c r="X16" s="33">
        <v>45.0</v>
      </c>
      <c r="Y16" s="33">
        <v>30.0</v>
      </c>
      <c r="Z16" s="33">
        <v>25.0</v>
      </c>
      <c r="AA16" s="33">
        <v>70.0</v>
      </c>
      <c r="AB16" s="33">
        <v>60.0</v>
      </c>
      <c r="AC16" s="33">
        <v>85.0</v>
      </c>
      <c r="AD16" s="33">
        <v>40.0</v>
      </c>
      <c r="AE16" s="33">
        <v>82.0</v>
      </c>
      <c r="AF16" s="33">
        <v>80.0</v>
      </c>
      <c r="AG16" s="33">
        <v>72.0</v>
      </c>
      <c r="AH16" s="33">
        <v>70.0</v>
      </c>
      <c r="AI16" s="33">
        <v>90.0</v>
      </c>
      <c r="AJ16" s="33">
        <v>82.0</v>
      </c>
      <c r="AK16" s="33">
        <v>84.0</v>
      </c>
      <c r="AL16" s="33">
        <v>82.0</v>
      </c>
      <c r="AM16" s="33">
        <v>0.0</v>
      </c>
      <c r="AN16" s="33">
        <v>100.0</v>
      </c>
      <c r="AO16" s="33">
        <v>100.0</v>
      </c>
      <c r="AP16" s="18" t="s">
        <v>218</v>
      </c>
      <c r="AQ16" s="18" t="s">
        <v>219</v>
      </c>
      <c r="AR16" s="20" t="s">
        <v>166</v>
      </c>
      <c r="AS16" s="20" t="s">
        <v>167</v>
      </c>
      <c r="AT16" s="20" t="s">
        <v>168</v>
      </c>
      <c r="AU16" s="21" t="s">
        <v>168</v>
      </c>
      <c r="AV16" s="22" t="s">
        <v>220</v>
      </c>
      <c r="AW16" s="23" t="s">
        <v>221</v>
      </c>
      <c r="AX16" s="34"/>
      <c r="AY16" s="34"/>
      <c r="AZ16" s="34"/>
      <c r="BA16" s="34"/>
      <c r="BB16" s="34"/>
    </row>
    <row r="17" hidden="1">
      <c r="A17" s="25" t="s">
        <v>222</v>
      </c>
      <c r="B17" s="26" t="s">
        <v>223</v>
      </c>
      <c r="C17" s="27" t="s">
        <v>200</v>
      </c>
      <c r="D17" s="27" t="s">
        <v>52</v>
      </c>
      <c r="E17" s="27" t="s">
        <v>69</v>
      </c>
      <c r="F17" s="27" t="s">
        <v>70</v>
      </c>
      <c r="G17" s="28">
        <v>799.0</v>
      </c>
      <c r="H17" s="36">
        <f t="shared" si="1"/>
        <v>759.05</v>
      </c>
      <c r="I17" s="29" t="s">
        <v>55</v>
      </c>
      <c r="J17" s="30" t="s">
        <v>224</v>
      </c>
      <c r="K17" s="30" t="s">
        <v>173</v>
      </c>
      <c r="L17" s="31" t="s">
        <v>174</v>
      </c>
      <c r="M17" s="31" t="s">
        <v>225</v>
      </c>
      <c r="N17" s="33">
        <v>100.0</v>
      </c>
      <c r="O17" s="33">
        <v>100.0</v>
      </c>
      <c r="P17" s="33">
        <v>100.0</v>
      </c>
      <c r="Q17" s="33">
        <v>50.0</v>
      </c>
      <c r="R17" s="33">
        <v>15.0</v>
      </c>
      <c r="S17" s="33">
        <v>55.0</v>
      </c>
      <c r="T17" s="33">
        <v>40.0</v>
      </c>
      <c r="U17" s="33">
        <v>90.0</v>
      </c>
      <c r="V17" s="33">
        <v>90.0</v>
      </c>
      <c r="W17" s="33">
        <v>65.0</v>
      </c>
      <c r="X17" s="33">
        <v>50.0</v>
      </c>
      <c r="Y17" s="33">
        <v>30.0</v>
      </c>
      <c r="Z17" s="33">
        <v>78.0</v>
      </c>
      <c r="AA17" s="33">
        <v>65.0</v>
      </c>
      <c r="AB17" s="33">
        <v>65.0</v>
      </c>
      <c r="AC17" s="33">
        <v>95.0</v>
      </c>
      <c r="AD17" s="33">
        <v>65.0</v>
      </c>
      <c r="AE17" s="33">
        <v>84.0</v>
      </c>
      <c r="AF17" s="33">
        <v>78.0</v>
      </c>
      <c r="AG17" s="33">
        <v>70.0</v>
      </c>
      <c r="AH17" s="33">
        <v>65.0</v>
      </c>
      <c r="AI17" s="33">
        <v>90.0</v>
      </c>
      <c r="AJ17" s="33">
        <v>82.0</v>
      </c>
      <c r="AK17" s="33">
        <v>90.0</v>
      </c>
      <c r="AL17" s="33">
        <v>80.0</v>
      </c>
      <c r="AM17" s="33">
        <v>0.0</v>
      </c>
      <c r="AN17" s="33">
        <v>100.0</v>
      </c>
      <c r="AO17" s="33">
        <v>100.0</v>
      </c>
      <c r="AP17" s="18" t="s">
        <v>226</v>
      </c>
      <c r="AQ17" s="18" t="s">
        <v>227</v>
      </c>
      <c r="AR17" s="20" t="s">
        <v>166</v>
      </c>
      <c r="AS17" s="20" t="s">
        <v>167</v>
      </c>
      <c r="AT17" s="20" t="s">
        <v>168</v>
      </c>
      <c r="AU17" s="21" t="s">
        <v>168</v>
      </c>
      <c r="AV17" s="22" t="s">
        <v>228</v>
      </c>
      <c r="AW17" s="23" t="s">
        <v>229</v>
      </c>
      <c r="AX17" s="34"/>
      <c r="AY17" s="34"/>
      <c r="AZ17" s="34"/>
      <c r="BA17" s="34"/>
      <c r="BB17" s="34"/>
    </row>
    <row r="18" hidden="1">
      <c r="A18" s="25" t="s">
        <v>230</v>
      </c>
      <c r="B18" s="26" t="s">
        <v>231</v>
      </c>
      <c r="C18" s="27" t="s">
        <v>200</v>
      </c>
      <c r="D18" s="27" t="s">
        <v>52</v>
      </c>
      <c r="E18" s="27" t="s">
        <v>69</v>
      </c>
      <c r="F18" s="27" t="s">
        <v>70</v>
      </c>
      <c r="G18" s="28">
        <v>699.0</v>
      </c>
      <c r="H18" s="36">
        <f t="shared" si="1"/>
        <v>664.05</v>
      </c>
      <c r="I18" s="29" t="s">
        <v>55</v>
      </c>
      <c r="J18" s="30" t="s">
        <v>232</v>
      </c>
      <c r="K18" s="30" t="s">
        <v>233</v>
      </c>
      <c r="L18" s="31" t="s">
        <v>234</v>
      </c>
      <c r="M18" s="31" t="s">
        <v>235</v>
      </c>
      <c r="N18" s="33">
        <v>100.0</v>
      </c>
      <c r="O18" s="33">
        <v>100.0</v>
      </c>
      <c r="P18" s="33">
        <v>100.0</v>
      </c>
      <c r="Q18" s="33">
        <v>82.0</v>
      </c>
      <c r="R18" s="33">
        <v>25.0</v>
      </c>
      <c r="S18" s="33">
        <v>50.0</v>
      </c>
      <c r="T18" s="33">
        <v>90.0</v>
      </c>
      <c r="U18" s="33">
        <v>90.0</v>
      </c>
      <c r="V18" s="33">
        <v>82.0</v>
      </c>
      <c r="W18" s="33">
        <v>65.0</v>
      </c>
      <c r="X18" s="33">
        <v>55.0</v>
      </c>
      <c r="Y18" s="33">
        <v>75.0</v>
      </c>
      <c r="Z18" s="33">
        <v>30.0</v>
      </c>
      <c r="AA18" s="33">
        <v>72.0</v>
      </c>
      <c r="AB18" s="33">
        <v>60.0</v>
      </c>
      <c r="AC18" s="33">
        <v>82.0</v>
      </c>
      <c r="AD18" s="33">
        <v>35.0</v>
      </c>
      <c r="AE18" s="33">
        <v>95.0</v>
      </c>
      <c r="AF18" s="33">
        <v>90.0</v>
      </c>
      <c r="AG18" s="33">
        <v>65.0</v>
      </c>
      <c r="AH18" s="33">
        <v>60.0</v>
      </c>
      <c r="AI18" s="33">
        <v>90.0</v>
      </c>
      <c r="AJ18" s="33">
        <v>85.0</v>
      </c>
      <c r="AK18" s="33">
        <v>92.0</v>
      </c>
      <c r="AL18" s="33">
        <v>86.0</v>
      </c>
      <c r="AM18" s="33">
        <v>-100.0</v>
      </c>
      <c r="AN18" s="33">
        <v>100.0</v>
      </c>
      <c r="AO18" s="33">
        <v>100.0</v>
      </c>
      <c r="AP18" s="18" t="s">
        <v>236</v>
      </c>
      <c r="AQ18" s="18" t="s">
        <v>237</v>
      </c>
      <c r="AR18" s="20" t="s">
        <v>166</v>
      </c>
      <c r="AS18" s="20" t="s">
        <v>167</v>
      </c>
      <c r="AT18" s="20" t="s">
        <v>168</v>
      </c>
      <c r="AU18" s="21" t="s">
        <v>168</v>
      </c>
      <c r="AV18" s="22" t="s">
        <v>238</v>
      </c>
      <c r="AW18" s="23" t="s">
        <v>239</v>
      </c>
      <c r="AX18" s="34"/>
      <c r="AY18" s="34"/>
      <c r="AZ18" s="34"/>
      <c r="BA18" s="34"/>
      <c r="BB18" s="34"/>
    </row>
    <row r="19" hidden="1">
      <c r="A19" s="25" t="s">
        <v>240</v>
      </c>
      <c r="B19" s="26" t="s">
        <v>241</v>
      </c>
      <c r="C19" s="27" t="s">
        <v>200</v>
      </c>
      <c r="D19" s="27" t="s">
        <v>52</v>
      </c>
      <c r="E19" s="35" t="s">
        <v>84</v>
      </c>
      <c r="F19" s="27" t="s">
        <v>85</v>
      </c>
      <c r="G19" s="28">
        <v>349.0</v>
      </c>
      <c r="H19" s="36">
        <f t="shared" si="1"/>
        <v>331.55</v>
      </c>
      <c r="I19" s="29" t="s">
        <v>55</v>
      </c>
      <c r="J19" s="30" t="s">
        <v>242</v>
      </c>
      <c r="K19" s="30" t="s">
        <v>243</v>
      </c>
      <c r="L19" s="31" t="s">
        <v>244</v>
      </c>
      <c r="M19" s="31" t="s">
        <v>245</v>
      </c>
      <c r="N19" s="33">
        <v>100.0</v>
      </c>
      <c r="O19" s="33">
        <v>100.0</v>
      </c>
      <c r="P19" s="33">
        <v>100.0</v>
      </c>
      <c r="Q19" s="33">
        <v>35.0</v>
      </c>
      <c r="R19" s="33">
        <v>15.0</v>
      </c>
      <c r="S19" s="33">
        <v>90.0</v>
      </c>
      <c r="T19" s="33">
        <v>15.0</v>
      </c>
      <c r="U19" s="33">
        <v>10.0</v>
      </c>
      <c r="V19" s="33">
        <v>5.0</v>
      </c>
      <c r="W19" s="33">
        <v>5.0</v>
      </c>
      <c r="X19" s="33">
        <v>90.0</v>
      </c>
      <c r="Y19" s="33">
        <v>15.0</v>
      </c>
      <c r="Z19" s="33">
        <v>15.0</v>
      </c>
      <c r="AA19" s="33">
        <v>90.0</v>
      </c>
      <c r="AB19" s="33">
        <v>92.0</v>
      </c>
      <c r="AC19" s="33">
        <v>40.0</v>
      </c>
      <c r="AD19" s="33">
        <v>5.0</v>
      </c>
      <c r="AE19" s="33">
        <v>95.0</v>
      </c>
      <c r="AF19" s="33">
        <v>98.0</v>
      </c>
      <c r="AG19" s="33">
        <v>82.0</v>
      </c>
      <c r="AH19" s="33">
        <v>90.0</v>
      </c>
      <c r="AI19" s="33">
        <v>90.0</v>
      </c>
      <c r="AJ19" s="33">
        <v>95.0</v>
      </c>
      <c r="AK19" s="33">
        <v>92.0</v>
      </c>
      <c r="AL19" s="33">
        <v>96.0</v>
      </c>
      <c r="AM19" s="33">
        <v>0.0</v>
      </c>
      <c r="AN19" s="33">
        <v>100.0</v>
      </c>
      <c r="AO19" s="33">
        <v>100.0</v>
      </c>
      <c r="AP19" s="18" t="s">
        <v>246</v>
      </c>
      <c r="AQ19" s="18" t="s">
        <v>247</v>
      </c>
      <c r="AR19" s="20" t="s">
        <v>92</v>
      </c>
      <c r="AS19" s="20" t="s">
        <v>93</v>
      </c>
      <c r="AT19" s="20" t="s">
        <v>94</v>
      </c>
      <c r="AU19" s="21" t="s">
        <v>94</v>
      </c>
      <c r="AV19" s="22" t="s">
        <v>248</v>
      </c>
      <c r="AW19" s="23" t="s">
        <v>249</v>
      </c>
      <c r="AX19" s="34"/>
      <c r="AY19" s="34"/>
      <c r="AZ19" s="34"/>
      <c r="BA19" s="34"/>
      <c r="BB19" s="34"/>
    </row>
    <row r="20" hidden="1">
      <c r="A20" s="25" t="s">
        <v>250</v>
      </c>
      <c r="B20" s="26" t="s">
        <v>251</v>
      </c>
      <c r="C20" s="27" t="s">
        <v>200</v>
      </c>
      <c r="D20" s="27" t="s">
        <v>52</v>
      </c>
      <c r="E20" s="27" t="s">
        <v>252</v>
      </c>
      <c r="F20" s="27" t="s">
        <v>85</v>
      </c>
      <c r="G20" s="28">
        <v>399.0</v>
      </c>
      <c r="H20" s="36">
        <f t="shared" si="1"/>
        <v>379.05</v>
      </c>
      <c r="I20" s="29" t="s">
        <v>55</v>
      </c>
      <c r="J20" s="30" t="s">
        <v>253</v>
      </c>
      <c r="K20" s="30" t="s">
        <v>29</v>
      </c>
      <c r="L20" s="31" t="s">
        <v>254</v>
      </c>
      <c r="M20" s="31" t="s">
        <v>255</v>
      </c>
      <c r="N20" s="33">
        <v>100.0</v>
      </c>
      <c r="O20" s="33">
        <v>100.0</v>
      </c>
      <c r="P20" s="33">
        <v>100.0</v>
      </c>
      <c r="Q20" s="33">
        <v>20.0</v>
      </c>
      <c r="R20" s="33">
        <v>10.0</v>
      </c>
      <c r="S20" s="33">
        <v>65.0</v>
      </c>
      <c r="T20" s="33">
        <v>10.0</v>
      </c>
      <c r="U20" s="33">
        <v>40.0</v>
      </c>
      <c r="V20" s="33">
        <v>45.0</v>
      </c>
      <c r="W20" s="33">
        <v>35.0</v>
      </c>
      <c r="X20" s="33">
        <v>55.0</v>
      </c>
      <c r="Y20" s="33">
        <v>10.0</v>
      </c>
      <c r="Z20" s="33">
        <v>35.0</v>
      </c>
      <c r="AA20" s="33">
        <v>75.0</v>
      </c>
      <c r="AB20" s="33">
        <v>70.0</v>
      </c>
      <c r="AC20" s="33">
        <v>55.0</v>
      </c>
      <c r="AD20" s="33">
        <v>98.0</v>
      </c>
      <c r="AE20" s="33">
        <v>95.0</v>
      </c>
      <c r="AF20" s="33">
        <v>92.0</v>
      </c>
      <c r="AG20" s="33">
        <v>68.0</v>
      </c>
      <c r="AH20" s="33">
        <v>65.0</v>
      </c>
      <c r="AI20" s="33">
        <v>90.0</v>
      </c>
      <c r="AJ20" s="33">
        <v>85.0</v>
      </c>
      <c r="AK20" s="33">
        <v>92.0</v>
      </c>
      <c r="AL20" s="33">
        <v>90.0</v>
      </c>
      <c r="AM20" s="33">
        <v>-100.0</v>
      </c>
      <c r="AN20" s="33">
        <v>100.0</v>
      </c>
      <c r="AO20" s="33">
        <v>100.0</v>
      </c>
      <c r="AP20" s="18" t="s">
        <v>256</v>
      </c>
      <c r="AQ20" s="18" t="s">
        <v>257</v>
      </c>
      <c r="AR20" s="20" t="s">
        <v>144</v>
      </c>
      <c r="AS20" s="20" t="s">
        <v>145</v>
      </c>
      <c r="AT20" s="20" t="s">
        <v>146</v>
      </c>
      <c r="AU20" s="21" t="s">
        <v>146</v>
      </c>
      <c r="AV20" s="22" t="s">
        <v>258</v>
      </c>
      <c r="AW20" s="23" t="s">
        <v>259</v>
      </c>
      <c r="AX20" s="34"/>
      <c r="AY20" s="34"/>
      <c r="AZ20" s="34"/>
      <c r="BA20" s="34"/>
      <c r="BB20" s="34"/>
    </row>
    <row r="21" hidden="1">
      <c r="A21" s="25" t="s">
        <v>260</v>
      </c>
      <c r="B21" s="26" t="s">
        <v>261</v>
      </c>
      <c r="C21" s="27" t="s">
        <v>200</v>
      </c>
      <c r="D21" s="27" t="s">
        <v>52</v>
      </c>
      <c r="E21" s="27" t="s">
        <v>69</v>
      </c>
      <c r="F21" s="27" t="s">
        <v>70</v>
      </c>
      <c r="G21" s="28">
        <v>799.0</v>
      </c>
      <c r="H21" s="36">
        <f t="shared" si="1"/>
        <v>759.05</v>
      </c>
      <c r="I21" s="29" t="s">
        <v>55</v>
      </c>
      <c r="J21" s="30" t="s">
        <v>216</v>
      </c>
      <c r="K21" s="30" t="s">
        <v>173</v>
      </c>
      <c r="L21" s="31" t="s">
        <v>174</v>
      </c>
      <c r="M21" s="31" t="s">
        <v>262</v>
      </c>
      <c r="N21" s="33">
        <v>100.0</v>
      </c>
      <c r="O21" s="33">
        <v>100.0</v>
      </c>
      <c r="P21" s="33">
        <v>100.0</v>
      </c>
      <c r="Q21" s="33">
        <v>50.0</v>
      </c>
      <c r="R21" s="33">
        <v>15.0</v>
      </c>
      <c r="S21" s="33">
        <v>55.0</v>
      </c>
      <c r="T21" s="33">
        <v>40.0</v>
      </c>
      <c r="U21" s="33">
        <v>90.0</v>
      </c>
      <c r="V21" s="33">
        <v>90.0</v>
      </c>
      <c r="W21" s="33">
        <v>65.0</v>
      </c>
      <c r="X21" s="33">
        <v>50.0</v>
      </c>
      <c r="Y21" s="33">
        <v>30.0</v>
      </c>
      <c r="Z21" s="33">
        <v>80.0</v>
      </c>
      <c r="AA21" s="33">
        <v>65.0</v>
      </c>
      <c r="AB21" s="33">
        <v>65.0</v>
      </c>
      <c r="AC21" s="33">
        <v>95.0</v>
      </c>
      <c r="AD21" s="33">
        <v>65.0</v>
      </c>
      <c r="AE21" s="33">
        <v>84.0</v>
      </c>
      <c r="AF21" s="33">
        <v>78.0</v>
      </c>
      <c r="AG21" s="33">
        <v>70.0</v>
      </c>
      <c r="AH21" s="33">
        <v>65.0</v>
      </c>
      <c r="AI21" s="33">
        <v>90.0</v>
      </c>
      <c r="AJ21" s="33">
        <v>82.0</v>
      </c>
      <c r="AK21" s="33">
        <v>86.0</v>
      </c>
      <c r="AL21" s="33">
        <v>80.0</v>
      </c>
      <c r="AM21" s="33">
        <v>0.0</v>
      </c>
      <c r="AN21" s="33">
        <v>100.0</v>
      </c>
      <c r="AO21" s="33">
        <v>100.0</v>
      </c>
      <c r="AP21" s="18" t="s">
        <v>226</v>
      </c>
      <c r="AQ21" s="18" t="s">
        <v>227</v>
      </c>
      <c r="AR21" s="20" t="s">
        <v>166</v>
      </c>
      <c r="AS21" s="20" t="s">
        <v>167</v>
      </c>
      <c r="AT21" s="20" t="s">
        <v>168</v>
      </c>
      <c r="AU21" s="21" t="s">
        <v>168</v>
      </c>
      <c r="AV21" s="22" t="s">
        <v>228</v>
      </c>
      <c r="AW21" s="23" t="s">
        <v>263</v>
      </c>
      <c r="AX21" s="34"/>
      <c r="AY21" s="34"/>
      <c r="AZ21" s="34"/>
      <c r="BA21" s="34"/>
      <c r="BB21" s="34"/>
    </row>
    <row r="22" hidden="1">
      <c r="A22" s="25" t="s">
        <v>264</v>
      </c>
      <c r="B22" s="26" t="s">
        <v>265</v>
      </c>
      <c r="C22" s="27" t="s">
        <v>200</v>
      </c>
      <c r="D22" s="27" t="s">
        <v>52</v>
      </c>
      <c r="E22" s="27" t="s">
        <v>69</v>
      </c>
      <c r="F22" s="27" t="s">
        <v>70</v>
      </c>
      <c r="G22" s="28">
        <v>699.0</v>
      </c>
      <c r="H22" s="36">
        <f t="shared" si="1"/>
        <v>664.05</v>
      </c>
      <c r="I22" s="29" t="s">
        <v>55</v>
      </c>
      <c r="J22" s="30" t="s">
        <v>266</v>
      </c>
      <c r="K22" s="30" t="s">
        <v>243</v>
      </c>
      <c r="L22" s="31" t="s">
        <v>267</v>
      </c>
      <c r="M22" s="31" t="s">
        <v>268</v>
      </c>
      <c r="N22" s="33">
        <v>100.0</v>
      </c>
      <c r="O22" s="33">
        <v>100.0</v>
      </c>
      <c r="P22" s="33">
        <v>100.0</v>
      </c>
      <c r="Q22" s="33">
        <v>35.0</v>
      </c>
      <c r="R22" s="33">
        <v>15.0</v>
      </c>
      <c r="S22" s="33">
        <v>95.0</v>
      </c>
      <c r="T22" s="33">
        <v>15.0</v>
      </c>
      <c r="U22" s="33">
        <v>20.0</v>
      </c>
      <c r="V22" s="33">
        <v>10.0</v>
      </c>
      <c r="W22" s="33">
        <v>5.0</v>
      </c>
      <c r="X22" s="33">
        <v>90.0</v>
      </c>
      <c r="Y22" s="33">
        <v>15.0</v>
      </c>
      <c r="Z22" s="33">
        <v>25.0</v>
      </c>
      <c r="AA22" s="33">
        <v>90.0</v>
      </c>
      <c r="AB22" s="33">
        <v>98.0</v>
      </c>
      <c r="AC22" s="33">
        <v>55.0</v>
      </c>
      <c r="AD22" s="33">
        <v>5.0</v>
      </c>
      <c r="AE22" s="33">
        <v>85.0</v>
      </c>
      <c r="AF22" s="33">
        <v>92.0</v>
      </c>
      <c r="AG22" s="33">
        <v>98.0</v>
      </c>
      <c r="AH22" s="33">
        <v>98.0</v>
      </c>
      <c r="AI22" s="33">
        <v>92.0</v>
      </c>
      <c r="AJ22" s="33">
        <v>96.0</v>
      </c>
      <c r="AK22" s="33">
        <v>90.0</v>
      </c>
      <c r="AL22" s="33">
        <v>95.0</v>
      </c>
      <c r="AM22" s="33">
        <v>100.0</v>
      </c>
      <c r="AN22" s="33">
        <v>100.0</v>
      </c>
      <c r="AO22" s="33">
        <v>100.0</v>
      </c>
      <c r="AP22" s="18" t="s">
        <v>269</v>
      </c>
      <c r="AQ22" s="18" t="s">
        <v>270</v>
      </c>
      <c r="AR22" s="20" t="s">
        <v>166</v>
      </c>
      <c r="AS22" s="20" t="s">
        <v>167</v>
      </c>
      <c r="AT22" s="20" t="s">
        <v>168</v>
      </c>
      <c r="AU22" s="21" t="s">
        <v>168</v>
      </c>
      <c r="AV22" s="22" t="s">
        <v>271</v>
      </c>
      <c r="AW22" s="23" t="s">
        <v>272</v>
      </c>
      <c r="AX22" s="34"/>
      <c r="AY22" s="34"/>
      <c r="AZ22" s="34"/>
      <c r="BA22" s="34"/>
      <c r="BB22" s="34"/>
    </row>
    <row r="23" hidden="1">
      <c r="A23" s="25" t="s">
        <v>273</v>
      </c>
      <c r="B23" s="26" t="s">
        <v>274</v>
      </c>
      <c r="C23" s="27" t="s">
        <v>200</v>
      </c>
      <c r="D23" s="27" t="s">
        <v>52</v>
      </c>
      <c r="E23" s="27" t="s">
        <v>69</v>
      </c>
      <c r="F23" s="27" t="s">
        <v>70</v>
      </c>
      <c r="G23" s="28">
        <v>799.0</v>
      </c>
      <c r="H23" s="36">
        <f t="shared" si="1"/>
        <v>759.05</v>
      </c>
      <c r="I23" s="29" t="s">
        <v>55</v>
      </c>
      <c r="J23" s="30" t="s">
        <v>102</v>
      </c>
      <c r="K23" s="30" t="s">
        <v>25</v>
      </c>
      <c r="L23" s="31" t="s">
        <v>275</v>
      </c>
      <c r="M23" s="31" t="s">
        <v>276</v>
      </c>
      <c r="N23" s="33">
        <v>-100.0</v>
      </c>
      <c r="O23" s="33">
        <v>100.0</v>
      </c>
      <c r="P23" s="33">
        <v>100.0</v>
      </c>
      <c r="Q23" s="33">
        <v>75.0</v>
      </c>
      <c r="R23" s="33">
        <v>35.0</v>
      </c>
      <c r="S23" s="33">
        <v>50.0</v>
      </c>
      <c r="T23" s="33">
        <v>75.0</v>
      </c>
      <c r="U23" s="33">
        <v>70.0</v>
      </c>
      <c r="V23" s="33">
        <v>65.0</v>
      </c>
      <c r="W23" s="33">
        <v>40.0</v>
      </c>
      <c r="X23" s="33">
        <v>45.0</v>
      </c>
      <c r="Y23" s="33">
        <v>78.0</v>
      </c>
      <c r="Z23" s="33">
        <v>90.0</v>
      </c>
      <c r="AA23" s="33">
        <v>45.0</v>
      </c>
      <c r="AB23" s="33">
        <v>50.0</v>
      </c>
      <c r="AC23" s="33">
        <v>75.0</v>
      </c>
      <c r="AD23" s="33">
        <v>15.0</v>
      </c>
      <c r="AE23" s="33">
        <v>90.0</v>
      </c>
      <c r="AF23" s="33">
        <v>65.0</v>
      </c>
      <c r="AG23" s="33">
        <v>75.0</v>
      </c>
      <c r="AH23" s="33">
        <v>55.0</v>
      </c>
      <c r="AI23" s="33">
        <v>85.0</v>
      </c>
      <c r="AJ23" s="33">
        <v>68.0</v>
      </c>
      <c r="AK23" s="33">
        <v>90.0</v>
      </c>
      <c r="AL23" s="33">
        <v>72.0</v>
      </c>
      <c r="AM23" s="33">
        <v>-100.0</v>
      </c>
      <c r="AN23" s="33">
        <v>-100.0</v>
      </c>
      <c r="AO23" s="33">
        <v>-100.0</v>
      </c>
      <c r="AP23" s="18" t="s">
        <v>277</v>
      </c>
      <c r="AQ23" s="18" t="s">
        <v>278</v>
      </c>
      <c r="AR23" s="20" t="s">
        <v>77</v>
      </c>
      <c r="AS23" s="20" t="s">
        <v>78</v>
      </c>
      <c r="AT23" s="20" t="s">
        <v>79</v>
      </c>
      <c r="AU23" s="21" t="s">
        <v>79</v>
      </c>
      <c r="AV23" s="22" t="s">
        <v>279</v>
      </c>
      <c r="AW23" s="23" t="s">
        <v>280</v>
      </c>
      <c r="AX23" s="34"/>
      <c r="AY23" s="34"/>
      <c r="AZ23" s="34"/>
      <c r="BA23" s="34"/>
      <c r="BB23" s="34"/>
    </row>
    <row r="24" hidden="1">
      <c r="A24" s="25" t="s">
        <v>281</v>
      </c>
      <c r="B24" s="26" t="s">
        <v>282</v>
      </c>
      <c r="C24" s="27" t="s">
        <v>200</v>
      </c>
      <c r="D24" s="27" t="s">
        <v>52</v>
      </c>
      <c r="E24" s="35" t="s">
        <v>84</v>
      </c>
      <c r="F24" s="27" t="s">
        <v>85</v>
      </c>
      <c r="G24" s="28">
        <v>399.0</v>
      </c>
      <c r="H24" s="36">
        <f t="shared" si="1"/>
        <v>379.05</v>
      </c>
      <c r="I24" s="29" t="s">
        <v>55</v>
      </c>
      <c r="J24" s="30" t="s">
        <v>283</v>
      </c>
      <c r="K24" s="30" t="s">
        <v>21</v>
      </c>
      <c r="L24" s="31" t="s">
        <v>284</v>
      </c>
      <c r="M24" s="31" t="s">
        <v>285</v>
      </c>
      <c r="N24" s="33">
        <v>100.0</v>
      </c>
      <c r="O24" s="33">
        <v>100.0</v>
      </c>
      <c r="P24" s="33">
        <v>100.0</v>
      </c>
      <c r="Q24" s="33">
        <v>35.0</v>
      </c>
      <c r="R24" s="33">
        <v>10.0</v>
      </c>
      <c r="S24" s="33">
        <v>75.0</v>
      </c>
      <c r="T24" s="33">
        <v>20.0</v>
      </c>
      <c r="U24" s="33">
        <v>82.0</v>
      </c>
      <c r="V24" s="33">
        <v>90.0</v>
      </c>
      <c r="W24" s="33">
        <v>70.0</v>
      </c>
      <c r="X24" s="33">
        <v>65.0</v>
      </c>
      <c r="Y24" s="33">
        <v>15.0</v>
      </c>
      <c r="Z24" s="33">
        <v>35.0</v>
      </c>
      <c r="AA24" s="33">
        <v>75.0</v>
      </c>
      <c r="AB24" s="33">
        <v>80.0</v>
      </c>
      <c r="AC24" s="33">
        <v>82.0</v>
      </c>
      <c r="AD24" s="33">
        <v>40.0</v>
      </c>
      <c r="AE24" s="33">
        <v>82.0</v>
      </c>
      <c r="AF24" s="33">
        <v>85.0</v>
      </c>
      <c r="AG24" s="33">
        <v>90.0</v>
      </c>
      <c r="AH24" s="33">
        <v>85.0</v>
      </c>
      <c r="AI24" s="33">
        <v>86.0</v>
      </c>
      <c r="AJ24" s="33">
        <v>90.0</v>
      </c>
      <c r="AK24" s="33">
        <v>85.0</v>
      </c>
      <c r="AL24" s="33">
        <v>87.0</v>
      </c>
      <c r="AM24" s="33">
        <v>0.0</v>
      </c>
      <c r="AN24" s="33">
        <v>100.0</v>
      </c>
      <c r="AO24" s="33">
        <v>100.0</v>
      </c>
      <c r="AP24" s="18" t="s">
        <v>286</v>
      </c>
      <c r="AQ24" s="18" t="s">
        <v>287</v>
      </c>
      <c r="AR24" s="20" t="s">
        <v>92</v>
      </c>
      <c r="AS24" s="20" t="s">
        <v>93</v>
      </c>
      <c r="AT24" s="20" t="s">
        <v>94</v>
      </c>
      <c r="AU24" s="21" t="s">
        <v>94</v>
      </c>
      <c r="AV24" s="22" t="s">
        <v>288</v>
      </c>
      <c r="AW24" s="23" t="s">
        <v>289</v>
      </c>
      <c r="AX24" s="34"/>
      <c r="AY24" s="52"/>
      <c r="AZ24" s="52"/>
      <c r="BA24" s="52"/>
      <c r="BB24" s="34"/>
    </row>
    <row r="25" hidden="1">
      <c r="A25" s="25" t="s">
        <v>290</v>
      </c>
      <c r="B25" s="26" t="s">
        <v>291</v>
      </c>
      <c r="C25" s="27" t="s">
        <v>200</v>
      </c>
      <c r="D25" s="27" t="s">
        <v>52</v>
      </c>
      <c r="E25" s="27" t="s">
        <v>252</v>
      </c>
      <c r="F25" s="27" t="s">
        <v>292</v>
      </c>
      <c r="G25" s="28">
        <v>499.0</v>
      </c>
      <c r="H25" s="36">
        <f t="shared" si="1"/>
        <v>474.05</v>
      </c>
      <c r="I25" s="29" t="s">
        <v>55</v>
      </c>
      <c r="J25" s="30" t="s">
        <v>253</v>
      </c>
      <c r="K25" s="30" t="s">
        <v>29</v>
      </c>
      <c r="L25" s="31" t="s">
        <v>254</v>
      </c>
      <c r="M25" s="31" t="s">
        <v>255</v>
      </c>
      <c r="N25" s="33">
        <v>100.0</v>
      </c>
      <c r="O25" s="33">
        <v>100.0</v>
      </c>
      <c r="P25" s="33">
        <v>100.0</v>
      </c>
      <c r="Q25" s="33">
        <v>15.0</v>
      </c>
      <c r="R25" s="33">
        <v>10.0</v>
      </c>
      <c r="S25" s="33">
        <v>60.0</v>
      </c>
      <c r="T25" s="33">
        <v>10.0</v>
      </c>
      <c r="U25" s="33">
        <v>40.0</v>
      </c>
      <c r="V25" s="33">
        <v>45.0</v>
      </c>
      <c r="W25" s="33">
        <v>35.0</v>
      </c>
      <c r="X25" s="33">
        <v>50.0</v>
      </c>
      <c r="Y25" s="33">
        <v>10.0</v>
      </c>
      <c r="Z25" s="33">
        <v>30.0</v>
      </c>
      <c r="AA25" s="33">
        <v>78.0</v>
      </c>
      <c r="AB25" s="33">
        <v>65.0</v>
      </c>
      <c r="AC25" s="33">
        <v>50.0</v>
      </c>
      <c r="AD25" s="33">
        <v>98.0</v>
      </c>
      <c r="AE25" s="33">
        <v>95.0</v>
      </c>
      <c r="AF25" s="33">
        <v>90.0</v>
      </c>
      <c r="AG25" s="33">
        <v>68.0</v>
      </c>
      <c r="AH25" s="33">
        <v>65.0</v>
      </c>
      <c r="AI25" s="33">
        <v>90.0</v>
      </c>
      <c r="AJ25" s="33">
        <v>85.0</v>
      </c>
      <c r="AK25" s="33">
        <v>92.0</v>
      </c>
      <c r="AL25" s="33">
        <v>90.0</v>
      </c>
      <c r="AM25" s="33">
        <v>-100.0</v>
      </c>
      <c r="AN25" s="33">
        <v>100.0</v>
      </c>
      <c r="AO25" s="33">
        <v>100.0</v>
      </c>
      <c r="AP25" s="18" t="s">
        <v>293</v>
      </c>
      <c r="AQ25" s="18" t="s">
        <v>294</v>
      </c>
      <c r="AR25" s="20" t="s">
        <v>144</v>
      </c>
      <c r="AS25" s="20" t="s">
        <v>145</v>
      </c>
      <c r="AT25" s="20" t="s">
        <v>146</v>
      </c>
      <c r="AU25" s="21" t="s">
        <v>146</v>
      </c>
      <c r="AV25" s="22" t="s">
        <v>295</v>
      </c>
      <c r="AW25" s="53" t="s">
        <v>296</v>
      </c>
      <c r="AX25" s="34"/>
      <c r="AY25" s="52"/>
      <c r="AZ25" s="52"/>
      <c r="BA25" s="52"/>
      <c r="BB25" s="34"/>
    </row>
    <row r="26" hidden="1">
      <c r="A26" s="25" t="s">
        <v>297</v>
      </c>
      <c r="B26" s="26" t="s">
        <v>298</v>
      </c>
      <c r="C26" s="27" t="s">
        <v>299</v>
      </c>
      <c r="D26" s="27" t="s">
        <v>52</v>
      </c>
      <c r="E26" s="27" t="s">
        <v>53</v>
      </c>
      <c r="F26" s="27" t="s">
        <v>54</v>
      </c>
      <c r="G26" s="28">
        <v>299.0</v>
      </c>
      <c r="H26" s="36">
        <f t="shared" si="1"/>
        <v>284.05</v>
      </c>
      <c r="I26" s="29" t="s">
        <v>55</v>
      </c>
      <c r="J26" s="30" t="s">
        <v>71</v>
      </c>
      <c r="K26" s="30" t="s">
        <v>162</v>
      </c>
      <c r="L26" s="31" t="s">
        <v>104</v>
      </c>
      <c r="M26" s="31" t="s">
        <v>300</v>
      </c>
      <c r="N26" s="33">
        <v>0.0</v>
      </c>
      <c r="O26" s="33">
        <v>100.0</v>
      </c>
      <c r="P26" s="33">
        <v>100.0</v>
      </c>
      <c r="Q26" s="33">
        <v>95.0</v>
      </c>
      <c r="R26" s="33">
        <v>55.0</v>
      </c>
      <c r="S26" s="33">
        <v>25.0</v>
      </c>
      <c r="T26" s="33">
        <v>92.0</v>
      </c>
      <c r="U26" s="33">
        <v>40.0</v>
      </c>
      <c r="V26" s="33">
        <v>30.0</v>
      </c>
      <c r="W26" s="33">
        <v>10.0</v>
      </c>
      <c r="X26" s="33">
        <v>35.0</v>
      </c>
      <c r="Y26" s="33">
        <v>98.0</v>
      </c>
      <c r="Z26" s="33">
        <v>10.0</v>
      </c>
      <c r="AA26" s="33">
        <v>45.0</v>
      </c>
      <c r="AB26" s="33">
        <v>25.0</v>
      </c>
      <c r="AC26" s="33">
        <v>55.0</v>
      </c>
      <c r="AD26" s="33">
        <v>10.0</v>
      </c>
      <c r="AE26" s="33">
        <v>98.0</v>
      </c>
      <c r="AF26" s="33">
        <v>68.0</v>
      </c>
      <c r="AG26" s="33">
        <v>25.0</v>
      </c>
      <c r="AH26" s="33">
        <v>18.0</v>
      </c>
      <c r="AI26" s="33">
        <v>90.0</v>
      </c>
      <c r="AJ26" s="33">
        <v>60.0</v>
      </c>
      <c r="AK26" s="33">
        <v>95.0</v>
      </c>
      <c r="AL26" s="33">
        <v>65.0</v>
      </c>
      <c r="AM26" s="33">
        <v>-100.0</v>
      </c>
      <c r="AN26" s="33">
        <v>100.0</v>
      </c>
      <c r="AO26" s="33">
        <v>100.0</v>
      </c>
      <c r="AP26" s="18" t="s">
        <v>301</v>
      </c>
      <c r="AQ26" s="18" t="s">
        <v>302</v>
      </c>
      <c r="AR26" s="20" t="s">
        <v>62</v>
      </c>
      <c r="AS26" s="20" t="s">
        <v>63</v>
      </c>
      <c r="AT26" s="20" t="s">
        <v>64</v>
      </c>
      <c r="AU26" s="21" t="s">
        <v>64</v>
      </c>
      <c r="AV26" s="22" t="s">
        <v>303</v>
      </c>
      <c r="AW26" s="53" t="s">
        <v>304</v>
      </c>
      <c r="AX26" s="34"/>
      <c r="AY26" s="54"/>
      <c r="AZ26" s="54"/>
      <c r="BA26" s="55"/>
      <c r="BB26" s="34"/>
    </row>
    <row r="27" hidden="1">
      <c r="A27" s="25" t="s">
        <v>305</v>
      </c>
      <c r="B27" s="26" t="s">
        <v>306</v>
      </c>
      <c r="C27" s="27" t="s">
        <v>299</v>
      </c>
      <c r="D27" s="27" t="s">
        <v>52</v>
      </c>
      <c r="E27" s="27" t="s">
        <v>53</v>
      </c>
      <c r="F27" s="27" t="s">
        <v>54</v>
      </c>
      <c r="G27" s="28">
        <v>299.0</v>
      </c>
      <c r="H27" s="36">
        <f t="shared" si="1"/>
        <v>284.05</v>
      </c>
      <c r="I27" s="29" t="s">
        <v>55</v>
      </c>
      <c r="J27" s="30" t="s">
        <v>266</v>
      </c>
      <c r="K27" s="30" t="s">
        <v>243</v>
      </c>
      <c r="L27" s="31" t="s">
        <v>203</v>
      </c>
      <c r="M27" s="31" t="s">
        <v>307</v>
      </c>
      <c r="N27" s="33">
        <v>100.0</v>
      </c>
      <c r="O27" s="33">
        <v>100.0</v>
      </c>
      <c r="P27" s="33">
        <v>100.0</v>
      </c>
      <c r="Q27" s="33">
        <v>35.0</v>
      </c>
      <c r="R27" s="33">
        <v>20.0</v>
      </c>
      <c r="S27" s="33">
        <v>92.0</v>
      </c>
      <c r="T27" s="33">
        <v>15.0</v>
      </c>
      <c r="U27" s="33">
        <v>25.0</v>
      </c>
      <c r="V27" s="33">
        <v>15.0</v>
      </c>
      <c r="W27" s="33">
        <v>5.0</v>
      </c>
      <c r="X27" s="33">
        <v>90.0</v>
      </c>
      <c r="Y27" s="33">
        <v>15.0</v>
      </c>
      <c r="Z27" s="33">
        <v>15.0</v>
      </c>
      <c r="AA27" s="33">
        <v>92.0</v>
      </c>
      <c r="AB27" s="33">
        <v>98.0</v>
      </c>
      <c r="AC27" s="33">
        <v>60.0</v>
      </c>
      <c r="AD27" s="33">
        <v>5.0</v>
      </c>
      <c r="AE27" s="33">
        <v>80.0</v>
      </c>
      <c r="AF27" s="33">
        <v>90.0</v>
      </c>
      <c r="AG27" s="33">
        <v>98.0</v>
      </c>
      <c r="AH27" s="33">
        <v>98.0</v>
      </c>
      <c r="AI27" s="33">
        <v>92.0</v>
      </c>
      <c r="AJ27" s="33">
        <v>96.0</v>
      </c>
      <c r="AK27" s="33">
        <v>90.0</v>
      </c>
      <c r="AL27" s="33">
        <v>94.0</v>
      </c>
      <c r="AM27" s="33">
        <v>100.0</v>
      </c>
      <c r="AN27" s="33">
        <v>100.0</v>
      </c>
      <c r="AO27" s="33">
        <v>100.0</v>
      </c>
      <c r="AP27" s="18" t="s">
        <v>308</v>
      </c>
      <c r="AQ27" s="18" t="s">
        <v>309</v>
      </c>
      <c r="AR27" s="20" t="s">
        <v>62</v>
      </c>
      <c r="AS27" s="20" t="s">
        <v>63</v>
      </c>
      <c r="AT27" s="20" t="s">
        <v>64</v>
      </c>
      <c r="AU27" s="21" t="s">
        <v>64</v>
      </c>
      <c r="AV27" s="22" t="s">
        <v>310</v>
      </c>
      <c r="AW27" s="56" t="s">
        <v>311</v>
      </c>
      <c r="AX27" s="34"/>
      <c r="AY27" s="57"/>
      <c r="AZ27" s="57"/>
      <c r="BB27" s="34"/>
    </row>
    <row r="28" hidden="1">
      <c r="A28" s="25" t="s">
        <v>312</v>
      </c>
      <c r="B28" s="26" t="s">
        <v>313</v>
      </c>
      <c r="C28" s="27" t="s">
        <v>299</v>
      </c>
      <c r="D28" s="27" t="s">
        <v>52</v>
      </c>
      <c r="E28" s="27" t="s">
        <v>69</v>
      </c>
      <c r="F28" s="27" t="s">
        <v>54</v>
      </c>
      <c r="G28" s="28">
        <v>299.0</v>
      </c>
      <c r="H28" s="36">
        <f t="shared" si="1"/>
        <v>284.05</v>
      </c>
      <c r="I28" s="29" t="s">
        <v>55</v>
      </c>
      <c r="J28" s="30" t="s">
        <v>216</v>
      </c>
      <c r="K28" s="30" t="s">
        <v>173</v>
      </c>
      <c r="L28" s="31" t="s">
        <v>314</v>
      </c>
      <c r="M28" s="31" t="s">
        <v>315</v>
      </c>
      <c r="N28" s="33">
        <v>100.0</v>
      </c>
      <c r="O28" s="33">
        <v>100.0</v>
      </c>
      <c r="P28" s="33">
        <v>100.0</v>
      </c>
      <c r="Q28" s="33">
        <v>52.0</v>
      </c>
      <c r="R28" s="33">
        <v>15.0</v>
      </c>
      <c r="S28" s="33">
        <v>50.0</v>
      </c>
      <c r="T28" s="33">
        <v>42.0</v>
      </c>
      <c r="U28" s="33">
        <v>92.0</v>
      </c>
      <c r="V28" s="33">
        <v>90.0</v>
      </c>
      <c r="W28" s="33">
        <v>68.0</v>
      </c>
      <c r="X28" s="33">
        <v>45.0</v>
      </c>
      <c r="Y28" s="33">
        <v>28.0</v>
      </c>
      <c r="Z28" s="33">
        <v>72.0</v>
      </c>
      <c r="AA28" s="33">
        <v>60.0</v>
      </c>
      <c r="AB28" s="33">
        <v>60.0</v>
      </c>
      <c r="AC28" s="33">
        <v>96.0</v>
      </c>
      <c r="AD28" s="33">
        <v>65.0</v>
      </c>
      <c r="AE28" s="33">
        <v>84.0</v>
      </c>
      <c r="AF28" s="33">
        <v>76.0</v>
      </c>
      <c r="AG28" s="33">
        <v>68.0</v>
      </c>
      <c r="AH28" s="33">
        <v>62.0</v>
      </c>
      <c r="AI28" s="33">
        <v>90.0</v>
      </c>
      <c r="AJ28" s="33">
        <v>80.0</v>
      </c>
      <c r="AK28" s="33">
        <v>86.0</v>
      </c>
      <c r="AL28" s="33">
        <v>78.0</v>
      </c>
      <c r="AM28" s="33">
        <v>-100.0</v>
      </c>
      <c r="AN28" s="33">
        <v>100.0</v>
      </c>
      <c r="AO28" s="33">
        <v>100.0</v>
      </c>
      <c r="AP28" s="18" t="s">
        <v>316</v>
      </c>
      <c r="AQ28" s="18" t="s">
        <v>317</v>
      </c>
      <c r="AR28" s="20" t="s">
        <v>166</v>
      </c>
      <c r="AS28" s="20" t="s">
        <v>167</v>
      </c>
      <c r="AT28" s="20" t="s">
        <v>168</v>
      </c>
      <c r="AU28" s="21" t="s">
        <v>168</v>
      </c>
      <c r="AV28" s="22" t="s">
        <v>318</v>
      </c>
      <c r="AW28" s="58" t="s">
        <v>319</v>
      </c>
      <c r="AX28" s="34"/>
      <c r="AY28" s="57"/>
      <c r="AZ28" s="57"/>
      <c r="BB28" s="34"/>
    </row>
    <row r="29" hidden="1">
      <c r="A29" s="25" t="s">
        <v>320</v>
      </c>
      <c r="B29" s="26" t="s">
        <v>321</v>
      </c>
      <c r="C29" s="27" t="s">
        <v>299</v>
      </c>
      <c r="D29" s="27" t="s">
        <v>99</v>
      </c>
      <c r="E29" s="27" t="s">
        <v>100</v>
      </c>
      <c r="F29" s="27" t="s">
        <v>322</v>
      </c>
      <c r="G29" s="28">
        <v>349.0</v>
      </c>
      <c r="H29" s="36">
        <f t="shared" si="1"/>
        <v>331.55</v>
      </c>
      <c r="I29" s="29" t="s">
        <v>55</v>
      </c>
      <c r="J29" s="30" t="s">
        <v>216</v>
      </c>
      <c r="K29" s="30" t="s">
        <v>323</v>
      </c>
      <c r="L29" s="31" t="s">
        <v>314</v>
      </c>
      <c r="M29" s="31" t="s">
        <v>324</v>
      </c>
      <c r="N29" s="33">
        <v>100.0</v>
      </c>
      <c r="O29" s="33">
        <v>100.0</v>
      </c>
      <c r="P29" s="33">
        <v>100.0</v>
      </c>
      <c r="Q29" s="33">
        <v>40.0</v>
      </c>
      <c r="R29" s="33">
        <v>72.0</v>
      </c>
      <c r="S29" s="33">
        <v>65.0</v>
      </c>
      <c r="T29" s="33">
        <v>30.0</v>
      </c>
      <c r="U29" s="33">
        <v>82.0</v>
      </c>
      <c r="V29" s="33">
        <v>85.0</v>
      </c>
      <c r="W29" s="33">
        <v>55.0</v>
      </c>
      <c r="X29" s="33">
        <v>60.0</v>
      </c>
      <c r="Y29" s="33">
        <v>25.0</v>
      </c>
      <c r="Z29" s="33">
        <v>20.0</v>
      </c>
      <c r="AA29" s="33">
        <v>72.0</v>
      </c>
      <c r="AB29" s="33">
        <v>70.0</v>
      </c>
      <c r="AC29" s="33">
        <v>90.0</v>
      </c>
      <c r="AD29" s="33">
        <v>45.0</v>
      </c>
      <c r="AE29" s="33">
        <v>82.0</v>
      </c>
      <c r="AF29" s="33">
        <v>80.0</v>
      </c>
      <c r="AG29" s="33">
        <v>72.0</v>
      </c>
      <c r="AH29" s="33">
        <v>70.0</v>
      </c>
      <c r="AI29" s="33">
        <v>90.0</v>
      </c>
      <c r="AJ29" s="33">
        <v>82.0</v>
      </c>
      <c r="AK29" s="33">
        <v>83.0</v>
      </c>
      <c r="AL29" s="33">
        <v>81.0</v>
      </c>
      <c r="AM29" s="33">
        <v>0.0</v>
      </c>
      <c r="AN29" s="33">
        <v>100.0</v>
      </c>
      <c r="AO29" s="33">
        <v>100.0</v>
      </c>
      <c r="AP29" s="18" t="s">
        <v>325</v>
      </c>
      <c r="AQ29" s="18" t="s">
        <v>326</v>
      </c>
      <c r="AR29" s="20" t="s">
        <v>62</v>
      </c>
      <c r="AS29" s="20" t="s">
        <v>63</v>
      </c>
      <c r="AT29" s="20" t="s">
        <v>64</v>
      </c>
      <c r="AU29" s="21" t="s">
        <v>64</v>
      </c>
      <c r="AV29" s="22" t="s">
        <v>327</v>
      </c>
      <c r="AW29" s="56" t="s">
        <v>328</v>
      </c>
      <c r="AX29" s="34"/>
      <c r="AY29" s="57"/>
      <c r="AZ29" s="57"/>
      <c r="BB29" s="34"/>
    </row>
    <row r="30" hidden="1">
      <c r="A30" s="25" t="s">
        <v>329</v>
      </c>
      <c r="B30" s="26" t="s">
        <v>330</v>
      </c>
      <c r="C30" s="27" t="s">
        <v>299</v>
      </c>
      <c r="D30" s="27" t="s">
        <v>99</v>
      </c>
      <c r="E30" s="27" t="s">
        <v>112</v>
      </c>
      <c r="F30" s="27" t="s">
        <v>322</v>
      </c>
      <c r="G30" s="28">
        <v>349.0</v>
      </c>
      <c r="H30" s="36">
        <f t="shared" si="1"/>
        <v>331.55</v>
      </c>
      <c r="I30" s="29" t="s">
        <v>55</v>
      </c>
      <c r="J30" s="30" t="s">
        <v>331</v>
      </c>
      <c r="K30" s="30" t="s">
        <v>57</v>
      </c>
      <c r="L30" s="31" t="s">
        <v>332</v>
      </c>
      <c r="M30" s="31" t="s">
        <v>333</v>
      </c>
      <c r="N30" s="33">
        <v>100.0</v>
      </c>
      <c r="O30" s="33">
        <v>100.0</v>
      </c>
      <c r="P30" s="33">
        <v>100.0</v>
      </c>
      <c r="Q30" s="33">
        <v>20.0</v>
      </c>
      <c r="R30" s="33">
        <v>25.0</v>
      </c>
      <c r="S30" s="33">
        <v>90.0</v>
      </c>
      <c r="T30" s="33">
        <v>5.0</v>
      </c>
      <c r="U30" s="33">
        <v>15.0</v>
      </c>
      <c r="V30" s="33">
        <v>10.0</v>
      </c>
      <c r="W30" s="33">
        <v>5.0</v>
      </c>
      <c r="X30" s="33">
        <v>78.0</v>
      </c>
      <c r="Y30" s="33">
        <v>5.0</v>
      </c>
      <c r="Z30" s="33">
        <v>20.0</v>
      </c>
      <c r="AA30" s="33">
        <v>75.0</v>
      </c>
      <c r="AB30" s="33">
        <v>92.0</v>
      </c>
      <c r="AC30" s="33">
        <v>45.0</v>
      </c>
      <c r="AD30" s="33">
        <v>5.0</v>
      </c>
      <c r="AE30" s="33">
        <v>75.0</v>
      </c>
      <c r="AF30" s="33">
        <v>60.0</v>
      </c>
      <c r="AG30" s="33">
        <v>95.0</v>
      </c>
      <c r="AH30" s="33">
        <v>82.0</v>
      </c>
      <c r="AI30" s="33">
        <v>85.0</v>
      </c>
      <c r="AJ30" s="33">
        <v>72.0</v>
      </c>
      <c r="AK30" s="33">
        <v>82.0</v>
      </c>
      <c r="AL30" s="33">
        <v>70.0</v>
      </c>
      <c r="AM30" s="33">
        <v>100.0</v>
      </c>
      <c r="AN30" s="33">
        <v>100.0</v>
      </c>
      <c r="AO30" s="33">
        <v>100.0</v>
      </c>
      <c r="AP30" s="18" t="s">
        <v>334</v>
      </c>
      <c r="AQ30" s="18" t="s">
        <v>335</v>
      </c>
      <c r="AR30" s="20" t="s">
        <v>118</v>
      </c>
      <c r="AS30" s="20" t="s">
        <v>119</v>
      </c>
      <c r="AT30" s="20" t="s">
        <v>120</v>
      </c>
      <c r="AU30" s="21" t="s">
        <v>120</v>
      </c>
      <c r="AV30" s="22" t="s">
        <v>336</v>
      </c>
      <c r="AW30" s="56" t="s">
        <v>337</v>
      </c>
      <c r="AX30" s="34"/>
      <c r="AY30" s="55"/>
      <c r="AZ30" s="55"/>
      <c r="BB30" s="34"/>
    </row>
    <row r="31" hidden="1">
      <c r="A31" s="25" t="s">
        <v>338</v>
      </c>
      <c r="B31" s="26" t="s">
        <v>339</v>
      </c>
      <c r="C31" s="27" t="s">
        <v>299</v>
      </c>
      <c r="D31" s="27" t="s">
        <v>99</v>
      </c>
      <c r="E31" s="27" t="s">
        <v>112</v>
      </c>
      <c r="F31" s="27" t="s">
        <v>322</v>
      </c>
      <c r="G31" s="28">
        <v>399.0</v>
      </c>
      <c r="H31" s="36">
        <f t="shared" si="1"/>
        <v>379.05</v>
      </c>
      <c r="I31" s="29" t="s">
        <v>55</v>
      </c>
      <c r="J31" s="30" t="s">
        <v>331</v>
      </c>
      <c r="K31" s="30" t="s">
        <v>340</v>
      </c>
      <c r="L31" s="31" t="s">
        <v>341</v>
      </c>
      <c r="M31" s="31" t="s">
        <v>342</v>
      </c>
      <c r="N31" s="33">
        <v>0.0</v>
      </c>
      <c r="O31" s="33">
        <v>100.0</v>
      </c>
      <c r="P31" s="33">
        <v>100.0</v>
      </c>
      <c r="Q31" s="33">
        <v>55.0</v>
      </c>
      <c r="R31" s="33">
        <v>90.0</v>
      </c>
      <c r="S31" s="33">
        <v>90.0</v>
      </c>
      <c r="T31" s="33">
        <v>55.0</v>
      </c>
      <c r="U31" s="33">
        <v>75.0</v>
      </c>
      <c r="V31" s="33">
        <v>80.0</v>
      </c>
      <c r="W31" s="33">
        <v>45.0</v>
      </c>
      <c r="X31" s="33">
        <v>65.0</v>
      </c>
      <c r="Y31" s="33">
        <v>60.0</v>
      </c>
      <c r="Z31" s="33">
        <v>35.0</v>
      </c>
      <c r="AA31" s="33">
        <v>60.0</v>
      </c>
      <c r="AB31" s="33">
        <v>75.0</v>
      </c>
      <c r="AC31" s="33">
        <v>82.0</v>
      </c>
      <c r="AD31" s="33">
        <v>35.0</v>
      </c>
      <c r="AE31" s="33">
        <v>75.0</v>
      </c>
      <c r="AF31" s="33">
        <v>65.0</v>
      </c>
      <c r="AG31" s="33">
        <v>90.0</v>
      </c>
      <c r="AH31" s="33">
        <v>82.0</v>
      </c>
      <c r="AI31" s="33">
        <v>82.0</v>
      </c>
      <c r="AJ31" s="33">
        <v>78.0</v>
      </c>
      <c r="AK31" s="33">
        <v>80.0</v>
      </c>
      <c r="AL31" s="33">
        <v>75.0</v>
      </c>
      <c r="AM31" s="33">
        <v>100.0</v>
      </c>
      <c r="AN31" s="33">
        <v>100.0</v>
      </c>
      <c r="AO31" s="33">
        <v>100.0</v>
      </c>
      <c r="AP31" s="18" t="s">
        <v>343</v>
      </c>
      <c r="AQ31" s="18" t="s">
        <v>344</v>
      </c>
      <c r="AR31" s="20" t="s">
        <v>118</v>
      </c>
      <c r="AS31" s="20" t="s">
        <v>119</v>
      </c>
      <c r="AT31" s="20" t="s">
        <v>120</v>
      </c>
      <c r="AU31" s="21" t="s">
        <v>120</v>
      </c>
      <c r="AV31" s="22" t="s">
        <v>345</v>
      </c>
      <c r="AW31" s="56" t="s">
        <v>346</v>
      </c>
      <c r="AX31" s="34"/>
      <c r="BB31" s="34"/>
    </row>
    <row r="32" hidden="1">
      <c r="A32" s="25" t="s">
        <v>347</v>
      </c>
      <c r="B32" s="26" t="s">
        <v>348</v>
      </c>
      <c r="C32" s="27" t="s">
        <v>200</v>
      </c>
      <c r="D32" s="27" t="s">
        <v>52</v>
      </c>
      <c r="E32" s="35" t="s">
        <v>84</v>
      </c>
      <c r="F32" s="27" t="s">
        <v>349</v>
      </c>
      <c r="G32" s="28">
        <v>375.0</v>
      </c>
      <c r="H32" s="36">
        <f t="shared" si="1"/>
        <v>356.25</v>
      </c>
      <c r="I32" s="29" t="s">
        <v>55</v>
      </c>
      <c r="J32" s="30" t="s">
        <v>266</v>
      </c>
      <c r="K32" s="30" t="s">
        <v>243</v>
      </c>
      <c r="L32" s="31" t="s">
        <v>350</v>
      </c>
      <c r="M32" s="31" t="s">
        <v>351</v>
      </c>
      <c r="N32" s="33">
        <v>100.0</v>
      </c>
      <c r="O32" s="33">
        <v>100.0</v>
      </c>
      <c r="P32" s="33">
        <v>100.0</v>
      </c>
      <c r="Q32" s="33">
        <v>45.0</v>
      </c>
      <c r="R32" s="33">
        <v>20.0</v>
      </c>
      <c r="S32" s="33">
        <v>92.0</v>
      </c>
      <c r="T32" s="33">
        <v>15.0</v>
      </c>
      <c r="U32" s="33">
        <v>15.0</v>
      </c>
      <c r="V32" s="33">
        <v>10.0</v>
      </c>
      <c r="W32" s="33">
        <v>5.0</v>
      </c>
      <c r="X32" s="33">
        <v>98.0</v>
      </c>
      <c r="Y32" s="33">
        <v>20.0</v>
      </c>
      <c r="Z32" s="33">
        <v>25.0</v>
      </c>
      <c r="AA32" s="33">
        <v>95.0</v>
      </c>
      <c r="AB32" s="33">
        <v>95.0</v>
      </c>
      <c r="AC32" s="33">
        <v>45.0</v>
      </c>
      <c r="AD32" s="33">
        <v>5.0</v>
      </c>
      <c r="AE32" s="33">
        <v>82.0</v>
      </c>
      <c r="AF32" s="33">
        <v>95.0</v>
      </c>
      <c r="AG32" s="33">
        <v>98.0</v>
      </c>
      <c r="AH32" s="33">
        <v>98.0</v>
      </c>
      <c r="AI32" s="33">
        <v>92.0</v>
      </c>
      <c r="AJ32" s="33">
        <v>98.0</v>
      </c>
      <c r="AK32" s="33">
        <v>90.0</v>
      </c>
      <c r="AL32" s="33">
        <v>96.0</v>
      </c>
      <c r="AM32" s="33">
        <v>100.0</v>
      </c>
      <c r="AN32" s="33">
        <v>100.0</v>
      </c>
      <c r="AO32" s="33">
        <v>100.0</v>
      </c>
      <c r="AP32" s="18" t="s">
        <v>352</v>
      </c>
      <c r="AQ32" s="18" t="s">
        <v>353</v>
      </c>
      <c r="AR32" s="20" t="s">
        <v>92</v>
      </c>
      <c r="AS32" s="20" t="s">
        <v>93</v>
      </c>
      <c r="AT32" s="20" t="s">
        <v>94</v>
      </c>
      <c r="AU32" s="21" t="s">
        <v>94</v>
      </c>
      <c r="AV32" s="22" t="s">
        <v>354</v>
      </c>
      <c r="AW32" s="56" t="s">
        <v>355</v>
      </c>
      <c r="AX32" s="34"/>
      <c r="BA32" s="59"/>
      <c r="BB32" s="34"/>
    </row>
    <row r="33" hidden="1">
      <c r="A33" s="25" t="s">
        <v>356</v>
      </c>
      <c r="B33" s="26" t="s">
        <v>357</v>
      </c>
      <c r="C33" s="27" t="s">
        <v>200</v>
      </c>
      <c r="D33" s="27" t="s">
        <v>52</v>
      </c>
      <c r="E33" s="27" t="s">
        <v>252</v>
      </c>
      <c r="F33" s="27" t="s">
        <v>349</v>
      </c>
      <c r="G33" s="28">
        <v>399.0</v>
      </c>
      <c r="H33" s="36">
        <f t="shared" si="1"/>
        <v>379.05</v>
      </c>
      <c r="I33" s="29" t="s">
        <v>55</v>
      </c>
      <c r="J33" s="30" t="s">
        <v>358</v>
      </c>
      <c r="K33" s="30" t="s">
        <v>29</v>
      </c>
      <c r="L33" s="31" t="s">
        <v>114</v>
      </c>
      <c r="M33" s="31" t="s">
        <v>359</v>
      </c>
      <c r="N33" s="33">
        <v>100.0</v>
      </c>
      <c r="O33" s="33">
        <v>100.0</v>
      </c>
      <c r="P33" s="33">
        <v>100.0</v>
      </c>
      <c r="Q33" s="33">
        <v>35.0</v>
      </c>
      <c r="R33" s="33">
        <v>10.0</v>
      </c>
      <c r="S33" s="33">
        <v>65.0</v>
      </c>
      <c r="T33" s="33">
        <v>35.0</v>
      </c>
      <c r="U33" s="33">
        <v>60.0</v>
      </c>
      <c r="V33" s="33">
        <v>65.0</v>
      </c>
      <c r="W33" s="33">
        <v>45.0</v>
      </c>
      <c r="X33" s="33">
        <v>60.0</v>
      </c>
      <c r="Y33" s="33">
        <v>25.0</v>
      </c>
      <c r="Z33" s="33">
        <v>30.0</v>
      </c>
      <c r="AA33" s="33">
        <v>75.0</v>
      </c>
      <c r="AB33" s="33">
        <v>70.0</v>
      </c>
      <c r="AC33" s="33">
        <v>65.0</v>
      </c>
      <c r="AD33" s="33">
        <v>98.0</v>
      </c>
      <c r="AE33" s="33">
        <v>96.0</v>
      </c>
      <c r="AF33" s="33">
        <v>94.0</v>
      </c>
      <c r="AG33" s="33">
        <v>68.0</v>
      </c>
      <c r="AH33" s="33">
        <v>65.0</v>
      </c>
      <c r="AI33" s="33">
        <v>90.0</v>
      </c>
      <c r="AJ33" s="33">
        <v>90.0</v>
      </c>
      <c r="AK33" s="33">
        <v>94.0</v>
      </c>
      <c r="AL33" s="33">
        <v>90.0</v>
      </c>
      <c r="AM33" s="33">
        <v>-100.0</v>
      </c>
      <c r="AN33" s="33">
        <v>100.0</v>
      </c>
      <c r="AO33" s="33">
        <v>100.0</v>
      </c>
      <c r="AP33" s="18" t="s">
        <v>360</v>
      </c>
      <c r="AQ33" s="18" t="s">
        <v>361</v>
      </c>
      <c r="AR33" s="20" t="s">
        <v>144</v>
      </c>
      <c r="AS33" s="20" t="s">
        <v>145</v>
      </c>
      <c r="AT33" s="20" t="s">
        <v>146</v>
      </c>
      <c r="AU33" s="21" t="s">
        <v>146</v>
      </c>
      <c r="AV33" s="22" t="s">
        <v>258</v>
      </c>
      <c r="AW33" s="56" t="s">
        <v>362</v>
      </c>
      <c r="AX33" s="34"/>
      <c r="AY33" s="59"/>
      <c r="AZ33" s="59"/>
      <c r="BA33" s="59"/>
      <c r="BB33" s="34"/>
    </row>
    <row r="34" hidden="1">
      <c r="A34" s="25" t="s">
        <v>363</v>
      </c>
      <c r="B34" s="26" t="s">
        <v>364</v>
      </c>
      <c r="C34" s="27" t="s">
        <v>200</v>
      </c>
      <c r="D34" s="27" t="s">
        <v>52</v>
      </c>
      <c r="E34" s="27" t="s">
        <v>365</v>
      </c>
      <c r="F34" s="27" t="s">
        <v>366</v>
      </c>
      <c r="G34" s="28">
        <v>299.0</v>
      </c>
      <c r="H34" s="36">
        <f t="shared" si="1"/>
        <v>284.05</v>
      </c>
      <c r="I34" s="29" t="s">
        <v>55</v>
      </c>
      <c r="J34" s="30" t="s">
        <v>71</v>
      </c>
      <c r="K34" s="30" t="s">
        <v>16</v>
      </c>
      <c r="L34" s="31" t="s">
        <v>104</v>
      </c>
      <c r="M34" s="31" t="s">
        <v>367</v>
      </c>
      <c r="N34" s="33">
        <v>100.0</v>
      </c>
      <c r="O34" s="33">
        <v>100.0</v>
      </c>
      <c r="P34" s="33">
        <v>100.0</v>
      </c>
      <c r="Q34" s="33">
        <v>90.0</v>
      </c>
      <c r="R34" s="33">
        <v>25.0</v>
      </c>
      <c r="S34" s="33">
        <v>10.0</v>
      </c>
      <c r="T34" s="33">
        <v>20.0</v>
      </c>
      <c r="U34" s="33">
        <v>15.0</v>
      </c>
      <c r="V34" s="33">
        <v>10.0</v>
      </c>
      <c r="W34" s="33">
        <v>5.0</v>
      </c>
      <c r="X34" s="33">
        <v>25.0</v>
      </c>
      <c r="Y34" s="33">
        <v>85.0</v>
      </c>
      <c r="Z34" s="33">
        <v>5.0</v>
      </c>
      <c r="AA34" s="33">
        <v>40.0</v>
      </c>
      <c r="AB34" s="33">
        <v>10.0</v>
      </c>
      <c r="AC34" s="33">
        <v>15.0</v>
      </c>
      <c r="AD34" s="33">
        <v>5.0</v>
      </c>
      <c r="AE34" s="33">
        <v>95.0</v>
      </c>
      <c r="AF34" s="33">
        <v>75.0</v>
      </c>
      <c r="AG34" s="33">
        <v>20.0</v>
      </c>
      <c r="AH34" s="33">
        <v>15.0</v>
      </c>
      <c r="AI34" s="33">
        <v>90.0</v>
      </c>
      <c r="AJ34" s="33">
        <v>70.0</v>
      </c>
      <c r="AK34" s="33">
        <v>92.0</v>
      </c>
      <c r="AL34" s="33">
        <v>75.0</v>
      </c>
      <c r="AM34" s="33">
        <v>-100.0</v>
      </c>
      <c r="AN34" s="33">
        <v>100.0</v>
      </c>
      <c r="AO34" s="33">
        <v>100.0</v>
      </c>
      <c r="AP34" s="18" t="s">
        <v>368</v>
      </c>
      <c r="AQ34" s="18" t="s">
        <v>369</v>
      </c>
      <c r="AR34" s="20" t="s">
        <v>166</v>
      </c>
      <c r="AS34" s="20" t="s">
        <v>167</v>
      </c>
      <c r="AT34" s="20" t="s">
        <v>168</v>
      </c>
      <c r="AU34" s="21" t="s">
        <v>168</v>
      </c>
      <c r="AV34" s="22" t="s">
        <v>370</v>
      </c>
      <c r="AW34" s="56" t="s">
        <v>371</v>
      </c>
      <c r="AX34" s="34"/>
      <c r="BA34" s="34"/>
      <c r="BB34" s="34"/>
    </row>
    <row r="35" hidden="1">
      <c r="A35" s="25" t="s">
        <v>372</v>
      </c>
      <c r="B35" s="26" t="s">
        <v>373</v>
      </c>
      <c r="C35" s="27" t="s">
        <v>200</v>
      </c>
      <c r="D35" s="27" t="s">
        <v>99</v>
      </c>
      <c r="E35" s="27" t="s">
        <v>100</v>
      </c>
      <c r="F35" s="27" t="s">
        <v>101</v>
      </c>
      <c r="G35" s="28">
        <v>349.0</v>
      </c>
      <c r="H35" s="36">
        <f t="shared" si="1"/>
        <v>331.55</v>
      </c>
      <c r="I35" s="29" t="s">
        <v>55</v>
      </c>
      <c r="J35" s="30" t="s">
        <v>102</v>
      </c>
      <c r="K35" s="30" t="s">
        <v>17</v>
      </c>
      <c r="L35" s="31" t="s">
        <v>183</v>
      </c>
      <c r="M35" s="31" t="s">
        <v>374</v>
      </c>
      <c r="N35" s="33">
        <v>0.0</v>
      </c>
      <c r="O35" s="33">
        <v>100.0</v>
      </c>
      <c r="P35" s="33">
        <v>100.0</v>
      </c>
      <c r="Q35" s="33">
        <v>82.0</v>
      </c>
      <c r="R35" s="33">
        <v>92.0</v>
      </c>
      <c r="S35" s="33">
        <v>50.0</v>
      </c>
      <c r="T35" s="33">
        <v>75.0</v>
      </c>
      <c r="U35" s="33">
        <v>45.0</v>
      </c>
      <c r="V35" s="17">
        <v>65.0</v>
      </c>
      <c r="W35" s="33">
        <v>10.0</v>
      </c>
      <c r="X35" s="33">
        <v>45.0</v>
      </c>
      <c r="Y35" s="33">
        <v>90.0</v>
      </c>
      <c r="Z35" s="33">
        <v>10.0</v>
      </c>
      <c r="AA35" s="33">
        <v>55.0</v>
      </c>
      <c r="AB35" s="33">
        <v>55.0</v>
      </c>
      <c r="AC35" s="33">
        <v>65.0</v>
      </c>
      <c r="AD35" s="33">
        <v>15.0</v>
      </c>
      <c r="AE35" s="33">
        <v>92.0</v>
      </c>
      <c r="AF35" s="33">
        <v>72.0</v>
      </c>
      <c r="AG35" s="33">
        <v>50.0</v>
      </c>
      <c r="AH35" s="33">
        <v>40.0</v>
      </c>
      <c r="AI35" s="33">
        <v>82.0</v>
      </c>
      <c r="AJ35" s="33">
        <v>68.0</v>
      </c>
      <c r="AK35" s="33">
        <v>90.0</v>
      </c>
      <c r="AL35" s="33">
        <v>72.0</v>
      </c>
      <c r="AM35" s="33">
        <v>-100.0</v>
      </c>
      <c r="AN35" s="33">
        <v>100.0</v>
      </c>
      <c r="AO35" s="33">
        <v>100.0</v>
      </c>
      <c r="AP35" s="18" t="s">
        <v>375</v>
      </c>
      <c r="AQ35" s="18" t="s">
        <v>376</v>
      </c>
      <c r="AR35" s="20" t="s">
        <v>62</v>
      </c>
      <c r="AS35" s="20" t="s">
        <v>63</v>
      </c>
      <c r="AT35" s="20" t="s">
        <v>64</v>
      </c>
      <c r="AU35" s="21" t="s">
        <v>64</v>
      </c>
      <c r="AV35" s="22" t="s">
        <v>377</v>
      </c>
      <c r="AW35" s="56" t="s">
        <v>378</v>
      </c>
      <c r="AX35" s="34"/>
      <c r="AY35" s="52"/>
      <c r="AZ35" s="52"/>
      <c r="BA35" s="34"/>
      <c r="BB35" s="34"/>
    </row>
    <row r="36" hidden="1">
      <c r="A36" s="25" t="s">
        <v>379</v>
      </c>
      <c r="B36" s="26" t="s">
        <v>380</v>
      </c>
      <c r="C36" s="27" t="s">
        <v>200</v>
      </c>
      <c r="D36" s="27" t="s">
        <v>99</v>
      </c>
      <c r="E36" s="27" t="s">
        <v>112</v>
      </c>
      <c r="F36" s="27" t="s">
        <v>381</v>
      </c>
      <c r="G36" s="28">
        <v>499.0</v>
      </c>
      <c r="H36" s="36">
        <f t="shared" si="1"/>
        <v>474.05</v>
      </c>
      <c r="I36" s="29" t="s">
        <v>55</v>
      </c>
      <c r="J36" s="30" t="s">
        <v>102</v>
      </c>
      <c r="K36" s="30" t="s">
        <v>323</v>
      </c>
      <c r="L36" s="31" t="s">
        <v>382</v>
      </c>
      <c r="M36" s="31" t="s">
        <v>383</v>
      </c>
      <c r="N36" s="33">
        <v>100.0</v>
      </c>
      <c r="O36" s="33">
        <v>100.0</v>
      </c>
      <c r="P36" s="33">
        <v>100.0</v>
      </c>
      <c r="Q36" s="33">
        <v>40.0</v>
      </c>
      <c r="R36" s="33">
        <v>55.0</v>
      </c>
      <c r="S36" s="33">
        <v>72.0</v>
      </c>
      <c r="T36" s="33">
        <v>35.0</v>
      </c>
      <c r="U36" s="33">
        <v>90.0</v>
      </c>
      <c r="V36" s="33">
        <v>92.0</v>
      </c>
      <c r="W36" s="33">
        <v>78.0</v>
      </c>
      <c r="X36" s="33">
        <v>60.0</v>
      </c>
      <c r="Y36" s="33">
        <v>25.0</v>
      </c>
      <c r="Z36" s="33">
        <v>30.0</v>
      </c>
      <c r="AA36" s="33">
        <v>72.0</v>
      </c>
      <c r="AB36" s="33">
        <v>75.0</v>
      </c>
      <c r="AC36" s="33">
        <v>85.0</v>
      </c>
      <c r="AD36" s="33">
        <v>98.0</v>
      </c>
      <c r="AE36" s="33">
        <v>90.0</v>
      </c>
      <c r="AF36" s="33">
        <v>85.0</v>
      </c>
      <c r="AG36" s="33">
        <v>75.0</v>
      </c>
      <c r="AH36" s="33">
        <v>72.0</v>
      </c>
      <c r="AI36" s="33">
        <v>86.0</v>
      </c>
      <c r="AJ36" s="33">
        <v>84.0</v>
      </c>
      <c r="AK36" s="33">
        <v>90.0</v>
      </c>
      <c r="AL36" s="33">
        <v>85.0</v>
      </c>
      <c r="AM36" s="33">
        <v>0.0</v>
      </c>
      <c r="AN36" s="33">
        <v>100.0</v>
      </c>
      <c r="AO36" s="33">
        <v>100.0</v>
      </c>
      <c r="AP36" s="18" t="s">
        <v>384</v>
      </c>
      <c r="AQ36" s="18" t="s">
        <v>385</v>
      </c>
      <c r="AR36" s="20" t="s">
        <v>144</v>
      </c>
      <c r="AS36" s="20" t="s">
        <v>145</v>
      </c>
      <c r="AT36" s="20" t="s">
        <v>146</v>
      </c>
      <c r="AU36" s="21" t="s">
        <v>146</v>
      </c>
      <c r="AV36" s="22" t="s">
        <v>386</v>
      </c>
      <c r="AW36" s="56" t="s">
        <v>387</v>
      </c>
      <c r="AX36" s="34"/>
      <c r="AY36" s="55"/>
      <c r="AZ36" s="55"/>
      <c r="BA36" s="34"/>
      <c r="BB36" s="34"/>
    </row>
    <row r="37" hidden="1">
      <c r="A37" s="25" t="s">
        <v>388</v>
      </c>
      <c r="B37" s="26" t="s">
        <v>389</v>
      </c>
      <c r="C37" s="27" t="s">
        <v>390</v>
      </c>
      <c r="D37" s="27" t="s">
        <v>52</v>
      </c>
      <c r="E37" s="27" t="s">
        <v>53</v>
      </c>
      <c r="F37" s="27" t="s">
        <v>54</v>
      </c>
      <c r="G37" s="28">
        <v>249.0</v>
      </c>
      <c r="H37" s="36">
        <f t="shared" si="1"/>
        <v>236.55</v>
      </c>
      <c r="I37" s="29" t="s">
        <v>55</v>
      </c>
      <c r="J37" s="30" t="s">
        <v>358</v>
      </c>
      <c r="K37" s="30" t="s">
        <v>191</v>
      </c>
      <c r="L37" s="31" t="s">
        <v>391</v>
      </c>
      <c r="M37" s="31" t="s">
        <v>392</v>
      </c>
      <c r="N37" s="33">
        <v>100.0</v>
      </c>
      <c r="O37" s="33">
        <v>100.0</v>
      </c>
      <c r="P37" s="33">
        <v>100.0</v>
      </c>
      <c r="Q37" s="33">
        <v>90.0</v>
      </c>
      <c r="R37" s="33">
        <v>35.0</v>
      </c>
      <c r="S37" s="33">
        <v>45.0</v>
      </c>
      <c r="T37" s="33">
        <v>82.0</v>
      </c>
      <c r="U37" s="33">
        <v>35.0</v>
      </c>
      <c r="V37" s="33">
        <v>25.0</v>
      </c>
      <c r="W37" s="33">
        <v>10.0</v>
      </c>
      <c r="X37" s="33">
        <v>65.0</v>
      </c>
      <c r="Y37" s="33">
        <v>90.0</v>
      </c>
      <c r="Z37" s="33">
        <v>10.0</v>
      </c>
      <c r="AA37" s="33">
        <v>78.0</v>
      </c>
      <c r="AB37" s="33">
        <v>55.0</v>
      </c>
      <c r="AC37" s="33">
        <v>45.0</v>
      </c>
      <c r="AD37" s="33">
        <v>5.0</v>
      </c>
      <c r="AE37" s="33">
        <v>95.0</v>
      </c>
      <c r="AF37" s="33">
        <v>90.0</v>
      </c>
      <c r="AG37" s="33">
        <v>50.0</v>
      </c>
      <c r="AH37" s="33">
        <v>62.0</v>
      </c>
      <c r="AI37" s="33">
        <v>90.0</v>
      </c>
      <c r="AJ37" s="33">
        <v>90.0</v>
      </c>
      <c r="AK37" s="33">
        <v>92.0</v>
      </c>
      <c r="AL37" s="33">
        <v>90.0</v>
      </c>
      <c r="AM37" s="33">
        <v>-100.0</v>
      </c>
      <c r="AN37" s="33">
        <v>100.0</v>
      </c>
      <c r="AO37" s="33">
        <v>100.0</v>
      </c>
      <c r="AP37" s="18" t="s">
        <v>393</v>
      </c>
      <c r="AQ37" s="18" t="s">
        <v>394</v>
      </c>
      <c r="AR37" s="20" t="s">
        <v>62</v>
      </c>
      <c r="AS37" s="20" t="s">
        <v>63</v>
      </c>
      <c r="AT37" s="20" t="s">
        <v>64</v>
      </c>
      <c r="AU37" s="21" t="s">
        <v>64</v>
      </c>
      <c r="AV37" s="22" t="s">
        <v>395</v>
      </c>
      <c r="AW37" s="56" t="s">
        <v>396</v>
      </c>
      <c r="AX37" s="34"/>
      <c r="BA37" s="34"/>
      <c r="BB37" s="34"/>
    </row>
    <row r="38" hidden="1">
      <c r="A38" s="25" t="s">
        <v>397</v>
      </c>
      <c r="B38" s="26" t="s">
        <v>398</v>
      </c>
      <c r="C38" s="27" t="s">
        <v>390</v>
      </c>
      <c r="D38" s="27" t="s">
        <v>52</v>
      </c>
      <c r="E38" s="27" t="s">
        <v>53</v>
      </c>
      <c r="F38" s="27" t="s">
        <v>54</v>
      </c>
      <c r="G38" s="28">
        <v>249.0</v>
      </c>
      <c r="H38" s="36">
        <f t="shared" si="1"/>
        <v>236.55</v>
      </c>
      <c r="I38" s="29" t="s">
        <v>55</v>
      </c>
      <c r="J38" s="30" t="s">
        <v>266</v>
      </c>
      <c r="K38" s="30" t="s">
        <v>243</v>
      </c>
      <c r="L38" s="31" t="s">
        <v>399</v>
      </c>
      <c r="M38" s="31" t="s">
        <v>400</v>
      </c>
      <c r="N38" s="33">
        <v>100.0</v>
      </c>
      <c r="O38" s="33">
        <v>100.0</v>
      </c>
      <c r="P38" s="33">
        <v>100.0</v>
      </c>
      <c r="Q38" s="33">
        <v>35.0</v>
      </c>
      <c r="R38" s="33">
        <v>15.0</v>
      </c>
      <c r="S38" s="33">
        <v>92.0</v>
      </c>
      <c r="T38" s="33">
        <v>10.0</v>
      </c>
      <c r="U38" s="33">
        <v>10.0</v>
      </c>
      <c r="V38" s="33">
        <v>5.0</v>
      </c>
      <c r="W38" s="33">
        <v>5.0</v>
      </c>
      <c r="X38" s="33">
        <v>95.0</v>
      </c>
      <c r="Y38" s="33">
        <v>15.0</v>
      </c>
      <c r="Z38" s="33">
        <v>15.0</v>
      </c>
      <c r="AA38" s="33">
        <v>95.0</v>
      </c>
      <c r="AB38" s="33">
        <v>98.0</v>
      </c>
      <c r="AC38" s="33">
        <v>35.0</v>
      </c>
      <c r="AD38" s="33">
        <v>5.0</v>
      </c>
      <c r="AE38" s="33">
        <v>82.0</v>
      </c>
      <c r="AF38" s="33">
        <v>95.0</v>
      </c>
      <c r="AG38" s="33">
        <v>98.0</v>
      </c>
      <c r="AH38" s="33">
        <v>98.0</v>
      </c>
      <c r="AI38" s="33">
        <v>92.0</v>
      </c>
      <c r="AJ38" s="33">
        <v>98.0</v>
      </c>
      <c r="AK38" s="33">
        <v>90.0</v>
      </c>
      <c r="AL38" s="33">
        <v>96.0</v>
      </c>
      <c r="AM38" s="33">
        <v>100.0</v>
      </c>
      <c r="AN38" s="33">
        <v>100.0</v>
      </c>
      <c r="AO38" s="33">
        <v>100.0</v>
      </c>
      <c r="AP38" s="18" t="s">
        <v>401</v>
      </c>
      <c r="AQ38" s="18" t="s">
        <v>402</v>
      </c>
      <c r="AR38" s="20" t="s">
        <v>62</v>
      </c>
      <c r="AS38" s="20" t="s">
        <v>63</v>
      </c>
      <c r="AT38" s="20" t="s">
        <v>64</v>
      </c>
      <c r="AU38" s="21" t="s">
        <v>64</v>
      </c>
      <c r="AV38" s="22" t="s">
        <v>403</v>
      </c>
      <c r="AW38" s="56" t="s">
        <v>404</v>
      </c>
      <c r="AX38" s="34"/>
      <c r="BA38" s="34"/>
      <c r="BB38" s="34"/>
    </row>
    <row r="39" hidden="1">
      <c r="A39" s="25" t="s">
        <v>405</v>
      </c>
      <c r="B39" s="26" t="s">
        <v>406</v>
      </c>
      <c r="C39" s="27" t="s">
        <v>390</v>
      </c>
      <c r="D39" s="27" t="s">
        <v>52</v>
      </c>
      <c r="E39" s="27" t="s">
        <v>53</v>
      </c>
      <c r="F39" s="27" t="s">
        <v>54</v>
      </c>
      <c r="G39" s="28">
        <v>249.0</v>
      </c>
      <c r="H39" s="36">
        <f t="shared" si="1"/>
        <v>236.55</v>
      </c>
      <c r="I39" s="29" t="s">
        <v>55</v>
      </c>
      <c r="J39" s="30" t="s">
        <v>407</v>
      </c>
      <c r="K39" s="30" t="s">
        <v>408</v>
      </c>
      <c r="L39" s="31" t="s">
        <v>314</v>
      </c>
      <c r="M39" s="31" t="s">
        <v>409</v>
      </c>
      <c r="N39" s="33">
        <v>100.0</v>
      </c>
      <c r="O39" s="33">
        <v>100.0</v>
      </c>
      <c r="P39" s="33">
        <v>100.0</v>
      </c>
      <c r="Q39" s="33">
        <v>30.0</v>
      </c>
      <c r="R39" s="33">
        <v>15.0</v>
      </c>
      <c r="S39" s="33">
        <v>75.0</v>
      </c>
      <c r="T39" s="33">
        <v>15.0</v>
      </c>
      <c r="U39" s="33">
        <v>55.0</v>
      </c>
      <c r="V39" s="33">
        <v>50.0</v>
      </c>
      <c r="W39" s="33">
        <v>20.0</v>
      </c>
      <c r="X39" s="33">
        <v>70.0</v>
      </c>
      <c r="Y39" s="33">
        <v>15.0</v>
      </c>
      <c r="Z39" s="33">
        <v>20.0</v>
      </c>
      <c r="AA39" s="33">
        <v>90.0</v>
      </c>
      <c r="AB39" s="33">
        <v>90.0</v>
      </c>
      <c r="AC39" s="33">
        <v>72.0</v>
      </c>
      <c r="AD39" s="33">
        <v>15.0</v>
      </c>
      <c r="AE39" s="33">
        <v>82.0</v>
      </c>
      <c r="AF39" s="33">
        <v>90.0</v>
      </c>
      <c r="AG39" s="33">
        <v>85.0</v>
      </c>
      <c r="AH39" s="33">
        <v>90.0</v>
      </c>
      <c r="AI39" s="33">
        <v>86.0</v>
      </c>
      <c r="AJ39" s="33">
        <v>90.0</v>
      </c>
      <c r="AK39" s="33">
        <v>84.0</v>
      </c>
      <c r="AL39" s="33">
        <v>90.0</v>
      </c>
      <c r="AM39" s="33">
        <v>100.0</v>
      </c>
      <c r="AN39" s="33">
        <v>100.0</v>
      </c>
      <c r="AO39" s="33">
        <v>100.0</v>
      </c>
      <c r="AP39" s="18" t="s">
        <v>410</v>
      </c>
      <c r="AQ39" s="18" t="s">
        <v>411</v>
      </c>
      <c r="AR39" s="20" t="s">
        <v>62</v>
      </c>
      <c r="AS39" s="20" t="s">
        <v>63</v>
      </c>
      <c r="AT39" s="20" t="s">
        <v>64</v>
      </c>
      <c r="AU39" s="21" t="s">
        <v>64</v>
      </c>
      <c r="AV39" s="22" t="s">
        <v>412</v>
      </c>
      <c r="AW39" s="56" t="s">
        <v>413</v>
      </c>
      <c r="AX39" s="34"/>
      <c r="BA39" s="34"/>
      <c r="BB39" s="34"/>
    </row>
    <row r="40" hidden="1">
      <c r="A40" s="25" t="s">
        <v>414</v>
      </c>
      <c r="B40" s="26" t="s">
        <v>415</v>
      </c>
      <c r="C40" s="27" t="s">
        <v>390</v>
      </c>
      <c r="D40" s="27" t="s">
        <v>52</v>
      </c>
      <c r="E40" s="27" t="s">
        <v>69</v>
      </c>
      <c r="F40" s="27" t="s">
        <v>70</v>
      </c>
      <c r="G40" s="28">
        <v>695.0</v>
      </c>
      <c r="H40" s="36">
        <f t="shared" si="1"/>
        <v>660.25</v>
      </c>
      <c r="I40" s="29" t="s">
        <v>55</v>
      </c>
      <c r="J40" s="30" t="s">
        <v>224</v>
      </c>
      <c r="K40" s="30" t="s">
        <v>173</v>
      </c>
      <c r="L40" s="31" t="s">
        <v>174</v>
      </c>
      <c r="M40" s="31" t="s">
        <v>416</v>
      </c>
      <c r="N40" s="33">
        <v>100.0</v>
      </c>
      <c r="O40" s="33">
        <v>100.0</v>
      </c>
      <c r="P40" s="33">
        <v>100.0</v>
      </c>
      <c r="Q40" s="33">
        <v>58.0</v>
      </c>
      <c r="R40" s="33">
        <v>15.0</v>
      </c>
      <c r="S40" s="33">
        <v>55.0</v>
      </c>
      <c r="T40" s="33">
        <v>48.0</v>
      </c>
      <c r="U40" s="33">
        <v>92.0</v>
      </c>
      <c r="V40" s="33">
        <v>90.0</v>
      </c>
      <c r="W40" s="33">
        <v>68.0</v>
      </c>
      <c r="X40" s="33">
        <v>52.0</v>
      </c>
      <c r="Y40" s="33">
        <v>35.0</v>
      </c>
      <c r="Z40" s="33">
        <v>78.0</v>
      </c>
      <c r="AA40" s="33">
        <v>65.0</v>
      </c>
      <c r="AB40" s="33">
        <v>65.0</v>
      </c>
      <c r="AC40" s="33">
        <v>96.0</v>
      </c>
      <c r="AD40" s="33">
        <v>68.0</v>
      </c>
      <c r="AE40" s="33">
        <v>86.0</v>
      </c>
      <c r="AF40" s="33">
        <v>80.0</v>
      </c>
      <c r="AG40" s="33">
        <v>70.0</v>
      </c>
      <c r="AH40" s="33">
        <v>65.0</v>
      </c>
      <c r="AI40" s="33">
        <v>90.0</v>
      </c>
      <c r="AJ40" s="33">
        <v>84.0</v>
      </c>
      <c r="AK40" s="33">
        <v>90.0</v>
      </c>
      <c r="AL40" s="33">
        <v>82.0</v>
      </c>
      <c r="AM40" s="33">
        <v>0.0</v>
      </c>
      <c r="AN40" s="33">
        <v>100.0</v>
      </c>
      <c r="AO40" s="33">
        <v>100.0</v>
      </c>
      <c r="AP40" s="18" t="s">
        <v>417</v>
      </c>
      <c r="AQ40" s="18" t="s">
        <v>418</v>
      </c>
      <c r="AR40" s="20" t="s">
        <v>166</v>
      </c>
      <c r="AS40" s="20" t="s">
        <v>167</v>
      </c>
      <c r="AT40" s="20" t="s">
        <v>168</v>
      </c>
      <c r="AU40" s="21" t="s">
        <v>168</v>
      </c>
      <c r="AV40" s="22" t="s">
        <v>419</v>
      </c>
      <c r="AW40" s="60" t="s">
        <v>420</v>
      </c>
      <c r="AX40" s="34"/>
      <c r="AY40" s="55"/>
      <c r="AZ40" s="55"/>
      <c r="BA40" s="34"/>
      <c r="BB40" s="34"/>
    </row>
    <row r="41" hidden="1">
      <c r="A41" s="25" t="s">
        <v>421</v>
      </c>
      <c r="B41" s="26" t="s">
        <v>422</v>
      </c>
      <c r="C41" s="27" t="s">
        <v>390</v>
      </c>
      <c r="D41" s="27" t="s">
        <v>52</v>
      </c>
      <c r="E41" s="35" t="s">
        <v>84</v>
      </c>
      <c r="F41" s="27" t="s">
        <v>85</v>
      </c>
      <c r="G41" s="28">
        <v>395.0</v>
      </c>
      <c r="H41" s="36">
        <f t="shared" si="1"/>
        <v>375.25</v>
      </c>
      <c r="I41" s="29" t="s">
        <v>55</v>
      </c>
      <c r="J41" s="30" t="s">
        <v>358</v>
      </c>
      <c r="K41" s="30" t="s">
        <v>408</v>
      </c>
      <c r="L41" s="31" t="s">
        <v>154</v>
      </c>
      <c r="M41" s="31" t="s">
        <v>423</v>
      </c>
      <c r="N41" s="33">
        <v>100.0</v>
      </c>
      <c r="O41" s="33">
        <v>100.0</v>
      </c>
      <c r="P41" s="33">
        <v>100.0</v>
      </c>
      <c r="Q41" s="33">
        <v>75.0</v>
      </c>
      <c r="R41" s="33">
        <v>20.0</v>
      </c>
      <c r="S41" s="33">
        <v>82.0</v>
      </c>
      <c r="T41" s="33">
        <v>68.0</v>
      </c>
      <c r="U41" s="33">
        <v>45.0</v>
      </c>
      <c r="V41" s="33">
        <v>35.0</v>
      </c>
      <c r="W41" s="33">
        <v>15.0</v>
      </c>
      <c r="X41" s="33">
        <v>85.0</v>
      </c>
      <c r="Y41" s="33">
        <v>65.0</v>
      </c>
      <c r="Z41" s="33">
        <v>20.0</v>
      </c>
      <c r="AA41" s="33">
        <v>90.0</v>
      </c>
      <c r="AB41" s="33">
        <v>90.0</v>
      </c>
      <c r="AC41" s="33">
        <v>55.0</v>
      </c>
      <c r="AD41" s="33">
        <v>5.0</v>
      </c>
      <c r="AE41" s="33">
        <v>98.0</v>
      </c>
      <c r="AF41" s="33">
        <v>98.0</v>
      </c>
      <c r="AG41" s="33">
        <v>65.0</v>
      </c>
      <c r="AH41" s="33">
        <v>82.0</v>
      </c>
      <c r="AI41" s="33">
        <v>92.0</v>
      </c>
      <c r="AJ41" s="33">
        <v>96.0</v>
      </c>
      <c r="AK41" s="33">
        <v>95.0</v>
      </c>
      <c r="AL41" s="33">
        <v>97.0</v>
      </c>
      <c r="AM41" s="33">
        <v>0.0</v>
      </c>
      <c r="AN41" s="33">
        <v>100.0</v>
      </c>
      <c r="AO41" s="33">
        <v>100.0</v>
      </c>
      <c r="AP41" s="18" t="s">
        <v>424</v>
      </c>
      <c r="AQ41" s="18" t="s">
        <v>425</v>
      </c>
      <c r="AR41" s="20" t="s">
        <v>92</v>
      </c>
      <c r="AS41" s="20" t="s">
        <v>93</v>
      </c>
      <c r="AT41" s="20" t="s">
        <v>94</v>
      </c>
      <c r="AU41" s="21" t="s">
        <v>94</v>
      </c>
      <c r="AV41" s="22" t="s">
        <v>426</v>
      </c>
      <c r="AW41" s="56" t="s">
        <v>427</v>
      </c>
      <c r="AX41" s="34"/>
      <c r="BA41" s="34"/>
      <c r="BB41" s="34"/>
    </row>
    <row r="42" hidden="1">
      <c r="A42" s="25" t="s">
        <v>428</v>
      </c>
      <c r="B42" s="26" t="s">
        <v>429</v>
      </c>
      <c r="C42" s="27" t="s">
        <v>390</v>
      </c>
      <c r="D42" s="27" t="s">
        <v>52</v>
      </c>
      <c r="E42" s="27" t="s">
        <v>252</v>
      </c>
      <c r="F42" s="27" t="s">
        <v>85</v>
      </c>
      <c r="G42" s="28">
        <v>445.0</v>
      </c>
      <c r="H42" s="36">
        <f t="shared" si="1"/>
        <v>422.75</v>
      </c>
      <c r="I42" s="29" t="s">
        <v>55</v>
      </c>
      <c r="J42" s="30" t="s">
        <v>430</v>
      </c>
      <c r="K42" s="30" t="s">
        <v>29</v>
      </c>
      <c r="L42" s="31" t="s">
        <v>431</v>
      </c>
      <c r="M42" s="31" t="s">
        <v>432</v>
      </c>
      <c r="N42" s="33">
        <v>100.0</v>
      </c>
      <c r="O42" s="33">
        <v>100.0</v>
      </c>
      <c r="P42" s="33">
        <v>100.0</v>
      </c>
      <c r="Q42" s="33">
        <v>20.0</v>
      </c>
      <c r="R42" s="33">
        <v>10.0</v>
      </c>
      <c r="S42" s="33">
        <v>78.0</v>
      </c>
      <c r="T42" s="33">
        <v>10.0</v>
      </c>
      <c r="U42" s="33">
        <v>40.0</v>
      </c>
      <c r="V42" s="33">
        <v>45.0</v>
      </c>
      <c r="W42" s="33">
        <v>30.0</v>
      </c>
      <c r="X42" s="33">
        <v>68.0</v>
      </c>
      <c r="Y42" s="33">
        <v>10.0</v>
      </c>
      <c r="Z42" s="33">
        <v>30.0</v>
      </c>
      <c r="AA42" s="33">
        <v>80.0</v>
      </c>
      <c r="AB42" s="33">
        <v>85.0</v>
      </c>
      <c r="AC42" s="33">
        <v>65.0</v>
      </c>
      <c r="AD42" s="33">
        <v>98.0</v>
      </c>
      <c r="AE42" s="33">
        <v>90.0</v>
      </c>
      <c r="AF42" s="33">
        <v>90.0</v>
      </c>
      <c r="AG42" s="33">
        <v>80.0</v>
      </c>
      <c r="AH42" s="33">
        <v>78.0</v>
      </c>
      <c r="AI42" s="33">
        <v>90.0</v>
      </c>
      <c r="AJ42" s="33">
        <v>86.0</v>
      </c>
      <c r="AK42" s="33">
        <v>89.0</v>
      </c>
      <c r="AL42" s="33">
        <v>87.0</v>
      </c>
      <c r="AM42" s="33">
        <v>-100.0</v>
      </c>
      <c r="AN42" s="33">
        <v>100.0</v>
      </c>
      <c r="AO42" s="33">
        <v>100.0</v>
      </c>
      <c r="AP42" s="18" t="s">
        <v>433</v>
      </c>
      <c r="AQ42" s="18" t="s">
        <v>434</v>
      </c>
      <c r="AR42" s="20" t="s">
        <v>144</v>
      </c>
      <c r="AS42" s="20" t="s">
        <v>145</v>
      </c>
      <c r="AT42" s="20" t="s">
        <v>146</v>
      </c>
      <c r="AU42" s="21" t="s">
        <v>146</v>
      </c>
      <c r="AV42" s="22" t="s">
        <v>435</v>
      </c>
      <c r="AW42" s="56" t="s">
        <v>436</v>
      </c>
      <c r="AX42" s="34"/>
      <c r="BA42" s="34"/>
      <c r="BB42" s="34"/>
    </row>
    <row r="43" hidden="1">
      <c r="A43" s="25" t="s">
        <v>437</v>
      </c>
      <c r="B43" s="26" t="s">
        <v>438</v>
      </c>
      <c r="C43" s="27" t="s">
        <v>390</v>
      </c>
      <c r="D43" s="27" t="s">
        <v>52</v>
      </c>
      <c r="E43" s="27" t="s">
        <v>252</v>
      </c>
      <c r="F43" s="27" t="s">
        <v>85</v>
      </c>
      <c r="G43" s="28">
        <v>445.0</v>
      </c>
      <c r="H43" s="36">
        <f t="shared" si="1"/>
        <v>422.75</v>
      </c>
      <c r="I43" s="29" t="s">
        <v>55</v>
      </c>
      <c r="J43" s="30" t="s">
        <v>358</v>
      </c>
      <c r="K43" s="30" t="s">
        <v>439</v>
      </c>
      <c r="L43" s="31" t="s">
        <v>154</v>
      </c>
      <c r="M43" s="31" t="s">
        <v>440</v>
      </c>
      <c r="N43" s="33">
        <v>100.0</v>
      </c>
      <c r="O43" s="33">
        <v>100.0</v>
      </c>
      <c r="P43" s="33">
        <v>100.0</v>
      </c>
      <c r="Q43" s="33">
        <v>65.0</v>
      </c>
      <c r="R43" s="33">
        <v>15.0</v>
      </c>
      <c r="S43" s="33">
        <v>65.0</v>
      </c>
      <c r="T43" s="33">
        <v>72.0</v>
      </c>
      <c r="U43" s="33">
        <v>42.0</v>
      </c>
      <c r="V43" s="33">
        <v>35.0</v>
      </c>
      <c r="W43" s="33">
        <v>15.0</v>
      </c>
      <c r="X43" s="33">
        <v>75.0</v>
      </c>
      <c r="Y43" s="33">
        <v>68.0</v>
      </c>
      <c r="Z43" s="33">
        <v>25.0</v>
      </c>
      <c r="AA43" s="33">
        <v>90.0</v>
      </c>
      <c r="AB43" s="33">
        <v>72.0</v>
      </c>
      <c r="AC43" s="33">
        <v>52.0</v>
      </c>
      <c r="AD43" s="33">
        <v>98.0</v>
      </c>
      <c r="AE43" s="33">
        <v>98.0</v>
      </c>
      <c r="AF43" s="33">
        <v>96.0</v>
      </c>
      <c r="AG43" s="33">
        <v>58.0</v>
      </c>
      <c r="AH43" s="33">
        <v>72.0</v>
      </c>
      <c r="AI43" s="33">
        <v>90.0</v>
      </c>
      <c r="AJ43" s="33">
        <v>92.0</v>
      </c>
      <c r="AK43" s="33">
        <v>95.0</v>
      </c>
      <c r="AL43" s="33">
        <v>94.0</v>
      </c>
      <c r="AM43" s="33">
        <v>0.0</v>
      </c>
      <c r="AN43" s="33">
        <v>100.0</v>
      </c>
      <c r="AO43" s="33">
        <v>100.0</v>
      </c>
      <c r="AP43" s="18" t="s">
        <v>441</v>
      </c>
      <c r="AQ43" s="18" t="s">
        <v>442</v>
      </c>
      <c r="AR43" s="20" t="s">
        <v>144</v>
      </c>
      <c r="AS43" s="20" t="s">
        <v>145</v>
      </c>
      <c r="AT43" s="20" t="s">
        <v>146</v>
      </c>
      <c r="AU43" s="21" t="s">
        <v>146</v>
      </c>
      <c r="AV43" s="22" t="s">
        <v>443</v>
      </c>
      <c r="AW43" s="56" t="s">
        <v>444</v>
      </c>
      <c r="AX43" s="34"/>
      <c r="BA43" s="34"/>
      <c r="BB43" s="34"/>
    </row>
    <row r="44" hidden="1">
      <c r="A44" s="25" t="s">
        <v>445</v>
      </c>
      <c r="B44" s="26" t="s">
        <v>446</v>
      </c>
      <c r="C44" s="27" t="s">
        <v>390</v>
      </c>
      <c r="D44" s="27" t="s">
        <v>52</v>
      </c>
      <c r="E44" s="27" t="s">
        <v>252</v>
      </c>
      <c r="F44" s="27" t="s">
        <v>85</v>
      </c>
      <c r="G44" s="28">
        <v>445.0</v>
      </c>
      <c r="H44" s="36">
        <f t="shared" si="1"/>
        <v>422.75</v>
      </c>
      <c r="I44" s="29" t="s">
        <v>55</v>
      </c>
      <c r="J44" s="30" t="s">
        <v>216</v>
      </c>
      <c r="K44" s="30" t="s">
        <v>29</v>
      </c>
      <c r="L44" s="31" t="s">
        <v>314</v>
      </c>
      <c r="M44" s="31" t="s">
        <v>447</v>
      </c>
      <c r="N44" s="33">
        <v>100.0</v>
      </c>
      <c r="O44" s="33">
        <v>100.0</v>
      </c>
      <c r="P44" s="33">
        <v>100.0</v>
      </c>
      <c r="Q44" s="33">
        <v>25.0</v>
      </c>
      <c r="R44" s="33">
        <v>10.0</v>
      </c>
      <c r="S44" s="33">
        <v>68.0</v>
      </c>
      <c r="T44" s="33">
        <v>12.0</v>
      </c>
      <c r="U44" s="33">
        <v>72.0</v>
      </c>
      <c r="V44" s="33">
        <v>75.0</v>
      </c>
      <c r="W44" s="33">
        <v>45.0</v>
      </c>
      <c r="X44" s="33">
        <v>58.0</v>
      </c>
      <c r="Y44" s="33">
        <v>10.0</v>
      </c>
      <c r="Z44" s="33">
        <v>40.0</v>
      </c>
      <c r="AA44" s="33">
        <v>72.0</v>
      </c>
      <c r="AB44" s="33">
        <v>72.0</v>
      </c>
      <c r="AC44" s="33">
        <v>82.0</v>
      </c>
      <c r="AD44" s="33">
        <v>98.0</v>
      </c>
      <c r="AE44" s="33">
        <v>85.0</v>
      </c>
      <c r="AF44" s="33">
        <v>82.0</v>
      </c>
      <c r="AG44" s="33">
        <v>70.0</v>
      </c>
      <c r="AH44" s="33">
        <v>65.0</v>
      </c>
      <c r="AI44" s="33">
        <v>90.0</v>
      </c>
      <c r="AJ44" s="33">
        <v>84.0</v>
      </c>
      <c r="AK44" s="33">
        <v>86.0</v>
      </c>
      <c r="AL44" s="33">
        <v>83.0</v>
      </c>
      <c r="AM44" s="33">
        <v>0.0</v>
      </c>
      <c r="AN44" s="33">
        <v>100.0</v>
      </c>
      <c r="AO44" s="33">
        <v>100.0</v>
      </c>
      <c r="AP44" s="18" t="s">
        <v>448</v>
      </c>
      <c r="AQ44" s="18" t="s">
        <v>449</v>
      </c>
      <c r="AR44" s="20" t="s">
        <v>144</v>
      </c>
      <c r="AS44" s="20" t="s">
        <v>145</v>
      </c>
      <c r="AT44" s="20" t="s">
        <v>146</v>
      </c>
      <c r="AU44" s="21" t="s">
        <v>146</v>
      </c>
      <c r="AV44" s="22" t="s">
        <v>450</v>
      </c>
      <c r="AW44" s="56" t="s">
        <v>451</v>
      </c>
      <c r="AX44" s="34"/>
      <c r="BA44" s="34"/>
      <c r="BB44" s="34"/>
    </row>
    <row r="45" hidden="1">
      <c r="A45" s="25" t="s">
        <v>452</v>
      </c>
      <c r="B45" s="26" t="s">
        <v>453</v>
      </c>
      <c r="C45" s="27" t="s">
        <v>390</v>
      </c>
      <c r="D45" s="27" t="s">
        <v>52</v>
      </c>
      <c r="E45" s="27" t="s">
        <v>252</v>
      </c>
      <c r="F45" s="27" t="s">
        <v>454</v>
      </c>
      <c r="G45" s="28">
        <v>549.0</v>
      </c>
      <c r="H45" s="36">
        <f t="shared" si="1"/>
        <v>521.55</v>
      </c>
      <c r="I45" s="29" t="s">
        <v>55</v>
      </c>
      <c r="J45" s="30" t="s">
        <v>455</v>
      </c>
      <c r="K45" s="30" t="s">
        <v>29</v>
      </c>
      <c r="L45" s="31" t="s">
        <v>456</v>
      </c>
      <c r="M45" s="31" t="s">
        <v>457</v>
      </c>
      <c r="N45" s="33">
        <v>100.0</v>
      </c>
      <c r="O45" s="33">
        <v>100.0</v>
      </c>
      <c r="P45" s="33">
        <v>100.0</v>
      </c>
      <c r="Q45" s="33">
        <v>20.0</v>
      </c>
      <c r="R45" s="33">
        <v>10.0</v>
      </c>
      <c r="S45" s="33">
        <v>72.0</v>
      </c>
      <c r="T45" s="33">
        <v>10.0</v>
      </c>
      <c r="U45" s="33">
        <v>45.0</v>
      </c>
      <c r="V45" s="33">
        <v>50.0</v>
      </c>
      <c r="W45" s="33">
        <v>35.0</v>
      </c>
      <c r="X45" s="33">
        <v>60.0</v>
      </c>
      <c r="Y45" s="33">
        <v>10.0</v>
      </c>
      <c r="Z45" s="33">
        <v>30.0</v>
      </c>
      <c r="AA45" s="33">
        <v>75.0</v>
      </c>
      <c r="AB45" s="33">
        <v>78.0</v>
      </c>
      <c r="AC45" s="33">
        <v>70.0</v>
      </c>
      <c r="AD45" s="33">
        <v>98.0</v>
      </c>
      <c r="AE45" s="33">
        <v>90.0</v>
      </c>
      <c r="AF45" s="33">
        <v>85.0</v>
      </c>
      <c r="AG45" s="33">
        <v>75.0</v>
      </c>
      <c r="AH45" s="33">
        <v>72.0</v>
      </c>
      <c r="AI45" s="33">
        <v>86.0</v>
      </c>
      <c r="AJ45" s="33">
        <v>84.0</v>
      </c>
      <c r="AK45" s="33">
        <v>87.0</v>
      </c>
      <c r="AL45" s="33">
        <v>85.0</v>
      </c>
      <c r="AM45" s="33">
        <v>0.0</v>
      </c>
      <c r="AN45" s="33">
        <v>100.0</v>
      </c>
      <c r="AO45" s="33">
        <v>100.0</v>
      </c>
      <c r="AP45" s="18" t="s">
        <v>458</v>
      </c>
      <c r="AQ45" s="18" t="s">
        <v>459</v>
      </c>
      <c r="AR45" s="20" t="s">
        <v>144</v>
      </c>
      <c r="AS45" s="20" t="s">
        <v>145</v>
      </c>
      <c r="AT45" s="20" t="s">
        <v>146</v>
      </c>
      <c r="AU45" s="21" t="s">
        <v>146</v>
      </c>
      <c r="AV45" s="22" t="s">
        <v>460</v>
      </c>
      <c r="AW45" s="56" t="s">
        <v>461</v>
      </c>
      <c r="AX45" s="34"/>
      <c r="AY45" s="55"/>
      <c r="AZ45" s="55"/>
      <c r="BA45" s="34"/>
      <c r="BB45" s="34"/>
    </row>
    <row r="46" hidden="1">
      <c r="A46" s="25" t="s">
        <v>462</v>
      </c>
      <c r="B46" s="26" t="s">
        <v>463</v>
      </c>
      <c r="C46" s="27" t="s">
        <v>390</v>
      </c>
      <c r="D46" s="27" t="s">
        <v>52</v>
      </c>
      <c r="E46" s="35" t="s">
        <v>84</v>
      </c>
      <c r="F46" s="27" t="s">
        <v>464</v>
      </c>
      <c r="G46" s="28">
        <v>495.0</v>
      </c>
      <c r="H46" s="36">
        <f t="shared" si="1"/>
        <v>470.25</v>
      </c>
      <c r="I46" s="29" t="s">
        <v>55</v>
      </c>
      <c r="J46" s="30" t="s">
        <v>465</v>
      </c>
      <c r="K46" s="30" t="s">
        <v>243</v>
      </c>
      <c r="L46" s="31" t="s">
        <v>466</v>
      </c>
      <c r="M46" s="31" t="s">
        <v>467</v>
      </c>
      <c r="N46" s="33">
        <v>100.0</v>
      </c>
      <c r="O46" s="33">
        <v>100.0</v>
      </c>
      <c r="P46" s="33">
        <v>100.0</v>
      </c>
      <c r="Q46" s="33">
        <v>40.0</v>
      </c>
      <c r="R46" s="33">
        <v>15.0</v>
      </c>
      <c r="S46" s="33">
        <v>92.0</v>
      </c>
      <c r="T46" s="33">
        <v>15.0</v>
      </c>
      <c r="U46" s="33">
        <v>15.0</v>
      </c>
      <c r="V46" s="33">
        <v>10.0</v>
      </c>
      <c r="W46" s="33">
        <v>5.0</v>
      </c>
      <c r="X46" s="33">
        <v>90.0</v>
      </c>
      <c r="Y46" s="33">
        <v>15.0</v>
      </c>
      <c r="Z46" s="33">
        <v>20.0</v>
      </c>
      <c r="AA46" s="33">
        <v>92.0</v>
      </c>
      <c r="AB46" s="33">
        <v>98.0</v>
      </c>
      <c r="AC46" s="33">
        <v>45.0</v>
      </c>
      <c r="AD46" s="33">
        <v>5.0</v>
      </c>
      <c r="AE46" s="33">
        <v>90.0</v>
      </c>
      <c r="AF46" s="33">
        <v>95.0</v>
      </c>
      <c r="AG46" s="33">
        <v>95.0</v>
      </c>
      <c r="AH46" s="33">
        <v>98.0</v>
      </c>
      <c r="AI46" s="33">
        <v>92.0</v>
      </c>
      <c r="AJ46" s="33">
        <v>96.0</v>
      </c>
      <c r="AK46" s="33">
        <v>90.0</v>
      </c>
      <c r="AL46" s="33">
        <v>95.0</v>
      </c>
      <c r="AM46" s="33">
        <v>100.0</v>
      </c>
      <c r="AN46" s="33">
        <v>100.0</v>
      </c>
      <c r="AO46" s="33">
        <v>100.0</v>
      </c>
      <c r="AP46" s="18" t="s">
        <v>468</v>
      </c>
      <c r="AQ46" s="18" t="s">
        <v>469</v>
      </c>
      <c r="AR46" s="20" t="s">
        <v>92</v>
      </c>
      <c r="AS46" s="20" t="s">
        <v>93</v>
      </c>
      <c r="AT46" s="20" t="s">
        <v>94</v>
      </c>
      <c r="AU46" s="21" t="s">
        <v>94</v>
      </c>
      <c r="AV46" s="22" t="s">
        <v>248</v>
      </c>
      <c r="AW46" s="56" t="s">
        <v>470</v>
      </c>
      <c r="AX46" s="34"/>
      <c r="BA46" s="34"/>
      <c r="BB46" s="34"/>
    </row>
    <row r="47" hidden="1">
      <c r="A47" s="25" t="s">
        <v>471</v>
      </c>
      <c r="B47" s="26" t="s">
        <v>472</v>
      </c>
      <c r="C47" s="27" t="s">
        <v>390</v>
      </c>
      <c r="D47" s="27" t="s">
        <v>52</v>
      </c>
      <c r="E47" s="35" t="s">
        <v>84</v>
      </c>
      <c r="F47" s="27" t="s">
        <v>464</v>
      </c>
      <c r="G47" s="28">
        <v>695.0</v>
      </c>
      <c r="H47" s="36">
        <f t="shared" si="1"/>
        <v>660.25</v>
      </c>
      <c r="I47" s="29" t="s">
        <v>55</v>
      </c>
      <c r="J47" s="30" t="s">
        <v>216</v>
      </c>
      <c r="K47" s="30" t="s">
        <v>25</v>
      </c>
      <c r="L47" s="31" t="s">
        <v>73</v>
      </c>
      <c r="M47" s="31" t="s">
        <v>473</v>
      </c>
      <c r="N47" s="33">
        <v>-100.0</v>
      </c>
      <c r="O47" s="33">
        <v>100.0</v>
      </c>
      <c r="P47" s="33">
        <v>100.0</v>
      </c>
      <c r="Q47" s="33">
        <v>80.0</v>
      </c>
      <c r="R47" s="33">
        <v>25.0</v>
      </c>
      <c r="S47" s="33">
        <v>55.0</v>
      </c>
      <c r="T47" s="33">
        <v>75.0</v>
      </c>
      <c r="U47" s="33">
        <v>72.0</v>
      </c>
      <c r="V47" s="33">
        <v>68.0</v>
      </c>
      <c r="W47" s="33">
        <v>45.0</v>
      </c>
      <c r="X47" s="33">
        <v>75.0</v>
      </c>
      <c r="Y47" s="33">
        <v>78.0</v>
      </c>
      <c r="Z47" s="33">
        <v>92.0</v>
      </c>
      <c r="AA47" s="33">
        <v>65.0</v>
      </c>
      <c r="AB47" s="33">
        <v>65.0</v>
      </c>
      <c r="AC47" s="33">
        <v>78.0</v>
      </c>
      <c r="AD47" s="33">
        <v>15.0</v>
      </c>
      <c r="AE47" s="33">
        <v>82.0</v>
      </c>
      <c r="AF47" s="33">
        <v>60.0</v>
      </c>
      <c r="AG47" s="33">
        <v>82.0</v>
      </c>
      <c r="AH47" s="33">
        <v>68.0</v>
      </c>
      <c r="AI47" s="33">
        <v>90.0</v>
      </c>
      <c r="AJ47" s="33">
        <v>75.0</v>
      </c>
      <c r="AK47" s="33">
        <v>85.0</v>
      </c>
      <c r="AL47" s="33">
        <v>72.0</v>
      </c>
      <c r="AM47" s="33">
        <v>0.0</v>
      </c>
      <c r="AN47" s="33">
        <v>-100.0</v>
      </c>
      <c r="AO47" s="33">
        <v>-100.0</v>
      </c>
      <c r="AP47" s="18" t="s">
        <v>474</v>
      </c>
      <c r="AQ47" s="18" t="s">
        <v>475</v>
      </c>
      <c r="AR47" s="20" t="s">
        <v>77</v>
      </c>
      <c r="AS47" s="20" t="s">
        <v>78</v>
      </c>
      <c r="AT47" s="20" t="s">
        <v>79</v>
      </c>
      <c r="AU47" s="21" t="s">
        <v>79</v>
      </c>
      <c r="AV47" s="22" t="s">
        <v>476</v>
      </c>
      <c r="AW47" s="56" t="s">
        <v>477</v>
      </c>
      <c r="AX47" s="34"/>
      <c r="BA47" s="34"/>
      <c r="BB47" s="34"/>
    </row>
    <row r="48" hidden="1">
      <c r="A48" s="25" t="s">
        <v>478</v>
      </c>
      <c r="B48" s="26" t="s">
        <v>479</v>
      </c>
      <c r="C48" s="27" t="s">
        <v>390</v>
      </c>
      <c r="D48" s="27" t="s">
        <v>52</v>
      </c>
      <c r="E48" s="27" t="s">
        <v>69</v>
      </c>
      <c r="F48" s="27" t="s">
        <v>70</v>
      </c>
      <c r="G48" s="28">
        <v>599.0</v>
      </c>
      <c r="H48" s="36">
        <f t="shared" si="1"/>
        <v>569.05</v>
      </c>
      <c r="I48" s="29" t="s">
        <v>55</v>
      </c>
      <c r="J48" s="30" t="s">
        <v>71</v>
      </c>
      <c r="K48" s="30" t="s">
        <v>162</v>
      </c>
      <c r="L48" s="31" t="s">
        <v>234</v>
      </c>
      <c r="M48" s="31" t="s">
        <v>480</v>
      </c>
      <c r="N48" s="33">
        <v>0.0</v>
      </c>
      <c r="O48" s="33">
        <v>100.0</v>
      </c>
      <c r="P48" s="33">
        <v>100.0</v>
      </c>
      <c r="Q48" s="33">
        <v>95.0</v>
      </c>
      <c r="R48" s="33">
        <v>35.0</v>
      </c>
      <c r="S48" s="33">
        <v>35.0</v>
      </c>
      <c r="T48" s="33">
        <v>92.0</v>
      </c>
      <c r="U48" s="33">
        <v>55.0</v>
      </c>
      <c r="V48" s="33">
        <v>45.0</v>
      </c>
      <c r="W48" s="33">
        <v>20.0</v>
      </c>
      <c r="X48" s="33">
        <v>55.0</v>
      </c>
      <c r="Y48" s="33">
        <v>96.0</v>
      </c>
      <c r="Z48" s="33">
        <v>15.0</v>
      </c>
      <c r="AA48" s="33">
        <v>75.0</v>
      </c>
      <c r="AB48" s="33">
        <v>40.0</v>
      </c>
      <c r="AC48" s="33">
        <v>65.0</v>
      </c>
      <c r="AD48" s="33">
        <v>10.0</v>
      </c>
      <c r="AE48" s="33">
        <v>98.0</v>
      </c>
      <c r="AF48" s="33">
        <v>82.0</v>
      </c>
      <c r="AG48" s="33">
        <v>35.0</v>
      </c>
      <c r="AH48" s="33">
        <v>28.0</v>
      </c>
      <c r="AI48" s="33">
        <v>92.0</v>
      </c>
      <c r="AJ48" s="33">
        <v>78.0</v>
      </c>
      <c r="AK48" s="33">
        <v>96.0</v>
      </c>
      <c r="AL48" s="33">
        <v>82.0</v>
      </c>
      <c r="AM48" s="33">
        <v>-100.0</v>
      </c>
      <c r="AN48" s="33">
        <v>100.0</v>
      </c>
      <c r="AO48" s="33">
        <v>100.0</v>
      </c>
      <c r="AP48" s="18" t="s">
        <v>481</v>
      </c>
      <c r="AQ48" s="18" t="s">
        <v>482</v>
      </c>
      <c r="AR48" s="20" t="s">
        <v>166</v>
      </c>
      <c r="AS48" s="20" t="s">
        <v>167</v>
      </c>
      <c r="AT48" s="20" t="s">
        <v>168</v>
      </c>
      <c r="AU48" s="21" t="s">
        <v>168</v>
      </c>
      <c r="AV48" s="22" t="s">
        <v>483</v>
      </c>
      <c r="AW48" s="56" t="s">
        <v>484</v>
      </c>
      <c r="AX48" s="34"/>
      <c r="BA48" s="52"/>
      <c r="BB48" s="34"/>
    </row>
    <row r="49" hidden="1">
      <c r="A49" s="25" t="s">
        <v>485</v>
      </c>
      <c r="B49" s="26" t="s">
        <v>486</v>
      </c>
      <c r="C49" s="27" t="s">
        <v>390</v>
      </c>
      <c r="D49" s="27" t="s">
        <v>52</v>
      </c>
      <c r="E49" s="27" t="s">
        <v>69</v>
      </c>
      <c r="F49" s="27" t="s">
        <v>70</v>
      </c>
      <c r="G49" s="28">
        <v>599.0</v>
      </c>
      <c r="H49" s="36">
        <f t="shared" si="1"/>
        <v>569.05</v>
      </c>
      <c r="I49" s="29" t="s">
        <v>55</v>
      </c>
      <c r="J49" s="30" t="s">
        <v>253</v>
      </c>
      <c r="K49" s="30" t="s">
        <v>487</v>
      </c>
      <c r="L49" s="31" t="s">
        <v>234</v>
      </c>
      <c r="M49" s="31" t="s">
        <v>457</v>
      </c>
      <c r="N49" s="33">
        <v>100.0</v>
      </c>
      <c r="O49" s="33">
        <v>100.0</v>
      </c>
      <c r="P49" s="33">
        <v>100.0</v>
      </c>
      <c r="Q49" s="33">
        <v>75.0</v>
      </c>
      <c r="R49" s="33">
        <v>20.0</v>
      </c>
      <c r="S49" s="33">
        <v>55.0</v>
      </c>
      <c r="T49" s="33">
        <v>75.0</v>
      </c>
      <c r="U49" s="33">
        <v>90.0</v>
      </c>
      <c r="V49" s="33">
        <v>85.0</v>
      </c>
      <c r="W49" s="33">
        <v>65.0</v>
      </c>
      <c r="X49" s="33">
        <v>60.0</v>
      </c>
      <c r="Y49" s="33">
        <v>70.0</v>
      </c>
      <c r="Z49" s="33">
        <v>25.0</v>
      </c>
      <c r="AA49" s="33">
        <v>75.0</v>
      </c>
      <c r="AB49" s="33">
        <v>65.0</v>
      </c>
      <c r="AC49" s="33">
        <v>90.0</v>
      </c>
      <c r="AD49" s="33">
        <v>35.0</v>
      </c>
      <c r="AE49" s="33">
        <v>95.0</v>
      </c>
      <c r="AF49" s="33">
        <v>90.0</v>
      </c>
      <c r="AG49" s="33">
        <v>68.0</v>
      </c>
      <c r="AH49" s="33">
        <v>62.0</v>
      </c>
      <c r="AI49" s="33">
        <v>90.0</v>
      </c>
      <c r="AJ49" s="33">
        <v>86.0</v>
      </c>
      <c r="AK49" s="33">
        <v>92.0</v>
      </c>
      <c r="AL49" s="33">
        <v>90.0</v>
      </c>
      <c r="AM49" s="33">
        <v>0.0</v>
      </c>
      <c r="AN49" s="33">
        <v>100.0</v>
      </c>
      <c r="AO49" s="33">
        <v>100.0</v>
      </c>
      <c r="AP49" s="18" t="s">
        <v>488</v>
      </c>
      <c r="AQ49" s="18" t="s">
        <v>489</v>
      </c>
      <c r="AR49" s="20" t="s">
        <v>166</v>
      </c>
      <c r="AS49" s="20" t="s">
        <v>167</v>
      </c>
      <c r="AT49" s="20" t="s">
        <v>168</v>
      </c>
      <c r="AU49" s="21" t="s">
        <v>168</v>
      </c>
      <c r="AV49" s="22" t="s">
        <v>490</v>
      </c>
      <c r="AW49" s="56" t="s">
        <v>491</v>
      </c>
      <c r="AX49" s="34"/>
      <c r="AY49" s="59"/>
      <c r="BA49" s="52"/>
      <c r="BB49" s="34"/>
    </row>
    <row r="50" hidden="1">
      <c r="A50" s="25" t="s">
        <v>492</v>
      </c>
      <c r="B50" s="26" t="s">
        <v>493</v>
      </c>
      <c r="C50" s="27" t="s">
        <v>390</v>
      </c>
      <c r="D50" s="27" t="s">
        <v>52</v>
      </c>
      <c r="E50" s="27" t="s">
        <v>69</v>
      </c>
      <c r="F50" s="27" t="s">
        <v>70</v>
      </c>
      <c r="G50" s="28">
        <v>599.0</v>
      </c>
      <c r="H50" s="36">
        <f t="shared" si="1"/>
        <v>569.05</v>
      </c>
      <c r="I50" s="29" t="s">
        <v>55</v>
      </c>
      <c r="J50" s="30" t="s">
        <v>465</v>
      </c>
      <c r="K50" s="30" t="s">
        <v>243</v>
      </c>
      <c r="L50" s="31" t="s">
        <v>494</v>
      </c>
      <c r="M50" s="31" t="s">
        <v>495</v>
      </c>
      <c r="N50" s="33">
        <v>100.0</v>
      </c>
      <c r="O50" s="33">
        <v>100.0</v>
      </c>
      <c r="P50" s="33">
        <v>100.0</v>
      </c>
      <c r="Q50" s="33">
        <v>60.0</v>
      </c>
      <c r="R50" s="33">
        <v>20.0</v>
      </c>
      <c r="S50" s="33">
        <v>95.0</v>
      </c>
      <c r="T50" s="33">
        <v>45.0</v>
      </c>
      <c r="U50" s="33">
        <v>45.0</v>
      </c>
      <c r="V50" s="33">
        <v>35.0</v>
      </c>
      <c r="W50" s="33">
        <v>15.0</v>
      </c>
      <c r="X50" s="33">
        <v>98.0</v>
      </c>
      <c r="Y50" s="33">
        <v>40.0</v>
      </c>
      <c r="Z50" s="33">
        <v>35.0</v>
      </c>
      <c r="AA50" s="33">
        <v>95.0</v>
      </c>
      <c r="AB50" s="33">
        <v>98.0</v>
      </c>
      <c r="AC50" s="33">
        <v>65.0</v>
      </c>
      <c r="AD50" s="33">
        <v>5.0</v>
      </c>
      <c r="AE50" s="33">
        <v>90.0</v>
      </c>
      <c r="AF50" s="33">
        <v>95.0</v>
      </c>
      <c r="AG50" s="33">
        <v>98.0</v>
      </c>
      <c r="AH50" s="33">
        <v>98.0</v>
      </c>
      <c r="AI50" s="33">
        <v>95.0</v>
      </c>
      <c r="AJ50" s="33">
        <v>98.0</v>
      </c>
      <c r="AK50" s="33">
        <v>92.0</v>
      </c>
      <c r="AL50" s="33">
        <v>96.0</v>
      </c>
      <c r="AM50" s="33">
        <v>100.0</v>
      </c>
      <c r="AN50" s="33">
        <v>100.0</v>
      </c>
      <c r="AO50" s="33">
        <v>100.0</v>
      </c>
      <c r="AP50" s="18" t="s">
        <v>496</v>
      </c>
      <c r="AQ50" s="18" t="s">
        <v>497</v>
      </c>
      <c r="AR50" s="20" t="s">
        <v>166</v>
      </c>
      <c r="AS50" s="20" t="s">
        <v>167</v>
      </c>
      <c r="AT50" s="20" t="s">
        <v>168</v>
      </c>
      <c r="AU50" s="21" t="s">
        <v>168</v>
      </c>
      <c r="AV50" s="22" t="s">
        <v>498</v>
      </c>
      <c r="AW50" s="56" t="s">
        <v>499</v>
      </c>
      <c r="AX50" s="34"/>
      <c r="AY50" s="59"/>
      <c r="AZ50" s="55"/>
      <c r="BA50" s="55"/>
      <c r="BB50" s="34"/>
    </row>
    <row r="51" hidden="1">
      <c r="A51" s="25" t="s">
        <v>500</v>
      </c>
      <c r="B51" s="26" t="s">
        <v>501</v>
      </c>
      <c r="C51" s="27" t="s">
        <v>390</v>
      </c>
      <c r="D51" s="27" t="s">
        <v>52</v>
      </c>
      <c r="E51" s="27" t="s">
        <v>502</v>
      </c>
      <c r="F51" s="27" t="s">
        <v>503</v>
      </c>
      <c r="G51" s="28">
        <v>550.0</v>
      </c>
      <c r="H51" s="36">
        <f t="shared" si="1"/>
        <v>522.5</v>
      </c>
      <c r="I51" s="29" t="s">
        <v>55</v>
      </c>
      <c r="J51" s="30" t="s">
        <v>102</v>
      </c>
      <c r="K51" s="30" t="s">
        <v>28</v>
      </c>
      <c r="L51" s="31" t="s">
        <v>314</v>
      </c>
      <c r="M51" s="31" t="s">
        <v>504</v>
      </c>
      <c r="N51" s="33">
        <v>100.0</v>
      </c>
      <c r="O51" s="33">
        <v>100.0</v>
      </c>
      <c r="P51" s="33">
        <v>100.0</v>
      </c>
      <c r="Q51" s="33">
        <v>60.0</v>
      </c>
      <c r="R51" s="33">
        <v>20.0</v>
      </c>
      <c r="S51" s="33">
        <v>30.0</v>
      </c>
      <c r="T51" s="33">
        <v>75.0</v>
      </c>
      <c r="U51" s="33">
        <v>82.0</v>
      </c>
      <c r="V51" s="33">
        <v>80.0</v>
      </c>
      <c r="W51" s="33">
        <v>50.0</v>
      </c>
      <c r="X51" s="33">
        <v>35.0</v>
      </c>
      <c r="Y51" s="33">
        <v>70.0</v>
      </c>
      <c r="Z51" s="33">
        <v>25.0</v>
      </c>
      <c r="AA51" s="33">
        <v>50.0</v>
      </c>
      <c r="AB51" s="33">
        <v>25.0</v>
      </c>
      <c r="AC51" s="33">
        <v>90.0</v>
      </c>
      <c r="AD51" s="33">
        <v>35.0</v>
      </c>
      <c r="AE51" s="33">
        <v>92.0</v>
      </c>
      <c r="AF51" s="33">
        <v>72.0</v>
      </c>
      <c r="AG51" s="33">
        <v>25.0</v>
      </c>
      <c r="AH51" s="33">
        <v>20.0</v>
      </c>
      <c r="AI51" s="33">
        <v>82.0</v>
      </c>
      <c r="AJ51" s="33">
        <v>65.0</v>
      </c>
      <c r="AK51" s="33">
        <v>90.0</v>
      </c>
      <c r="AL51" s="33">
        <v>68.0</v>
      </c>
      <c r="AM51" s="33">
        <v>-100.0</v>
      </c>
      <c r="AN51" s="33">
        <v>100.0</v>
      </c>
      <c r="AO51" s="33">
        <v>100.0</v>
      </c>
      <c r="AP51" s="18" t="s">
        <v>505</v>
      </c>
      <c r="AQ51" s="18" t="s">
        <v>506</v>
      </c>
      <c r="AR51" s="20" t="s">
        <v>507</v>
      </c>
      <c r="AS51" s="20" t="s">
        <v>508</v>
      </c>
      <c r="AT51" s="20" t="s">
        <v>509</v>
      </c>
      <c r="AU51" s="21" t="s">
        <v>509</v>
      </c>
      <c r="AV51" s="22" t="s">
        <v>450</v>
      </c>
      <c r="AW51" s="56" t="s">
        <v>510</v>
      </c>
      <c r="AX51" s="34"/>
      <c r="AY51" s="34"/>
      <c r="BB51" s="34"/>
    </row>
    <row r="52" hidden="1">
      <c r="A52" s="25" t="s">
        <v>511</v>
      </c>
      <c r="B52" s="26" t="s">
        <v>512</v>
      </c>
      <c r="C52" s="27" t="s">
        <v>390</v>
      </c>
      <c r="D52" s="27" t="s">
        <v>52</v>
      </c>
      <c r="E52" s="27" t="s">
        <v>69</v>
      </c>
      <c r="F52" s="27" t="s">
        <v>70</v>
      </c>
      <c r="G52" s="28">
        <v>599.0</v>
      </c>
      <c r="H52" s="36">
        <f t="shared" si="1"/>
        <v>569.05</v>
      </c>
      <c r="I52" s="29" t="s">
        <v>55</v>
      </c>
      <c r="J52" s="30" t="s">
        <v>71</v>
      </c>
      <c r="K52" s="30" t="s">
        <v>513</v>
      </c>
      <c r="L52" s="31" t="s">
        <v>514</v>
      </c>
      <c r="M52" s="31" t="s">
        <v>515</v>
      </c>
      <c r="N52" s="33">
        <v>-100.0</v>
      </c>
      <c r="O52" s="33">
        <v>100.0</v>
      </c>
      <c r="P52" s="33">
        <v>100.0</v>
      </c>
      <c r="Q52" s="33">
        <v>90.0</v>
      </c>
      <c r="R52" s="33">
        <v>30.0</v>
      </c>
      <c r="S52" s="33">
        <v>45.0</v>
      </c>
      <c r="T52" s="33">
        <v>82.0</v>
      </c>
      <c r="U52" s="33">
        <v>78.0</v>
      </c>
      <c r="V52" s="33">
        <v>72.0</v>
      </c>
      <c r="W52" s="33">
        <v>50.0</v>
      </c>
      <c r="X52" s="33">
        <v>45.0</v>
      </c>
      <c r="Y52" s="33">
        <v>90.0</v>
      </c>
      <c r="Z52" s="33">
        <v>96.0</v>
      </c>
      <c r="AA52" s="33">
        <v>50.0</v>
      </c>
      <c r="AB52" s="33">
        <v>45.0</v>
      </c>
      <c r="AC52" s="33">
        <v>82.0</v>
      </c>
      <c r="AD52" s="33">
        <v>15.0</v>
      </c>
      <c r="AE52" s="33">
        <v>90.0</v>
      </c>
      <c r="AF52" s="33">
        <v>55.0</v>
      </c>
      <c r="AG52" s="33">
        <v>72.0</v>
      </c>
      <c r="AH52" s="33">
        <v>45.0</v>
      </c>
      <c r="AI52" s="33">
        <v>90.0</v>
      </c>
      <c r="AJ52" s="33">
        <v>62.0</v>
      </c>
      <c r="AK52" s="33">
        <v>90.0</v>
      </c>
      <c r="AL52" s="33">
        <v>65.0</v>
      </c>
      <c r="AM52" s="33">
        <v>-100.0</v>
      </c>
      <c r="AN52" s="33">
        <v>-100.0</v>
      </c>
      <c r="AO52" s="33">
        <v>-100.0</v>
      </c>
      <c r="AP52" s="18" t="s">
        <v>516</v>
      </c>
      <c r="AQ52" s="18" t="s">
        <v>517</v>
      </c>
      <c r="AR52" s="20" t="s">
        <v>77</v>
      </c>
      <c r="AS52" s="20" t="s">
        <v>78</v>
      </c>
      <c r="AT52" s="20" t="s">
        <v>79</v>
      </c>
      <c r="AU52" s="21" t="s">
        <v>79</v>
      </c>
      <c r="AV52" s="22" t="s">
        <v>518</v>
      </c>
      <c r="AW52" s="56" t="s">
        <v>519</v>
      </c>
      <c r="AX52" s="34"/>
      <c r="AY52" s="34"/>
      <c r="BB52" s="34"/>
    </row>
    <row r="53" hidden="1">
      <c r="A53" s="25" t="s">
        <v>520</v>
      </c>
      <c r="B53" s="26" t="s">
        <v>521</v>
      </c>
      <c r="C53" s="27" t="s">
        <v>390</v>
      </c>
      <c r="D53" s="27" t="s">
        <v>52</v>
      </c>
      <c r="E53" s="27" t="s">
        <v>69</v>
      </c>
      <c r="F53" s="27" t="s">
        <v>70</v>
      </c>
      <c r="G53" s="28">
        <v>550.0</v>
      </c>
      <c r="H53" s="36">
        <f t="shared" si="1"/>
        <v>522.5</v>
      </c>
      <c r="I53" s="29" t="s">
        <v>55</v>
      </c>
      <c r="J53" s="30" t="s">
        <v>71</v>
      </c>
      <c r="K53" s="30" t="s">
        <v>162</v>
      </c>
      <c r="L53" s="31" t="s">
        <v>104</v>
      </c>
      <c r="M53" s="31" t="s">
        <v>522</v>
      </c>
      <c r="N53" s="33">
        <v>0.0</v>
      </c>
      <c r="O53" s="33">
        <v>100.0</v>
      </c>
      <c r="P53" s="33">
        <v>100.0</v>
      </c>
      <c r="Q53" s="33">
        <v>96.0</v>
      </c>
      <c r="R53" s="33">
        <v>40.0</v>
      </c>
      <c r="S53" s="33">
        <v>25.0</v>
      </c>
      <c r="T53" s="33">
        <v>92.0</v>
      </c>
      <c r="U53" s="33">
        <v>50.0</v>
      </c>
      <c r="V53" s="33">
        <v>40.0</v>
      </c>
      <c r="W53" s="33">
        <v>15.0</v>
      </c>
      <c r="X53" s="33">
        <v>50.0</v>
      </c>
      <c r="Y53" s="33">
        <v>98.0</v>
      </c>
      <c r="Z53" s="33">
        <v>10.0</v>
      </c>
      <c r="AA53" s="33">
        <v>72.0</v>
      </c>
      <c r="AB53" s="33">
        <v>30.0</v>
      </c>
      <c r="AC53" s="33">
        <v>60.0</v>
      </c>
      <c r="AD53" s="33">
        <v>10.0</v>
      </c>
      <c r="AE53" s="33">
        <v>98.0</v>
      </c>
      <c r="AF53" s="33">
        <v>78.0</v>
      </c>
      <c r="AG53" s="33">
        <v>25.0</v>
      </c>
      <c r="AH53" s="33">
        <v>20.0</v>
      </c>
      <c r="AI53" s="33">
        <v>90.0</v>
      </c>
      <c r="AJ53" s="33">
        <v>75.0</v>
      </c>
      <c r="AK53" s="33">
        <v>96.0</v>
      </c>
      <c r="AL53" s="33">
        <v>80.0</v>
      </c>
      <c r="AM53" s="33">
        <v>-100.0</v>
      </c>
      <c r="AN53" s="33">
        <v>100.0</v>
      </c>
      <c r="AO53" s="33">
        <v>100.0</v>
      </c>
      <c r="AP53" s="18" t="s">
        <v>523</v>
      </c>
      <c r="AQ53" s="18" t="s">
        <v>524</v>
      </c>
      <c r="AR53" s="20" t="s">
        <v>166</v>
      </c>
      <c r="AS53" s="20" t="s">
        <v>167</v>
      </c>
      <c r="AT53" s="20" t="s">
        <v>168</v>
      </c>
      <c r="AU53" s="21" t="s">
        <v>168</v>
      </c>
      <c r="AV53" s="22" t="s">
        <v>525</v>
      </c>
      <c r="AW53" s="56" t="s">
        <v>526</v>
      </c>
      <c r="AX53" s="34"/>
      <c r="AY53" s="52"/>
      <c r="BB53" s="34"/>
    </row>
    <row r="54" hidden="1">
      <c r="A54" s="25" t="s">
        <v>527</v>
      </c>
      <c r="B54" s="26" t="s">
        <v>528</v>
      </c>
      <c r="C54" s="27" t="s">
        <v>390</v>
      </c>
      <c r="D54" s="27" t="s">
        <v>99</v>
      </c>
      <c r="E54" s="27" t="s">
        <v>112</v>
      </c>
      <c r="F54" s="27" t="s">
        <v>182</v>
      </c>
      <c r="G54" s="28">
        <v>395.0</v>
      </c>
      <c r="H54" s="36">
        <f t="shared" si="1"/>
        <v>375.25</v>
      </c>
      <c r="I54" s="29" t="s">
        <v>55</v>
      </c>
      <c r="J54" s="30" t="s">
        <v>139</v>
      </c>
      <c r="K54" s="30" t="s">
        <v>323</v>
      </c>
      <c r="L54" s="31" t="s">
        <v>314</v>
      </c>
      <c r="M54" s="31" t="s">
        <v>529</v>
      </c>
      <c r="N54" s="33">
        <v>100.0</v>
      </c>
      <c r="O54" s="33">
        <v>100.0</v>
      </c>
      <c r="P54" s="33">
        <v>100.0</v>
      </c>
      <c r="Q54" s="33">
        <v>35.0</v>
      </c>
      <c r="R54" s="33">
        <v>45.0</v>
      </c>
      <c r="S54" s="33">
        <v>85.0</v>
      </c>
      <c r="T54" s="33">
        <v>15.0</v>
      </c>
      <c r="U54" s="33">
        <v>85.0</v>
      </c>
      <c r="V54" s="33">
        <v>90.0</v>
      </c>
      <c r="W54" s="33">
        <v>55.0</v>
      </c>
      <c r="X54" s="33">
        <v>75.0</v>
      </c>
      <c r="Y54" s="33">
        <v>15.0</v>
      </c>
      <c r="Z54" s="33">
        <v>30.0</v>
      </c>
      <c r="AA54" s="33">
        <v>80.0</v>
      </c>
      <c r="AB54" s="33">
        <v>90.0</v>
      </c>
      <c r="AC54" s="33">
        <v>90.0</v>
      </c>
      <c r="AD54" s="33">
        <v>40.0</v>
      </c>
      <c r="AE54" s="33">
        <v>80.0</v>
      </c>
      <c r="AF54" s="33">
        <v>78.0</v>
      </c>
      <c r="AG54" s="33">
        <v>92.0</v>
      </c>
      <c r="AH54" s="33">
        <v>90.0</v>
      </c>
      <c r="AI54" s="33">
        <v>85.0</v>
      </c>
      <c r="AJ54" s="33">
        <v>82.0</v>
      </c>
      <c r="AK54" s="33">
        <v>84.0</v>
      </c>
      <c r="AL54" s="33">
        <v>80.0</v>
      </c>
      <c r="AM54" s="33">
        <v>100.0</v>
      </c>
      <c r="AN54" s="33">
        <v>100.0</v>
      </c>
      <c r="AO54" s="33">
        <v>100.0</v>
      </c>
      <c r="AP54" s="18" t="s">
        <v>530</v>
      </c>
      <c r="AQ54" s="18" t="s">
        <v>531</v>
      </c>
      <c r="AR54" s="20" t="s">
        <v>118</v>
      </c>
      <c r="AS54" s="20" t="s">
        <v>119</v>
      </c>
      <c r="AT54" s="20" t="s">
        <v>120</v>
      </c>
      <c r="AU54" s="21" t="s">
        <v>120</v>
      </c>
      <c r="AV54" s="22" t="s">
        <v>532</v>
      </c>
      <c r="AW54" s="56" t="s">
        <v>533</v>
      </c>
      <c r="AX54" s="34"/>
      <c r="AY54" s="52"/>
      <c r="BA54" s="59"/>
      <c r="BB54" s="34"/>
    </row>
    <row r="55" hidden="1">
      <c r="A55" s="25" t="s">
        <v>534</v>
      </c>
      <c r="B55" s="26" t="s">
        <v>535</v>
      </c>
      <c r="C55" s="27" t="s">
        <v>390</v>
      </c>
      <c r="D55" s="27" t="s">
        <v>99</v>
      </c>
      <c r="E55" s="27" t="s">
        <v>112</v>
      </c>
      <c r="F55" s="27" t="s">
        <v>536</v>
      </c>
      <c r="G55" s="28">
        <v>595.0</v>
      </c>
      <c r="H55" s="36">
        <f t="shared" si="1"/>
        <v>565.25</v>
      </c>
      <c r="I55" s="29" t="s">
        <v>55</v>
      </c>
      <c r="J55" s="30" t="s">
        <v>537</v>
      </c>
      <c r="K55" s="30" t="s">
        <v>323</v>
      </c>
      <c r="L55" s="31" t="s">
        <v>431</v>
      </c>
      <c r="M55" s="31" t="s">
        <v>538</v>
      </c>
      <c r="N55" s="33">
        <v>100.0</v>
      </c>
      <c r="O55" s="33">
        <v>100.0</v>
      </c>
      <c r="P55" s="33">
        <v>100.0</v>
      </c>
      <c r="Q55" s="33">
        <v>15.0</v>
      </c>
      <c r="R55" s="33">
        <v>10.0</v>
      </c>
      <c r="S55" s="33">
        <v>68.0</v>
      </c>
      <c r="T55" s="33">
        <v>10.0</v>
      </c>
      <c r="U55" s="33">
        <v>35.0</v>
      </c>
      <c r="V55" s="33">
        <v>40.0</v>
      </c>
      <c r="W55" s="33">
        <v>25.0</v>
      </c>
      <c r="X55" s="33">
        <v>55.0</v>
      </c>
      <c r="Y55" s="33">
        <v>10.0</v>
      </c>
      <c r="Z55" s="33">
        <v>25.0</v>
      </c>
      <c r="AA55" s="33">
        <v>78.0</v>
      </c>
      <c r="AB55" s="33">
        <v>72.0</v>
      </c>
      <c r="AC55" s="33">
        <v>55.0</v>
      </c>
      <c r="AD55" s="33">
        <v>98.0</v>
      </c>
      <c r="AE55" s="33">
        <v>90.0</v>
      </c>
      <c r="AF55" s="33">
        <v>90.0</v>
      </c>
      <c r="AG55" s="33">
        <v>70.0</v>
      </c>
      <c r="AH55" s="33">
        <v>68.0</v>
      </c>
      <c r="AI55" s="33">
        <v>85.0</v>
      </c>
      <c r="AJ55" s="33">
        <v>82.0</v>
      </c>
      <c r="AK55" s="33">
        <v>90.0</v>
      </c>
      <c r="AL55" s="33">
        <v>85.0</v>
      </c>
      <c r="AM55" s="33">
        <v>0.0</v>
      </c>
      <c r="AN55" s="33">
        <v>100.0</v>
      </c>
      <c r="AO55" s="33">
        <v>100.0</v>
      </c>
      <c r="AP55" s="18" t="s">
        <v>539</v>
      </c>
      <c r="AQ55" s="18" t="s">
        <v>540</v>
      </c>
      <c r="AR55" s="20" t="s">
        <v>144</v>
      </c>
      <c r="AS55" s="20" t="s">
        <v>145</v>
      </c>
      <c r="AT55" s="20" t="s">
        <v>146</v>
      </c>
      <c r="AU55" s="21" t="s">
        <v>146</v>
      </c>
      <c r="AV55" s="22" t="s">
        <v>443</v>
      </c>
      <c r="AW55" s="56" t="s">
        <v>541</v>
      </c>
      <c r="AX55" s="34"/>
      <c r="AY55" s="55"/>
      <c r="AZ55" s="55"/>
      <c r="BA55" s="59"/>
      <c r="BB55" s="34"/>
    </row>
    <row r="56" hidden="1">
      <c r="A56" s="25" t="s">
        <v>542</v>
      </c>
      <c r="B56" s="26" t="s">
        <v>543</v>
      </c>
      <c r="C56" s="27" t="s">
        <v>390</v>
      </c>
      <c r="D56" s="27" t="s">
        <v>52</v>
      </c>
      <c r="E56" s="27" t="s">
        <v>252</v>
      </c>
      <c r="F56" s="27" t="s">
        <v>85</v>
      </c>
      <c r="G56" s="28">
        <v>445.0</v>
      </c>
      <c r="H56" s="36">
        <f t="shared" si="1"/>
        <v>422.75</v>
      </c>
      <c r="I56" s="29" t="s">
        <v>55</v>
      </c>
      <c r="J56" s="30" t="s">
        <v>455</v>
      </c>
      <c r="K56" s="30" t="s">
        <v>29</v>
      </c>
      <c r="L56" s="31" t="s">
        <v>254</v>
      </c>
      <c r="M56" s="31" t="s">
        <v>544</v>
      </c>
      <c r="N56" s="33">
        <v>100.0</v>
      </c>
      <c r="O56" s="33">
        <v>100.0</v>
      </c>
      <c r="P56" s="33">
        <v>100.0</v>
      </c>
      <c r="Q56" s="33">
        <v>20.0</v>
      </c>
      <c r="R56" s="33">
        <v>10.0</v>
      </c>
      <c r="S56" s="33">
        <v>70.0</v>
      </c>
      <c r="T56" s="33">
        <v>12.0</v>
      </c>
      <c r="U56" s="33">
        <v>65.0</v>
      </c>
      <c r="V56" s="33">
        <v>70.0</v>
      </c>
      <c r="W56" s="33">
        <v>45.0</v>
      </c>
      <c r="X56" s="33">
        <v>58.0</v>
      </c>
      <c r="Y56" s="33">
        <v>10.0</v>
      </c>
      <c r="Z56" s="33">
        <v>30.0</v>
      </c>
      <c r="AA56" s="33">
        <v>75.0</v>
      </c>
      <c r="AB56" s="33">
        <v>72.0</v>
      </c>
      <c r="AC56" s="33">
        <v>78.0</v>
      </c>
      <c r="AD56" s="33">
        <v>98.0</v>
      </c>
      <c r="AE56" s="33">
        <v>90.0</v>
      </c>
      <c r="AF56" s="33">
        <v>85.0</v>
      </c>
      <c r="AG56" s="33">
        <v>72.0</v>
      </c>
      <c r="AH56" s="33">
        <v>68.0</v>
      </c>
      <c r="AI56" s="33">
        <v>86.0</v>
      </c>
      <c r="AJ56" s="33">
        <v>84.0</v>
      </c>
      <c r="AK56" s="33">
        <v>87.0</v>
      </c>
      <c r="AL56" s="33">
        <v>85.0</v>
      </c>
      <c r="AM56" s="33">
        <v>0.0</v>
      </c>
      <c r="AN56" s="33">
        <v>100.0</v>
      </c>
      <c r="AO56" s="33">
        <v>100.0</v>
      </c>
      <c r="AP56" s="18" t="s">
        <v>545</v>
      </c>
      <c r="AQ56" s="18" t="s">
        <v>449</v>
      </c>
      <c r="AR56" s="20" t="s">
        <v>144</v>
      </c>
      <c r="AS56" s="20" t="s">
        <v>145</v>
      </c>
      <c r="AT56" s="20" t="s">
        <v>146</v>
      </c>
      <c r="AU56" s="21" t="s">
        <v>146</v>
      </c>
      <c r="AV56" s="22" t="s">
        <v>450</v>
      </c>
      <c r="AW56" s="56" t="s">
        <v>546</v>
      </c>
      <c r="AX56" s="34"/>
      <c r="BA56" s="34"/>
      <c r="BB56" s="34"/>
    </row>
    <row r="57" hidden="1">
      <c r="A57" s="25" t="s">
        <v>547</v>
      </c>
      <c r="B57" s="26" t="s">
        <v>548</v>
      </c>
      <c r="C57" s="27" t="s">
        <v>390</v>
      </c>
      <c r="D57" s="27" t="s">
        <v>52</v>
      </c>
      <c r="E57" s="35" t="s">
        <v>84</v>
      </c>
      <c r="F57" s="27" t="s">
        <v>549</v>
      </c>
      <c r="G57" s="28">
        <v>399.0</v>
      </c>
      <c r="H57" s="36">
        <f t="shared" si="1"/>
        <v>379.05</v>
      </c>
      <c r="I57" s="29" t="s">
        <v>55</v>
      </c>
      <c r="J57" s="30" t="s">
        <v>550</v>
      </c>
      <c r="K57" s="30" t="s">
        <v>243</v>
      </c>
      <c r="L57" s="31" t="s">
        <v>399</v>
      </c>
      <c r="M57" s="31" t="s">
        <v>551</v>
      </c>
      <c r="N57" s="33">
        <v>100.0</v>
      </c>
      <c r="O57" s="33">
        <v>100.0</v>
      </c>
      <c r="P57" s="33">
        <v>100.0</v>
      </c>
      <c r="Q57" s="33">
        <v>35.0</v>
      </c>
      <c r="R57" s="33">
        <v>15.0</v>
      </c>
      <c r="S57" s="33">
        <v>96.0</v>
      </c>
      <c r="T57" s="33">
        <v>10.0</v>
      </c>
      <c r="U57" s="33">
        <v>15.0</v>
      </c>
      <c r="V57" s="33">
        <v>10.0</v>
      </c>
      <c r="W57" s="33">
        <v>5.0</v>
      </c>
      <c r="X57" s="33">
        <v>98.0</v>
      </c>
      <c r="Y57" s="33">
        <v>10.0</v>
      </c>
      <c r="Z57" s="33">
        <v>35.0</v>
      </c>
      <c r="AA57" s="33">
        <v>95.0</v>
      </c>
      <c r="AB57" s="33">
        <v>98.0</v>
      </c>
      <c r="AC57" s="33">
        <v>50.0</v>
      </c>
      <c r="AD57" s="33">
        <v>5.0</v>
      </c>
      <c r="AE57" s="33">
        <v>70.0</v>
      </c>
      <c r="AF57" s="33">
        <v>90.0</v>
      </c>
      <c r="AG57" s="33">
        <v>98.0</v>
      </c>
      <c r="AH57" s="33">
        <v>98.0</v>
      </c>
      <c r="AI57" s="33">
        <v>85.0</v>
      </c>
      <c r="AJ57" s="33">
        <v>95.0</v>
      </c>
      <c r="AK57" s="33">
        <v>80.0</v>
      </c>
      <c r="AL57" s="33">
        <v>92.0</v>
      </c>
      <c r="AM57" s="33">
        <v>100.0</v>
      </c>
      <c r="AN57" s="33">
        <v>100.0</v>
      </c>
      <c r="AO57" s="33">
        <v>100.0</v>
      </c>
      <c r="AP57" s="18" t="s">
        <v>552</v>
      </c>
      <c r="AQ57" s="18" t="s">
        <v>553</v>
      </c>
      <c r="AR57" s="20" t="s">
        <v>92</v>
      </c>
      <c r="AS57" s="20" t="s">
        <v>93</v>
      </c>
      <c r="AT57" s="20" t="s">
        <v>94</v>
      </c>
      <c r="AU57" s="21" t="s">
        <v>94</v>
      </c>
      <c r="AV57" s="22" t="s">
        <v>554</v>
      </c>
      <c r="AW57" s="56" t="s">
        <v>555</v>
      </c>
      <c r="AX57" s="34"/>
      <c r="BA57" s="34"/>
      <c r="BB57" s="34"/>
    </row>
    <row r="58" hidden="1">
      <c r="A58" s="25" t="s">
        <v>556</v>
      </c>
      <c r="B58" s="26" t="s">
        <v>557</v>
      </c>
      <c r="C58" s="27" t="s">
        <v>390</v>
      </c>
      <c r="D58" s="27" t="s">
        <v>52</v>
      </c>
      <c r="E58" s="35" t="s">
        <v>84</v>
      </c>
      <c r="F58" s="27" t="s">
        <v>85</v>
      </c>
      <c r="G58" s="28">
        <v>399.0</v>
      </c>
      <c r="H58" s="36">
        <f t="shared" si="1"/>
        <v>379.05</v>
      </c>
      <c r="I58" s="29" t="s">
        <v>55</v>
      </c>
      <c r="J58" s="30" t="s">
        <v>242</v>
      </c>
      <c r="K58" s="30" t="s">
        <v>243</v>
      </c>
      <c r="L58" s="31" t="s">
        <v>558</v>
      </c>
      <c r="M58" s="31" t="s">
        <v>551</v>
      </c>
      <c r="N58" s="33">
        <v>100.0</v>
      </c>
      <c r="O58" s="33">
        <v>100.0</v>
      </c>
      <c r="P58" s="33">
        <v>100.0</v>
      </c>
      <c r="Q58" s="33">
        <v>55.0</v>
      </c>
      <c r="R58" s="33">
        <v>15.0</v>
      </c>
      <c r="S58" s="33">
        <v>90.0</v>
      </c>
      <c r="T58" s="33">
        <v>35.0</v>
      </c>
      <c r="U58" s="33">
        <v>25.0</v>
      </c>
      <c r="V58" s="33">
        <v>15.0</v>
      </c>
      <c r="W58" s="33">
        <v>5.0</v>
      </c>
      <c r="X58" s="33">
        <v>92.0</v>
      </c>
      <c r="Y58" s="33">
        <v>35.0</v>
      </c>
      <c r="Z58" s="33">
        <v>25.0</v>
      </c>
      <c r="AA58" s="33">
        <v>92.0</v>
      </c>
      <c r="AB58" s="33">
        <v>95.0</v>
      </c>
      <c r="AC58" s="33">
        <v>55.0</v>
      </c>
      <c r="AD58" s="33">
        <v>5.0</v>
      </c>
      <c r="AE58" s="33">
        <v>95.0</v>
      </c>
      <c r="AF58" s="33">
        <v>98.0</v>
      </c>
      <c r="AG58" s="33">
        <v>80.0</v>
      </c>
      <c r="AH58" s="33">
        <v>90.0</v>
      </c>
      <c r="AI58" s="33">
        <v>90.0</v>
      </c>
      <c r="AJ58" s="33">
        <v>95.0</v>
      </c>
      <c r="AK58" s="33">
        <v>94.0</v>
      </c>
      <c r="AL58" s="33">
        <v>96.0</v>
      </c>
      <c r="AM58" s="33">
        <v>0.0</v>
      </c>
      <c r="AN58" s="33">
        <v>100.0</v>
      </c>
      <c r="AO58" s="33">
        <v>100.0</v>
      </c>
      <c r="AP58" s="18" t="s">
        <v>559</v>
      </c>
      <c r="AQ58" s="18" t="s">
        <v>560</v>
      </c>
      <c r="AR58" s="20" t="s">
        <v>92</v>
      </c>
      <c r="AS58" s="20" t="s">
        <v>93</v>
      </c>
      <c r="AT58" s="20" t="s">
        <v>94</v>
      </c>
      <c r="AU58" s="21" t="s">
        <v>94</v>
      </c>
      <c r="AV58" s="22" t="s">
        <v>271</v>
      </c>
      <c r="AW58" s="56" t="s">
        <v>561</v>
      </c>
      <c r="AX58" s="34"/>
      <c r="BA58" s="34"/>
      <c r="BB58" s="34"/>
    </row>
    <row r="59" hidden="1">
      <c r="A59" s="25" t="s">
        <v>562</v>
      </c>
      <c r="B59" s="26" t="s">
        <v>563</v>
      </c>
      <c r="C59" s="27" t="s">
        <v>390</v>
      </c>
      <c r="D59" s="27" t="s">
        <v>52</v>
      </c>
      <c r="E59" s="27" t="s">
        <v>252</v>
      </c>
      <c r="F59" s="27" t="s">
        <v>85</v>
      </c>
      <c r="G59" s="28">
        <v>445.0</v>
      </c>
      <c r="H59" s="36">
        <f t="shared" si="1"/>
        <v>422.75</v>
      </c>
      <c r="I59" s="29" t="s">
        <v>55</v>
      </c>
      <c r="J59" s="30" t="s">
        <v>455</v>
      </c>
      <c r="K59" s="30" t="s">
        <v>29</v>
      </c>
      <c r="L59" s="61" t="s">
        <v>564</v>
      </c>
      <c r="M59" s="31" t="s">
        <v>565</v>
      </c>
      <c r="N59" s="33">
        <v>100.0</v>
      </c>
      <c r="O59" s="33">
        <v>100.0</v>
      </c>
      <c r="P59" s="33">
        <v>100.0</v>
      </c>
      <c r="Q59" s="33">
        <v>20.0</v>
      </c>
      <c r="R59" s="33">
        <v>10.0</v>
      </c>
      <c r="S59" s="33">
        <v>75.0</v>
      </c>
      <c r="T59" s="33">
        <v>10.0</v>
      </c>
      <c r="U59" s="33">
        <v>40.0</v>
      </c>
      <c r="V59" s="33">
        <v>45.0</v>
      </c>
      <c r="W59" s="33">
        <v>30.0</v>
      </c>
      <c r="X59" s="33">
        <v>65.0</v>
      </c>
      <c r="Y59" s="33">
        <v>10.0</v>
      </c>
      <c r="Z59" s="33">
        <v>30.0</v>
      </c>
      <c r="AA59" s="33">
        <v>80.0</v>
      </c>
      <c r="AB59" s="33">
        <v>82.0</v>
      </c>
      <c r="AC59" s="33">
        <v>65.0</v>
      </c>
      <c r="AD59" s="33">
        <v>98.0</v>
      </c>
      <c r="AE59" s="33">
        <v>90.0</v>
      </c>
      <c r="AF59" s="33">
        <v>85.0</v>
      </c>
      <c r="AG59" s="33">
        <v>78.0</v>
      </c>
      <c r="AH59" s="33">
        <v>75.0</v>
      </c>
      <c r="AI59" s="33">
        <v>86.0</v>
      </c>
      <c r="AJ59" s="33">
        <v>84.0</v>
      </c>
      <c r="AK59" s="33">
        <v>87.0</v>
      </c>
      <c r="AL59" s="33">
        <v>85.0</v>
      </c>
      <c r="AM59" s="33">
        <v>0.0</v>
      </c>
      <c r="AN59" s="33">
        <v>100.0</v>
      </c>
      <c r="AO59" s="33">
        <v>100.0</v>
      </c>
      <c r="AP59" s="18" t="s">
        <v>566</v>
      </c>
      <c r="AQ59" s="18" t="s">
        <v>567</v>
      </c>
      <c r="AR59" s="20" t="s">
        <v>144</v>
      </c>
      <c r="AS59" s="20" t="s">
        <v>145</v>
      </c>
      <c r="AT59" s="20" t="s">
        <v>146</v>
      </c>
      <c r="AU59" s="21" t="s">
        <v>146</v>
      </c>
      <c r="AV59" s="22" t="s">
        <v>258</v>
      </c>
      <c r="AW59" s="62" t="s">
        <v>568</v>
      </c>
      <c r="AX59" s="34"/>
      <c r="AY59" s="59"/>
      <c r="AZ59" s="59"/>
      <c r="BA59" s="34"/>
      <c r="BB59" s="34"/>
    </row>
    <row r="60" hidden="1">
      <c r="A60" s="25" t="s">
        <v>569</v>
      </c>
      <c r="B60" s="26" t="s">
        <v>570</v>
      </c>
      <c r="C60" s="27" t="s">
        <v>390</v>
      </c>
      <c r="D60" s="27" t="s">
        <v>52</v>
      </c>
      <c r="E60" s="27" t="s">
        <v>252</v>
      </c>
      <c r="F60" s="27" t="s">
        <v>85</v>
      </c>
      <c r="G60" s="28">
        <v>649.0</v>
      </c>
      <c r="H60" s="36">
        <f t="shared" si="1"/>
        <v>616.55</v>
      </c>
      <c r="I60" s="29" t="s">
        <v>55</v>
      </c>
      <c r="J60" s="30" t="s">
        <v>242</v>
      </c>
      <c r="K60" s="30" t="s">
        <v>439</v>
      </c>
      <c r="L60" s="63" t="s">
        <v>571</v>
      </c>
      <c r="M60" s="31" t="s">
        <v>572</v>
      </c>
      <c r="N60" s="33">
        <v>100.0</v>
      </c>
      <c r="O60" s="33">
        <v>100.0</v>
      </c>
      <c r="P60" s="33">
        <v>100.0</v>
      </c>
      <c r="Q60" s="33">
        <v>25.0</v>
      </c>
      <c r="R60" s="33">
        <v>10.0</v>
      </c>
      <c r="S60" s="33">
        <v>75.0</v>
      </c>
      <c r="T60" s="33">
        <v>10.0</v>
      </c>
      <c r="U60" s="33">
        <v>35.0</v>
      </c>
      <c r="V60" s="33">
        <v>40.0</v>
      </c>
      <c r="W60" s="33">
        <v>30.0</v>
      </c>
      <c r="X60" s="33">
        <v>72.0</v>
      </c>
      <c r="Y60" s="33">
        <v>10.0</v>
      </c>
      <c r="Z60" s="33">
        <v>25.0</v>
      </c>
      <c r="AA60" s="33">
        <v>92.0</v>
      </c>
      <c r="AB60" s="33">
        <v>82.0</v>
      </c>
      <c r="AC60" s="33">
        <v>55.0</v>
      </c>
      <c r="AD60" s="33">
        <v>98.0</v>
      </c>
      <c r="AE60" s="33">
        <v>90.0</v>
      </c>
      <c r="AF60" s="33">
        <v>98.0</v>
      </c>
      <c r="AG60" s="33">
        <v>78.0</v>
      </c>
      <c r="AH60" s="33">
        <v>90.0</v>
      </c>
      <c r="AI60" s="33">
        <v>90.0</v>
      </c>
      <c r="AJ60" s="33">
        <v>96.0</v>
      </c>
      <c r="AK60" s="33">
        <v>90.0</v>
      </c>
      <c r="AL60" s="33">
        <v>95.0</v>
      </c>
      <c r="AM60" s="33">
        <v>0.0</v>
      </c>
      <c r="AN60" s="33">
        <v>100.0</v>
      </c>
      <c r="AO60" s="33">
        <v>100.0</v>
      </c>
      <c r="AP60" s="18" t="s">
        <v>573</v>
      </c>
      <c r="AQ60" s="18" t="s">
        <v>574</v>
      </c>
      <c r="AR60" s="20" t="s">
        <v>144</v>
      </c>
      <c r="AS60" s="20" t="s">
        <v>145</v>
      </c>
      <c r="AT60" s="20" t="s">
        <v>146</v>
      </c>
      <c r="AU60" s="21" t="s">
        <v>146</v>
      </c>
      <c r="AV60" s="22" t="s">
        <v>575</v>
      </c>
      <c r="AW60" s="62" t="s">
        <v>576</v>
      </c>
      <c r="AX60" s="34"/>
      <c r="AY60" s="59"/>
      <c r="AZ60" s="59"/>
      <c r="BA60" s="34"/>
      <c r="BB60" s="34"/>
    </row>
    <row r="61" hidden="1">
      <c r="A61" s="25" t="s">
        <v>577</v>
      </c>
      <c r="B61" s="26" t="s">
        <v>578</v>
      </c>
      <c r="C61" s="27" t="s">
        <v>390</v>
      </c>
      <c r="D61" s="27" t="s">
        <v>52</v>
      </c>
      <c r="E61" s="27" t="s">
        <v>53</v>
      </c>
      <c r="F61" s="27" t="s">
        <v>54</v>
      </c>
      <c r="G61" s="28">
        <v>249.0</v>
      </c>
      <c r="H61" s="36">
        <f t="shared" si="1"/>
        <v>236.55</v>
      </c>
      <c r="I61" s="29" t="s">
        <v>55</v>
      </c>
      <c r="J61" s="30" t="s">
        <v>102</v>
      </c>
      <c r="K61" s="30" t="s">
        <v>162</v>
      </c>
      <c r="L61" s="31" t="s">
        <v>579</v>
      </c>
      <c r="M61" s="31" t="s">
        <v>580</v>
      </c>
      <c r="N61" s="33">
        <v>0.0</v>
      </c>
      <c r="O61" s="33">
        <v>100.0</v>
      </c>
      <c r="P61" s="33">
        <v>100.0</v>
      </c>
      <c r="Q61" s="33">
        <v>90.0</v>
      </c>
      <c r="R61" s="33">
        <v>35.0</v>
      </c>
      <c r="S61" s="33">
        <v>30.0</v>
      </c>
      <c r="T61" s="33">
        <v>90.0</v>
      </c>
      <c r="U61" s="33">
        <v>45.0</v>
      </c>
      <c r="V61" s="33">
        <v>35.0</v>
      </c>
      <c r="W61" s="33">
        <v>10.0</v>
      </c>
      <c r="X61" s="33">
        <v>35.0</v>
      </c>
      <c r="Y61" s="33">
        <v>92.0</v>
      </c>
      <c r="Z61" s="33">
        <v>10.0</v>
      </c>
      <c r="AA61" s="33">
        <v>50.0</v>
      </c>
      <c r="AB61" s="33">
        <v>35.0</v>
      </c>
      <c r="AC61" s="33">
        <v>55.0</v>
      </c>
      <c r="AD61" s="33">
        <v>10.0</v>
      </c>
      <c r="AE61" s="33">
        <v>96.0</v>
      </c>
      <c r="AF61" s="33">
        <v>70.0</v>
      </c>
      <c r="AG61" s="33">
        <v>28.0</v>
      </c>
      <c r="AH61" s="33">
        <v>20.0</v>
      </c>
      <c r="AI61" s="33">
        <v>85.0</v>
      </c>
      <c r="AJ61" s="33">
        <v>62.0</v>
      </c>
      <c r="AK61" s="33">
        <v>92.0</v>
      </c>
      <c r="AL61" s="33">
        <v>68.0</v>
      </c>
      <c r="AM61" s="33">
        <v>-100.0</v>
      </c>
      <c r="AN61" s="33">
        <v>100.0</v>
      </c>
      <c r="AO61" s="33">
        <v>100.0</v>
      </c>
      <c r="AP61" s="18" t="s">
        <v>581</v>
      </c>
      <c r="AQ61" s="18" t="s">
        <v>582</v>
      </c>
      <c r="AR61" s="20" t="s">
        <v>62</v>
      </c>
      <c r="AS61" s="20" t="s">
        <v>63</v>
      </c>
      <c r="AT61" s="20" t="s">
        <v>64</v>
      </c>
      <c r="AU61" s="21" t="s">
        <v>64</v>
      </c>
      <c r="AV61" s="22" t="s">
        <v>583</v>
      </c>
      <c r="AW61" s="23" t="s">
        <v>584</v>
      </c>
      <c r="AX61" s="34"/>
      <c r="AY61" s="34"/>
      <c r="AZ61" s="34"/>
      <c r="BA61" s="34"/>
      <c r="BB61" s="34"/>
    </row>
    <row r="62" hidden="1">
      <c r="A62" s="25" t="s">
        <v>585</v>
      </c>
      <c r="B62" s="26" t="s">
        <v>586</v>
      </c>
      <c r="C62" s="27" t="s">
        <v>390</v>
      </c>
      <c r="D62" s="27" t="s">
        <v>52</v>
      </c>
      <c r="E62" s="35" t="s">
        <v>84</v>
      </c>
      <c r="F62" s="27" t="s">
        <v>464</v>
      </c>
      <c r="G62" s="28">
        <v>495.0</v>
      </c>
      <c r="H62" s="36">
        <f t="shared" si="1"/>
        <v>470.25</v>
      </c>
      <c r="I62" s="29" t="s">
        <v>55</v>
      </c>
      <c r="J62" s="30" t="s">
        <v>587</v>
      </c>
      <c r="K62" s="30" t="s">
        <v>588</v>
      </c>
      <c r="L62" s="31" t="s">
        <v>589</v>
      </c>
      <c r="M62" s="31" t="s">
        <v>590</v>
      </c>
      <c r="N62" s="33">
        <v>100.0</v>
      </c>
      <c r="O62" s="33">
        <v>100.0</v>
      </c>
      <c r="P62" s="33">
        <v>100.0</v>
      </c>
      <c r="Q62" s="33">
        <v>35.0</v>
      </c>
      <c r="R62" s="33">
        <v>10.0</v>
      </c>
      <c r="S62" s="33">
        <v>90.0</v>
      </c>
      <c r="T62" s="33">
        <v>20.0</v>
      </c>
      <c r="U62" s="33">
        <v>35.0</v>
      </c>
      <c r="V62" s="33">
        <v>30.0</v>
      </c>
      <c r="W62" s="33">
        <v>15.0</v>
      </c>
      <c r="X62" s="33">
        <v>92.0</v>
      </c>
      <c r="Y62" s="33">
        <v>15.0</v>
      </c>
      <c r="Z62" s="33">
        <v>82.0</v>
      </c>
      <c r="AA62" s="33">
        <v>90.0</v>
      </c>
      <c r="AB62" s="33">
        <v>92.0</v>
      </c>
      <c r="AC62" s="33">
        <v>68.0</v>
      </c>
      <c r="AD62" s="33">
        <v>92.0</v>
      </c>
      <c r="AE62" s="33">
        <v>78.0</v>
      </c>
      <c r="AF62" s="33">
        <v>82.0</v>
      </c>
      <c r="AG62" s="33">
        <v>95.0</v>
      </c>
      <c r="AH62" s="33">
        <v>92.0</v>
      </c>
      <c r="AI62" s="33">
        <v>90.0</v>
      </c>
      <c r="AJ62" s="33">
        <v>90.0</v>
      </c>
      <c r="AK62" s="33">
        <v>85.0</v>
      </c>
      <c r="AL62" s="33">
        <v>90.0</v>
      </c>
      <c r="AM62" s="33">
        <v>100.0</v>
      </c>
      <c r="AN62" s="33">
        <v>100.0</v>
      </c>
      <c r="AO62" s="33">
        <v>100.0</v>
      </c>
      <c r="AP62" s="18" t="s">
        <v>591</v>
      </c>
      <c r="AQ62" s="18" t="s">
        <v>592</v>
      </c>
      <c r="AR62" s="20" t="s">
        <v>144</v>
      </c>
      <c r="AS62" s="20" t="s">
        <v>145</v>
      </c>
      <c r="AT62" s="20" t="s">
        <v>146</v>
      </c>
      <c r="AU62" s="21" t="s">
        <v>146</v>
      </c>
      <c r="AV62" s="22" t="s">
        <v>593</v>
      </c>
      <c r="AW62" s="64" t="s">
        <v>594</v>
      </c>
      <c r="AX62" s="34"/>
      <c r="AY62" s="34"/>
      <c r="AZ62" s="34"/>
      <c r="BA62" s="34"/>
      <c r="BB62" s="34"/>
    </row>
    <row r="63" hidden="1">
      <c r="A63" s="25" t="s">
        <v>595</v>
      </c>
      <c r="B63" s="26" t="s">
        <v>596</v>
      </c>
      <c r="C63" s="27" t="s">
        <v>390</v>
      </c>
      <c r="D63" s="27" t="s">
        <v>52</v>
      </c>
      <c r="E63" s="27" t="s">
        <v>125</v>
      </c>
      <c r="F63" s="27" t="s">
        <v>126</v>
      </c>
      <c r="G63" s="28">
        <v>359.0</v>
      </c>
      <c r="H63" s="36">
        <f t="shared" si="1"/>
        <v>341.05</v>
      </c>
      <c r="I63" s="29" t="s">
        <v>55</v>
      </c>
      <c r="J63" s="30" t="s">
        <v>266</v>
      </c>
      <c r="K63" s="30" t="s">
        <v>243</v>
      </c>
      <c r="L63" s="31" t="s">
        <v>597</v>
      </c>
      <c r="M63" s="31" t="s">
        <v>598</v>
      </c>
      <c r="N63" s="33">
        <v>100.0</v>
      </c>
      <c r="O63" s="33">
        <v>100.0</v>
      </c>
      <c r="P63" s="33">
        <v>100.0</v>
      </c>
      <c r="Q63" s="33">
        <v>40.0</v>
      </c>
      <c r="R63" s="33">
        <v>10.0</v>
      </c>
      <c r="S63" s="33">
        <v>92.0</v>
      </c>
      <c r="T63" s="33">
        <v>15.0</v>
      </c>
      <c r="U63" s="33">
        <v>20.0</v>
      </c>
      <c r="V63" s="33">
        <v>15.0</v>
      </c>
      <c r="W63" s="33">
        <v>5.0</v>
      </c>
      <c r="X63" s="33">
        <v>96.0</v>
      </c>
      <c r="Y63" s="33">
        <v>15.0</v>
      </c>
      <c r="Z63" s="33">
        <v>25.0</v>
      </c>
      <c r="AA63" s="33">
        <v>95.0</v>
      </c>
      <c r="AB63" s="33">
        <v>98.0</v>
      </c>
      <c r="AC63" s="33">
        <v>55.0</v>
      </c>
      <c r="AD63" s="33">
        <v>5.0</v>
      </c>
      <c r="AE63" s="33">
        <v>85.0</v>
      </c>
      <c r="AF63" s="33">
        <v>95.0</v>
      </c>
      <c r="AG63" s="33">
        <v>98.0</v>
      </c>
      <c r="AH63" s="33">
        <v>98.0</v>
      </c>
      <c r="AI63" s="33">
        <v>92.0</v>
      </c>
      <c r="AJ63" s="33">
        <v>98.0</v>
      </c>
      <c r="AK63" s="33">
        <v>90.0</v>
      </c>
      <c r="AL63" s="33">
        <v>96.0</v>
      </c>
      <c r="AM63" s="33">
        <v>100.0</v>
      </c>
      <c r="AN63" s="33">
        <v>100.0</v>
      </c>
      <c r="AO63" s="33">
        <v>100.0</v>
      </c>
      <c r="AP63" s="18" t="s">
        <v>599</v>
      </c>
      <c r="AQ63" s="18" t="s">
        <v>600</v>
      </c>
      <c r="AR63" s="20" t="s">
        <v>601</v>
      </c>
      <c r="AS63" s="20" t="s">
        <v>602</v>
      </c>
      <c r="AT63" s="20" t="s">
        <v>603</v>
      </c>
      <c r="AU63" s="21" t="s">
        <v>603</v>
      </c>
      <c r="AV63" s="22" t="s">
        <v>271</v>
      </c>
      <c r="AW63" s="64" t="s">
        <v>604</v>
      </c>
      <c r="AX63" s="34"/>
      <c r="AY63" s="34"/>
      <c r="AZ63" s="52"/>
      <c r="BA63" s="52"/>
      <c r="BB63" s="34"/>
    </row>
    <row r="64" hidden="1">
      <c r="A64" s="25" t="s">
        <v>605</v>
      </c>
      <c r="B64" s="26" t="s">
        <v>606</v>
      </c>
      <c r="C64" s="27" t="s">
        <v>607</v>
      </c>
      <c r="D64" s="27" t="s">
        <v>52</v>
      </c>
      <c r="E64" s="27" t="s">
        <v>252</v>
      </c>
      <c r="F64" s="27" t="s">
        <v>85</v>
      </c>
      <c r="G64" s="28">
        <v>449.0</v>
      </c>
      <c r="H64" s="36">
        <f t="shared" si="1"/>
        <v>426.55</v>
      </c>
      <c r="I64" s="29" t="s">
        <v>55</v>
      </c>
      <c r="J64" s="30" t="s">
        <v>358</v>
      </c>
      <c r="K64" s="30" t="s">
        <v>608</v>
      </c>
      <c r="L64" s="31" t="s">
        <v>203</v>
      </c>
      <c r="M64" s="31" t="s">
        <v>609</v>
      </c>
      <c r="N64" s="33">
        <v>100.0</v>
      </c>
      <c r="O64" s="33">
        <v>100.0</v>
      </c>
      <c r="P64" s="33">
        <v>100.0</v>
      </c>
      <c r="Q64" s="33">
        <v>20.0</v>
      </c>
      <c r="R64" s="33">
        <v>10.0</v>
      </c>
      <c r="S64" s="33">
        <v>82.0</v>
      </c>
      <c r="T64" s="33">
        <v>10.0</v>
      </c>
      <c r="U64" s="33">
        <v>35.0</v>
      </c>
      <c r="V64" s="33">
        <v>40.0</v>
      </c>
      <c r="W64" s="33">
        <v>25.0</v>
      </c>
      <c r="X64" s="33">
        <v>70.0</v>
      </c>
      <c r="Y64" s="33">
        <v>10.0</v>
      </c>
      <c r="Z64" s="33">
        <v>25.0</v>
      </c>
      <c r="AA64" s="33">
        <v>82.0</v>
      </c>
      <c r="AB64" s="33">
        <v>92.0</v>
      </c>
      <c r="AC64" s="33">
        <v>60.0</v>
      </c>
      <c r="AD64" s="33">
        <v>98.0</v>
      </c>
      <c r="AE64" s="33">
        <v>90.0</v>
      </c>
      <c r="AF64" s="33">
        <v>90.0</v>
      </c>
      <c r="AG64" s="33">
        <v>82.0</v>
      </c>
      <c r="AH64" s="33">
        <v>85.0</v>
      </c>
      <c r="AI64" s="33">
        <v>90.0</v>
      </c>
      <c r="AJ64" s="33">
        <v>90.0</v>
      </c>
      <c r="AK64" s="33">
        <v>90.0</v>
      </c>
      <c r="AL64" s="33">
        <v>90.0</v>
      </c>
      <c r="AM64" s="33">
        <v>100.0</v>
      </c>
      <c r="AN64" s="33">
        <v>100.0</v>
      </c>
      <c r="AO64" s="33">
        <v>100.0</v>
      </c>
      <c r="AP64" s="18" t="s">
        <v>610</v>
      </c>
      <c r="AQ64" s="18" t="s">
        <v>611</v>
      </c>
      <c r="AR64" s="20" t="s">
        <v>144</v>
      </c>
      <c r="AS64" s="20" t="s">
        <v>145</v>
      </c>
      <c r="AT64" s="20" t="s">
        <v>146</v>
      </c>
      <c r="AU64" s="21" t="s">
        <v>146</v>
      </c>
      <c r="AV64" s="22" t="s">
        <v>612</v>
      </c>
      <c r="AW64" s="58" t="s">
        <v>613</v>
      </c>
      <c r="AX64" s="34"/>
      <c r="AY64" s="34"/>
      <c r="AZ64" s="52"/>
      <c r="BA64" s="52"/>
      <c r="BB64" s="34"/>
    </row>
    <row r="65" hidden="1">
      <c r="A65" s="25" t="s">
        <v>614</v>
      </c>
      <c r="B65" s="26" t="s">
        <v>615</v>
      </c>
      <c r="C65" s="27" t="s">
        <v>607</v>
      </c>
      <c r="D65" s="27" t="s">
        <v>52</v>
      </c>
      <c r="E65" s="27" t="s">
        <v>69</v>
      </c>
      <c r="F65" s="27" t="s">
        <v>70</v>
      </c>
      <c r="G65" s="28">
        <v>599.0</v>
      </c>
      <c r="H65" s="36">
        <f t="shared" si="1"/>
        <v>569.05</v>
      </c>
      <c r="I65" s="29" t="s">
        <v>55</v>
      </c>
      <c r="J65" s="30" t="s">
        <v>216</v>
      </c>
      <c r="K65" s="30" t="s">
        <v>173</v>
      </c>
      <c r="L65" s="31" t="s">
        <v>314</v>
      </c>
      <c r="M65" s="31" t="s">
        <v>616</v>
      </c>
      <c r="N65" s="33">
        <v>100.0</v>
      </c>
      <c r="O65" s="33">
        <v>100.0</v>
      </c>
      <c r="P65" s="33">
        <v>100.0</v>
      </c>
      <c r="Q65" s="33">
        <v>45.0</v>
      </c>
      <c r="R65" s="33">
        <v>15.0</v>
      </c>
      <c r="S65" s="33">
        <v>55.0</v>
      </c>
      <c r="T65" s="33">
        <v>35.0</v>
      </c>
      <c r="U65" s="33">
        <v>90.0</v>
      </c>
      <c r="V65" s="33">
        <v>90.0</v>
      </c>
      <c r="W65" s="33">
        <v>65.0</v>
      </c>
      <c r="X65" s="33">
        <v>50.0</v>
      </c>
      <c r="Y65" s="33">
        <v>25.0</v>
      </c>
      <c r="Z65" s="33">
        <v>65.0</v>
      </c>
      <c r="AA65" s="33">
        <v>65.0</v>
      </c>
      <c r="AB65" s="33">
        <v>60.0</v>
      </c>
      <c r="AC65" s="33">
        <v>95.0</v>
      </c>
      <c r="AD65" s="33">
        <v>70.0</v>
      </c>
      <c r="AE65" s="33">
        <v>84.0</v>
      </c>
      <c r="AF65" s="33">
        <v>78.0</v>
      </c>
      <c r="AG65" s="33">
        <v>68.0</v>
      </c>
      <c r="AH65" s="33">
        <v>62.0</v>
      </c>
      <c r="AI65" s="33">
        <v>90.0</v>
      </c>
      <c r="AJ65" s="33">
        <v>82.0</v>
      </c>
      <c r="AK65" s="33">
        <v>86.0</v>
      </c>
      <c r="AL65" s="33">
        <v>80.0</v>
      </c>
      <c r="AM65" s="33">
        <v>0.0</v>
      </c>
      <c r="AN65" s="33">
        <v>100.0</v>
      </c>
      <c r="AO65" s="33">
        <v>100.0</v>
      </c>
      <c r="AP65" s="18" t="s">
        <v>617</v>
      </c>
      <c r="AQ65" s="18" t="s">
        <v>618</v>
      </c>
      <c r="AR65" s="20" t="s">
        <v>166</v>
      </c>
      <c r="AS65" s="20" t="s">
        <v>167</v>
      </c>
      <c r="AT65" s="20" t="s">
        <v>168</v>
      </c>
      <c r="AU65" s="21" t="s">
        <v>168</v>
      </c>
      <c r="AV65" s="22" t="s">
        <v>178</v>
      </c>
      <c r="AW65" s="58" t="s">
        <v>619</v>
      </c>
      <c r="AX65" s="34"/>
      <c r="AY65" s="34"/>
      <c r="AZ65" s="55"/>
      <c r="BA65" s="55"/>
      <c r="BB65" s="34"/>
    </row>
    <row r="66" hidden="1">
      <c r="A66" s="25" t="s">
        <v>620</v>
      </c>
      <c r="B66" s="10" t="s">
        <v>621</v>
      </c>
      <c r="C66" s="27" t="s">
        <v>607</v>
      </c>
      <c r="D66" s="27" t="s">
        <v>52</v>
      </c>
      <c r="E66" s="27" t="s">
        <v>69</v>
      </c>
      <c r="F66" s="27" t="s">
        <v>70</v>
      </c>
      <c r="G66" s="28">
        <v>599.0</v>
      </c>
      <c r="H66" s="36">
        <f t="shared" si="1"/>
        <v>569.05</v>
      </c>
      <c r="I66" s="29" t="s">
        <v>55</v>
      </c>
      <c r="J66" s="30" t="s">
        <v>622</v>
      </c>
      <c r="K66" s="30" t="s">
        <v>487</v>
      </c>
      <c r="L66" s="31" t="s">
        <v>154</v>
      </c>
      <c r="M66" s="31" t="s">
        <v>623</v>
      </c>
      <c r="N66" s="33">
        <v>100.0</v>
      </c>
      <c r="O66" s="33">
        <v>100.0</v>
      </c>
      <c r="P66" s="33">
        <v>100.0</v>
      </c>
      <c r="Q66" s="33">
        <v>78.0</v>
      </c>
      <c r="R66" s="33">
        <v>20.0</v>
      </c>
      <c r="S66" s="33">
        <v>60.0</v>
      </c>
      <c r="T66" s="33">
        <v>75.0</v>
      </c>
      <c r="U66" s="33">
        <v>90.0</v>
      </c>
      <c r="V66" s="33">
        <v>78.0</v>
      </c>
      <c r="W66" s="33">
        <v>55.0</v>
      </c>
      <c r="X66" s="33">
        <v>60.0</v>
      </c>
      <c r="Y66" s="33">
        <v>72.0</v>
      </c>
      <c r="Z66" s="33">
        <v>25.0</v>
      </c>
      <c r="AA66" s="33">
        <v>75.0</v>
      </c>
      <c r="AB66" s="33">
        <v>68.0</v>
      </c>
      <c r="AC66" s="33">
        <v>90.0</v>
      </c>
      <c r="AD66" s="33">
        <v>35.0</v>
      </c>
      <c r="AE66" s="33">
        <v>95.0</v>
      </c>
      <c r="AF66" s="33">
        <v>90.0</v>
      </c>
      <c r="AG66" s="33">
        <v>70.0</v>
      </c>
      <c r="AH66" s="33">
        <v>65.0</v>
      </c>
      <c r="AI66" s="33">
        <v>90.0</v>
      </c>
      <c r="AJ66" s="33">
        <v>90.0</v>
      </c>
      <c r="AK66" s="33">
        <v>92.0</v>
      </c>
      <c r="AL66" s="33">
        <v>89.0</v>
      </c>
      <c r="AM66" s="33">
        <v>0.0</v>
      </c>
      <c r="AN66" s="33">
        <v>100.0</v>
      </c>
      <c r="AO66" s="33">
        <v>100.0</v>
      </c>
      <c r="AP66" s="18" t="s">
        <v>624</v>
      </c>
      <c r="AQ66" s="18" t="s">
        <v>625</v>
      </c>
      <c r="AR66" s="20" t="s">
        <v>166</v>
      </c>
      <c r="AS66" s="20" t="s">
        <v>167</v>
      </c>
      <c r="AT66" s="20" t="s">
        <v>168</v>
      </c>
      <c r="AU66" s="21" t="s">
        <v>168</v>
      </c>
      <c r="AV66" s="22" t="s">
        <v>626</v>
      </c>
      <c r="AW66" s="56" t="s">
        <v>627</v>
      </c>
      <c r="AX66" s="34"/>
      <c r="AY66" s="34"/>
      <c r="BB66" s="34"/>
    </row>
    <row r="67" hidden="1">
      <c r="A67" s="25" t="s">
        <v>628</v>
      </c>
      <c r="B67" s="10" t="s">
        <v>629</v>
      </c>
      <c r="C67" s="27" t="s">
        <v>607</v>
      </c>
      <c r="D67" s="27" t="s">
        <v>52</v>
      </c>
      <c r="E67" s="35" t="s">
        <v>84</v>
      </c>
      <c r="F67" s="27" t="s">
        <v>549</v>
      </c>
      <c r="G67" s="28">
        <v>299.0</v>
      </c>
      <c r="H67" s="36">
        <f t="shared" si="1"/>
        <v>284.05</v>
      </c>
      <c r="I67" s="29" t="s">
        <v>55</v>
      </c>
      <c r="J67" s="30" t="s">
        <v>630</v>
      </c>
      <c r="K67" s="30" t="s">
        <v>631</v>
      </c>
      <c r="L67" s="31" t="s">
        <v>314</v>
      </c>
      <c r="M67" s="31" t="s">
        <v>632</v>
      </c>
      <c r="N67" s="33">
        <v>100.0</v>
      </c>
      <c r="O67" s="33">
        <v>100.0</v>
      </c>
      <c r="P67" s="33">
        <v>100.0</v>
      </c>
      <c r="Q67" s="33">
        <v>35.0</v>
      </c>
      <c r="R67" s="33">
        <v>10.0</v>
      </c>
      <c r="S67" s="33">
        <v>80.0</v>
      </c>
      <c r="T67" s="33">
        <v>15.0</v>
      </c>
      <c r="U67" s="33">
        <v>82.0</v>
      </c>
      <c r="V67" s="33">
        <v>80.0</v>
      </c>
      <c r="W67" s="33">
        <v>50.0</v>
      </c>
      <c r="X67" s="33">
        <v>70.0</v>
      </c>
      <c r="Y67" s="33">
        <v>15.0</v>
      </c>
      <c r="Z67" s="33">
        <v>25.0</v>
      </c>
      <c r="AA67" s="33">
        <v>82.0</v>
      </c>
      <c r="AB67" s="33">
        <v>90.0</v>
      </c>
      <c r="AC67" s="33">
        <v>90.0</v>
      </c>
      <c r="AD67" s="33">
        <v>25.0</v>
      </c>
      <c r="AE67" s="33">
        <v>85.0</v>
      </c>
      <c r="AF67" s="33">
        <v>90.0</v>
      </c>
      <c r="AG67" s="33">
        <v>82.0</v>
      </c>
      <c r="AH67" s="33">
        <v>85.0</v>
      </c>
      <c r="AI67" s="33">
        <v>86.0</v>
      </c>
      <c r="AJ67" s="33">
        <v>90.0</v>
      </c>
      <c r="AK67" s="33">
        <v>85.0</v>
      </c>
      <c r="AL67" s="33">
        <v>87.0</v>
      </c>
      <c r="AM67" s="33">
        <v>100.0</v>
      </c>
      <c r="AN67" s="33">
        <v>100.0</v>
      </c>
      <c r="AO67" s="33">
        <v>100.0</v>
      </c>
      <c r="AP67" s="18" t="s">
        <v>633</v>
      </c>
      <c r="AQ67" s="18" t="s">
        <v>634</v>
      </c>
      <c r="AR67" s="20" t="s">
        <v>92</v>
      </c>
      <c r="AS67" s="20" t="s">
        <v>93</v>
      </c>
      <c r="AT67" s="20" t="s">
        <v>94</v>
      </c>
      <c r="AU67" s="21" t="s">
        <v>94</v>
      </c>
      <c r="AV67" s="22" t="s">
        <v>635</v>
      </c>
      <c r="AW67" s="56" t="s">
        <v>636</v>
      </c>
      <c r="AX67" s="34"/>
      <c r="AY67" s="34"/>
      <c r="BB67" s="34"/>
    </row>
    <row r="68" hidden="1">
      <c r="A68" s="25" t="s">
        <v>637</v>
      </c>
      <c r="B68" s="10" t="s">
        <v>638</v>
      </c>
      <c r="C68" s="27" t="s">
        <v>607</v>
      </c>
      <c r="D68" s="27" t="s">
        <v>52</v>
      </c>
      <c r="E68" s="35" t="s">
        <v>84</v>
      </c>
      <c r="F68" s="27" t="s">
        <v>85</v>
      </c>
      <c r="G68" s="28">
        <v>499.0</v>
      </c>
      <c r="H68" s="36">
        <f t="shared" si="1"/>
        <v>474.05</v>
      </c>
      <c r="I68" s="29" t="s">
        <v>55</v>
      </c>
      <c r="J68" s="30" t="s">
        <v>465</v>
      </c>
      <c r="K68" s="30" t="s">
        <v>202</v>
      </c>
      <c r="L68" s="31" t="s">
        <v>203</v>
      </c>
      <c r="M68" s="31" t="s">
        <v>639</v>
      </c>
      <c r="N68" s="33">
        <v>100.0</v>
      </c>
      <c r="O68" s="33">
        <v>100.0</v>
      </c>
      <c r="P68" s="33">
        <v>100.0</v>
      </c>
      <c r="Q68" s="33">
        <v>25.0</v>
      </c>
      <c r="R68" s="33">
        <v>10.0</v>
      </c>
      <c r="S68" s="33">
        <v>95.0</v>
      </c>
      <c r="T68" s="33">
        <v>10.0</v>
      </c>
      <c r="U68" s="33">
        <v>15.0</v>
      </c>
      <c r="V68" s="33">
        <v>10.0</v>
      </c>
      <c r="W68" s="33">
        <v>5.0</v>
      </c>
      <c r="X68" s="33">
        <v>82.0</v>
      </c>
      <c r="Y68" s="33">
        <v>10.0</v>
      </c>
      <c r="Z68" s="33">
        <v>20.0</v>
      </c>
      <c r="AA68" s="33">
        <v>92.0</v>
      </c>
      <c r="AB68" s="33">
        <v>98.0</v>
      </c>
      <c r="AC68" s="33">
        <v>45.0</v>
      </c>
      <c r="AD68" s="33">
        <v>5.0</v>
      </c>
      <c r="AE68" s="33">
        <v>90.0</v>
      </c>
      <c r="AF68" s="33">
        <v>95.0</v>
      </c>
      <c r="AG68" s="33">
        <v>98.0</v>
      </c>
      <c r="AH68" s="33">
        <v>98.0</v>
      </c>
      <c r="AI68" s="33">
        <v>92.0</v>
      </c>
      <c r="AJ68" s="33">
        <v>96.0</v>
      </c>
      <c r="AK68" s="33">
        <v>90.0</v>
      </c>
      <c r="AL68" s="33">
        <v>95.0</v>
      </c>
      <c r="AM68" s="33">
        <v>100.0</v>
      </c>
      <c r="AN68" s="33">
        <v>100.0</v>
      </c>
      <c r="AO68" s="33">
        <v>100.0</v>
      </c>
      <c r="AP68" s="18" t="s">
        <v>640</v>
      </c>
      <c r="AQ68" s="18" t="s">
        <v>641</v>
      </c>
      <c r="AR68" s="20" t="s">
        <v>92</v>
      </c>
      <c r="AS68" s="20" t="s">
        <v>93</v>
      </c>
      <c r="AT68" s="20" t="s">
        <v>94</v>
      </c>
      <c r="AU68" s="21" t="s">
        <v>94</v>
      </c>
      <c r="AV68" s="22" t="s">
        <v>336</v>
      </c>
      <c r="AW68" s="56" t="s">
        <v>642</v>
      </c>
      <c r="AX68" s="34"/>
      <c r="AY68" s="52"/>
      <c r="BB68" s="34"/>
    </row>
    <row r="69" hidden="1">
      <c r="A69" s="25" t="s">
        <v>643</v>
      </c>
      <c r="B69" s="10" t="s">
        <v>644</v>
      </c>
      <c r="C69" s="27" t="s">
        <v>607</v>
      </c>
      <c r="D69" s="27" t="s">
        <v>52</v>
      </c>
      <c r="E69" s="35" t="s">
        <v>84</v>
      </c>
      <c r="F69" s="27" t="s">
        <v>549</v>
      </c>
      <c r="G69" s="28">
        <v>299.0</v>
      </c>
      <c r="H69" s="36">
        <f t="shared" si="1"/>
        <v>284.05</v>
      </c>
      <c r="I69" s="29" t="s">
        <v>55</v>
      </c>
      <c r="J69" s="30" t="s">
        <v>550</v>
      </c>
      <c r="K69" s="30" t="s">
        <v>243</v>
      </c>
      <c r="L69" s="31" t="s">
        <v>645</v>
      </c>
      <c r="M69" s="31" t="s">
        <v>646</v>
      </c>
      <c r="N69" s="33">
        <v>100.0</v>
      </c>
      <c r="O69" s="33">
        <v>100.0</v>
      </c>
      <c r="P69" s="33">
        <v>100.0</v>
      </c>
      <c r="Q69" s="33">
        <v>35.0</v>
      </c>
      <c r="R69" s="33">
        <v>10.0</v>
      </c>
      <c r="S69" s="33">
        <v>98.0</v>
      </c>
      <c r="T69" s="33">
        <v>10.0</v>
      </c>
      <c r="U69" s="33">
        <v>15.0</v>
      </c>
      <c r="V69" s="33">
        <v>10.0</v>
      </c>
      <c r="W69" s="33">
        <v>5.0</v>
      </c>
      <c r="X69" s="33">
        <v>98.0</v>
      </c>
      <c r="Y69" s="33">
        <v>10.0</v>
      </c>
      <c r="Z69" s="33">
        <v>35.0</v>
      </c>
      <c r="AA69" s="33">
        <v>95.0</v>
      </c>
      <c r="AB69" s="33">
        <v>98.0</v>
      </c>
      <c r="AC69" s="33">
        <v>50.0</v>
      </c>
      <c r="AD69" s="33">
        <v>5.0</v>
      </c>
      <c r="AE69" s="33">
        <v>72.0</v>
      </c>
      <c r="AF69" s="33">
        <v>90.0</v>
      </c>
      <c r="AG69" s="33">
        <v>98.0</v>
      </c>
      <c r="AH69" s="33">
        <v>98.0</v>
      </c>
      <c r="AI69" s="33">
        <v>85.0</v>
      </c>
      <c r="AJ69" s="33">
        <v>95.0</v>
      </c>
      <c r="AK69" s="33">
        <v>80.0</v>
      </c>
      <c r="AL69" s="33">
        <v>92.0</v>
      </c>
      <c r="AM69" s="33">
        <v>100.0</v>
      </c>
      <c r="AN69" s="33">
        <v>100.0</v>
      </c>
      <c r="AO69" s="33">
        <v>100.0</v>
      </c>
      <c r="AP69" s="18" t="s">
        <v>647</v>
      </c>
      <c r="AQ69" s="18" t="s">
        <v>648</v>
      </c>
      <c r="AR69" s="20" t="s">
        <v>92</v>
      </c>
      <c r="AS69" s="20" t="s">
        <v>93</v>
      </c>
      <c r="AT69" s="20" t="s">
        <v>94</v>
      </c>
      <c r="AU69" s="21" t="s">
        <v>94</v>
      </c>
      <c r="AV69" s="22" t="s">
        <v>336</v>
      </c>
      <c r="AW69" s="56" t="s">
        <v>649</v>
      </c>
      <c r="AX69" s="34"/>
      <c r="AY69" s="52"/>
      <c r="BA69" s="59"/>
      <c r="BB69" s="34"/>
    </row>
    <row r="70" hidden="1">
      <c r="A70" s="25" t="s">
        <v>650</v>
      </c>
      <c r="B70" s="10" t="s">
        <v>651</v>
      </c>
      <c r="C70" s="27" t="s">
        <v>607</v>
      </c>
      <c r="D70" s="27" t="s">
        <v>52</v>
      </c>
      <c r="E70" s="27" t="s">
        <v>53</v>
      </c>
      <c r="F70" s="27" t="s">
        <v>54</v>
      </c>
      <c r="G70" s="28">
        <v>249.0</v>
      </c>
      <c r="H70" s="36">
        <f t="shared" si="1"/>
        <v>236.55</v>
      </c>
      <c r="I70" s="29" t="s">
        <v>55</v>
      </c>
      <c r="J70" s="30" t="s">
        <v>407</v>
      </c>
      <c r="K70" s="30" t="s">
        <v>408</v>
      </c>
      <c r="L70" s="31" t="s">
        <v>314</v>
      </c>
      <c r="M70" s="31" t="s">
        <v>652</v>
      </c>
      <c r="N70" s="33">
        <v>100.0</v>
      </c>
      <c r="O70" s="33">
        <v>100.0</v>
      </c>
      <c r="P70" s="33">
        <v>100.0</v>
      </c>
      <c r="Q70" s="33">
        <v>30.0</v>
      </c>
      <c r="R70" s="33">
        <v>15.0</v>
      </c>
      <c r="S70" s="33">
        <v>75.0</v>
      </c>
      <c r="T70" s="33">
        <v>15.0</v>
      </c>
      <c r="U70" s="33">
        <v>55.0</v>
      </c>
      <c r="V70" s="17">
        <v>60.0</v>
      </c>
      <c r="W70" s="33">
        <v>20.0</v>
      </c>
      <c r="X70" s="33">
        <v>68.0</v>
      </c>
      <c r="Y70" s="33">
        <v>15.0</v>
      </c>
      <c r="Z70" s="33">
        <v>20.0</v>
      </c>
      <c r="AA70" s="33">
        <v>90.0</v>
      </c>
      <c r="AB70" s="33">
        <v>90.0</v>
      </c>
      <c r="AC70" s="33">
        <v>75.0</v>
      </c>
      <c r="AD70" s="33">
        <v>15.0</v>
      </c>
      <c r="AE70" s="33">
        <v>82.0</v>
      </c>
      <c r="AF70" s="33">
        <v>90.0</v>
      </c>
      <c r="AG70" s="33">
        <v>85.0</v>
      </c>
      <c r="AH70" s="33">
        <v>90.0</v>
      </c>
      <c r="AI70" s="33">
        <v>86.0</v>
      </c>
      <c r="AJ70" s="33">
        <v>90.0</v>
      </c>
      <c r="AK70" s="33">
        <v>84.0</v>
      </c>
      <c r="AL70" s="33">
        <v>90.0</v>
      </c>
      <c r="AM70" s="33">
        <v>100.0</v>
      </c>
      <c r="AN70" s="33">
        <v>100.0</v>
      </c>
      <c r="AO70" s="33">
        <v>100.0</v>
      </c>
      <c r="AP70" s="18" t="s">
        <v>653</v>
      </c>
      <c r="AQ70" s="18" t="s">
        <v>654</v>
      </c>
      <c r="AR70" s="20" t="s">
        <v>62</v>
      </c>
      <c r="AS70" s="20" t="s">
        <v>63</v>
      </c>
      <c r="AT70" s="20" t="s">
        <v>64</v>
      </c>
      <c r="AU70" s="21" t="s">
        <v>64</v>
      </c>
      <c r="AV70" s="22" t="s">
        <v>412</v>
      </c>
      <c r="AW70" s="56" t="s">
        <v>655</v>
      </c>
      <c r="AX70" s="34"/>
      <c r="AY70" s="55"/>
      <c r="AZ70" s="55"/>
      <c r="BA70" s="59"/>
      <c r="BB70" s="34"/>
    </row>
    <row r="71" hidden="1">
      <c r="A71" s="25" t="s">
        <v>656</v>
      </c>
      <c r="B71" s="10" t="s">
        <v>657</v>
      </c>
      <c r="C71" s="27" t="s">
        <v>607</v>
      </c>
      <c r="D71" s="27" t="s">
        <v>52</v>
      </c>
      <c r="E71" s="27" t="s">
        <v>53</v>
      </c>
      <c r="F71" s="27" t="s">
        <v>54</v>
      </c>
      <c r="G71" s="28">
        <v>249.0</v>
      </c>
      <c r="H71" s="36">
        <f t="shared" si="1"/>
        <v>236.55</v>
      </c>
      <c r="I71" s="29" t="s">
        <v>55</v>
      </c>
      <c r="J71" s="30" t="s">
        <v>266</v>
      </c>
      <c r="K71" s="30" t="s">
        <v>202</v>
      </c>
      <c r="L71" s="31" t="s">
        <v>203</v>
      </c>
      <c r="M71" s="31" t="s">
        <v>658</v>
      </c>
      <c r="N71" s="33">
        <v>100.0</v>
      </c>
      <c r="O71" s="33">
        <v>100.0</v>
      </c>
      <c r="P71" s="33">
        <v>100.0</v>
      </c>
      <c r="Q71" s="33">
        <v>25.0</v>
      </c>
      <c r="R71" s="33">
        <v>10.0</v>
      </c>
      <c r="S71" s="33">
        <v>92.0</v>
      </c>
      <c r="T71" s="33">
        <v>10.0</v>
      </c>
      <c r="U71" s="33">
        <v>10.0</v>
      </c>
      <c r="V71" s="33">
        <v>5.0</v>
      </c>
      <c r="W71" s="33">
        <v>5.0</v>
      </c>
      <c r="X71" s="33">
        <v>85.0</v>
      </c>
      <c r="Y71" s="33">
        <v>10.0</v>
      </c>
      <c r="Z71" s="33">
        <v>15.0</v>
      </c>
      <c r="AA71" s="33">
        <v>92.0</v>
      </c>
      <c r="AB71" s="33">
        <v>98.0</v>
      </c>
      <c r="AC71" s="33">
        <v>40.0</v>
      </c>
      <c r="AD71" s="33">
        <v>5.0</v>
      </c>
      <c r="AE71" s="33">
        <v>80.0</v>
      </c>
      <c r="AF71" s="33">
        <v>90.0</v>
      </c>
      <c r="AG71" s="33">
        <v>98.0</v>
      </c>
      <c r="AH71" s="33">
        <v>98.0</v>
      </c>
      <c r="AI71" s="33">
        <v>92.0</v>
      </c>
      <c r="AJ71" s="33">
        <v>96.0</v>
      </c>
      <c r="AK71" s="33">
        <v>90.0</v>
      </c>
      <c r="AL71" s="33">
        <v>94.0</v>
      </c>
      <c r="AM71" s="33">
        <v>100.0</v>
      </c>
      <c r="AN71" s="33">
        <v>100.0</v>
      </c>
      <c r="AO71" s="33">
        <v>100.0</v>
      </c>
      <c r="AP71" s="18" t="s">
        <v>659</v>
      </c>
      <c r="AQ71" s="18" t="s">
        <v>660</v>
      </c>
      <c r="AR71" s="20" t="s">
        <v>62</v>
      </c>
      <c r="AS71" s="20" t="s">
        <v>63</v>
      </c>
      <c r="AT71" s="20" t="s">
        <v>64</v>
      </c>
      <c r="AU71" s="21" t="s">
        <v>64</v>
      </c>
      <c r="AV71" s="22" t="s">
        <v>310</v>
      </c>
      <c r="AW71" s="56" t="s">
        <v>661</v>
      </c>
      <c r="AX71" s="34"/>
      <c r="BA71" s="34"/>
      <c r="BB71" s="34"/>
    </row>
    <row r="72" hidden="1">
      <c r="A72" s="25" t="s">
        <v>662</v>
      </c>
      <c r="B72" s="10" t="s">
        <v>663</v>
      </c>
      <c r="C72" s="27" t="s">
        <v>607</v>
      </c>
      <c r="D72" s="27" t="s">
        <v>52</v>
      </c>
      <c r="E72" s="27" t="s">
        <v>53</v>
      </c>
      <c r="F72" s="27" t="s">
        <v>54</v>
      </c>
      <c r="G72" s="28">
        <v>249.0</v>
      </c>
      <c r="H72" s="36">
        <f t="shared" si="1"/>
        <v>236.55</v>
      </c>
      <c r="I72" s="29" t="s">
        <v>55</v>
      </c>
      <c r="J72" s="30" t="s">
        <v>242</v>
      </c>
      <c r="K72" s="30" t="s">
        <v>408</v>
      </c>
      <c r="L72" s="31" t="s">
        <v>154</v>
      </c>
      <c r="M72" s="31" t="s">
        <v>664</v>
      </c>
      <c r="N72" s="33">
        <v>100.0</v>
      </c>
      <c r="O72" s="33">
        <v>100.0</v>
      </c>
      <c r="P72" s="33">
        <v>100.0</v>
      </c>
      <c r="Q72" s="33">
        <v>55.0</v>
      </c>
      <c r="R72" s="33">
        <v>15.0</v>
      </c>
      <c r="S72" s="33">
        <v>75.0</v>
      </c>
      <c r="T72" s="33">
        <v>45.0</v>
      </c>
      <c r="U72" s="33">
        <v>50.0</v>
      </c>
      <c r="V72" s="33">
        <v>45.0</v>
      </c>
      <c r="W72" s="33">
        <v>20.0</v>
      </c>
      <c r="X72" s="33">
        <v>72.0</v>
      </c>
      <c r="Y72" s="33">
        <v>40.0</v>
      </c>
      <c r="Z72" s="33">
        <v>15.0</v>
      </c>
      <c r="AA72" s="33">
        <v>90.0</v>
      </c>
      <c r="AB72" s="33">
        <v>90.0</v>
      </c>
      <c r="AC72" s="33">
        <v>70.0</v>
      </c>
      <c r="AD72" s="33">
        <v>15.0</v>
      </c>
      <c r="AE72" s="33">
        <v>92.0</v>
      </c>
      <c r="AF72" s="33">
        <v>90.0</v>
      </c>
      <c r="AG72" s="33">
        <v>82.0</v>
      </c>
      <c r="AH72" s="33">
        <v>90.0</v>
      </c>
      <c r="AI72" s="33">
        <v>90.0</v>
      </c>
      <c r="AJ72" s="33">
        <v>90.0</v>
      </c>
      <c r="AK72" s="33">
        <v>90.0</v>
      </c>
      <c r="AL72" s="33">
        <v>90.0</v>
      </c>
      <c r="AM72" s="33">
        <v>100.0</v>
      </c>
      <c r="AN72" s="33">
        <v>100.0</v>
      </c>
      <c r="AO72" s="33">
        <v>100.0</v>
      </c>
      <c r="AP72" s="18" t="s">
        <v>665</v>
      </c>
      <c r="AQ72" s="18" t="s">
        <v>666</v>
      </c>
      <c r="AR72" s="20" t="s">
        <v>62</v>
      </c>
      <c r="AS72" s="20" t="s">
        <v>63</v>
      </c>
      <c r="AT72" s="20" t="s">
        <v>64</v>
      </c>
      <c r="AU72" s="21" t="s">
        <v>64</v>
      </c>
      <c r="AV72" s="22" t="s">
        <v>667</v>
      </c>
      <c r="AW72" s="56" t="s">
        <v>668</v>
      </c>
      <c r="AX72" s="34"/>
      <c r="BA72" s="34"/>
      <c r="BB72" s="34"/>
    </row>
    <row r="73" hidden="1">
      <c r="A73" s="25" t="s">
        <v>669</v>
      </c>
      <c r="B73" s="10" t="s">
        <v>670</v>
      </c>
      <c r="C73" s="27" t="s">
        <v>607</v>
      </c>
      <c r="D73" s="27" t="s">
        <v>52</v>
      </c>
      <c r="E73" s="27" t="s">
        <v>53</v>
      </c>
      <c r="F73" s="27" t="s">
        <v>54</v>
      </c>
      <c r="G73" s="28">
        <v>249.0</v>
      </c>
      <c r="H73" s="36">
        <f t="shared" si="1"/>
        <v>236.55</v>
      </c>
      <c r="I73" s="29" t="s">
        <v>55</v>
      </c>
      <c r="J73" s="30" t="s">
        <v>266</v>
      </c>
      <c r="K73" s="30" t="s">
        <v>243</v>
      </c>
      <c r="L73" s="31" t="s">
        <v>645</v>
      </c>
      <c r="M73" s="31" t="s">
        <v>671</v>
      </c>
      <c r="N73" s="33">
        <v>100.0</v>
      </c>
      <c r="O73" s="33">
        <v>100.0</v>
      </c>
      <c r="P73" s="33">
        <v>100.0</v>
      </c>
      <c r="Q73" s="33">
        <v>30.0</v>
      </c>
      <c r="R73" s="33">
        <v>10.0</v>
      </c>
      <c r="S73" s="33">
        <v>95.0</v>
      </c>
      <c r="T73" s="33">
        <v>10.0</v>
      </c>
      <c r="U73" s="33">
        <v>10.0</v>
      </c>
      <c r="V73" s="33">
        <v>5.0</v>
      </c>
      <c r="W73" s="33">
        <v>5.0</v>
      </c>
      <c r="X73" s="33">
        <v>98.0</v>
      </c>
      <c r="Y73" s="33">
        <v>10.0</v>
      </c>
      <c r="Z73" s="33">
        <v>15.0</v>
      </c>
      <c r="AA73" s="33">
        <v>96.0</v>
      </c>
      <c r="AB73" s="33">
        <v>98.0</v>
      </c>
      <c r="AC73" s="33">
        <v>35.0</v>
      </c>
      <c r="AD73" s="33">
        <v>5.0</v>
      </c>
      <c r="AE73" s="33">
        <v>80.0</v>
      </c>
      <c r="AF73" s="33">
        <v>95.0</v>
      </c>
      <c r="AG73" s="33">
        <v>98.0</v>
      </c>
      <c r="AH73" s="33">
        <v>98.0</v>
      </c>
      <c r="AI73" s="33">
        <v>92.0</v>
      </c>
      <c r="AJ73" s="33">
        <v>98.0</v>
      </c>
      <c r="AK73" s="33">
        <v>90.0</v>
      </c>
      <c r="AL73" s="33">
        <v>96.0</v>
      </c>
      <c r="AM73" s="33">
        <v>100.0</v>
      </c>
      <c r="AN73" s="33">
        <v>100.0</v>
      </c>
      <c r="AO73" s="33">
        <v>100.0</v>
      </c>
      <c r="AP73" s="18" t="s">
        <v>672</v>
      </c>
      <c r="AQ73" s="18" t="s">
        <v>673</v>
      </c>
      <c r="AR73" s="20" t="s">
        <v>62</v>
      </c>
      <c r="AS73" s="20" t="s">
        <v>63</v>
      </c>
      <c r="AT73" s="20" t="s">
        <v>64</v>
      </c>
      <c r="AU73" s="21" t="s">
        <v>64</v>
      </c>
      <c r="AV73" s="22" t="s">
        <v>310</v>
      </c>
      <c r="AW73" s="56" t="s">
        <v>674</v>
      </c>
      <c r="AX73" s="34"/>
      <c r="BA73" s="52"/>
      <c r="BB73" s="34"/>
    </row>
    <row r="74" hidden="1">
      <c r="A74" s="25" t="s">
        <v>675</v>
      </c>
      <c r="B74" s="26" t="s">
        <v>676</v>
      </c>
      <c r="C74" s="27" t="s">
        <v>607</v>
      </c>
      <c r="D74" s="27" t="s">
        <v>52</v>
      </c>
      <c r="E74" s="27" t="s">
        <v>125</v>
      </c>
      <c r="F74" s="27" t="s">
        <v>54</v>
      </c>
      <c r="G74" s="28">
        <v>249.0</v>
      </c>
      <c r="H74" s="36">
        <f t="shared" si="1"/>
        <v>236.55</v>
      </c>
      <c r="I74" s="29" t="s">
        <v>55</v>
      </c>
      <c r="J74" s="30" t="s">
        <v>266</v>
      </c>
      <c r="K74" s="30" t="s">
        <v>202</v>
      </c>
      <c r="L74" s="31" t="s">
        <v>203</v>
      </c>
      <c r="M74" s="31" t="s">
        <v>658</v>
      </c>
      <c r="N74" s="33">
        <v>100.0</v>
      </c>
      <c r="O74" s="33">
        <v>100.0</v>
      </c>
      <c r="P74" s="33">
        <v>100.0</v>
      </c>
      <c r="Q74" s="33">
        <v>20.0</v>
      </c>
      <c r="R74" s="33">
        <v>10.0</v>
      </c>
      <c r="S74" s="33">
        <v>90.0</v>
      </c>
      <c r="T74" s="33">
        <v>5.0</v>
      </c>
      <c r="U74" s="33">
        <v>10.0</v>
      </c>
      <c r="V74" s="33">
        <v>5.0</v>
      </c>
      <c r="W74" s="33">
        <v>5.0</v>
      </c>
      <c r="X74" s="33">
        <v>80.0</v>
      </c>
      <c r="Y74" s="33">
        <v>5.0</v>
      </c>
      <c r="Z74" s="33">
        <v>10.0</v>
      </c>
      <c r="AA74" s="33">
        <v>90.0</v>
      </c>
      <c r="AB74" s="33">
        <v>98.0</v>
      </c>
      <c r="AC74" s="33">
        <v>35.0</v>
      </c>
      <c r="AD74" s="33">
        <v>5.0</v>
      </c>
      <c r="AE74" s="33">
        <v>82.0</v>
      </c>
      <c r="AF74" s="33">
        <v>90.0</v>
      </c>
      <c r="AG74" s="33">
        <v>98.0</v>
      </c>
      <c r="AH74" s="33">
        <v>98.0</v>
      </c>
      <c r="AI74" s="33">
        <v>92.0</v>
      </c>
      <c r="AJ74" s="33">
        <v>96.0</v>
      </c>
      <c r="AK74" s="33">
        <v>90.0</v>
      </c>
      <c r="AL74" s="33">
        <v>94.0</v>
      </c>
      <c r="AM74" s="33">
        <v>100.0</v>
      </c>
      <c r="AN74" s="33">
        <v>100.0</v>
      </c>
      <c r="AO74" s="33">
        <v>100.0</v>
      </c>
      <c r="AP74" s="18" t="s">
        <v>677</v>
      </c>
      <c r="AQ74" s="18" t="s">
        <v>678</v>
      </c>
      <c r="AR74" s="20" t="s">
        <v>601</v>
      </c>
      <c r="AS74" s="20" t="s">
        <v>602</v>
      </c>
      <c r="AT74" s="20" t="s">
        <v>603</v>
      </c>
      <c r="AU74" s="21" t="s">
        <v>603</v>
      </c>
      <c r="AV74" s="22" t="s">
        <v>248</v>
      </c>
      <c r="AW74" s="56" t="s">
        <v>679</v>
      </c>
      <c r="AX74" s="34"/>
      <c r="AY74" s="59"/>
      <c r="BA74" s="52"/>
      <c r="BB74" s="34"/>
    </row>
    <row r="75" hidden="1">
      <c r="A75" s="25" t="s">
        <v>680</v>
      </c>
      <c r="B75" s="26" t="s">
        <v>681</v>
      </c>
      <c r="C75" s="27" t="s">
        <v>607</v>
      </c>
      <c r="D75" s="27" t="s">
        <v>52</v>
      </c>
      <c r="E75" s="35" t="s">
        <v>84</v>
      </c>
      <c r="F75" s="27" t="s">
        <v>549</v>
      </c>
      <c r="G75" s="28">
        <v>399.0</v>
      </c>
      <c r="H75" s="36">
        <f t="shared" si="1"/>
        <v>379.05</v>
      </c>
      <c r="I75" s="29" t="s">
        <v>55</v>
      </c>
      <c r="J75" s="30" t="s">
        <v>358</v>
      </c>
      <c r="K75" s="30" t="s">
        <v>631</v>
      </c>
      <c r="L75" s="31" t="s">
        <v>314</v>
      </c>
      <c r="M75" s="31" t="s">
        <v>616</v>
      </c>
      <c r="N75" s="33">
        <v>100.0</v>
      </c>
      <c r="O75" s="33">
        <v>100.0</v>
      </c>
      <c r="P75" s="33">
        <v>100.0</v>
      </c>
      <c r="Q75" s="33">
        <v>45.0</v>
      </c>
      <c r="R75" s="33">
        <v>15.0</v>
      </c>
      <c r="S75" s="33">
        <v>78.0</v>
      </c>
      <c r="T75" s="33">
        <v>25.0</v>
      </c>
      <c r="U75" s="33">
        <v>82.0</v>
      </c>
      <c r="V75" s="33">
        <v>80.0</v>
      </c>
      <c r="W75" s="33">
        <v>50.0</v>
      </c>
      <c r="X75" s="33">
        <v>72.0</v>
      </c>
      <c r="Y75" s="33">
        <v>20.0</v>
      </c>
      <c r="Z75" s="33">
        <v>25.0</v>
      </c>
      <c r="AA75" s="33">
        <v>82.0</v>
      </c>
      <c r="AB75" s="33">
        <v>90.0</v>
      </c>
      <c r="AC75" s="33">
        <v>90.0</v>
      </c>
      <c r="AD75" s="33">
        <v>25.0</v>
      </c>
      <c r="AE75" s="33">
        <v>95.0</v>
      </c>
      <c r="AF75" s="33">
        <v>92.0</v>
      </c>
      <c r="AG75" s="33">
        <v>72.0</v>
      </c>
      <c r="AH75" s="33">
        <v>75.0</v>
      </c>
      <c r="AI75" s="33">
        <v>90.0</v>
      </c>
      <c r="AJ75" s="33">
        <v>92.0</v>
      </c>
      <c r="AK75" s="33">
        <v>94.0</v>
      </c>
      <c r="AL75" s="33">
        <v>92.0</v>
      </c>
      <c r="AM75" s="33">
        <v>0.0</v>
      </c>
      <c r="AN75" s="33">
        <v>100.0</v>
      </c>
      <c r="AO75" s="33">
        <v>100.0</v>
      </c>
      <c r="AP75" s="18" t="s">
        <v>682</v>
      </c>
      <c r="AQ75" s="18" t="s">
        <v>634</v>
      </c>
      <c r="AR75" s="20" t="s">
        <v>92</v>
      </c>
      <c r="AS75" s="20" t="s">
        <v>93</v>
      </c>
      <c r="AT75" s="20" t="s">
        <v>94</v>
      </c>
      <c r="AU75" s="21" t="s">
        <v>94</v>
      </c>
      <c r="AV75" s="22" t="s">
        <v>683</v>
      </c>
      <c r="AW75" s="56" t="s">
        <v>684</v>
      </c>
      <c r="AX75" s="34"/>
      <c r="AY75" s="59"/>
      <c r="AZ75" s="55"/>
      <c r="BA75" s="55"/>
      <c r="BB75" s="34"/>
    </row>
    <row r="76" hidden="1">
      <c r="A76" s="25" t="s">
        <v>685</v>
      </c>
      <c r="B76" s="26" t="s">
        <v>686</v>
      </c>
      <c r="C76" s="27" t="s">
        <v>607</v>
      </c>
      <c r="D76" s="27" t="s">
        <v>52</v>
      </c>
      <c r="E76" s="35" t="s">
        <v>84</v>
      </c>
      <c r="F76" s="27" t="s">
        <v>85</v>
      </c>
      <c r="G76" s="28">
        <v>499.0</v>
      </c>
      <c r="H76" s="36">
        <f t="shared" si="1"/>
        <v>474.05</v>
      </c>
      <c r="I76" s="29" t="s">
        <v>55</v>
      </c>
      <c r="J76" s="30" t="s">
        <v>358</v>
      </c>
      <c r="K76" s="30" t="s">
        <v>27</v>
      </c>
      <c r="L76" s="31" t="s">
        <v>154</v>
      </c>
      <c r="M76" s="31" t="s">
        <v>687</v>
      </c>
      <c r="N76" s="33">
        <v>100.0</v>
      </c>
      <c r="O76" s="33">
        <v>100.0</v>
      </c>
      <c r="P76" s="33">
        <v>100.0</v>
      </c>
      <c r="Q76" s="33">
        <v>72.0</v>
      </c>
      <c r="R76" s="33">
        <v>20.0</v>
      </c>
      <c r="S76" s="33">
        <v>82.0</v>
      </c>
      <c r="T76" s="33">
        <v>68.0</v>
      </c>
      <c r="U76" s="33">
        <v>78.0</v>
      </c>
      <c r="V76" s="33">
        <v>75.0</v>
      </c>
      <c r="W76" s="33">
        <v>50.0</v>
      </c>
      <c r="X76" s="33">
        <v>75.0</v>
      </c>
      <c r="Y76" s="33">
        <v>65.0</v>
      </c>
      <c r="Z76" s="33">
        <v>20.0</v>
      </c>
      <c r="AA76" s="33">
        <v>85.0</v>
      </c>
      <c r="AB76" s="33">
        <v>90.0</v>
      </c>
      <c r="AC76" s="33">
        <v>82.0</v>
      </c>
      <c r="AD76" s="33">
        <v>25.0</v>
      </c>
      <c r="AE76" s="33">
        <v>98.0</v>
      </c>
      <c r="AF76" s="33">
        <v>95.0</v>
      </c>
      <c r="AG76" s="33">
        <v>78.0</v>
      </c>
      <c r="AH76" s="33">
        <v>82.0</v>
      </c>
      <c r="AI76" s="33">
        <v>92.0</v>
      </c>
      <c r="AJ76" s="33">
        <v>94.0</v>
      </c>
      <c r="AK76" s="33">
        <v>96.0</v>
      </c>
      <c r="AL76" s="33">
        <v>95.0</v>
      </c>
      <c r="AM76" s="33">
        <v>0.0</v>
      </c>
      <c r="AN76" s="33">
        <v>100.0</v>
      </c>
      <c r="AO76" s="33">
        <v>100.0</v>
      </c>
      <c r="AP76" s="18" t="s">
        <v>688</v>
      </c>
      <c r="AQ76" s="18" t="s">
        <v>689</v>
      </c>
      <c r="AR76" s="20" t="s">
        <v>92</v>
      </c>
      <c r="AS76" s="20" t="s">
        <v>93</v>
      </c>
      <c r="AT76" s="20" t="s">
        <v>94</v>
      </c>
      <c r="AU76" s="21" t="s">
        <v>94</v>
      </c>
      <c r="AV76" s="22" t="s">
        <v>554</v>
      </c>
      <c r="AW76" s="56" t="s">
        <v>690</v>
      </c>
      <c r="AX76" s="34"/>
      <c r="AY76" s="34"/>
      <c r="BB76" s="34"/>
    </row>
    <row r="77" hidden="1">
      <c r="A77" s="25" t="s">
        <v>691</v>
      </c>
      <c r="B77" s="26" t="s">
        <v>692</v>
      </c>
      <c r="C77" s="27" t="s">
        <v>607</v>
      </c>
      <c r="D77" s="27" t="s">
        <v>52</v>
      </c>
      <c r="E77" s="27" t="s">
        <v>252</v>
      </c>
      <c r="F77" s="27" t="s">
        <v>693</v>
      </c>
      <c r="G77" s="28">
        <v>219.0</v>
      </c>
      <c r="H77" s="36">
        <f t="shared" si="1"/>
        <v>208.05</v>
      </c>
      <c r="I77" s="29" t="s">
        <v>55</v>
      </c>
      <c r="J77" s="30" t="s">
        <v>253</v>
      </c>
      <c r="K77" s="30" t="s">
        <v>29</v>
      </c>
      <c r="L77" s="31" t="s">
        <v>154</v>
      </c>
      <c r="M77" s="31" t="s">
        <v>694</v>
      </c>
      <c r="N77" s="33">
        <v>100.0</v>
      </c>
      <c r="O77" s="33">
        <v>100.0</v>
      </c>
      <c r="P77" s="33">
        <v>100.0</v>
      </c>
      <c r="Q77" s="33">
        <v>25.0</v>
      </c>
      <c r="R77" s="33">
        <v>10.0</v>
      </c>
      <c r="S77" s="33">
        <v>70.0</v>
      </c>
      <c r="T77" s="33">
        <v>25.0</v>
      </c>
      <c r="U77" s="33">
        <v>60.0</v>
      </c>
      <c r="V77" s="33">
        <v>65.0</v>
      </c>
      <c r="W77" s="33">
        <v>40.0</v>
      </c>
      <c r="X77" s="33">
        <v>60.0</v>
      </c>
      <c r="Y77" s="33">
        <v>15.0</v>
      </c>
      <c r="Z77" s="33">
        <v>25.0</v>
      </c>
      <c r="AA77" s="33">
        <v>78.0</v>
      </c>
      <c r="AB77" s="33">
        <v>75.0</v>
      </c>
      <c r="AC77" s="33">
        <v>68.0</v>
      </c>
      <c r="AD77" s="33">
        <v>98.0</v>
      </c>
      <c r="AE77" s="33">
        <v>95.0</v>
      </c>
      <c r="AF77" s="33">
        <v>92.0</v>
      </c>
      <c r="AG77" s="33">
        <v>68.0</v>
      </c>
      <c r="AH77" s="33">
        <v>65.0</v>
      </c>
      <c r="AI77" s="33">
        <v>90.0</v>
      </c>
      <c r="AJ77" s="33">
        <v>86.0</v>
      </c>
      <c r="AK77" s="33">
        <v>92.0</v>
      </c>
      <c r="AL77" s="33">
        <v>90.0</v>
      </c>
      <c r="AM77" s="33">
        <v>0.0</v>
      </c>
      <c r="AN77" s="33">
        <v>100.0</v>
      </c>
      <c r="AO77" s="33">
        <v>100.0</v>
      </c>
      <c r="AP77" s="18" t="s">
        <v>695</v>
      </c>
      <c r="AQ77" s="18" t="s">
        <v>696</v>
      </c>
      <c r="AR77" s="20" t="s">
        <v>144</v>
      </c>
      <c r="AS77" s="20" t="s">
        <v>145</v>
      </c>
      <c r="AT77" s="20" t="s">
        <v>146</v>
      </c>
      <c r="AU77" s="21" t="s">
        <v>146</v>
      </c>
      <c r="AV77" s="22" t="s">
        <v>295</v>
      </c>
      <c r="AW77" s="56" t="s">
        <v>697</v>
      </c>
      <c r="AX77" s="34"/>
      <c r="AY77" s="34"/>
      <c r="BB77" s="34"/>
    </row>
    <row r="78" hidden="1">
      <c r="A78" s="25" t="s">
        <v>698</v>
      </c>
      <c r="B78" s="26" t="s">
        <v>699</v>
      </c>
      <c r="C78" s="27" t="s">
        <v>607</v>
      </c>
      <c r="D78" s="27" t="s">
        <v>52</v>
      </c>
      <c r="E78" s="35" t="s">
        <v>84</v>
      </c>
      <c r="F78" s="27" t="s">
        <v>85</v>
      </c>
      <c r="G78" s="28">
        <v>499.0</v>
      </c>
      <c r="H78" s="36">
        <f t="shared" si="1"/>
        <v>474.05</v>
      </c>
      <c r="I78" s="29" t="s">
        <v>55</v>
      </c>
      <c r="J78" s="30" t="s">
        <v>242</v>
      </c>
      <c r="K78" s="30" t="s">
        <v>631</v>
      </c>
      <c r="L78" s="31" t="s">
        <v>314</v>
      </c>
      <c r="M78" s="31" t="s">
        <v>632</v>
      </c>
      <c r="N78" s="33">
        <v>100.0</v>
      </c>
      <c r="O78" s="33">
        <v>100.0</v>
      </c>
      <c r="P78" s="33">
        <v>100.0</v>
      </c>
      <c r="Q78" s="33">
        <v>40.0</v>
      </c>
      <c r="R78" s="33">
        <v>15.0</v>
      </c>
      <c r="S78" s="33">
        <v>85.0</v>
      </c>
      <c r="T78" s="33">
        <v>20.0</v>
      </c>
      <c r="U78" s="33">
        <v>85.0</v>
      </c>
      <c r="V78" s="33">
        <v>82.0</v>
      </c>
      <c r="W78" s="33">
        <v>52.0</v>
      </c>
      <c r="X78" s="33">
        <v>75.0</v>
      </c>
      <c r="Y78" s="33">
        <v>18.0</v>
      </c>
      <c r="Z78" s="33">
        <v>25.0</v>
      </c>
      <c r="AA78" s="33">
        <v>85.0</v>
      </c>
      <c r="AB78" s="33">
        <v>92.0</v>
      </c>
      <c r="AC78" s="33">
        <v>90.0</v>
      </c>
      <c r="AD78" s="33">
        <v>25.0</v>
      </c>
      <c r="AE78" s="33">
        <v>92.0</v>
      </c>
      <c r="AF78" s="33">
        <v>90.0</v>
      </c>
      <c r="AG78" s="33">
        <v>85.0</v>
      </c>
      <c r="AH78" s="33">
        <v>90.0</v>
      </c>
      <c r="AI78" s="33">
        <v>90.0</v>
      </c>
      <c r="AJ78" s="33">
        <v>92.0</v>
      </c>
      <c r="AK78" s="33">
        <v>91.0</v>
      </c>
      <c r="AL78" s="33">
        <v>92.0</v>
      </c>
      <c r="AM78" s="33">
        <v>100.0</v>
      </c>
      <c r="AN78" s="33">
        <v>100.0</v>
      </c>
      <c r="AO78" s="33">
        <v>100.0</v>
      </c>
      <c r="AP78" s="18" t="s">
        <v>700</v>
      </c>
      <c r="AQ78" s="18" t="s">
        <v>634</v>
      </c>
      <c r="AR78" s="20" t="s">
        <v>92</v>
      </c>
      <c r="AS78" s="20" t="s">
        <v>93</v>
      </c>
      <c r="AT78" s="20" t="s">
        <v>94</v>
      </c>
      <c r="AU78" s="21" t="s">
        <v>94</v>
      </c>
      <c r="AV78" s="22" t="s">
        <v>635</v>
      </c>
      <c r="AW78" s="56" t="s">
        <v>701</v>
      </c>
      <c r="AX78" s="34"/>
      <c r="AY78" s="52"/>
      <c r="BB78" s="34"/>
    </row>
    <row r="79" hidden="1">
      <c r="A79" s="25" t="s">
        <v>702</v>
      </c>
      <c r="B79" s="26" t="s">
        <v>703</v>
      </c>
      <c r="C79" s="27" t="s">
        <v>607</v>
      </c>
      <c r="D79" s="27" t="s">
        <v>52</v>
      </c>
      <c r="E79" s="35" t="s">
        <v>84</v>
      </c>
      <c r="F79" s="27" t="s">
        <v>454</v>
      </c>
      <c r="G79" s="28">
        <v>599.0</v>
      </c>
      <c r="H79" s="36">
        <f t="shared" si="1"/>
        <v>569.05</v>
      </c>
      <c r="I79" s="29" t="s">
        <v>55</v>
      </c>
      <c r="J79" s="30" t="s">
        <v>704</v>
      </c>
      <c r="K79" s="30" t="s">
        <v>705</v>
      </c>
      <c r="L79" s="31" t="s">
        <v>314</v>
      </c>
      <c r="M79" s="31" t="s">
        <v>616</v>
      </c>
      <c r="N79" s="33">
        <v>100.0</v>
      </c>
      <c r="O79" s="33">
        <v>100.0</v>
      </c>
      <c r="P79" s="33">
        <v>100.0</v>
      </c>
      <c r="Q79" s="33">
        <v>42.0</v>
      </c>
      <c r="R79" s="33">
        <v>15.0</v>
      </c>
      <c r="S79" s="33">
        <v>90.0</v>
      </c>
      <c r="T79" s="33">
        <v>22.0</v>
      </c>
      <c r="U79" s="33">
        <v>86.0</v>
      </c>
      <c r="V79" s="33">
        <v>84.0</v>
      </c>
      <c r="W79" s="33">
        <v>55.0</v>
      </c>
      <c r="X79" s="33">
        <v>78.0</v>
      </c>
      <c r="Y79" s="33">
        <v>20.0</v>
      </c>
      <c r="Z79" s="33">
        <v>30.0</v>
      </c>
      <c r="AA79" s="33">
        <v>90.0</v>
      </c>
      <c r="AB79" s="33">
        <v>95.0</v>
      </c>
      <c r="AC79" s="33">
        <v>92.0</v>
      </c>
      <c r="AD79" s="33">
        <v>25.0</v>
      </c>
      <c r="AE79" s="33">
        <v>90.0</v>
      </c>
      <c r="AF79" s="33">
        <v>86.0</v>
      </c>
      <c r="AG79" s="33">
        <v>90.0</v>
      </c>
      <c r="AH79" s="33">
        <v>92.0</v>
      </c>
      <c r="AI79" s="33">
        <v>90.0</v>
      </c>
      <c r="AJ79" s="33">
        <v>92.0</v>
      </c>
      <c r="AK79" s="33">
        <v>89.0</v>
      </c>
      <c r="AL79" s="33">
        <v>91.0</v>
      </c>
      <c r="AM79" s="33">
        <v>100.0</v>
      </c>
      <c r="AN79" s="33">
        <v>100.0</v>
      </c>
      <c r="AO79" s="33">
        <v>100.0</v>
      </c>
      <c r="AP79" s="18" t="s">
        <v>706</v>
      </c>
      <c r="AQ79" s="18" t="s">
        <v>634</v>
      </c>
      <c r="AR79" s="20" t="s">
        <v>92</v>
      </c>
      <c r="AS79" s="20" t="s">
        <v>93</v>
      </c>
      <c r="AT79" s="20" t="s">
        <v>94</v>
      </c>
      <c r="AU79" s="21" t="s">
        <v>94</v>
      </c>
      <c r="AV79" s="22" t="s">
        <v>683</v>
      </c>
      <c r="AW79" s="56" t="s">
        <v>707</v>
      </c>
      <c r="AX79" s="34"/>
      <c r="AY79" s="52"/>
      <c r="BA79" s="59"/>
      <c r="BB79" s="34"/>
    </row>
    <row r="80" hidden="1">
      <c r="A80" s="25" t="s">
        <v>708</v>
      </c>
      <c r="B80" s="26" t="s">
        <v>709</v>
      </c>
      <c r="C80" s="27" t="s">
        <v>607</v>
      </c>
      <c r="D80" s="27" t="s">
        <v>52</v>
      </c>
      <c r="E80" s="35" t="s">
        <v>84</v>
      </c>
      <c r="F80" s="27" t="s">
        <v>549</v>
      </c>
      <c r="G80" s="28">
        <v>399.0</v>
      </c>
      <c r="H80" s="36">
        <f t="shared" si="1"/>
        <v>379.05</v>
      </c>
      <c r="I80" s="29" t="s">
        <v>55</v>
      </c>
      <c r="J80" s="30" t="s">
        <v>358</v>
      </c>
      <c r="K80" s="30" t="s">
        <v>27</v>
      </c>
      <c r="L80" s="31" t="s">
        <v>154</v>
      </c>
      <c r="M80" s="31" t="s">
        <v>687</v>
      </c>
      <c r="N80" s="33">
        <v>100.0</v>
      </c>
      <c r="O80" s="33">
        <v>100.0</v>
      </c>
      <c r="P80" s="33">
        <v>100.0</v>
      </c>
      <c r="Q80" s="33">
        <v>72.0</v>
      </c>
      <c r="R80" s="33">
        <v>20.0</v>
      </c>
      <c r="S80" s="33">
        <v>80.0</v>
      </c>
      <c r="T80" s="33">
        <v>68.0</v>
      </c>
      <c r="U80" s="33">
        <v>78.0</v>
      </c>
      <c r="V80" s="33">
        <v>75.0</v>
      </c>
      <c r="W80" s="33">
        <v>50.0</v>
      </c>
      <c r="X80" s="33">
        <v>75.0</v>
      </c>
      <c r="Y80" s="33">
        <v>65.0</v>
      </c>
      <c r="Z80" s="33">
        <v>20.0</v>
      </c>
      <c r="AA80" s="33">
        <v>85.0</v>
      </c>
      <c r="AB80" s="33">
        <v>90.0</v>
      </c>
      <c r="AC80" s="33">
        <v>82.0</v>
      </c>
      <c r="AD80" s="33">
        <v>25.0</v>
      </c>
      <c r="AE80" s="33">
        <v>98.0</v>
      </c>
      <c r="AF80" s="33">
        <v>95.0</v>
      </c>
      <c r="AG80" s="33">
        <v>75.0</v>
      </c>
      <c r="AH80" s="33">
        <v>80.0</v>
      </c>
      <c r="AI80" s="33">
        <v>92.0</v>
      </c>
      <c r="AJ80" s="33">
        <v>94.0</v>
      </c>
      <c r="AK80" s="33">
        <v>96.0</v>
      </c>
      <c r="AL80" s="33">
        <v>95.0</v>
      </c>
      <c r="AM80" s="33">
        <v>0.0</v>
      </c>
      <c r="AN80" s="33">
        <v>100.0</v>
      </c>
      <c r="AO80" s="33">
        <v>100.0</v>
      </c>
      <c r="AP80" s="18" t="s">
        <v>710</v>
      </c>
      <c r="AQ80" s="18" t="s">
        <v>689</v>
      </c>
      <c r="AR80" s="20" t="s">
        <v>92</v>
      </c>
      <c r="AS80" s="20" t="s">
        <v>93</v>
      </c>
      <c r="AT80" s="20" t="s">
        <v>94</v>
      </c>
      <c r="AU80" s="21" t="s">
        <v>94</v>
      </c>
      <c r="AV80" s="22" t="s">
        <v>554</v>
      </c>
      <c r="AW80" s="56" t="s">
        <v>711</v>
      </c>
      <c r="AX80" s="34"/>
      <c r="AY80" s="55"/>
      <c r="AZ80" s="55"/>
      <c r="BA80" s="59"/>
      <c r="BB80" s="34"/>
    </row>
    <row r="81" hidden="1">
      <c r="A81" s="25" t="s">
        <v>712</v>
      </c>
      <c r="B81" s="26" t="s">
        <v>713</v>
      </c>
      <c r="C81" s="27" t="s">
        <v>607</v>
      </c>
      <c r="D81" s="27" t="s">
        <v>52</v>
      </c>
      <c r="E81" s="35" t="s">
        <v>84</v>
      </c>
      <c r="F81" s="27" t="s">
        <v>714</v>
      </c>
      <c r="G81" s="28">
        <v>449.0</v>
      </c>
      <c r="H81" s="36">
        <f t="shared" si="1"/>
        <v>426.55</v>
      </c>
      <c r="I81" s="29" t="s">
        <v>55</v>
      </c>
      <c r="J81" s="30" t="s">
        <v>704</v>
      </c>
      <c r="K81" s="30" t="s">
        <v>705</v>
      </c>
      <c r="L81" s="31" t="s">
        <v>314</v>
      </c>
      <c r="M81" s="31" t="s">
        <v>632</v>
      </c>
      <c r="N81" s="33">
        <v>100.0</v>
      </c>
      <c r="O81" s="33">
        <v>100.0</v>
      </c>
      <c r="P81" s="33">
        <v>100.0</v>
      </c>
      <c r="Q81" s="33">
        <v>42.0</v>
      </c>
      <c r="R81" s="33">
        <v>15.0</v>
      </c>
      <c r="S81" s="33">
        <v>90.0</v>
      </c>
      <c r="T81" s="33">
        <v>20.0</v>
      </c>
      <c r="U81" s="33">
        <v>86.0</v>
      </c>
      <c r="V81" s="33">
        <v>84.0</v>
      </c>
      <c r="W81" s="33">
        <v>55.0</v>
      </c>
      <c r="X81" s="33">
        <v>80.0</v>
      </c>
      <c r="Y81" s="33">
        <v>18.0</v>
      </c>
      <c r="Z81" s="33">
        <v>28.0</v>
      </c>
      <c r="AA81" s="33">
        <v>90.0</v>
      </c>
      <c r="AB81" s="33">
        <v>95.0</v>
      </c>
      <c r="AC81" s="33">
        <v>92.0</v>
      </c>
      <c r="AD81" s="33">
        <v>25.0</v>
      </c>
      <c r="AE81" s="33">
        <v>90.0</v>
      </c>
      <c r="AF81" s="33">
        <v>86.0</v>
      </c>
      <c r="AG81" s="33">
        <v>92.0</v>
      </c>
      <c r="AH81" s="33">
        <v>95.0</v>
      </c>
      <c r="AI81" s="33">
        <v>90.0</v>
      </c>
      <c r="AJ81" s="33">
        <v>92.0</v>
      </c>
      <c r="AK81" s="33">
        <v>89.0</v>
      </c>
      <c r="AL81" s="33">
        <v>91.0</v>
      </c>
      <c r="AM81" s="33">
        <v>100.0</v>
      </c>
      <c r="AN81" s="33">
        <v>100.0</v>
      </c>
      <c r="AO81" s="33">
        <v>100.0</v>
      </c>
      <c r="AP81" s="18" t="s">
        <v>715</v>
      </c>
      <c r="AQ81" s="18" t="s">
        <v>634</v>
      </c>
      <c r="AR81" s="20" t="s">
        <v>92</v>
      </c>
      <c r="AS81" s="20" t="s">
        <v>93</v>
      </c>
      <c r="AT81" s="20" t="s">
        <v>94</v>
      </c>
      <c r="AU81" s="21" t="s">
        <v>94</v>
      </c>
      <c r="AV81" s="22" t="s">
        <v>635</v>
      </c>
      <c r="AW81" s="56" t="s">
        <v>716</v>
      </c>
      <c r="AX81" s="34"/>
      <c r="BA81" s="34"/>
      <c r="BB81" s="34"/>
    </row>
    <row r="82" hidden="1">
      <c r="A82" s="25" t="s">
        <v>717</v>
      </c>
      <c r="B82" s="26" t="s">
        <v>718</v>
      </c>
      <c r="C82" s="27" t="s">
        <v>607</v>
      </c>
      <c r="D82" s="27" t="s">
        <v>52</v>
      </c>
      <c r="E82" s="35" t="s">
        <v>84</v>
      </c>
      <c r="F82" s="27" t="s">
        <v>714</v>
      </c>
      <c r="G82" s="28">
        <v>449.0</v>
      </c>
      <c r="H82" s="36">
        <f t="shared" si="1"/>
        <v>426.55</v>
      </c>
      <c r="I82" s="29" t="s">
        <v>55</v>
      </c>
      <c r="J82" s="30" t="s">
        <v>201</v>
      </c>
      <c r="K82" s="30" t="s">
        <v>243</v>
      </c>
      <c r="L82" s="31" t="s">
        <v>645</v>
      </c>
      <c r="M82" s="31" t="s">
        <v>646</v>
      </c>
      <c r="N82" s="33">
        <v>100.0</v>
      </c>
      <c r="O82" s="33">
        <v>100.0</v>
      </c>
      <c r="P82" s="33">
        <v>100.0</v>
      </c>
      <c r="Q82" s="33">
        <v>35.0</v>
      </c>
      <c r="R82" s="33">
        <v>10.0</v>
      </c>
      <c r="S82" s="33">
        <v>98.0</v>
      </c>
      <c r="T82" s="33">
        <v>10.0</v>
      </c>
      <c r="U82" s="33">
        <v>15.0</v>
      </c>
      <c r="V82" s="33">
        <v>10.0</v>
      </c>
      <c r="W82" s="33">
        <v>5.0</v>
      </c>
      <c r="X82" s="33">
        <v>98.0</v>
      </c>
      <c r="Y82" s="33">
        <v>10.0</v>
      </c>
      <c r="Z82" s="33">
        <v>35.0</v>
      </c>
      <c r="AA82" s="33">
        <v>96.0</v>
      </c>
      <c r="AB82" s="33">
        <v>98.0</v>
      </c>
      <c r="AC82" s="33">
        <v>50.0</v>
      </c>
      <c r="AD82" s="33">
        <v>5.0</v>
      </c>
      <c r="AE82" s="33">
        <v>78.0</v>
      </c>
      <c r="AF82" s="33">
        <v>90.0</v>
      </c>
      <c r="AG82" s="33">
        <v>98.0</v>
      </c>
      <c r="AH82" s="33">
        <v>98.0</v>
      </c>
      <c r="AI82" s="33">
        <v>90.0</v>
      </c>
      <c r="AJ82" s="33">
        <v>96.0</v>
      </c>
      <c r="AK82" s="33">
        <v>85.0</v>
      </c>
      <c r="AL82" s="33">
        <v>94.0</v>
      </c>
      <c r="AM82" s="33">
        <v>100.0</v>
      </c>
      <c r="AN82" s="33">
        <v>100.0</v>
      </c>
      <c r="AO82" s="33">
        <v>100.0</v>
      </c>
      <c r="AP82" s="18" t="s">
        <v>719</v>
      </c>
      <c r="AQ82" s="18" t="s">
        <v>648</v>
      </c>
      <c r="AR82" s="20" t="s">
        <v>92</v>
      </c>
      <c r="AS82" s="20" t="s">
        <v>93</v>
      </c>
      <c r="AT82" s="20" t="s">
        <v>94</v>
      </c>
      <c r="AU82" s="21" t="s">
        <v>94</v>
      </c>
      <c r="AV82" s="22" t="s">
        <v>336</v>
      </c>
      <c r="AW82" s="56" t="s">
        <v>720</v>
      </c>
      <c r="AX82" s="34"/>
      <c r="BA82" s="34"/>
      <c r="BB82" s="34"/>
    </row>
    <row r="83" hidden="1">
      <c r="A83" s="25" t="s">
        <v>721</v>
      </c>
      <c r="B83" s="26" t="s">
        <v>722</v>
      </c>
      <c r="C83" s="27" t="s">
        <v>607</v>
      </c>
      <c r="D83" s="27" t="s">
        <v>99</v>
      </c>
      <c r="E83" s="27" t="s">
        <v>112</v>
      </c>
      <c r="F83" s="27" t="s">
        <v>101</v>
      </c>
      <c r="G83" s="28">
        <v>349.0</v>
      </c>
      <c r="H83" s="36">
        <f t="shared" si="1"/>
        <v>331.55</v>
      </c>
      <c r="I83" s="29" t="s">
        <v>55</v>
      </c>
      <c r="J83" s="30" t="s">
        <v>139</v>
      </c>
      <c r="K83" s="30" t="s">
        <v>57</v>
      </c>
      <c r="L83" s="31" t="s">
        <v>154</v>
      </c>
      <c r="M83" s="31" t="s">
        <v>623</v>
      </c>
      <c r="N83" s="33">
        <v>100.0</v>
      </c>
      <c r="O83" s="33">
        <v>100.0</v>
      </c>
      <c r="P83" s="33">
        <v>100.0</v>
      </c>
      <c r="Q83" s="33">
        <v>30.0</v>
      </c>
      <c r="R83" s="33">
        <v>45.0</v>
      </c>
      <c r="S83" s="33">
        <v>90.0</v>
      </c>
      <c r="T83" s="33">
        <v>15.0</v>
      </c>
      <c r="U83" s="33">
        <v>82.0</v>
      </c>
      <c r="V83" s="33">
        <v>80.0</v>
      </c>
      <c r="W83" s="33">
        <v>50.0</v>
      </c>
      <c r="X83" s="33">
        <v>78.0</v>
      </c>
      <c r="Y83" s="33">
        <v>15.0</v>
      </c>
      <c r="Z83" s="33">
        <v>25.0</v>
      </c>
      <c r="AA83" s="33">
        <v>85.0</v>
      </c>
      <c r="AB83" s="33">
        <v>92.0</v>
      </c>
      <c r="AC83" s="33">
        <v>90.0</v>
      </c>
      <c r="AD83" s="33">
        <v>30.0</v>
      </c>
      <c r="AE83" s="33">
        <v>75.0</v>
      </c>
      <c r="AF83" s="33">
        <v>72.0</v>
      </c>
      <c r="AG83" s="33">
        <v>95.0</v>
      </c>
      <c r="AH83" s="33">
        <v>90.0</v>
      </c>
      <c r="AI83" s="33">
        <v>85.0</v>
      </c>
      <c r="AJ83" s="33">
        <v>82.0</v>
      </c>
      <c r="AK83" s="33">
        <v>82.0</v>
      </c>
      <c r="AL83" s="33">
        <v>80.0</v>
      </c>
      <c r="AM83" s="33">
        <v>100.0</v>
      </c>
      <c r="AN83" s="33">
        <v>100.0</v>
      </c>
      <c r="AO83" s="33">
        <v>100.0</v>
      </c>
      <c r="AP83" s="18" t="s">
        <v>723</v>
      </c>
      <c r="AQ83" s="18" t="s">
        <v>724</v>
      </c>
      <c r="AR83" s="20" t="s">
        <v>118</v>
      </c>
      <c r="AS83" s="20" t="s">
        <v>119</v>
      </c>
      <c r="AT83" s="20" t="s">
        <v>120</v>
      </c>
      <c r="AU83" s="21" t="s">
        <v>120</v>
      </c>
      <c r="AV83" s="22" t="s">
        <v>626</v>
      </c>
      <c r="AW83" s="56" t="s">
        <v>725</v>
      </c>
      <c r="AX83" s="34"/>
      <c r="BA83" s="34"/>
      <c r="BB83" s="34"/>
    </row>
    <row r="84" hidden="1">
      <c r="A84" s="25" t="s">
        <v>726</v>
      </c>
      <c r="B84" s="26" t="s">
        <v>727</v>
      </c>
      <c r="C84" s="27" t="s">
        <v>607</v>
      </c>
      <c r="D84" s="27" t="s">
        <v>52</v>
      </c>
      <c r="E84" s="27" t="s">
        <v>69</v>
      </c>
      <c r="F84" s="27" t="s">
        <v>454</v>
      </c>
      <c r="G84" s="28">
        <v>599.0</v>
      </c>
      <c r="H84" s="36">
        <f t="shared" si="1"/>
        <v>569.05</v>
      </c>
      <c r="I84" s="29" t="s">
        <v>55</v>
      </c>
      <c r="J84" s="30" t="s">
        <v>224</v>
      </c>
      <c r="K84" s="30" t="s">
        <v>173</v>
      </c>
      <c r="L84" s="31" t="s">
        <v>728</v>
      </c>
      <c r="M84" s="31" t="s">
        <v>632</v>
      </c>
      <c r="N84" s="33">
        <v>100.0</v>
      </c>
      <c r="O84" s="33">
        <v>100.0</v>
      </c>
      <c r="P84" s="33">
        <v>100.0</v>
      </c>
      <c r="Q84" s="33">
        <v>50.0</v>
      </c>
      <c r="R84" s="33">
        <v>15.0</v>
      </c>
      <c r="S84" s="33">
        <v>60.0</v>
      </c>
      <c r="T84" s="33">
        <v>35.0</v>
      </c>
      <c r="U84" s="33">
        <v>92.0</v>
      </c>
      <c r="V84" s="33">
        <v>90.0</v>
      </c>
      <c r="W84" s="33">
        <v>68.0</v>
      </c>
      <c r="X84" s="33">
        <v>55.0</v>
      </c>
      <c r="Y84" s="33">
        <v>25.0</v>
      </c>
      <c r="Z84" s="33">
        <v>68.0</v>
      </c>
      <c r="AA84" s="33">
        <v>68.0</v>
      </c>
      <c r="AB84" s="33">
        <v>68.0</v>
      </c>
      <c r="AC84" s="33">
        <v>98.0</v>
      </c>
      <c r="AD84" s="33">
        <v>70.0</v>
      </c>
      <c r="AE84" s="33">
        <v>86.0</v>
      </c>
      <c r="AF84" s="33">
        <v>80.0</v>
      </c>
      <c r="AG84" s="33">
        <v>72.0</v>
      </c>
      <c r="AH84" s="33">
        <v>68.0</v>
      </c>
      <c r="AI84" s="33">
        <v>90.0</v>
      </c>
      <c r="AJ84" s="33">
        <v>84.0</v>
      </c>
      <c r="AK84" s="33">
        <v>90.0</v>
      </c>
      <c r="AL84" s="33">
        <v>82.0</v>
      </c>
      <c r="AM84" s="33">
        <v>0.0</v>
      </c>
      <c r="AN84" s="33">
        <v>100.0</v>
      </c>
      <c r="AO84" s="33">
        <v>100.0</v>
      </c>
      <c r="AP84" s="18" t="s">
        <v>729</v>
      </c>
      <c r="AQ84" s="18" t="s">
        <v>730</v>
      </c>
      <c r="AR84" s="20" t="s">
        <v>166</v>
      </c>
      <c r="AS84" s="20" t="s">
        <v>167</v>
      </c>
      <c r="AT84" s="20" t="s">
        <v>168</v>
      </c>
      <c r="AU84" s="21" t="s">
        <v>168</v>
      </c>
      <c r="AV84" s="22" t="s">
        <v>731</v>
      </c>
      <c r="AW84" s="56" t="s">
        <v>732</v>
      </c>
      <c r="AX84" s="34"/>
      <c r="BA84" s="34"/>
      <c r="BB84" s="34"/>
    </row>
    <row r="85" hidden="1">
      <c r="A85" s="25" t="s">
        <v>733</v>
      </c>
      <c r="B85" s="26" t="s">
        <v>734</v>
      </c>
      <c r="C85" s="27" t="s">
        <v>607</v>
      </c>
      <c r="D85" s="27" t="s">
        <v>52</v>
      </c>
      <c r="E85" s="27" t="s">
        <v>252</v>
      </c>
      <c r="F85" s="27" t="s">
        <v>85</v>
      </c>
      <c r="G85" s="28">
        <v>449.0</v>
      </c>
      <c r="H85" s="36">
        <f t="shared" si="1"/>
        <v>426.55</v>
      </c>
      <c r="I85" s="29" t="s">
        <v>55</v>
      </c>
      <c r="J85" s="30" t="s">
        <v>430</v>
      </c>
      <c r="K85" s="30" t="s">
        <v>735</v>
      </c>
      <c r="L85" s="31" t="s">
        <v>736</v>
      </c>
      <c r="M85" s="31" t="s">
        <v>737</v>
      </c>
      <c r="N85" s="33">
        <v>100.0</v>
      </c>
      <c r="O85" s="33">
        <v>100.0</v>
      </c>
      <c r="P85" s="33">
        <v>100.0</v>
      </c>
      <c r="Q85" s="33">
        <v>25.0</v>
      </c>
      <c r="R85" s="33">
        <v>10.0</v>
      </c>
      <c r="S85" s="33">
        <v>75.0</v>
      </c>
      <c r="T85" s="33">
        <v>15.0</v>
      </c>
      <c r="U85" s="33">
        <v>82.0</v>
      </c>
      <c r="V85" s="33">
        <v>90.0</v>
      </c>
      <c r="W85" s="33">
        <v>68.0</v>
      </c>
      <c r="X85" s="33">
        <v>65.0</v>
      </c>
      <c r="Y85" s="33">
        <v>10.0</v>
      </c>
      <c r="Z85" s="33">
        <v>25.0</v>
      </c>
      <c r="AA85" s="33">
        <v>80.0</v>
      </c>
      <c r="AB85" s="33">
        <v>85.0</v>
      </c>
      <c r="AC85" s="33">
        <v>82.0</v>
      </c>
      <c r="AD85" s="33">
        <v>98.0</v>
      </c>
      <c r="AE85" s="33">
        <v>90.0</v>
      </c>
      <c r="AF85" s="33">
        <v>90.0</v>
      </c>
      <c r="AG85" s="33">
        <v>78.0</v>
      </c>
      <c r="AH85" s="33">
        <v>75.0</v>
      </c>
      <c r="AI85" s="33">
        <v>90.0</v>
      </c>
      <c r="AJ85" s="33">
        <v>86.0</v>
      </c>
      <c r="AK85" s="33">
        <v>89.0</v>
      </c>
      <c r="AL85" s="33">
        <v>87.0</v>
      </c>
      <c r="AM85" s="33">
        <v>0.0</v>
      </c>
      <c r="AN85" s="33">
        <v>100.0</v>
      </c>
      <c r="AO85" s="33">
        <v>100.0</v>
      </c>
      <c r="AP85" s="18" t="s">
        <v>738</v>
      </c>
      <c r="AQ85" s="18" t="s">
        <v>739</v>
      </c>
      <c r="AR85" s="20" t="s">
        <v>144</v>
      </c>
      <c r="AS85" s="20" t="s">
        <v>145</v>
      </c>
      <c r="AT85" s="20" t="s">
        <v>146</v>
      </c>
      <c r="AU85" s="21" t="s">
        <v>146</v>
      </c>
      <c r="AV85" s="22" t="s">
        <v>740</v>
      </c>
      <c r="AW85" s="56" t="s">
        <v>741</v>
      </c>
      <c r="AX85" s="34"/>
      <c r="AY85" s="55"/>
      <c r="AZ85" s="55"/>
      <c r="BA85" s="34"/>
      <c r="BB85" s="34"/>
    </row>
    <row r="86" hidden="1">
      <c r="A86" s="25" t="s">
        <v>742</v>
      </c>
      <c r="B86" s="26" t="s">
        <v>743</v>
      </c>
      <c r="C86" s="27" t="s">
        <v>607</v>
      </c>
      <c r="D86" s="27" t="s">
        <v>52</v>
      </c>
      <c r="E86" s="27" t="s">
        <v>252</v>
      </c>
      <c r="F86" s="27" t="s">
        <v>744</v>
      </c>
      <c r="G86" s="28">
        <v>649.0</v>
      </c>
      <c r="H86" s="36">
        <f t="shared" si="1"/>
        <v>616.55</v>
      </c>
      <c r="I86" s="29" t="s">
        <v>55</v>
      </c>
      <c r="J86" s="30" t="s">
        <v>253</v>
      </c>
      <c r="K86" s="30" t="s">
        <v>29</v>
      </c>
      <c r="L86" s="31" t="s">
        <v>456</v>
      </c>
      <c r="M86" s="31" t="s">
        <v>255</v>
      </c>
      <c r="N86" s="33">
        <v>100.0</v>
      </c>
      <c r="O86" s="33">
        <v>100.0</v>
      </c>
      <c r="P86" s="33">
        <v>100.0</v>
      </c>
      <c r="Q86" s="33">
        <v>15.0</v>
      </c>
      <c r="R86" s="33">
        <v>10.0</v>
      </c>
      <c r="S86" s="33">
        <v>65.0</v>
      </c>
      <c r="T86" s="33">
        <v>10.0</v>
      </c>
      <c r="U86" s="17">
        <v>50.0</v>
      </c>
      <c r="V86" s="33">
        <v>40.0</v>
      </c>
      <c r="W86" s="33">
        <v>25.0</v>
      </c>
      <c r="X86" s="33">
        <v>50.0</v>
      </c>
      <c r="Y86" s="33">
        <v>10.0</v>
      </c>
      <c r="Z86" s="33">
        <v>20.0</v>
      </c>
      <c r="AA86" s="33">
        <v>75.0</v>
      </c>
      <c r="AB86" s="33">
        <v>70.0</v>
      </c>
      <c r="AC86" s="33">
        <v>50.0</v>
      </c>
      <c r="AD86" s="33">
        <v>98.0</v>
      </c>
      <c r="AE86" s="33">
        <v>95.0</v>
      </c>
      <c r="AF86" s="33">
        <v>92.0</v>
      </c>
      <c r="AG86" s="33">
        <v>62.0</v>
      </c>
      <c r="AH86" s="33">
        <v>60.0</v>
      </c>
      <c r="AI86" s="33">
        <v>90.0</v>
      </c>
      <c r="AJ86" s="33">
        <v>85.0</v>
      </c>
      <c r="AK86" s="33">
        <v>92.0</v>
      </c>
      <c r="AL86" s="33">
        <v>90.0</v>
      </c>
      <c r="AM86" s="33">
        <v>0.0</v>
      </c>
      <c r="AN86" s="33">
        <v>100.0</v>
      </c>
      <c r="AO86" s="33">
        <v>100.0</v>
      </c>
      <c r="AP86" s="18" t="s">
        <v>745</v>
      </c>
      <c r="AQ86" s="18" t="s">
        <v>746</v>
      </c>
      <c r="AR86" s="20" t="s">
        <v>144</v>
      </c>
      <c r="AS86" s="20" t="s">
        <v>145</v>
      </c>
      <c r="AT86" s="20" t="s">
        <v>146</v>
      </c>
      <c r="AU86" s="21" t="s">
        <v>146</v>
      </c>
      <c r="AV86" s="22" t="s">
        <v>747</v>
      </c>
      <c r="AW86" s="56" t="s">
        <v>748</v>
      </c>
      <c r="AX86" s="34"/>
      <c r="BA86" s="34"/>
      <c r="BB86" s="34"/>
    </row>
    <row r="87" hidden="1">
      <c r="A87" s="25" t="s">
        <v>749</v>
      </c>
      <c r="B87" s="26" t="s">
        <v>750</v>
      </c>
      <c r="C87" s="27" t="s">
        <v>607</v>
      </c>
      <c r="D87" s="27" t="s">
        <v>52</v>
      </c>
      <c r="E87" s="27" t="s">
        <v>252</v>
      </c>
      <c r="F87" s="27" t="s">
        <v>85</v>
      </c>
      <c r="G87" s="28">
        <v>449.0</v>
      </c>
      <c r="H87" s="36">
        <f t="shared" si="1"/>
        <v>426.55</v>
      </c>
      <c r="I87" s="29" t="s">
        <v>55</v>
      </c>
      <c r="J87" s="30" t="s">
        <v>266</v>
      </c>
      <c r="K87" s="30" t="s">
        <v>588</v>
      </c>
      <c r="L87" s="31" t="s">
        <v>645</v>
      </c>
      <c r="M87" s="31" t="s">
        <v>751</v>
      </c>
      <c r="N87" s="33">
        <v>100.0</v>
      </c>
      <c r="O87" s="33">
        <v>100.0</v>
      </c>
      <c r="P87" s="33">
        <v>100.0</v>
      </c>
      <c r="Q87" s="33">
        <v>20.0</v>
      </c>
      <c r="R87" s="33">
        <v>10.0</v>
      </c>
      <c r="S87" s="33">
        <v>90.0</v>
      </c>
      <c r="T87" s="33">
        <v>10.0</v>
      </c>
      <c r="U87" s="33">
        <v>20.0</v>
      </c>
      <c r="V87" s="33">
        <v>15.0</v>
      </c>
      <c r="W87" s="33">
        <v>10.0</v>
      </c>
      <c r="X87" s="33">
        <v>95.0</v>
      </c>
      <c r="Y87" s="33">
        <v>10.0</v>
      </c>
      <c r="Z87" s="33">
        <v>30.0</v>
      </c>
      <c r="AA87" s="33">
        <v>92.0</v>
      </c>
      <c r="AB87" s="33">
        <v>92.0</v>
      </c>
      <c r="AC87" s="33">
        <v>55.0</v>
      </c>
      <c r="AD87" s="33">
        <v>98.0</v>
      </c>
      <c r="AE87" s="33">
        <v>82.0</v>
      </c>
      <c r="AF87" s="33">
        <v>95.0</v>
      </c>
      <c r="AG87" s="33">
        <v>95.0</v>
      </c>
      <c r="AH87" s="33">
        <v>98.0</v>
      </c>
      <c r="AI87" s="33">
        <v>90.0</v>
      </c>
      <c r="AJ87" s="33">
        <v>96.0</v>
      </c>
      <c r="AK87" s="33">
        <v>90.0</v>
      </c>
      <c r="AL87" s="33">
        <v>95.0</v>
      </c>
      <c r="AM87" s="33">
        <v>100.0</v>
      </c>
      <c r="AN87" s="33">
        <v>100.0</v>
      </c>
      <c r="AO87" s="33">
        <v>100.0</v>
      </c>
      <c r="AP87" s="18" t="s">
        <v>752</v>
      </c>
      <c r="AQ87" s="18" t="s">
        <v>753</v>
      </c>
      <c r="AR87" s="20" t="s">
        <v>144</v>
      </c>
      <c r="AS87" s="20" t="s">
        <v>145</v>
      </c>
      <c r="AT87" s="20" t="s">
        <v>146</v>
      </c>
      <c r="AU87" s="21" t="s">
        <v>146</v>
      </c>
      <c r="AV87" s="22" t="s">
        <v>612</v>
      </c>
      <c r="AW87" s="56" t="s">
        <v>754</v>
      </c>
      <c r="AX87" s="34"/>
      <c r="BA87" s="34"/>
      <c r="BB87" s="34"/>
    </row>
    <row r="88" hidden="1">
      <c r="A88" s="25" t="s">
        <v>755</v>
      </c>
      <c r="B88" s="26" t="s">
        <v>756</v>
      </c>
      <c r="C88" s="27" t="s">
        <v>757</v>
      </c>
      <c r="D88" s="27" t="s">
        <v>52</v>
      </c>
      <c r="E88" s="27" t="s">
        <v>252</v>
      </c>
      <c r="F88" s="27" t="s">
        <v>85</v>
      </c>
      <c r="G88" s="28">
        <v>499.0</v>
      </c>
      <c r="H88" s="36">
        <f t="shared" si="1"/>
        <v>474.05</v>
      </c>
      <c r="I88" s="29" t="s">
        <v>55</v>
      </c>
      <c r="J88" s="30" t="s">
        <v>758</v>
      </c>
      <c r="K88" s="30" t="s">
        <v>759</v>
      </c>
      <c r="L88" s="31" t="s">
        <v>399</v>
      </c>
      <c r="M88" s="31" t="s">
        <v>760</v>
      </c>
      <c r="N88" s="33">
        <v>100.0</v>
      </c>
      <c r="O88" s="33">
        <v>100.0</v>
      </c>
      <c r="P88" s="33">
        <v>100.0</v>
      </c>
      <c r="Q88" s="33">
        <v>25.0</v>
      </c>
      <c r="R88" s="33">
        <v>10.0</v>
      </c>
      <c r="S88" s="33">
        <v>82.0</v>
      </c>
      <c r="T88" s="33">
        <v>15.0</v>
      </c>
      <c r="U88" s="33">
        <v>78.0</v>
      </c>
      <c r="V88" s="33">
        <v>82.0</v>
      </c>
      <c r="W88" s="33">
        <v>55.0</v>
      </c>
      <c r="X88" s="33">
        <v>90.0</v>
      </c>
      <c r="Y88" s="33">
        <v>10.0</v>
      </c>
      <c r="Z88" s="33">
        <v>35.0</v>
      </c>
      <c r="AA88" s="33">
        <v>90.0</v>
      </c>
      <c r="AB88" s="33">
        <v>90.0</v>
      </c>
      <c r="AC88" s="33">
        <v>80.0</v>
      </c>
      <c r="AD88" s="33">
        <v>98.0</v>
      </c>
      <c r="AE88" s="33">
        <v>90.0</v>
      </c>
      <c r="AF88" s="33">
        <v>92.0</v>
      </c>
      <c r="AG88" s="33">
        <v>85.0</v>
      </c>
      <c r="AH88" s="33">
        <v>90.0</v>
      </c>
      <c r="AI88" s="33">
        <v>90.0</v>
      </c>
      <c r="AJ88" s="33">
        <v>92.0</v>
      </c>
      <c r="AK88" s="33">
        <v>89.0</v>
      </c>
      <c r="AL88" s="33">
        <v>91.0</v>
      </c>
      <c r="AM88" s="33">
        <v>100.0</v>
      </c>
      <c r="AN88" s="33">
        <v>100.0</v>
      </c>
      <c r="AO88" s="33">
        <v>100.0</v>
      </c>
      <c r="AP88" s="18" t="s">
        <v>761</v>
      </c>
      <c r="AQ88" s="18" t="s">
        <v>762</v>
      </c>
      <c r="AR88" s="20" t="s">
        <v>144</v>
      </c>
      <c r="AS88" s="20" t="s">
        <v>145</v>
      </c>
      <c r="AT88" s="20" t="s">
        <v>146</v>
      </c>
      <c r="AU88" s="21" t="s">
        <v>146</v>
      </c>
      <c r="AV88" s="22" t="s">
        <v>763</v>
      </c>
      <c r="AW88" s="56" t="s">
        <v>764</v>
      </c>
      <c r="AX88" s="34"/>
      <c r="BA88" s="52"/>
      <c r="BB88" s="34"/>
    </row>
    <row r="89" hidden="1">
      <c r="A89" s="25" t="s">
        <v>765</v>
      </c>
      <c r="B89" s="26" t="s">
        <v>766</v>
      </c>
      <c r="C89" s="27" t="s">
        <v>757</v>
      </c>
      <c r="D89" s="27" t="s">
        <v>52</v>
      </c>
      <c r="E89" s="27" t="s">
        <v>252</v>
      </c>
      <c r="F89" s="27" t="s">
        <v>85</v>
      </c>
      <c r="G89" s="28">
        <v>499.0</v>
      </c>
      <c r="H89" s="36">
        <f t="shared" si="1"/>
        <v>474.05</v>
      </c>
      <c r="I89" s="29" t="s">
        <v>55</v>
      </c>
      <c r="J89" s="30" t="s">
        <v>465</v>
      </c>
      <c r="K89" s="30" t="s">
        <v>767</v>
      </c>
      <c r="L89" s="31" t="s">
        <v>203</v>
      </c>
      <c r="M89" s="31" t="s">
        <v>768</v>
      </c>
      <c r="N89" s="33">
        <v>100.0</v>
      </c>
      <c r="O89" s="33">
        <v>100.0</v>
      </c>
      <c r="P89" s="33">
        <v>100.0</v>
      </c>
      <c r="Q89" s="33">
        <v>35.0</v>
      </c>
      <c r="R89" s="33">
        <v>10.0</v>
      </c>
      <c r="S89" s="33">
        <v>90.0</v>
      </c>
      <c r="T89" s="33">
        <v>15.0</v>
      </c>
      <c r="U89" s="33">
        <v>65.0</v>
      </c>
      <c r="V89" s="33">
        <v>60.0</v>
      </c>
      <c r="W89" s="33">
        <v>35.0</v>
      </c>
      <c r="X89" s="33">
        <v>80.0</v>
      </c>
      <c r="Y89" s="33">
        <v>15.0</v>
      </c>
      <c r="Z89" s="33">
        <v>25.0</v>
      </c>
      <c r="AA89" s="33">
        <v>90.0</v>
      </c>
      <c r="AB89" s="33">
        <v>95.0</v>
      </c>
      <c r="AC89" s="33">
        <v>72.0</v>
      </c>
      <c r="AD89" s="33">
        <v>98.0</v>
      </c>
      <c r="AE89" s="33">
        <v>90.0</v>
      </c>
      <c r="AF89" s="33">
        <v>95.0</v>
      </c>
      <c r="AG89" s="33">
        <v>90.0</v>
      </c>
      <c r="AH89" s="33">
        <v>95.0</v>
      </c>
      <c r="AI89" s="33">
        <v>92.0</v>
      </c>
      <c r="AJ89" s="33">
        <v>96.0</v>
      </c>
      <c r="AK89" s="33">
        <v>90.0</v>
      </c>
      <c r="AL89" s="33">
        <v>95.0</v>
      </c>
      <c r="AM89" s="33">
        <v>100.0</v>
      </c>
      <c r="AN89" s="33">
        <v>100.0</v>
      </c>
      <c r="AO89" s="33">
        <v>100.0</v>
      </c>
      <c r="AP89" s="18" t="s">
        <v>769</v>
      </c>
      <c r="AQ89" s="18" t="s">
        <v>770</v>
      </c>
      <c r="AR89" s="20" t="s">
        <v>144</v>
      </c>
      <c r="AS89" s="20" t="s">
        <v>145</v>
      </c>
      <c r="AT89" s="20" t="s">
        <v>146</v>
      </c>
      <c r="AU89" s="21" t="s">
        <v>146</v>
      </c>
      <c r="AV89" s="22" t="s">
        <v>612</v>
      </c>
      <c r="AW89" s="56" t="s">
        <v>771</v>
      </c>
      <c r="AX89" s="34"/>
      <c r="AY89" s="59"/>
      <c r="BA89" s="52"/>
      <c r="BB89" s="34"/>
    </row>
    <row r="90" hidden="1">
      <c r="A90" s="25" t="s">
        <v>772</v>
      </c>
      <c r="B90" s="26" t="s">
        <v>773</v>
      </c>
      <c r="C90" s="27" t="s">
        <v>757</v>
      </c>
      <c r="D90" s="27" t="s">
        <v>52</v>
      </c>
      <c r="E90" s="27" t="s">
        <v>252</v>
      </c>
      <c r="F90" s="27" t="s">
        <v>85</v>
      </c>
      <c r="G90" s="28">
        <v>699.0</v>
      </c>
      <c r="H90" s="36">
        <f t="shared" si="1"/>
        <v>664.05</v>
      </c>
      <c r="I90" s="29" t="s">
        <v>55</v>
      </c>
      <c r="J90" s="30" t="s">
        <v>358</v>
      </c>
      <c r="K90" s="30" t="s">
        <v>439</v>
      </c>
      <c r="L90" s="31" t="s">
        <v>154</v>
      </c>
      <c r="M90" s="31" t="s">
        <v>774</v>
      </c>
      <c r="N90" s="33">
        <v>100.0</v>
      </c>
      <c r="O90" s="33">
        <v>100.0</v>
      </c>
      <c r="P90" s="33">
        <v>100.0</v>
      </c>
      <c r="Q90" s="33">
        <v>78.0</v>
      </c>
      <c r="R90" s="33">
        <v>15.0</v>
      </c>
      <c r="S90" s="33">
        <v>60.0</v>
      </c>
      <c r="T90" s="33">
        <v>75.0</v>
      </c>
      <c r="U90" s="33">
        <v>55.0</v>
      </c>
      <c r="V90" s="33">
        <v>45.0</v>
      </c>
      <c r="W90" s="33">
        <v>20.0</v>
      </c>
      <c r="X90" s="33">
        <v>75.0</v>
      </c>
      <c r="Y90" s="33">
        <v>72.0</v>
      </c>
      <c r="Z90" s="33">
        <v>20.0</v>
      </c>
      <c r="AA90" s="33">
        <v>92.0</v>
      </c>
      <c r="AB90" s="33">
        <v>70.0</v>
      </c>
      <c r="AC90" s="33">
        <v>60.0</v>
      </c>
      <c r="AD90" s="33">
        <v>98.0</v>
      </c>
      <c r="AE90" s="33">
        <v>98.0</v>
      </c>
      <c r="AF90" s="33">
        <v>98.0</v>
      </c>
      <c r="AG90" s="33">
        <v>55.0</v>
      </c>
      <c r="AH90" s="33">
        <v>70.0</v>
      </c>
      <c r="AI90" s="33">
        <v>90.0</v>
      </c>
      <c r="AJ90" s="33">
        <v>95.0</v>
      </c>
      <c r="AK90" s="33">
        <v>96.0</v>
      </c>
      <c r="AL90" s="33">
        <v>96.0</v>
      </c>
      <c r="AM90" s="33">
        <v>-100.0</v>
      </c>
      <c r="AN90" s="33">
        <v>100.0</v>
      </c>
      <c r="AO90" s="33">
        <v>100.0</v>
      </c>
      <c r="AP90" s="18" t="s">
        <v>775</v>
      </c>
      <c r="AQ90" s="18" t="s">
        <v>776</v>
      </c>
      <c r="AR90" s="20" t="s">
        <v>144</v>
      </c>
      <c r="AS90" s="20" t="s">
        <v>145</v>
      </c>
      <c r="AT90" s="20" t="s">
        <v>146</v>
      </c>
      <c r="AU90" s="21" t="s">
        <v>146</v>
      </c>
      <c r="AV90" s="22" t="s">
        <v>395</v>
      </c>
      <c r="AW90" s="56" t="s">
        <v>777</v>
      </c>
      <c r="AX90" s="34"/>
      <c r="AY90" s="59"/>
      <c r="AZ90" s="55"/>
      <c r="BA90" s="55"/>
      <c r="BB90" s="34"/>
    </row>
    <row r="91" hidden="1">
      <c r="A91" s="25" t="s">
        <v>778</v>
      </c>
      <c r="B91" s="26" t="s">
        <v>779</v>
      </c>
      <c r="C91" s="27" t="s">
        <v>757</v>
      </c>
      <c r="D91" s="27" t="s">
        <v>52</v>
      </c>
      <c r="E91" s="27" t="s">
        <v>53</v>
      </c>
      <c r="F91" s="27" t="s">
        <v>549</v>
      </c>
      <c r="G91" s="28">
        <v>349.0</v>
      </c>
      <c r="H91" s="36">
        <f t="shared" si="1"/>
        <v>331.55</v>
      </c>
      <c r="I91" s="29" t="s">
        <v>55</v>
      </c>
      <c r="J91" s="30" t="s">
        <v>266</v>
      </c>
      <c r="K91" s="30" t="s">
        <v>243</v>
      </c>
      <c r="L91" s="31" t="s">
        <v>399</v>
      </c>
      <c r="M91" s="31" t="s">
        <v>780</v>
      </c>
      <c r="N91" s="33">
        <v>100.0</v>
      </c>
      <c r="O91" s="33">
        <v>100.0</v>
      </c>
      <c r="P91" s="33">
        <v>100.0</v>
      </c>
      <c r="Q91" s="33">
        <v>35.0</v>
      </c>
      <c r="R91" s="33">
        <v>10.0</v>
      </c>
      <c r="S91" s="33">
        <v>90.0</v>
      </c>
      <c r="T91" s="33">
        <v>15.0</v>
      </c>
      <c r="U91" s="17">
        <v>35.0</v>
      </c>
      <c r="V91" s="17">
        <v>50.0</v>
      </c>
      <c r="W91" s="17">
        <v>30.0</v>
      </c>
      <c r="X91" s="17">
        <v>92.0</v>
      </c>
      <c r="Y91" s="17">
        <v>15.0</v>
      </c>
      <c r="Z91" s="17">
        <v>20.0</v>
      </c>
      <c r="AA91" s="17">
        <v>92.0</v>
      </c>
      <c r="AB91" s="17">
        <v>95.0</v>
      </c>
      <c r="AC91" s="17">
        <v>75.0</v>
      </c>
      <c r="AD91" s="17">
        <v>10.0</v>
      </c>
      <c r="AE91" s="17">
        <v>82.0</v>
      </c>
      <c r="AF91" s="17">
        <v>95.0</v>
      </c>
      <c r="AG91" s="17">
        <v>95.0</v>
      </c>
      <c r="AH91" s="33">
        <v>98.0</v>
      </c>
      <c r="AI91" s="33">
        <v>90.0</v>
      </c>
      <c r="AJ91" s="33">
        <v>96.0</v>
      </c>
      <c r="AK91" s="33">
        <v>90.0</v>
      </c>
      <c r="AL91" s="33">
        <v>95.0</v>
      </c>
      <c r="AM91" s="33">
        <v>100.0</v>
      </c>
      <c r="AN91" s="33">
        <v>100.0</v>
      </c>
      <c r="AO91" s="33">
        <v>100.0</v>
      </c>
      <c r="AP91" s="18" t="s">
        <v>781</v>
      </c>
      <c r="AQ91" s="18" t="s">
        <v>782</v>
      </c>
      <c r="AR91" s="20" t="s">
        <v>62</v>
      </c>
      <c r="AS91" s="20" t="s">
        <v>63</v>
      </c>
      <c r="AT91" s="20" t="s">
        <v>64</v>
      </c>
      <c r="AU91" s="21" t="s">
        <v>64</v>
      </c>
      <c r="AV91" s="22" t="s">
        <v>412</v>
      </c>
      <c r="AW91" s="56" t="s">
        <v>783</v>
      </c>
      <c r="AX91" s="34"/>
      <c r="AY91" s="34"/>
      <c r="BB91" s="34"/>
    </row>
    <row r="92" hidden="1">
      <c r="A92" s="25" t="s">
        <v>784</v>
      </c>
      <c r="B92" s="26" t="s">
        <v>785</v>
      </c>
      <c r="C92" s="27" t="s">
        <v>757</v>
      </c>
      <c r="D92" s="27" t="s">
        <v>52</v>
      </c>
      <c r="E92" s="27" t="s">
        <v>53</v>
      </c>
      <c r="F92" s="27" t="s">
        <v>54</v>
      </c>
      <c r="G92" s="28">
        <v>349.0</v>
      </c>
      <c r="H92" s="36">
        <f t="shared" si="1"/>
        <v>331.55</v>
      </c>
      <c r="I92" s="29" t="s">
        <v>55</v>
      </c>
      <c r="J92" s="30" t="s">
        <v>71</v>
      </c>
      <c r="K92" s="30" t="s">
        <v>162</v>
      </c>
      <c r="L92" s="31" t="s">
        <v>104</v>
      </c>
      <c r="M92" s="31" t="s">
        <v>786</v>
      </c>
      <c r="N92" s="33">
        <v>0.0</v>
      </c>
      <c r="O92" s="33">
        <v>100.0</v>
      </c>
      <c r="P92" s="33">
        <v>100.0</v>
      </c>
      <c r="Q92" s="33">
        <v>92.0</v>
      </c>
      <c r="R92" s="33">
        <v>25.0</v>
      </c>
      <c r="S92" s="33">
        <v>30.0</v>
      </c>
      <c r="T92" s="33">
        <v>90.0</v>
      </c>
      <c r="U92" s="33">
        <v>35.0</v>
      </c>
      <c r="V92" s="33">
        <v>25.0</v>
      </c>
      <c r="W92" s="33">
        <v>10.0</v>
      </c>
      <c r="X92" s="33">
        <v>35.0</v>
      </c>
      <c r="Y92" s="33">
        <v>95.0</v>
      </c>
      <c r="Z92" s="33">
        <v>10.0</v>
      </c>
      <c r="AA92" s="33">
        <v>55.0</v>
      </c>
      <c r="AB92" s="33">
        <v>35.0</v>
      </c>
      <c r="AC92" s="33">
        <v>50.0</v>
      </c>
      <c r="AD92" s="33">
        <v>10.0</v>
      </c>
      <c r="AE92" s="33">
        <v>98.0</v>
      </c>
      <c r="AF92" s="33">
        <v>72.0</v>
      </c>
      <c r="AG92" s="33">
        <v>28.0</v>
      </c>
      <c r="AH92" s="33">
        <v>20.0</v>
      </c>
      <c r="AI92" s="33">
        <v>90.0</v>
      </c>
      <c r="AJ92" s="33">
        <v>65.0</v>
      </c>
      <c r="AK92" s="33">
        <v>95.0</v>
      </c>
      <c r="AL92" s="33">
        <v>70.0</v>
      </c>
      <c r="AM92" s="33">
        <v>-100.0</v>
      </c>
      <c r="AN92" s="33">
        <v>100.0</v>
      </c>
      <c r="AO92" s="33">
        <v>100.0</v>
      </c>
      <c r="AP92" s="18" t="s">
        <v>787</v>
      </c>
      <c r="AQ92" s="18" t="s">
        <v>788</v>
      </c>
      <c r="AR92" s="20" t="s">
        <v>62</v>
      </c>
      <c r="AS92" s="20" t="s">
        <v>63</v>
      </c>
      <c r="AT92" s="20" t="s">
        <v>64</v>
      </c>
      <c r="AU92" s="21" t="s">
        <v>64</v>
      </c>
      <c r="AV92" s="22" t="s">
        <v>789</v>
      </c>
      <c r="AW92" s="56" t="s">
        <v>790</v>
      </c>
      <c r="AX92" s="34"/>
      <c r="AY92" s="34"/>
      <c r="BB92" s="34"/>
    </row>
    <row r="93" hidden="1">
      <c r="A93" s="25" t="s">
        <v>791</v>
      </c>
      <c r="B93" s="26" t="s">
        <v>792</v>
      </c>
      <c r="C93" s="27" t="s">
        <v>757</v>
      </c>
      <c r="D93" s="27" t="s">
        <v>52</v>
      </c>
      <c r="E93" s="27" t="s">
        <v>53</v>
      </c>
      <c r="F93" s="27" t="s">
        <v>549</v>
      </c>
      <c r="G93" s="28">
        <v>349.0</v>
      </c>
      <c r="H93" s="36">
        <f t="shared" si="1"/>
        <v>331.55</v>
      </c>
      <c r="I93" s="29" t="s">
        <v>55</v>
      </c>
      <c r="J93" s="30" t="s">
        <v>793</v>
      </c>
      <c r="K93" s="30" t="s">
        <v>27</v>
      </c>
      <c r="L93" s="31" t="s">
        <v>736</v>
      </c>
      <c r="M93" s="31" t="s">
        <v>794</v>
      </c>
      <c r="N93" s="33">
        <v>100.0</v>
      </c>
      <c r="O93" s="33">
        <v>100.0</v>
      </c>
      <c r="P93" s="33">
        <v>100.0</v>
      </c>
      <c r="Q93" s="33">
        <v>25.0</v>
      </c>
      <c r="R93" s="33">
        <v>10.0</v>
      </c>
      <c r="S93" s="33">
        <v>75.0</v>
      </c>
      <c r="T93" s="33">
        <v>15.0</v>
      </c>
      <c r="U93" s="33">
        <v>78.0</v>
      </c>
      <c r="V93" s="33">
        <v>82.0</v>
      </c>
      <c r="W93" s="33">
        <v>68.0</v>
      </c>
      <c r="X93" s="33">
        <v>70.0</v>
      </c>
      <c r="Y93" s="33">
        <v>10.0</v>
      </c>
      <c r="Z93" s="33">
        <v>15.0</v>
      </c>
      <c r="AA93" s="33">
        <v>85.0</v>
      </c>
      <c r="AB93" s="33">
        <v>90.0</v>
      </c>
      <c r="AC93" s="33">
        <v>78.0</v>
      </c>
      <c r="AD93" s="33">
        <v>20.0</v>
      </c>
      <c r="AE93" s="33">
        <v>82.0</v>
      </c>
      <c r="AF93" s="33">
        <v>90.0</v>
      </c>
      <c r="AG93" s="33">
        <v>85.0</v>
      </c>
      <c r="AH93" s="33">
        <v>92.0</v>
      </c>
      <c r="AI93" s="33">
        <v>90.0</v>
      </c>
      <c r="AJ93" s="33">
        <v>92.0</v>
      </c>
      <c r="AK93" s="33">
        <v>85.0</v>
      </c>
      <c r="AL93" s="33">
        <v>90.0</v>
      </c>
      <c r="AM93" s="33">
        <v>100.0</v>
      </c>
      <c r="AN93" s="33">
        <v>100.0</v>
      </c>
      <c r="AO93" s="33">
        <v>100.0</v>
      </c>
      <c r="AP93" s="18" t="s">
        <v>795</v>
      </c>
      <c r="AQ93" s="18" t="s">
        <v>796</v>
      </c>
      <c r="AR93" s="20" t="s">
        <v>62</v>
      </c>
      <c r="AS93" s="20" t="s">
        <v>63</v>
      </c>
      <c r="AT93" s="20" t="s">
        <v>64</v>
      </c>
      <c r="AU93" s="21" t="s">
        <v>64</v>
      </c>
      <c r="AV93" s="22" t="s">
        <v>797</v>
      </c>
      <c r="AW93" s="56" t="s">
        <v>798</v>
      </c>
      <c r="AX93" s="34"/>
      <c r="AY93" s="52"/>
      <c r="BB93" s="34"/>
    </row>
    <row r="94" hidden="1">
      <c r="A94" s="25" t="s">
        <v>799</v>
      </c>
      <c r="B94" s="26" t="s">
        <v>800</v>
      </c>
      <c r="C94" s="27" t="s">
        <v>757</v>
      </c>
      <c r="D94" s="27" t="s">
        <v>52</v>
      </c>
      <c r="E94" s="27" t="s">
        <v>69</v>
      </c>
      <c r="F94" s="27" t="s">
        <v>70</v>
      </c>
      <c r="G94" s="28">
        <v>699.0</v>
      </c>
      <c r="H94" s="36">
        <f t="shared" si="1"/>
        <v>664.05</v>
      </c>
      <c r="I94" s="29" t="s">
        <v>55</v>
      </c>
      <c r="J94" s="30" t="s">
        <v>801</v>
      </c>
      <c r="K94" s="30" t="s">
        <v>173</v>
      </c>
      <c r="L94" s="31" t="s">
        <v>802</v>
      </c>
      <c r="M94" s="31" t="s">
        <v>495</v>
      </c>
      <c r="N94" s="33">
        <v>0.0</v>
      </c>
      <c r="O94" s="33">
        <v>100.0</v>
      </c>
      <c r="P94" s="33">
        <v>100.0</v>
      </c>
      <c r="Q94" s="33">
        <v>55.0</v>
      </c>
      <c r="R94" s="33">
        <v>10.0</v>
      </c>
      <c r="S94" s="33">
        <v>60.0</v>
      </c>
      <c r="T94" s="33">
        <v>40.0</v>
      </c>
      <c r="U94" s="33">
        <v>95.0</v>
      </c>
      <c r="V94" s="33">
        <v>95.0</v>
      </c>
      <c r="W94" s="33">
        <v>75.0</v>
      </c>
      <c r="X94" s="33">
        <v>85.0</v>
      </c>
      <c r="Y94" s="33">
        <v>25.0</v>
      </c>
      <c r="Z94" s="33">
        <v>82.0</v>
      </c>
      <c r="AA94" s="33">
        <v>75.0</v>
      </c>
      <c r="AB94" s="33">
        <v>75.0</v>
      </c>
      <c r="AC94" s="33">
        <v>98.0</v>
      </c>
      <c r="AD94" s="33">
        <v>72.0</v>
      </c>
      <c r="AE94" s="33">
        <v>86.0</v>
      </c>
      <c r="AF94" s="33">
        <v>82.0</v>
      </c>
      <c r="AG94" s="33">
        <v>78.0</v>
      </c>
      <c r="AH94" s="33">
        <v>75.0</v>
      </c>
      <c r="AI94" s="33">
        <v>90.0</v>
      </c>
      <c r="AJ94" s="33">
        <v>90.0</v>
      </c>
      <c r="AK94" s="33">
        <v>90.0</v>
      </c>
      <c r="AL94" s="33">
        <v>86.0</v>
      </c>
      <c r="AM94" s="33">
        <v>0.0</v>
      </c>
      <c r="AN94" s="33">
        <v>100.0</v>
      </c>
      <c r="AO94" s="33">
        <v>100.0</v>
      </c>
      <c r="AP94" s="18" t="s">
        <v>803</v>
      </c>
      <c r="AQ94" s="18" t="s">
        <v>804</v>
      </c>
      <c r="AR94" s="20" t="s">
        <v>166</v>
      </c>
      <c r="AS94" s="20" t="s">
        <v>167</v>
      </c>
      <c r="AT94" s="20" t="s">
        <v>168</v>
      </c>
      <c r="AU94" s="21" t="s">
        <v>168</v>
      </c>
      <c r="AV94" s="22" t="s">
        <v>805</v>
      </c>
      <c r="AW94" s="56" t="s">
        <v>806</v>
      </c>
      <c r="AX94" s="34"/>
      <c r="AY94" s="52"/>
      <c r="BA94" s="59"/>
      <c r="BB94" s="34"/>
    </row>
    <row r="95" hidden="1">
      <c r="A95" s="25" t="s">
        <v>807</v>
      </c>
      <c r="B95" s="26" t="s">
        <v>808</v>
      </c>
      <c r="C95" s="27" t="s">
        <v>757</v>
      </c>
      <c r="D95" s="27" t="s">
        <v>52</v>
      </c>
      <c r="E95" s="27" t="s">
        <v>69</v>
      </c>
      <c r="F95" s="27" t="s">
        <v>70</v>
      </c>
      <c r="G95" s="28">
        <v>499.0</v>
      </c>
      <c r="H95" s="36">
        <f t="shared" si="1"/>
        <v>474.05</v>
      </c>
      <c r="I95" s="29" t="s">
        <v>55</v>
      </c>
      <c r="J95" s="30" t="s">
        <v>358</v>
      </c>
      <c r="K95" s="30" t="s">
        <v>809</v>
      </c>
      <c r="L95" s="31" t="s">
        <v>234</v>
      </c>
      <c r="M95" s="31" t="s">
        <v>810</v>
      </c>
      <c r="N95" s="33">
        <v>100.0</v>
      </c>
      <c r="O95" s="33">
        <v>100.0</v>
      </c>
      <c r="P95" s="33">
        <v>100.0</v>
      </c>
      <c r="Q95" s="33">
        <v>90.0</v>
      </c>
      <c r="R95" s="33">
        <v>20.0</v>
      </c>
      <c r="S95" s="33">
        <v>55.0</v>
      </c>
      <c r="T95" s="33">
        <v>82.0</v>
      </c>
      <c r="U95" s="33">
        <v>78.0</v>
      </c>
      <c r="V95" s="33">
        <v>72.0</v>
      </c>
      <c r="W95" s="33">
        <v>50.0</v>
      </c>
      <c r="X95" s="33">
        <v>65.0</v>
      </c>
      <c r="Y95" s="33">
        <v>80.0</v>
      </c>
      <c r="Z95" s="33">
        <v>25.0</v>
      </c>
      <c r="AA95" s="33">
        <v>90.0</v>
      </c>
      <c r="AB95" s="33">
        <v>68.0</v>
      </c>
      <c r="AC95" s="33">
        <v>82.0</v>
      </c>
      <c r="AD95" s="33">
        <v>25.0</v>
      </c>
      <c r="AE95" s="33">
        <v>98.0</v>
      </c>
      <c r="AF95" s="33">
        <v>95.0</v>
      </c>
      <c r="AG95" s="33">
        <v>65.0</v>
      </c>
      <c r="AH95" s="33">
        <v>72.0</v>
      </c>
      <c r="AI95" s="33">
        <v>92.0</v>
      </c>
      <c r="AJ95" s="33">
        <v>96.0</v>
      </c>
      <c r="AK95" s="33">
        <v>95.0</v>
      </c>
      <c r="AL95" s="33">
        <v>96.0</v>
      </c>
      <c r="AM95" s="33">
        <v>0.0</v>
      </c>
      <c r="AN95" s="33">
        <v>100.0</v>
      </c>
      <c r="AO95" s="33">
        <v>100.0</v>
      </c>
      <c r="AP95" s="18" t="s">
        <v>811</v>
      </c>
      <c r="AQ95" s="18" t="s">
        <v>812</v>
      </c>
      <c r="AR95" s="20" t="s">
        <v>166</v>
      </c>
      <c r="AS95" s="20" t="s">
        <v>167</v>
      </c>
      <c r="AT95" s="20" t="s">
        <v>168</v>
      </c>
      <c r="AU95" s="21" t="s">
        <v>168</v>
      </c>
      <c r="AV95" s="22" t="s">
        <v>813</v>
      </c>
      <c r="AW95" s="56" t="s">
        <v>814</v>
      </c>
      <c r="AX95" s="34"/>
      <c r="AY95" s="55"/>
      <c r="AZ95" s="55"/>
      <c r="BA95" s="59"/>
      <c r="BB95" s="34"/>
    </row>
    <row r="96" hidden="1">
      <c r="A96" s="25" t="s">
        <v>815</v>
      </c>
      <c r="B96" s="26" t="s">
        <v>816</v>
      </c>
      <c r="C96" s="27" t="s">
        <v>757</v>
      </c>
      <c r="D96" s="27" t="s">
        <v>52</v>
      </c>
      <c r="E96" s="27" t="s">
        <v>69</v>
      </c>
      <c r="F96" s="27" t="s">
        <v>70</v>
      </c>
      <c r="G96" s="28">
        <v>499.0</v>
      </c>
      <c r="H96" s="36">
        <f t="shared" si="1"/>
        <v>474.05</v>
      </c>
      <c r="I96" s="29" t="s">
        <v>55</v>
      </c>
      <c r="J96" s="30" t="s">
        <v>224</v>
      </c>
      <c r="K96" s="30" t="s">
        <v>817</v>
      </c>
      <c r="L96" s="31" t="s">
        <v>818</v>
      </c>
      <c r="M96" s="31" t="s">
        <v>819</v>
      </c>
      <c r="N96" s="33">
        <v>100.0</v>
      </c>
      <c r="O96" s="33">
        <v>100.0</v>
      </c>
      <c r="P96" s="33">
        <v>100.0</v>
      </c>
      <c r="Q96" s="33">
        <v>35.0</v>
      </c>
      <c r="R96" s="33">
        <v>10.0</v>
      </c>
      <c r="S96" s="33">
        <v>55.0</v>
      </c>
      <c r="T96" s="33">
        <v>25.0</v>
      </c>
      <c r="U96" s="33">
        <v>92.0</v>
      </c>
      <c r="V96" s="33">
        <v>96.0</v>
      </c>
      <c r="W96" s="33">
        <v>90.0</v>
      </c>
      <c r="X96" s="33">
        <v>60.0</v>
      </c>
      <c r="Y96" s="33">
        <v>15.0</v>
      </c>
      <c r="Z96" s="33">
        <v>25.0</v>
      </c>
      <c r="AA96" s="33">
        <v>72.0</v>
      </c>
      <c r="AB96" s="33">
        <v>65.0</v>
      </c>
      <c r="AC96" s="33">
        <v>92.0</v>
      </c>
      <c r="AD96" s="33">
        <v>45.0</v>
      </c>
      <c r="AE96" s="33">
        <v>82.0</v>
      </c>
      <c r="AF96" s="33">
        <v>78.0</v>
      </c>
      <c r="AG96" s="33">
        <v>68.0</v>
      </c>
      <c r="AH96" s="33">
        <v>65.0</v>
      </c>
      <c r="AI96" s="33">
        <v>90.0</v>
      </c>
      <c r="AJ96" s="33">
        <v>82.0</v>
      </c>
      <c r="AK96" s="33">
        <v>90.0</v>
      </c>
      <c r="AL96" s="33">
        <v>80.0</v>
      </c>
      <c r="AM96" s="33">
        <v>0.0</v>
      </c>
      <c r="AN96" s="33">
        <v>100.0</v>
      </c>
      <c r="AO96" s="33">
        <v>100.0</v>
      </c>
      <c r="AP96" s="18" t="s">
        <v>820</v>
      </c>
      <c r="AQ96" s="18" t="s">
        <v>821</v>
      </c>
      <c r="AR96" s="20" t="s">
        <v>166</v>
      </c>
      <c r="AS96" s="20" t="s">
        <v>167</v>
      </c>
      <c r="AT96" s="20" t="s">
        <v>168</v>
      </c>
      <c r="AU96" s="21" t="s">
        <v>168</v>
      </c>
      <c r="AV96" s="22" t="s">
        <v>822</v>
      </c>
      <c r="AW96" s="56" t="s">
        <v>823</v>
      </c>
      <c r="AX96" s="34"/>
      <c r="BA96" s="34"/>
      <c r="BB96" s="34"/>
    </row>
    <row r="97" hidden="1">
      <c r="A97" s="25" t="s">
        <v>824</v>
      </c>
      <c r="B97" s="26" t="s">
        <v>825</v>
      </c>
      <c r="C97" s="27" t="s">
        <v>757</v>
      </c>
      <c r="D97" s="27" t="s">
        <v>52</v>
      </c>
      <c r="E97" s="35" t="s">
        <v>84</v>
      </c>
      <c r="F97" s="27" t="s">
        <v>549</v>
      </c>
      <c r="G97" s="28">
        <v>599.0</v>
      </c>
      <c r="H97" s="36">
        <f t="shared" si="1"/>
        <v>569.05</v>
      </c>
      <c r="I97" s="29" t="s">
        <v>55</v>
      </c>
      <c r="J97" s="30" t="s">
        <v>465</v>
      </c>
      <c r="K97" s="30" t="s">
        <v>243</v>
      </c>
      <c r="L97" s="31" t="s">
        <v>399</v>
      </c>
      <c r="M97" s="31" t="s">
        <v>544</v>
      </c>
      <c r="N97" s="33">
        <v>100.0</v>
      </c>
      <c r="O97" s="33">
        <v>100.0</v>
      </c>
      <c r="P97" s="33">
        <v>100.0</v>
      </c>
      <c r="Q97" s="33">
        <v>45.0</v>
      </c>
      <c r="R97" s="33">
        <v>10.0</v>
      </c>
      <c r="S97" s="33">
        <v>90.0</v>
      </c>
      <c r="T97" s="33">
        <v>25.0</v>
      </c>
      <c r="U97" s="33">
        <v>72.0</v>
      </c>
      <c r="V97" s="33">
        <v>75.0</v>
      </c>
      <c r="W97" s="33">
        <v>45.0</v>
      </c>
      <c r="X97" s="33">
        <v>92.0</v>
      </c>
      <c r="Y97" s="33">
        <v>20.0</v>
      </c>
      <c r="Z97" s="33">
        <v>35.0</v>
      </c>
      <c r="AA97" s="33">
        <v>90.0</v>
      </c>
      <c r="AB97" s="33">
        <v>92.0</v>
      </c>
      <c r="AC97" s="33">
        <v>82.0</v>
      </c>
      <c r="AD97" s="33">
        <v>25.0</v>
      </c>
      <c r="AE97" s="33">
        <v>92.0</v>
      </c>
      <c r="AF97" s="33">
        <v>96.0</v>
      </c>
      <c r="AG97" s="33">
        <v>90.0</v>
      </c>
      <c r="AH97" s="33">
        <v>95.0</v>
      </c>
      <c r="AI97" s="33">
        <v>92.0</v>
      </c>
      <c r="AJ97" s="33">
        <v>96.0</v>
      </c>
      <c r="AK97" s="33">
        <v>92.0</v>
      </c>
      <c r="AL97" s="33">
        <v>95.0</v>
      </c>
      <c r="AM97" s="33">
        <v>100.0</v>
      </c>
      <c r="AN97" s="33">
        <v>100.0</v>
      </c>
      <c r="AO97" s="33">
        <v>100.0</v>
      </c>
      <c r="AP97" s="18" t="s">
        <v>826</v>
      </c>
      <c r="AQ97" s="18" t="s">
        <v>827</v>
      </c>
      <c r="AR97" s="20" t="s">
        <v>92</v>
      </c>
      <c r="AS97" s="20" t="s">
        <v>93</v>
      </c>
      <c r="AT97" s="20" t="s">
        <v>94</v>
      </c>
      <c r="AU97" s="21" t="s">
        <v>94</v>
      </c>
      <c r="AV97" s="22" t="s">
        <v>683</v>
      </c>
      <c r="AW97" s="56" t="s">
        <v>828</v>
      </c>
      <c r="AX97" s="34"/>
      <c r="BA97" s="34"/>
      <c r="BB97" s="34"/>
    </row>
    <row r="98" hidden="1">
      <c r="A98" s="25" t="s">
        <v>829</v>
      </c>
      <c r="B98" s="26" t="s">
        <v>830</v>
      </c>
      <c r="C98" s="27" t="s">
        <v>757</v>
      </c>
      <c r="D98" s="27" t="s">
        <v>52</v>
      </c>
      <c r="E98" s="35" t="s">
        <v>84</v>
      </c>
      <c r="F98" s="27" t="s">
        <v>831</v>
      </c>
      <c r="G98" s="28">
        <v>499.0</v>
      </c>
      <c r="H98" s="36">
        <f t="shared" si="1"/>
        <v>474.05</v>
      </c>
      <c r="I98" s="29" t="s">
        <v>55</v>
      </c>
      <c r="J98" s="30" t="s">
        <v>465</v>
      </c>
      <c r="K98" s="30" t="s">
        <v>832</v>
      </c>
      <c r="L98" s="31" t="s">
        <v>399</v>
      </c>
      <c r="M98" s="31" t="s">
        <v>780</v>
      </c>
      <c r="N98" s="33">
        <v>100.0</v>
      </c>
      <c r="O98" s="33">
        <v>100.0</v>
      </c>
      <c r="P98" s="33">
        <v>100.0</v>
      </c>
      <c r="Q98" s="33">
        <v>42.0</v>
      </c>
      <c r="R98" s="33">
        <v>10.0</v>
      </c>
      <c r="S98" s="33">
        <v>90.0</v>
      </c>
      <c r="T98" s="33">
        <v>20.0</v>
      </c>
      <c r="U98" s="33">
        <v>82.0</v>
      </c>
      <c r="V98" s="33">
        <v>85.0</v>
      </c>
      <c r="W98" s="33">
        <v>55.0</v>
      </c>
      <c r="X98" s="33">
        <v>95.0</v>
      </c>
      <c r="Y98" s="33">
        <v>18.0</v>
      </c>
      <c r="Z98" s="33">
        <v>38.0</v>
      </c>
      <c r="AA98" s="33">
        <v>90.0</v>
      </c>
      <c r="AB98" s="33">
        <v>95.0</v>
      </c>
      <c r="AC98" s="33">
        <v>90.0</v>
      </c>
      <c r="AD98" s="33">
        <v>30.0</v>
      </c>
      <c r="AE98" s="33">
        <v>90.0</v>
      </c>
      <c r="AF98" s="33">
        <v>92.0</v>
      </c>
      <c r="AG98" s="33">
        <v>95.0</v>
      </c>
      <c r="AH98" s="33">
        <v>98.0</v>
      </c>
      <c r="AI98" s="33">
        <v>92.0</v>
      </c>
      <c r="AJ98" s="33">
        <v>96.0</v>
      </c>
      <c r="AK98" s="33">
        <v>90.0</v>
      </c>
      <c r="AL98" s="33">
        <v>95.0</v>
      </c>
      <c r="AM98" s="33">
        <v>100.0</v>
      </c>
      <c r="AN98" s="33">
        <v>100.0</v>
      </c>
      <c r="AO98" s="33">
        <v>100.0</v>
      </c>
      <c r="AP98" s="18" t="s">
        <v>833</v>
      </c>
      <c r="AQ98" s="18" t="s">
        <v>827</v>
      </c>
      <c r="AR98" s="20" t="s">
        <v>92</v>
      </c>
      <c r="AS98" s="20" t="s">
        <v>93</v>
      </c>
      <c r="AT98" s="20" t="s">
        <v>94</v>
      </c>
      <c r="AU98" s="21" t="s">
        <v>94</v>
      </c>
      <c r="AV98" s="22" t="s">
        <v>635</v>
      </c>
      <c r="AW98" s="56" t="s">
        <v>834</v>
      </c>
      <c r="AX98" s="34"/>
      <c r="BA98" s="34"/>
      <c r="BB98" s="34"/>
    </row>
    <row r="99" hidden="1">
      <c r="A99" s="25" t="s">
        <v>835</v>
      </c>
      <c r="B99" s="26" t="s">
        <v>836</v>
      </c>
      <c r="C99" s="27" t="s">
        <v>757</v>
      </c>
      <c r="D99" s="27" t="s">
        <v>52</v>
      </c>
      <c r="E99" s="35" t="s">
        <v>84</v>
      </c>
      <c r="F99" s="27" t="s">
        <v>85</v>
      </c>
      <c r="G99" s="28">
        <v>349.0</v>
      </c>
      <c r="H99" s="36">
        <f t="shared" si="1"/>
        <v>331.55</v>
      </c>
      <c r="I99" s="29" t="s">
        <v>55</v>
      </c>
      <c r="J99" s="30" t="s">
        <v>465</v>
      </c>
      <c r="K99" s="30" t="s">
        <v>243</v>
      </c>
      <c r="L99" s="31" t="s">
        <v>154</v>
      </c>
      <c r="M99" s="31" t="s">
        <v>810</v>
      </c>
      <c r="N99" s="33">
        <v>100.0</v>
      </c>
      <c r="O99" s="33">
        <v>100.0</v>
      </c>
      <c r="P99" s="33">
        <v>100.0</v>
      </c>
      <c r="Q99" s="33">
        <v>72.0</v>
      </c>
      <c r="R99" s="33">
        <v>15.0</v>
      </c>
      <c r="S99" s="33">
        <v>92.0</v>
      </c>
      <c r="T99" s="33">
        <v>55.0</v>
      </c>
      <c r="U99" s="33">
        <v>42.0</v>
      </c>
      <c r="V99" s="33">
        <v>35.0</v>
      </c>
      <c r="W99" s="33">
        <v>15.0</v>
      </c>
      <c r="X99" s="33">
        <v>95.0</v>
      </c>
      <c r="Y99" s="33">
        <v>55.0</v>
      </c>
      <c r="Z99" s="33">
        <v>20.0</v>
      </c>
      <c r="AA99" s="33">
        <v>98.0</v>
      </c>
      <c r="AB99" s="33">
        <v>95.0</v>
      </c>
      <c r="AC99" s="33">
        <v>55.0</v>
      </c>
      <c r="AD99" s="33">
        <v>10.0</v>
      </c>
      <c r="AE99" s="33">
        <v>92.0</v>
      </c>
      <c r="AF99" s="33">
        <v>98.0</v>
      </c>
      <c r="AG99" s="33">
        <v>92.0</v>
      </c>
      <c r="AH99" s="33">
        <v>98.0</v>
      </c>
      <c r="AI99" s="33">
        <v>95.0</v>
      </c>
      <c r="AJ99" s="33">
        <v>98.0</v>
      </c>
      <c r="AK99" s="33">
        <v>94.0</v>
      </c>
      <c r="AL99" s="33">
        <v>99.0</v>
      </c>
      <c r="AM99" s="33">
        <v>100.0</v>
      </c>
      <c r="AN99" s="33">
        <v>100.0</v>
      </c>
      <c r="AO99" s="33">
        <v>100.0</v>
      </c>
      <c r="AP99" s="18" t="s">
        <v>837</v>
      </c>
      <c r="AQ99" s="18" t="s">
        <v>838</v>
      </c>
      <c r="AR99" s="20" t="s">
        <v>92</v>
      </c>
      <c r="AS99" s="20" t="s">
        <v>93</v>
      </c>
      <c r="AT99" s="20" t="s">
        <v>94</v>
      </c>
      <c r="AU99" s="21" t="s">
        <v>94</v>
      </c>
      <c r="AV99" s="22" t="s">
        <v>554</v>
      </c>
      <c r="AW99" s="56" t="s">
        <v>839</v>
      </c>
      <c r="AX99" s="34"/>
      <c r="BA99" s="34"/>
      <c r="BB99" s="34"/>
    </row>
    <row r="100" hidden="1">
      <c r="A100" s="25" t="s">
        <v>840</v>
      </c>
      <c r="B100" s="26" t="s">
        <v>841</v>
      </c>
      <c r="C100" s="27" t="s">
        <v>757</v>
      </c>
      <c r="D100" s="27" t="s">
        <v>52</v>
      </c>
      <c r="E100" s="35" t="s">
        <v>84</v>
      </c>
      <c r="F100" s="27" t="s">
        <v>85</v>
      </c>
      <c r="G100" s="28">
        <v>349.0</v>
      </c>
      <c r="H100" s="36">
        <f t="shared" si="1"/>
        <v>331.55</v>
      </c>
      <c r="I100" s="29" t="s">
        <v>55</v>
      </c>
      <c r="J100" s="30" t="s">
        <v>622</v>
      </c>
      <c r="K100" s="30" t="s">
        <v>842</v>
      </c>
      <c r="L100" s="31" t="s">
        <v>736</v>
      </c>
      <c r="M100" s="31" t="s">
        <v>843</v>
      </c>
      <c r="N100" s="33">
        <v>100.0</v>
      </c>
      <c r="O100" s="33">
        <v>100.0</v>
      </c>
      <c r="P100" s="33">
        <v>100.0</v>
      </c>
      <c r="Q100" s="33">
        <v>40.0</v>
      </c>
      <c r="R100" s="33">
        <v>10.0</v>
      </c>
      <c r="S100" s="33">
        <v>82.0</v>
      </c>
      <c r="T100" s="33">
        <v>25.0</v>
      </c>
      <c r="U100" s="33">
        <v>90.0</v>
      </c>
      <c r="V100" s="33">
        <v>92.0</v>
      </c>
      <c r="W100" s="33">
        <v>82.0</v>
      </c>
      <c r="X100" s="33">
        <v>72.0</v>
      </c>
      <c r="Y100" s="33">
        <v>18.0</v>
      </c>
      <c r="Z100" s="33">
        <v>25.0</v>
      </c>
      <c r="AA100" s="33">
        <v>82.0</v>
      </c>
      <c r="AB100" s="33">
        <v>90.0</v>
      </c>
      <c r="AC100" s="33">
        <v>90.0</v>
      </c>
      <c r="AD100" s="33">
        <v>35.0</v>
      </c>
      <c r="AE100" s="33">
        <v>90.0</v>
      </c>
      <c r="AF100" s="33">
        <v>90.0</v>
      </c>
      <c r="AG100" s="33">
        <v>82.0</v>
      </c>
      <c r="AH100" s="33">
        <v>85.0</v>
      </c>
      <c r="AI100" s="33">
        <v>90.0</v>
      </c>
      <c r="AJ100" s="33">
        <v>90.0</v>
      </c>
      <c r="AK100" s="33">
        <v>90.0</v>
      </c>
      <c r="AL100" s="33">
        <v>89.0</v>
      </c>
      <c r="AM100" s="33">
        <v>0.0</v>
      </c>
      <c r="AN100" s="33">
        <v>100.0</v>
      </c>
      <c r="AO100" s="33">
        <v>100.0</v>
      </c>
      <c r="AP100" s="18" t="s">
        <v>844</v>
      </c>
      <c r="AQ100" s="18" t="s">
        <v>845</v>
      </c>
      <c r="AR100" s="20" t="s">
        <v>92</v>
      </c>
      <c r="AS100" s="20" t="s">
        <v>93</v>
      </c>
      <c r="AT100" s="20" t="s">
        <v>94</v>
      </c>
      <c r="AU100" s="21" t="s">
        <v>94</v>
      </c>
      <c r="AV100" s="22" t="s">
        <v>846</v>
      </c>
      <c r="AW100" s="56" t="s">
        <v>847</v>
      </c>
      <c r="AX100" s="34"/>
      <c r="AY100" s="55"/>
      <c r="AZ100" s="55"/>
      <c r="BA100" s="34"/>
      <c r="BB100" s="34"/>
    </row>
    <row r="101" hidden="1">
      <c r="A101" s="25" t="s">
        <v>848</v>
      </c>
      <c r="B101" s="26" t="s">
        <v>849</v>
      </c>
      <c r="C101" s="27" t="s">
        <v>757</v>
      </c>
      <c r="D101" s="27" t="s">
        <v>52</v>
      </c>
      <c r="E101" s="27" t="s">
        <v>69</v>
      </c>
      <c r="F101" s="27" t="s">
        <v>831</v>
      </c>
      <c r="G101" s="28">
        <v>499.0</v>
      </c>
      <c r="H101" s="36">
        <f t="shared" si="1"/>
        <v>474.05</v>
      </c>
      <c r="I101" s="29" t="s">
        <v>55</v>
      </c>
      <c r="J101" s="30" t="s">
        <v>71</v>
      </c>
      <c r="K101" s="30" t="s">
        <v>162</v>
      </c>
      <c r="L101" s="31" t="s">
        <v>104</v>
      </c>
      <c r="M101" s="31" t="s">
        <v>850</v>
      </c>
      <c r="N101" s="33">
        <v>0.0</v>
      </c>
      <c r="O101" s="33">
        <v>100.0</v>
      </c>
      <c r="P101" s="33">
        <v>100.0</v>
      </c>
      <c r="Q101" s="33">
        <v>98.0</v>
      </c>
      <c r="R101" s="33">
        <v>35.0</v>
      </c>
      <c r="S101" s="33">
        <v>20.0</v>
      </c>
      <c r="T101" s="33">
        <v>95.0</v>
      </c>
      <c r="U101" s="33">
        <v>45.0</v>
      </c>
      <c r="V101" s="33">
        <v>35.0</v>
      </c>
      <c r="W101" s="33">
        <v>15.0</v>
      </c>
      <c r="X101" s="33">
        <v>35.0</v>
      </c>
      <c r="Y101" s="33">
        <v>99.0</v>
      </c>
      <c r="Z101" s="33">
        <v>10.0</v>
      </c>
      <c r="AA101" s="33">
        <v>45.0</v>
      </c>
      <c r="AB101" s="33">
        <v>25.0</v>
      </c>
      <c r="AC101" s="33">
        <v>55.0</v>
      </c>
      <c r="AD101" s="33">
        <v>10.0</v>
      </c>
      <c r="AE101" s="33">
        <v>98.0</v>
      </c>
      <c r="AF101" s="33">
        <v>72.0</v>
      </c>
      <c r="AG101" s="33">
        <v>20.0</v>
      </c>
      <c r="AH101" s="33">
        <v>15.0</v>
      </c>
      <c r="AI101" s="33">
        <v>90.0</v>
      </c>
      <c r="AJ101" s="33">
        <v>65.0</v>
      </c>
      <c r="AK101" s="33">
        <v>98.0</v>
      </c>
      <c r="AL101" s="33">
        <v>72.0</v>
      </c>
      <c r="AM101" s="33">
        <v>-100.0</v>
      </c>
      <c r="AN101" s="33">
        <v>100.0</v>
      </c>
      <c r="AO101" s="33">
        <v>100.0</v>
      </c>
      <c r="AP101" s="18" t="s">
        <v>851</v>
      </c>
      <c r="AQ101" s="18" t="s">
        <v>852</v>
      </c>
      <c r="AR101" s="20" t="s">
        <v>166</v>
      </c>
      <c r="AS101" s="20" t="s">
        <v>167</v>
      </c>
      <c r="AT101" s="20" t="s">
        <v>168</v>
      </c>
      <c r="AU101" s="21" t="s">
        <v>168</v>
      </c>
      <c r="AV101" s="22" t="s">
        <v>395</v>
      </c>
      <c r="AW101" s="56" t="s">
        <v>853</v>
      </c>
      <c r="AX101" s="34"/>
      <c r="BA101" s="34"/>
      <c r="BB101" s="34"/>
    </row>
    <row r="102" hidden="1">
      <c r="A102" s="25" t="s">
        <v>854</v>
      </c>
      <c r="B102" s="26" t="s">
        <v>855</v>
      </c>
      <c r="C102" s="27" t="s">
        <v>757</v>
      </c>
      <c r="D102" s="27" t="s">
        <v>52</v>
      </c>
      <c r="E102" s="27" t="s">
        <v>69</v>
      </c>
      <c r="F102" s="27" t="s">
        <v>831</v>
      </c>
      <c r="G102" s="28">
        <v>499.0</v>
      </c>
      <c r="H102" s="36">
        <f t="shared" si="1"/>
        <v>474.05</v>
      </c>
      <c r="I102" s="29" t="s">
        <v>55</v>
      </c>
      <c r="J102" s="30" t="s">
        <v>266</v>
      </c>
      <c r="K102" s="30" t="s">
        <v>243</v>
      </c>
      <c r="L102" s="31" t="s">
        <v>399</v>
      </c>
      <c r="M102" s="31" t="s">
        <v>856</v>
      </c>
      <c r="N102" s="33">
        <v>100.0</v>
      </c>
      <c r="O102" s="33">
        <v>100.0</v>
      </c>
      <c r="P102" s="33">
        <v>100.0</v>
      </c>
      <c r="Q102" s="33">
        <v>35.0</v>
      </c>
      <c r="R102" s="33">
        <v>10.0</v>
      </c>
      <c r="S102" s="33">
        <v>98.0</v>
      </c>
      <c r="T102" s="33">
        <v>10.0</v>
      </c>
      <c r="U102" s="33">
        <v>15.0</v>
      </c>
      <c r="V102" s="33">
        <v>10.0</v>
      </c>
      <c r="W102" s="33">
        <v>5.0</v>
      </c>
      <c r="X102" s="33">
        <v>98.0</v>
      </c>
      <c r="Y102" s="33">
        <v>10.0</v>
      </c>
      <c r="Z102" s="33">
        <v>35.0</v>
      </c>
      <c r="AA102" s="33">
        <v>98.0</v>
      </c>
      <c r="AB102" s="33">
        <v>98.0</v>
      </c>
      <c r="AC102" s="33">
        <v>50.0</v>
      </c>
      <c r="AD102" s="33">
        <v>5.0</v>
      </c>
      <c r="AE102" s="33">
        <v>82.0</v>
      </c>
      <c r="AF102" s="33">
        <v>95.0</v>
      </c>
      <c r="AG102" s="33">
        <v>98.0</v>
      </c>
      <c r="AH102" s="33">
        <v>98.0</v>
      </c>
      <c r="AI102" s="33">
        <v>90.0</v>
      </c>
      <c r="AJ102" s="33">
        <v>98.0</v>
      </c>
      <c r="AK102" s="33">
        <v>90.0</v>
      </c>
      <c r="AL102" s="33">
        <v>96.0</v>
      </c>
      <c r="AM102" s="33">
        <v>100.0</v>
      </c>
      <c r="AN102" s="33">
        <v>100.0</v>
      </c>
      <c r="AO102" s="33">
        <v>100.0</v>
      </c>
      <c r="AP102" s="18" t="s">
        <v>857</v>
      </c>
      <c r="AQ102" s="18" t="s">
        <v>858</v>
      </c>
      <c r="AR102" s="20" t="s">
        <v>166</v>
      </c>
      <c r="AS102" s="20" t="s">
        <v>167</v>
      </c>
      <c r="AT102" s="20" t="s">
        <v>168</v>
      </c>
      <c r="AU102" s="21" t="s">
        <v>168</v>
      </c>
      <c r="AV102" s="22" t="s">
        <v>426</v>
      </c>
      <c r="AW102" s="56" t="s">
        <v>859</v>
      </c>
      <c r="AX102" s="34"/>
      <c r="BA102" s="34"/>
      <c r="BB102" s="34"/>
    </row>
    <row r="103" hidden="1">
      <c r="A103" s="25" t="s">
        <v>860</v>
      </c>
      <c r="B103" s="26" t="s">
        <v>861</v>
      </c>
      <c r="C103" s="27" t="s">
        <v>757</v>
      </c>
      <c r="D103" s="27" t="s">
        <v>52</v>
      </c>
      <c r="E103" s="35" t="s">
        <v>84</v>
      </c>
      <c r="F103" s="27" t="s">
        <v>85</v>
      </c>
      <c r="G103" s="28">
        <v>349.0</v>
      </c>
      <c r="H103" s="36">
        <f t="shared" si="1"/>
        <v>331.55</v>
      </c>
      <c r="I103" s="29" t="s">
        <v>55</v>
      </c>
      <c r="J103" s="30" t="s">
        <v>465</v>
      </c>
      <c r="K103" s="30" t="s">
        <v>243</v>
      </c>
      <c r="L103" s="31" t="s">
        <v>391</v>
      </c>
      <c r="M103" s="31" t="s">
        <v>862</v>
      </c>
      <c r="N103" s="33">
        <v>100.0</v>
      </c>
      <c r="O103" s="33">
        <v>100.0</v>
      </c>
      <c r="P103" s="33">
        <v>100.0</v>
      </c>
      <c r="Q103" s="33">
        <v>75.0</v>
      </c>
      <c r="R103" s="33">
        <v>15.0</v>
      </c>
      <c r="S103" s="33">
        <v>90.0</v>
      </c>
      <c r="T103" s="33">
        <v>55.0</v>
      </c>
      <c r="U103" s="33">
        <v>35.0</v>
      </c>
      <c r="V103" s="33">
        <v>30.0</v>
      </c>
      <c r="W103" s="33">
        <v>15.0</v>
      </c>
      <c r="X103" s="33">
        <v>98.0</v>
      </c>
      <c r="Y103" s="33">
        <v>55.0</v>
      </c>
      <c r="Z103" s="33">
        <v>20.0</v>
      </c>
      <c r="AA103" s="33">
        <v>98.0</v>
      </c>
      <c r="AB103" s="33">
        <v>95.0</v>
      </c>
      <c r="AC103" s="33">
        <v>50.0</v>
      </c>
      <c r="AD103" s="33">
        <v>5.0</v>
      </c>
      <c r="AE103" s="33">
        <v>95.0</v>
      </c>
      <c r="AF103" s="33">
        <v>98.0</v>
      </c>
      <c r="AG103" s="33">
        <v>90.0</v>
      </c>
      <c r="AH103" s="33">
        <v>96.0</v>
      </c>
      <c r="AI103" s="33">
        <v>95.0</v>
      </c>
      <c r="AJ103" s="33">
        <v>98.0</v>
      </c>
      <c r="AK103" s="33">
        <v>95.0</v>
      </c>
      <c r="AL103" s="33">
        <v>99.0</v>
      </c>
      <c r="AM103" s="33">
        <v>100.0</v>
      </c>
      <c r="AN103" s="33">
        <v>100.0</v>
      </c>
      <c r="AO103" s="33">
        <v>100.0</v>
      </c>
      <c r="AP103" s="18" t="s">
        <v>863</v>
      </c>
      <c r="AQ103" s="18" t="s">
        <v>864</v>
      </c>
      <c r="AR103" s="20" t="s">
        <v>92</v>
      </c>
      <c r="AS103" s="20" t="s">
        <v>93</v>
      </c>
      <c r="AT103" s="20" t="s">
        <v>94</v>
      </c>
      <c r="AU103" s="21" t="s">
        <v>94</v>
      </c>
      <c r="AV103" s="22" t="s">
        <v>336</v>
      </c>
      <c r="AW103" s="56" t="s">
        <v>865</v>
      </c>
      <c r="AX103" s="34"/>
      <c r="BA103" s="34"/>
      <c r="BB103" s="34"/>
    </row>
    <row r="104" hidden="1">
      <c r="A104" s="25" t="s">
        <v>866</v>
      </c>
      <c r="B104" s="26" t="s">
        <v>867</v>
      </c>
      <c r="C104" s="27" t="s">
        <v>757</v>
      </c>
      <c r="D104" s="27" t="s">
        <v>52</v>
      </c>
      <c r="E104" s="27" t="s">
        <v>502</v>
      </c>
      <c r="F104" s="27" t="s">
        <v>292</v>
      </c>
      <c r="G104" s="28">
        <v>649.0</v>
      </c>
      <c r="H104" s="36">
        <f t="shared" si="1"/>
        <v>616.55</v>
      </c>
      <c r="I104" s="29" t="s">
        <v>55</v>
      </c>
      <c r="J104" s="30" t="s">
        <v>266</v>
      </c>
      <c r="K104" s="30" t="s">
        <v>202</v>
      </c>
      <c r="L104" s="31" t="s">
        <v>203</v>
      </c>
      <c r="M104" s="31" t="s">
        <v>868</v>
      </c>
      <c r="N104" s="33">
        <v>100.0</v>
      </c>
      <c r="O104" s="33">
        <v>100.0</v>
      </c>
      <c r="P104" s="33">
        <v>100.0</v>
      </c>
      <c r="Q104" s="33">
        <v>25.0</v>
      </c>
      <c r="R104" s="33">
        <v>10.0</v>
      </c>
      <c r="S104" s="33">
        <v>98.0</v>
      </c>
      <c r="T104" s="33">
        <v>5.0</v>
      </c>
      <c r="U104" s="33">
        <v>20.0</v>
      </c>
      <c r="V104" s="33">
        <v>15.0</v>
      </c>
      <c r="W104" s="33">
        <v>10.0</v>
      </c>
      <c r="X104" s="33">
        <v>85.0</v>
      </c>
      <c r="Y104" s="33">
        <v>5.0</v>
      </c>
      <c r="Z104" s="33">
        <v>25.0</v>
      </c>
      <c r="AA104" s="33">
        <v>95.0</v>
      </c>
      <c r="AB104" s="33">
        <v>98.0</v>
      </c>
      <c r="AC104" s="33">
        <v>60.0</v>
      </c>
      <c r="AD104" s="33">
        <v>5.0</v>
      </c>
      <c r="AE104" s="33">
        <v>80.0</v>
      </c>
      <c r="AF104" s="33">
        <v>90.0</v>
      </c>
      <c r="AG104" s="33">
        <v>98.0</v>
      </c>
      <c r="AH104" s="33">
        <v>98.0</v>
      </c>
      <c r="AI104" s="33">
        <v>90.0</v>
      </c>
      <c r="AJ104" s="33">
        <v>98.0</v>
      </c>
      <c r="AK104" s="33">
        <v>90.0</v>
      </c>
      <c r="AL104" s="33">
        <v>96.0</v>
      </c>
      <c r="AM104" s="33">
        <v>100.0</v>
      </c>
      <c r="AN104" s="33">
        <v>100.0</v>
      </c>
      <c r="AO104" s="33">
        <v>100.0</v>
      </c>
      <c r="AP104" s="18" t="s">
        <v>869</v>
      </c>
      <c r="AQ104" s="18" t="s">
        <v>870</v>
      </c>
      <c r="AR104" s="20" t="s">
        <v>507</v>
      </c>
      <c r="AS104" s="20" t="s">
        <v>508</v>
      </c>
      <c r="AT104" s="20" t="s">
        <v>509</v>
      </c>
      <c r="AU104" s="21" t="s">
        <v>509</v>
      </c>
      <c r="AV104" s="22" t="s">
        <v>871</v>
      </c>
      <c r="AW104" s="56" t="s">
        <v>872</v>
      </c>
      <c r="AX104" s="34"/>
      <c r="BA104" s="34"/>
      <c r="BB104" s="34"/>
    </row>
    <row r="105" hidden="1">
      <c r="A105" s="25" t="s">
        <v>873</v>
      </c>
      <c r="B105" s="26" t="s">
        <v>874</v>
      </c>
      <c r="C105" s="27" t="s">
        <v>757</v>
      </c>
      <c r="D105" s="27" t="s">
        <v>99</v>
      </c>
      <c r="E105" s="27" t="s">
        <v>112</v>
      </c>
      <c r="F105" s="27" t="s">
        <v>101</v>
      </c>
      <c r="G105" s="28">
        <v>349.0</v>
      </c>
      <c r="H105" s="36">
        <f t="shared" si="1"/>
        <v>331.55</v>
      </c>
      <c r="I105" s="29" t="s">
        <v>55</v>
      </c>
      <c r="J105" s="30" t="s">
        <v>201</v>
      </c>
      <c r="K105" s="30" t="s">
        <v>57</v>
      </c>
      <c r="L105" s="31" t="s">
        <v>399</v>
      </c>
      <c r="M105" s="31" t="s">
        <v>875</v>
      </c>
      <c r="N105" s="33">
        <v>100.0</v>
      </c>
      <c r="O105" s="33">
        <v>100.0</v>
      </c>
      <c r="P105" s="33">
        <v>100.0</v>
      </c>
      <c r="Q105" s="33">
        <v>25.0</v>
      </c>
      <c r="R105" s="33">
        <v>15.0</v>
      </c>
      <c r="S105" s="33">
        <v>98.0</v>
      </c>
      <c r="T105" s="33">
        <v>10.0</v>
      </c>
      <c r="U105" s="33">
        <v>10.0</v>
      </c>
      <c r="V105" s="33">
        <v>5.0</v>
      </c>
      <c r="W105" s="33">
        <v>5.0</v>
      </c>
      <c r="X105" s="33">
        <v>98.0</v>
      </c>
      <c r="Y105" s="33">
        <v>10.0</v>
      </c>
      <c r="Z105" s="33">
        <v>30.0</v>
      </c>
      <c r="AA105" s="33">
        <v>98.0</v>
      </c>
      <c r="AB105" s="33">
        <v>98.0</v>
      </c>
      <c r="AC105" s="33">
        <v>45.0</v>
      </c>
      <c r="AD105" s="33">
        <v>5.0</v>
      </c>
      <c r="AE105" s="33">
        <v>72.0</v>
      </c>
      <c r="AF105" s="33">
        <v>90.0</v>
      </c>
      <c r="AG105" s="33">
        <v>98.0</v>
      </c>
      <c r="AH105" s="33">
        <v>98.0</v>
      </c>
      <c r="AI105" s="33">
        <v>90.0</v>
      </c>
      <c r="AJ105" s="33">
        <v>96.0</v>
      </c>
      <c r="AK105" s="33">
        <v>85.0</v>
      </c>
      <c r="AL105" s="33">
        <v>94.0</v>
      </c>
      <c r="AM105" s="33">
        <v>100.0</v>
      </c>
      <c r="AN105" s="33">
        <v>100.0</v>
      </c>
      <c r="AO105" s="33">
        <v>100.0</v>
      </c>
      <c r="AP105" s="18" t="s">
        <v>876</v>
      </c>
      <c r="AQ105" s="18" t="s">
        <v>877</v>
      </c>
      <c r="AR105" s="20" t="s">
        <v>118</v>
      </c>
      <c r="AS105" s="20" t="s">
        <v>119</v>
      </c>
      <c r="AT105" s="20" t="s">
        <v>120</v>
      </c>
      <c r="AU105" s="21" t="s">
        <v>120</v>
      </c>
      <c r="AV105" s="22" t="s">
        <v>731</v>
      </c>
      <c r="AW105" s="56" t="s">
        <v>878</v>
      </c>
      <c r="AX105" s="34"/>
      <c r="AY105" s="55"/>
      <c r="AZ105" s="55"/>
      <c r="BA105" s="34"/>
      <c r="BB105" s="34"/>
    </row>
    <row r="106" hidden="1">
      <c r="A106" s="25" t="s">
        <v>879</v>
      </c>
      <c r="B106" s="26" t="s">
        <v>528</v>
      </c>
      <c r="C106" s="29" t="s">
        <v>390</v>
      </c>
      <c r="D106" s="27" t="s">
        <v>99</v>
      </c>
      <c r="E106" s="27" t="s">
        <v>112</v>
      </c>
      <c r="F106" s="27" t="s">
        <v>182</v>
      </c>
      <c r="G106" s="28">
        <v>395.0</v>
      </c>
      <c r="H106" s="36">
        <f t="shared" si="1"/>
        <v>375.25</v>
      </c>
      <c r="I106" s="29" t="s">
        <v>55</v>
      </c>
      <c r="J106" s="30" t="s">
        <v>139</v>
      </c>
      <c r="K106" s="30" t="s">
        <v>880</v>
      </c>
      <c r="L106" s="31" t="s">
        <v>314</v>
      </c>
      <c r="M106" s="31" t="s">
        <v>529</v>
      </c>
      <c r="N106" s="33">
        <v>100.0</v>
      </c>
      <c r="O106" s="33">
        <v>100.0</v>
      </c>
      <c r="P106" s="33">
        <v>100.0</v>
      </c>
      <c r="Q106" s="33">
        <v>35.0</v>
      </c>
      <c r="R106" s="33">
        <v>45.0</v>
      </c>
      <c r="S106" s="33">
        <v>85.0</v>
      </c>
      <c r="T106" s="33">
        <v>15.0</v>
      </c>
      <c r="U106" s="33">
        <v>85.0</v>
      </c>
      <c r="V106" s="33">
        <v>90.0</v>
      </c>
      <c r="W106" s="33">
        <v>55.0</v>
      </c>
      <c r="X106" s="33">
        <v>75.0</v>
      </c>
      <c r="Y106" s="33">
        <v>15.0</v>
      </c>
      <c r="Z106" s="33">
        <v>30.0</v>
      </c>
      <c r="AA106" s="33">
        <v>80.0</v>
      </c>
      <c r="AB106" s="33">
        <v>90.0</v>
      </c>
      <c r="AC106" s="33">
        <v>90.0</v>
      </c>
      <c r="AD106" s="33">
        <v>40.0</v>
      </c>
      <c r="AE106" s="33">
        <v>80.0</v>
      </c>
      <c r="AF106" s="33">
        <v>78.0</v>
      </c>
      <c r="AG106" s="33">
        <v>92.0</v>
      </c>
      <c r="AH106" s="33">
        <v>90.0</v>
      </c>
      <c r="AI106" s="33">
        <v>85.0</v>
      </c>
      <c r="AJ106" s="33">
        <v>82.0</v>
      </c>
      <c r="AK106" s="33">
        <v>84.0</v>
      </c>
      <c r="AL106" s="33">
        <v>80.0</v>
      </c>
      <c r="AM106" s="33">
        <v>100.0</v>
      </c>
      <c r="AN106" s="33">
        <v>100.0</v>
      </c>
      <c r="AO106" s="33">
        <v>100.0</v>
      </c>
      <c r="AP106" s="18" t="s">
        <v>530</v>
      </c>
      <c r="AQ106" s="18" t="s">
        <v>531</v>
      </c>
      <c r="AR106" s="20" t="s">
        <v>118</v>
      </c>
      <c r="AS106" s="20" t="s">
        <v>119</v>
      </c>
      <c r="AT106" s="20" t="s">
        <v>120</v>
      </c>
      <c r="AU106" s="21" t="s">
        <v>120</v>
      </c>
      <c r="AV106" s="22" t="s">
        <v>532</v>
      </c>
      <c r="AW106" s="56" t="s">
        <v>881</v>
      </c>
      <c r="AX106" s="34"/>
      <c r="BA106" s="34"/>
      <c r="BB106" s="34"/>
    </row>
    <row r="107" hidden="1">
      <c r="A107" s="25" t="s">
        <v>882</v>
      </c>
      <c r="B107" s="26" t="s">
        <v>883</v>
      </c>
      <c r="C107" s="27" t="s">
        <v>757</v>
      </c>
      <c r="D107" s="27" t="s">
        <v>99</v>
      </c>
      <c r="E107" s="27" t="s">
        <v>100</v>
      </c>
      <c r="F107" s="27" t="s">
        <v>182</v>
      </c>
      <c r="G107" s="28">
        <v>399.0</v>
      </c>
      <c r="H107" s="36">
        <f t="shared" si="1"/>
        <v>379.05</v>
      </c>
      <c r="I107" s="29" t="s">
        <v>55</v>
      </c>
      <c r="J107" s="30" t="s">
        <v>266</v>
      </c>
      <c r="K107" s="30" t="s">
        <v>57</v>
      </c>
      <c r="L107" s="31" t="s">
        <v>399</v>
      </c>
      <c r="M107" s="31" t="s">
        <v>875</v>
      </c>
      <c r="N107" s="33">
        <v>100.0</v>
      </c>
      <c r="O107" s="33">
        <v>100.0</v>
      </c>
      <c r="P107" s="33">
        <v>100.0</v>
      </c>
      <c r="Q107" s="33">
        <v>20.0</v>
      </c>
      <c r="R107" s="33">
        <v>15.0</v>
      </c>
      <c r="S107" s="33">
        <v>92.0</v>
      </c>
      <c r="T107" s="33">
        <v>10.0</v>
      </c>
      <c r="U107" s="33">
        <v>10.0</v>
      </c>
      <c r="V107" s="33">
        <v>5.0</v>
      </c>
      <c r="W107" s="33">
        <v>5.0</v>
      </c>
      <c r="X107" s="33">
        <v>95.0</v>
      </c>
      <c r="Y107" s="33">
        <v>10.0</v>
      </c>
      <c r="Z107" s="33">
        <v>15.0</v>
      </c>
      <c r="AA107" s="33">
        <v>95.0</v>
      </c>
      <c r="AB107" s="33">
        <v>95.0</v>
      </c>
      <c r="AC107" s="33">
        <v>35.0</v>
      </c>
      <c r="AD107" s="33">
        <v>5.0</v>
      </c>
      <c r="AE107" s="33">
        <v>78.0</v>
      </c>
      <c r="AF107" s="33">
        <v>92.0</v>
      </c>
      <c r="AG107" s="33">
        <v>98.0</v>
      </c>
      <c r="AH107" s="33">
        <v>98.0</v>
      </c>
      <c r="AI107" s="33">
        <v>90.0</v>
      </c>
      <c r="AJ107" s="33">
        <v>96.0</v>
      </c>
      <c r="AK107" s="33">
        <v>90.0</v>
      </c>
      <c r="AL107" s="33">
        <v>95.0</v>
      </c>
      <c r="AM107" s="33">
        <v>100.0</v>
      </c>
      <c r="AN107" s="33">
        <v>100.0</v>
      </c>
      <c r="AO107" s="33">
        <v>100.0</v>
      </c>
      <c r="AP107" s="18" t="s">
        <v>884</v>
      </c>
      <c r="AQ107" s="18" t="s">
        <v>885</v>
      </c>
      <c r="AR107" s="20" t="s">
        <v>62</v>
      </c>
      <c r="AS107" s="20" t="s">
        <v>63</v>
      </c>
      <c r="AT107" s="20" t="s">
        <v>64</v>
      </c>
      <c r="AU107" s="21" t="s">
        <v>64</v>
      </c>
      <c r="AV107" s="22" t="s">
        <v>412</v>
      </c>
      <c r="AW107" s="56" t="s">
        <v>886</v>
      </c>
      <c r="AX107" s="34"/>
      <c r="BA107" s="34"/>
      <c r="BB107" s="34"/>
    </row>
    <row r="108" hidden="1">
      <c r="A108" s="65" t="s">
        <v>887</v>
      </c>
      <c r="B108" s="66" t="s">
        <v>888</v>
      </c>
      <c r="C108" s="67" t="s">
        <v>757</v>
      </c>
      <c r="D108" s="67" t="s">
        <v>99</v>
      </c>
      <c r="E108" s="67" t="s">
        <v>100</v>
      </c>
      <c r="F108" s="67" t="s">
        <v>182</v>
      </c>
      <c r="G108" s="68">
        <v>399.0</v>
      </c>
      <c r="H108" s="69">
        <f t="shared" si="1"/>
        <v>379.05</v>
      </c>
      <c r="I108" s="70" t="s">
        <v>55</v>
      </c>
      <c r="J108" s="71" t="s">
        <v>889</v>
      </c>
      <c r="K108" s="71" t="s">
        <v>57</v>
      </c>
      <c r="L108" s="72" t="s">
        <v>314</v>
      </c>
      <c r="M108" s="72" t="s">
        <v>890</v>
      </c>
      <c r="N108" s="73">
        <v>100.0</v>
      </c>
      <c r="O108" s="73">
        <v>100.0</v>
      </c>
      <c r="P108" s="73">
        <v>100.0</v>
      </c>
      <c r="Q108" s="73">
        <v>25.0</v>
      </c>
      <c r="R108" s="73">
        <v>35.0</v>
      </c>
      <c r="S108" s="73">
        <v>70.0</v>
      </c>
      <c r="T108" s="73">
        <v>15.0</v>
      </c>
      <c r="U108" s="73">
        <v>78.0</v>
      </c>
      <c r="V108" s="73">
        <v>82.0</v>
      </c>
      <c r="W108" s="73">
        <v>50.0</v>
      </c>
      <c r="X108" s="73">
        <v>65.0</v>
      </c>
      <c r="Y108" s="73">
        <v>10.0</v>
      </c>
      <c r="Z108" s="73">
        <v>15.0</v>
      </c>
      <c r="AA108" s="73">
        <v>90.0</v>
      </c>
      <c r="AB108" s="73">
        <v>90.0</v>
      </c>
      <c r="AC108" s="73">
        <v>90.0</v>
      </c>
      <c r="AD108" s="73">
        <v>25.0</v>
      </c>
      <c r="AE108" s="73">
        <v>82.0</v>
      </c>
      <c r="AF108" s="73">
        <v>85.0</v>
      </c>
      <c r="AG108" s="73">
        <v>78.0</v>
      </c>
      <c r="AH108" s="73">
        <v>82.0</v>
      </c>
      <c r="AI108" s="73">
        <v>85.0</v>
      </c>
      <c r="AJ108" s="73">
        <v>90.0</v>
      </c>
      <c r="AK108" s="73">
        <v>84.0</v>
      </c>
      <c r="AL108" s="73">
        <v>86.0</v>
      </c>
      <c r="AM108" s="73">
        <v>0.0</v>
      </c>
      <c r="AN108" s="73">
        <v>100.0</v>
      </c>
      <c r="AO108" s="73">
        <v>100.0</v>
      </c>
      <c r="AP108" s="74" t="s">
        <v>891</v>
      </c>
      <c r="AQ108" s="74" t="s">
        <v>892</v>
      </c>
      <c r="AR108" s="75" t="s">
        <v>62</v>
      </c>
      <c r="AS108" s="75" t="s">
        <v>63</v>
      </c>
      <c r="AT108" s="75" t="s">
        <v>64</v>
      </c>
      <c r="AU108" s="76" t="s">
        <v>64</v>
      </c>
      <c r="AV108" s="77" t="s">
        <v>412</v>
      </c>
      <c r="AW108" s="78" t="s">
        <v>893</v>
      </c>
      <c r="AX108" s="79"/>
      <c r="AY108" s="80"/>
      <c r="AZ108" s="80"/>
      <c r="BA108" s="79"/>
      <c r="BB108" s="79"/>
    </row>
    <row r="109" hidden="1">
      <c r="A109" s="25" t="s">
        <v>894</v>
      </c>
      <c r="B109" s="26" t="s">
        <v>895</v>
      </c>
      <c r="C109" s="27" t="s">
        <v>757</v>
      </c>
      <c r="D109" s="27" t="s">
        <v>52</v>
      </c>
      <c r="E109" s="27" t="s">
        <v>252</v>
      </c>
      <c r="F109" s="27" t="s">
        <v>70</v>
      </c>
      <c r="G109" s="28">
        <v>299.0</v>
      </c>
      <c r="H109" s="36">
        <f t="shared" si="1"/>
        <v>284.05</v>
      </c>
      <c r="I109" s="29" t="s">
        <v>55</v>
      </c>
      <c r="J109" s="30" t="s">
        <v>758</v>
      </c>
      <c r="K109" s="30" t="s">
        <v>759</v>
      </c>
      <c r="L109" s="31" t="s">
        <v>399</v>
      </c>
      <c r="M109" s="31" t="s">
        <v>760</v>
      </c>
      <c r="N109" s="33">
        <v>100.0</v>
      </c>
      <c r="O109" s="33">
        <v>100.0</v>
      </c>
      <c r="P109" s="33">
        <v>100.0</v>
      </c>
      <c r="Q109" s="33">
        <v>25.0</v>
      </c>
      <c r="R109" s="33">
        <v>10.0</v>
      </c>
      <c r="S109" s="33">
        <v>82.0</v>
      </c>
      <c r="T109" s="33">
        <v>15.0</v>
      </c>
      <c r="U109" s="33">
        <v>78.0</v>
      </c>
      <c r="V109" s="33">
        <v>82.0</v>
      </c>
      <c r="W109" s="33">
        <v>55.0</v>
      </c>
      <c r="X109" s="33">
        <v>90.0</v>
      </c>
      <c r="Y109" s="33">
        <v>10.0</v>
      </c>
      <c r="Z109" s="33">
        <v>35.0</v>
      </c>
      <c r="AA109" s="33">
        <v>90.0</v>
      </c>
      <c r="AB109" s="33">
        <v>90.0</v>
      </c>
      <c r="AC109" s="33">
        <v>80.0</v>
      </c>
      <c r="AD109" s="33">
        <v>98.0</v>
      </c>
      <c r="AE109" s="33">
        <v>90.0</v>
      </c>
      <c r="AF109" s="33">
        <v>92.0</v>
      </c>
      <c r="AG109" s="33">
        <v>85.0</v>
      </c>
      <c r="AH109" s="33">
        <v>90.0</v>
      </c>
      <c r="AI109" s="33">
        <v>90.0</v>
      </c>
      <c r="AJ109" s="33">
        <v>92.0</v>
      </c>
      <c r="AK109" s="33">
        <v>89.0</v>
      </c>
      <c r="AL109" s="33">
        <v>91.0</v>
      </c>
      <c r="AM109" s="33">
        <v>100.0</v>
      </c>
      <c r="AN109" s="33">
        <v>100.0</v>
      </c>
      <c r="AO109" s="33">
        <v>100.0</v>
      </c>
      <c r="AP109" s="18" t="s">
        <v>896</v>
      </c>
      <c r="AQ109" s="18" t="s">
        <v>897</v>
      </c>
      <c r="AR109" s="20" t="s">
        <v>144</v>
      </c>
      <c r="AS109" s="20" t="s">
        <v>145</v>
      </c>
      <c r="AT109" s="20" t="s">
        <v>146</v>
      </c>
      <c r="AU109" s="21" t="s">
        <v>146</v>
      </c>
      <c r="AV109" s="22" t="s">
        <v>763</v>
      </c>
      <c r="AW109" s="56" t="s">
        <v>898</v>
      </c>
      <c r="AX109" s="34"/>
      <c r="AY109" s="55"/>
      <c r="AZ109" s="55"/>
      <c r="BA109" s="34"/>
      <c r="BB109" s="34"/>
    </row>
    <row r="110" hidden="1">
      <c r="A110" s="25" t="s">
        <v>899</v>
      </c>
      <c r="B110" s="26" t="s">
        <v>900</v>
      </c>
      <c r="C110" s="27" t="s">
        <v>757</v>
      </c>
      <c r="D110" s="27" t="s">
        <v>52</v>
      </c>
      <c r="E110" s="27" t="s">
        <v>53</v>
      </c>
      <c r="F110" s="27" t="s">
        <v>152</v>
      </c>
      <c r="G110" s="28">
        <v>399.0</v>
      </c>
      <c r="H110" s="36">
        <f t="shared" si="1"/>
        <v>379.05</v>
      </c>
      <c r="I110" s="29" t="s">
        <v>55</v>
      </c>
      <c r="J110" s="30" t="s">
        <v>266</v>
      </c>
      <c r="K110" s="30" t="s">
        <v>243</v>
      </c>
      <c r="L110" s="31" t="s">
        <v>399</v>
      </c>
      <c r="M110" s="31" t="s">
        <v>901</v>
      </c>
      <c r="N110" s="33">
        <v>100.0</v>
      </c>
      <c r="O110" s="33">
        <v>100.0</v>
      </c>
      <c r="P110" s="33">
        <v>100.0</v>
      </c>
      <c r="Q110" s="33">
        <v>25.0</v>
      </c>
      <c r="R110" s="33">
        <v>10.0</v>
      </c>
      <c r="S110" s="33">
        <v>95.0</v>
      </c>
      <c r="T110" s="33">
        <v>10.0</v>
      </c>
      <c r="U110" s="33">
        <v>10.0</v>
      </c>
      <c r="V110" s="33">
        <v>5.0</v>
      </c>
      <c r="W110" s="33">
        <v>5.0</v>
      </c>
      <c r="X110" s="33">
        <v>98.0</v>
      </c>
      <c r="Y110" s="33">
        <v>10.0</v>
      </c>
      <c r="Z110" s="33">
        <v>15.0</v>
      </c>
      <c r="AA110" s="33">
        <v>98.0</v>
      </c>
      <c r="AB110" s="33">
        <v>98.0</v>
      </c>
      <c r="AC110" s="33">
        <v>40.0</v>
      </c>
      <c r="AD110" s="33">
        <v>5.0</v>
      </c>
      <c r="AE110" s="33">
        <v>80.0</v>
      </c>
      <c r="AF110" s="33">
        <v>98.0</v>
      </c>
      <c r="AG110" s="33">
        <v>98.0</v>
      </c>
      <c r="AH110" s="33">
        <v>98.0</v>
      </c>
      <c r="AI110" s="33">
        <v>90.0</v>
      </c>
      <c r="AJ110" s="33">
        <v>98.0</v>
      </c>
      <c r="AK110" s="33">
        <v>90.0</v>
      </c>
      <c r="AL110" s="33">
        <v>99.0</v>
      </c>
      <c r="AM110" s="33">
        <v>100.0</v>
      </c>
      <c r="AN110" s="33">
        <v>100.0</v>
      </c>
      <c r="AO110" s="33">
        <v>100.0</v>
      </c>
      <c r="AP110" s="18" t="s">
        <v>902</v>
      </c>
      <c r="AQ110" s="18" t="s">
        <v>903</v>
      </c>
      <c r="AR110" s="81" t="s">
        <v>62</v>
      </c>
      <c r="AS110" s="81" t="s">
        <v>63</v>
      </c>
      <c r="AT110" s="81" t="s">
        <v>64</v>
      </c>
      <c r="AU110" s="82" t="s">
        <v>64</v>
      </c>
      <c r="AV110" s="83" t="s">
        <v>310</v>
      </c>
      <c r="AW110" s="56" t="s">
        <v>904</v>
      </c>
      <c r="AX110" s="34"/>
      <c r="BA110" s="34"/>
      <c r="BB110" s="34"/>
    </row>
    <row r="111" hidden="1">
      <c r="A111" s="25" t="s">
        <v>905</v>
      </c>
      <c r="B111" s="26" t="s">
        <v>906</v>
      </c>
      <c r="C111" s="27" t="s">
        <v>757</v>
      </c>
      <c r="D111" s="27" t="s">
        <v>52</v>
      </c>
      <c r="E111" s="35" t="s">
        <v>84</v>
      </c>
      <c r="F111" s="27" t="s">
        <v>85</v>
      </c>
      <c r="G111" s="28">
        <v>349.0</v>
      </c>
      <c r="H111" s="36">
        <f t="shared" si="1"/>
        <v>331.55</v>
      </c>
      <c r="I111" s="29" t="s">
        <v>55</v>
      </c>
      <c r="J111" s="30" t="s">
        <v>71</v>
      </c>
      <c r="K111" s="30" t="s">
        <v>21</v>
      </c>
      <c r="L111" s="31" t="s">
        <v>907</v>
      </c>
      <c r="M111" s="31" t="s">
        <v>908</v>
      </c>
      <c r="N111" s="33">
        <v>0.0</v>
      </c>
      <c r="O111" s="33">
        <v>100.0</v>
      </c>
      <c r="P111" s="33">
        <v>100.0</v>
      </c>
      <c r="Q111" s="33">
        <v>55.0</v>
      </c>
      <c r="R111" s="33">
        <v>15.0</v>
      </c>
      <c r="S111" s="33">
        <v>72.0</v>
      </c>
      <c r="T111" s="33">
        <v>65.0</v>
      </c>
      <c r="U111" s="33">
        <v>82.0</v>
      </c>
      <c r="V111" s="33">
        <v>90.0</v>
      </c>
      <c r="W111" s="33">
        <v>65.0</v>
      </c>
      <c r="X111" s="33">
        <v>65.0</v>
      </c>
      <c r="Y111" s="33">
        <v>55.0</v>
      </c>
      <c r="Z111" s="33">
        <v>35.0</v>
      </c>
      <c r="AA111" s="33">
        <v>65.0</v>
      </c>
      <c r="AB111" s="33">
        <v>72.0</v>
      </c>
      <c r="AC111" s="33">
        <v>82.0</v>
      </c>
      <c r="AD111" s="33">
        <v>35.0</v>
      </c>
      <c r="AE111" s="33">
        <v>92.0</v>
      </c>
      <c r="AF111" s="33">
        <v>75.0</v>
      </c>
      <c r="AG111" s="33">
        <v>65.0</v>
      </c>
      <c r="AH111" s="33">
        <v>55.0</v>
      </c>
      <c r="AI111" s="33">
        <v>90.0</v>
      </c>
      <c r="AJ111" s="33">
        <v>78.0</v>
      </c>
      <c r="AK111" s="33">
        <v>90.0</v>
      </c>
      <c r="AL111" s="33">
        <v>80.0</v>
      </c>
      <c r="AM111" s="33">
        <v>0.0</v>
      </c>
      <c r="AN111" s="33">
        <v>100.0</v>
      </c>
      <c r="AO111" s="33">
        <v>100.0</v>
      </c>
      <c r="AP111" s="18" t="s">
        <v>909</v>
      </c>
      <c r="AQ111" s="18" t="s">
        <v>910</v>
      </c>
      <c r="AR111" s="81" t="s">
        <v>92</v>
      </c>
      <c r="AS111" s="81" t="s">
        <v>93</v>
      </c>
      <c r="AT111" s="81" t="s">
        <v>94</v>
      </c>
      <c r="AU111" s="82" t="s">
        <v>94</v>
      </c>
      <c r="AV111" s="83" t="s">
        <v>911</v>
      </c>
      <c r="AW111" s="56" t="s">
        <v>912</v>
      </c>
      <c r="AX111" s="34"/>
      <c r="BA111" s="34"/>
      <c r="BB111" s="34"/>
    </row>
    <row r="112" hidden="1">
      <c r="A112" s="25" t="s">
        <v>913</v>
      </c>
      <c r="B112" s="26" t="s">
        <v>914</v>
      </c>
      <c r="C112" s="27" t="s">
        <v>757</v>
      </c>
      <c r="D112" s="27" t="s">
        <v>52</v>
      </c>
      <c r="E112" s="27" t="s">
        <v>252</v>
      </c>
      <c r="F112" s="27" t="s">
        <v>85</v>
      </c>
      <c r="G112" s="28">
        <v>499.0</v>
      </c>
      <c r="H112" s="36">
        <f t="shared" si="1"/>
        <v>474.05</v>
      </c>
      <c r="I112" s="29" t="s">
        <v>55</v>
      </c>
      <c r="J112" s="30" t="s">
        <v>266</v>
      </c>
      <c r="K112" s="30" t="s">
        <v>588</v>
      </c>
      <c r="L112" s="31" t="s">
        <v>399</v>
      </c>
      <c r="M112" s="31" t="s">
        <v>915</v>
      </c>
      <c r="N112" s="33">
        <v>100.0</v>
      </c>
      <c r="O112" s="33">
        <v>100.0</v>
      </c>
      <c r="P112" s="33">
        <v>100.0</v>
      </c>
      <c r="Q112" s="33">
        <v>20.0</v>
      </c>
      <c r="R112" s="33">
        <v>10.0</v>
      </c>
      <c r="S112" s="33">
        <v>90.0</v>
      </c>
      <c r="T112" s="33">
        <v>10.0</v>
      </c>
      <c r="U112" s="33">
        <v>15.0</v>
      </c>
      <c r="V112" s="33">
        <v>10.0</v>
      </c>
      <c r="W112" s="33">
        <v>5.0</v>
      </c>
      <c r="X112" s="33">
        <v>95.0</v>
      </c>
      <c r="Y112" s="33">
        <v>10.0</v>
      </c>
      <c r="Z112" s="33">
        <v>25.0</v>
      </c>
      <c r="AA112" s="33">
        <v>98.0</v>
      </c>
      <c r="AB112" s="33">
        <v>95.0</v>
      </c>
      <c r="AC112" s="33">
        <v>45.0</v>
      </c>
      <c r="AD112" s="33">
        <v>98.0</v>
      </c>
      <c r="AE112" s="33">
        <v>82.0</v>
      </c>
      <c r="AF112" s="33">
        <v>98.0</v>
      </c>
      <c r="AG112" s="33">
        <v>92.0</v>
      </c>
      <c r="AH112" s="33">
        <v>98.0</v>
      </c>
      <c r="AI112" s="33">
        <v>90.0</v>
      </c>
      <c r="AJ112" s="33">
        <v>98.0</v>
      </c>
      <c r="AK112" s="33">
        <v>90.0</v>
      </c>
      <c r="AL112" s="33">
        <v>99.0</v>
      </c>
      <c r="AM112" s="33">
        <v>100.0</v>
      </c>
      <c r="AN112" s="33">
        <v>100.0</v>
      </c>
      <c r="AO112" s="33">
        <v>100.0</v>
      </c>
      <c r="AP112" s="18" t="s">
        <v>916</v>
      </c>
      <c r="AQ112" s="18" t="s">
        <v>917</v>
      </c>
      <c r="AR112" s="81" t="s">
        <v>144</v>
      </c>
      <c r="AS112" s="81" t="s">
        <v>145</v>
      </c>
      <c r="AT112" s="81" t="s">
        <v>146</v>
      </c>
      <c r="AU112" s="82" t="s">
        <v>146</v>
      </c>
      <c r="AV112" s="83" t="s">
        <v>612</v>
      </c>
      <c r="AW112" s="56" t="s">
        <v>918</v>
      </c>
      <c r="AX112" s="34"/>
      <c r="BA112" s="34"/>
      <c r="BB112" s="34"/>
    </row>
    <row r="113" hidden="1">
      <c r="A113" s="25" t="s">
        <v>919</v>
      </c>
      <c r="B113" s="26" t="s">
        <v>920</v>
      </c>
      <c r="C113" s="27" t="s">
        <v>757</v>
      </c>
      <c r="D113" s="27" t="s">
        <v>52</v>
      </c>
      <c r="E113" s="27" t="s">
        <v>252</v>
      </c>
      <c r="F113" s="27" t="s">
        <v>85</v>
      </c>
      <c r="G113" s="28">
        <v>499.0</v>
      </c>
      <c r="H113" s="36">
        <f t="shared" si="1"/>
        <v>474.05</v>
      </c>
      <c r="I113" s="29" t="s">
        <v>55</v>
      </c>
      <c r="J113" s="30" t="s">
        <v>921</v>
      </c>
      <c r="K113" s="30" t="s">
        <v>922</v>
      </c>
      <c r="L113" s="31" t="s">
        <v>736</v>
      </c>
      <c r="M113" s="31" t="s">
        <v>923</v>
      </c>
      <c r="N113" s="33">
        <v>100.0</v>
      </c>
      <c r="O113" s="33">
        <v>100.0</v>
      </c>
      <c r="P113" s="33">
        <v>100.0</v>
      </c>
      <c r="Q113" s="33">
        <v>25.0</v>
      </c>
      <c r="R113" s="33">
        <v>10.0</v>
      </c>
      <c r="S113" s="33">
        <v>75.0</v>
      </c>
      <c r="T113" s="33">
        <v>15.0</v>
      </c>
      <c r="U113" s="33">
        <v>90.0</v>
      </c>
      <c r="V113" s="33">
        <v>92.0</v>
      </c>
      <c r="W113" s="33">
        <v>82.0</v>
      </c>
      <c r="X113" s="33">
        <v>65.0</v>
      </c>
      <c r="Y113" s="33">
        <v>10.0</v>
      </c>
      <c r="Z113" s="33">
        <v>25.0</v>
      </c>
      <c r="AA113" s="33">
        <v>80.0</v>
      </c>
      <c r="AB113" s="33">
        <v>82.0</v>
      </c>
      <c r="AC113" s="33">
        <v>82.0</v>
      </c>
      <c r="AD113" s="33">
        <v>98.0</v>
      </c>
      <c r="AE113" s="33">
        <v>90.0</v>
      </c>
      <c r="AF113" s="33">
        <v>85.0</v>
      </c>
      <c r="AG113" s="33">
        <v>78.0</v>
      </c>
      <c r="AH113" s="33">
        <v>75.0</v>
      </c>
      <c r="AI113" s="33">
        <v>90.0</v>
      </c>
      <c r="AJ113" s="33">
        <v>86.0</v>
      </c>
      <c r="AK113" s="33">
        <v>89.0</v>
      </c>
      <c r="AL113" s="33">
        <v>87.0</v>
      </c>
      <c r="AM113" s="33">
        <v>0.0</v>
      </c>
      <c r="AN113" s="33">
        <v>100.0</v>
      </c>
      <c r="AO113" s="33">
        <v>100.0</v>
      </c>
      <c r="AP113" s="18" t="s">
        <v>924</v>
      </c>
      <c r="AQ113" s="18" t="s">
        <v>925</v>
      </c>
      <c r="AR113" s="81" t="s">
        <v>144</v>
      </c>
      <c r="AS113" s="81" t="s">
        <v>145</v>
      </c>
      <c r="AT113" s="81" t="s">
        <v>146</v>
      </c>
      <c r="AU113" s="82" t="s">
        <v>146</v>
      </c>
      <c r="AV113" s="83" t="s">
        <v>926</v>
      </c>
      <c r="AW113" s="56" t="s">
        <v>927</v>
      </c>
      <c r="AX113" s="34"/>
      <c r="BA113" s="34"/>
      <c r="BB113" s="34"/>
    </row>
    <row r="114" hidden="1">
      <c r="A114" s="25" t="s">
        <v>928</v>
      </c>
      <c r="B114" s="26" t="s">
        <v>929</v>
      </c>
      <c r="C114" s="27" t="s">
        <v>757</v>
      </c>
      <c r="D114" s="27" t="s">
        <v>52</v>
      </c>
      <c r="E114" s="35" t="s">
        <v>84</v>
      </c>
      <c r="F114" s="27" t="s">
        <v>85</v>
      </c>
      <c r="G114" s="28">
        <v>349.0</v>
      </c>
      <c r="H114" s="36">
        <f t="shared" si="1"/>
        <v>331.55</v>
      </c>
      <c r="I114" s="29" t="s">
        <v>55</v>
      </c>
      <c r="J114" s="30" t="s">
        <v>465</v>
      </c>
      <c r="K114" s="30" t="s">
        <v>243</v>
      </c>
      <c r="L114" s="31" t="s">
        <v>399</v>
      </c>
      <c r="M114" s="31" t="s">
        <v>544</v>
      </c>
      <c r="N114" s="33">
        <v>100.0</v>
      </c>
      <c r="O114" s="33">
        <v>100.0</v>
      </c>
      <c r="P114" s="33">
        <v>100.0</v>
      </c>
      <c r="Q114" s="33">
        <v>45.0</v>
      </c>
      <c r="R114" s="33">
        <v>10.0</v>
      </c>
      <c r="S114" s="33">
        <v>90.0</v>
      </c>
      <c r="T114" s="33">
        <v>25.0</v>
      </c>
      <c r="U114" s="33">
        <v>78.0</v>
      </c>
      <c r="V114" s="33">
        <v>82.0</v>
      </c>
      <c r="W114" s="33">
        <v>55.0</v>
      </c>
      <c r="X114" s="33">
        <v>95.0</v>
      </c>
      <c r="Y114" s="33">
        <v>20.0</v>
      </c>
      <c r="Z114" s="33">
        <v>35.0</v>
      </c>
      <c r="AA114" s="33">
        <v>92.0</v>
      </c>
      <c r="AB114" s="33">
        <v>95.0</v>
      </c>
      <c r="AC114" s="33">
        <v>85.0</v>
      </c>
      <c r="AD114" s="33">
        <v>30.0</v>
      </c>
      <c r="AE114" s="33">
        <v>90.0</v>
      </c>
      <c r="AF114" s="33">
        <v>95.0</v>
      </c>
      <c r="AG114" s="33">
        <v>92.0</v>
      </c>
      <c r="AH114" s="33">
        <v>98.0</v>
      </c>
      <c r="AI114" s="33">
        <v>92.0</v>
      </c>
      <c r="AJ114" s="33">
        <v>96.0</v>
      </c>
      <c r="AK114" s="33">
        <v>91.0</v>
      </c>
      <c r="AL114" s="33">
        <v>95.0</v>
      </c>
      <c r="AM114" s="33">
        <v>100.0</v>
      </c>
      <c r="AN114" s="33">
        <v>100.0</v>
      </c>
      <c r="AO114" s="33">
        <v>100.0</v>
      </c>
      <c r="AP114" s="18" t="s">
        <v>930</v>
      </c>
      <c r="AQ114" s="18" t="s">
        <v>827</v>
      </c>
      <c r="AR114" s="81" t="s">
        <v>92</v>
      </c>
      <c r="AS114" s="81" t="s">
        <v>93</v>
      </c>
      <c r="AT114" s="81" t="s">
        <v>94</v>
      </c>
      <c r="AU114" s="82" t="s">
        <v>94</v>
      </c>
      <c r="AV114" s="83" t="s">
        <v>683</v>
      </c>
      <c r="AW114" s="56" t="s">
        <v>931</v>
      </c>
      <c r="AX114" s="34"/>
      <c r="AY114" s="55"/>
      <c r="AZ114" s="55"/>
      <c r="BA114" s="34"/>
      <c r="BB114" s="34"/>
    </row>
    <row r="115" hidden="1">
      <c r="A115" s="25" t="s">
        <v>932</v>
      </c>
      <c r="B115" s="26" t="s">
        <v>933</v>
      </c>
      <c r="C115" s="27" t="s">
        <v>757</v>
      </c>
      <c r="D115" s="27" t="s">
        <v>52</v>
      </c>
      <c r="E115" s="35" t="s">
        <v>84</v>
      </c>
      <c r="F115" s="27" t="s">
        <v>831</v>
      </c>
      <c r="G115" s="28">
        <v>499.0</v>
      </c>
      <c r="H115" s="36">
        <f t="shared" si="1"/>
        <v>474.05</v>
      </c>
      <c r="I115" s="29" t="s">
        <v>55</v>
      </c>
      <c r="J115" s="30" t="s">
        <v>224</v>
      </c>
      <c r="K115" s="30" t="s">
        <v>817</v>
      </c>
      <c r="L115" s="31" t="s">
        <v>736</v>
      </c>
      <c r="M115" s="31" t="s">
        <v>934</v>
      </c>
      <c r="N115" s="33">
        <v>100.0</v>
      </c>
      <c r="O115" s="33">
        <v>100.0</v>
      </c>
      <c r="P115" s="33">
        <v>100.0</v>
      </c>
      <c r="Q115" s="33">
        <v>30.0</v>
      </c>
      <c r="R115" s="33">
        <v>10.0</v>
      </c>
      <c r="S115" s="33">
        <v>70.0</v>
      </c>
      <c r="T115" s="33">
        <v>20.0</v>
      </c>
      <c r="U115" s="33">
        <v>92.0</v>
      </c>
      <c r="V115" s="33">
        <v>96.0</v>
      </c>
      <c r="W115" s="33">
        <v>90.0</v>
      </c>
      <c r="X115" s="33">
        <v>65.0</v>
      </c>
      <c r="Y115" s="33">
        <v>15.0</v>
      </c>
      <c r="Z115" s="33">
        <v>25.0</v>
      </c>
      <c r="AA115" s="33">
        <v>75.0</v>
      </c>
      <c r="AB115" s="33">
        <v>78.0</v>
      </c>
      <c r="AC115" s="33">
        <v>90.0</v>
      </c>
      <c r="AD115" s="33">
        <v>40.0</v>
      </c>
      <c r="AE115" s="33">
        <v>82.0</v>
      </c>
      <c r="AF115" s="33">
        <v>78.0</v>
      </c>
      <c r="AG115" s="33">
        <v>72.0</v>
      </c>
      <c r="AH115" s="33">
        <v>68.0</v>
      </c>
      <c r="AI115" s="33">
        <v>90.0</v>
      </c>
      <c r="AJ115" s="33">
        <v>82.0</v>
      </c>
      <c r="AK115" s="33">
        <v>90.0</v>
      </c>
      <c r="AL115" s="33">
        <v>80.0</v>
      </c>
      <c r="AM115" s="33">
        <v>0.0</v>
      </c>
      <c r="AN115" s="33">
        <v>100.0</v>
      </c>
      <c r="AO115" s="33">
        <v>100.0</v>
      </c>
      <c r="AP115" s="18" t="s">
        <v>935</v>
      </c>
      <c r="AQ115" s="18" t="s">
        <v>936</v>
      </c>
      <c r="AR115" s="81" t="s">
        <v>92</v>
      </c>
      <c r="AS115" s="81" t="s">
        <v>93</v>
      </c>
      <c r="AT115" s="81" t="s">
        <v>94</v>
      </c>
      <c r="AU115" s="82" t="s">
        <v>94</v>
      </c>
      <c r="AV115" s="83" t="s">
        <v>937</v>
      </c>
      <c r="AW115" s="56" t="s">
        <v>938</v>
      </c>
      <c r="AX115" s="34"/>
      <c r="BA115" s="34"/>
      <c r="BB115" s="34"/>
    </row>
    <row r="116" hidden="1">
      <c r="A116" s="25" t="s">
        <v>939</v>
      </c>
      <c r="B116" s="26" t="s">
        <v>940</v>
      </c>
      <c r="C116" s="27" t="s">
        <v>941</v>
      </c>
      <c r="D116" s="27" t="s">
        <v>99</v>
      </c>
      <c r="E116" s="27" t="s">
        <v>112</v>
      </c>
      <c r="F116" s="27" t="s">
        <v>101</v>
      </c>
      <c r="G116" s="28">
        <v>995.0</v>
      </c>
      <c r="H116" s="36">
        <f t="shared" si="1"/>
        <v>945.25</v>
      </c>
      <c r="I116" s="29" t="s">
        <v>55</v>
      </c>
      <c r="J116" s="30" t="s">
        <v>550</v>
      </c>
      <c r="K116" s="30" t="s">
        <v>57</v>
      </c>
      <c r="L116" s="31" t="s">
        <v>942</v>
      </c>
      <c r="M116" s="31" t="s">
        <v>943</v>
      </c>
      <c r="N116" s="33">
        <v>100.0</v>
      </c>
      <c r="O116" s="33">
        <v>100.0</v>
      </c>
      <c r="P116" s="33">
        <v>100.0</v>
      </c>
      <c r="Q116" s="33">
        <v>15.0</v>
      </c>
      <c r="R116" s="33">
        <v>10.0</v>
      </c>
      <c r="S116" s="33">
        <v>98.0</v>
      </c>
      <c r="T116" s="33">
        <v>5.0</v>
      </c>
      <c r="U116" s="33">
        <v>10.0</v>
      </c>
      <c r="V116" s="33">
        <v>5.0</v>
      </c>
      <c r="W116" s="33">
        <v>5.0</v>
      </c>
      <c r="X116" s="33">
        <v>98.0</v>
      </c>
      <c r="Y116" s="33">
        <v>5.0</v>
      </c>
      <c r="Z116" s="33">
        <v>25.0</v>
      </c>
      <c r="AA116" s="33">
        <v>98.0</v>
      </c>
      <c r="AB116" s="33">
        <v>98.0</v>
      </c>
      <c r="AC116" s="33">
        <v>45.0</v>
      </c>
      <c r="AD116" s="33">
        <v>5.0</v>
      </c>
      <c r="AE116" s="33">
        <v>65.0</v>
      </c>
      <c r="AF116" s="33">
        <v>90.0</v>
      </c>
      <c r="AG116" s="33">
        <v>98.0</v>
      </c>
      <c r="AH116" s="33">
        <v>98.0</v>
      </c>
      <c r="AI116" s="33">
        <v>82.0</v>
      </c>
      <c r="AJ116" s="33">
        <v>96.0</v>
      </c>
      <c r="AK116" s="33">
        <v>75.0</v>
      </c>
      <c r="AL116" s="33">
        <v>94.0</v>
      </c>
      <c r="AM116" s="33">
        <v>100.0</v>
      </c>
      <c r="AN116" s="33">
        <v>100.0</v>
      </c>
      <c r="AO116" s="33">
        <v>100.0</v>
      </c>
      <c r="AP116" s="18" t="s">
        <v>944</v>
      </c>
      <c r="AQ116" s="18" t="s">
        <v>945</v>
      </c>
      <c r="AR116" s="81" t="s">
        <v>118</v>
      </c>
      <c r="AS116" s="81" t="s">
        <v>119</v>
      </c>
      <c r="AT116" s="81" t="s">
        <v>120</v>
      </c>
      <c r="AU116" s="82" t="s">
        <v>120</v>
      </c>
      <c r="AV116" s="83" t="s">
        <v>946</v>
      </c>
      <c r="AW116" s="56" t="s">
        <v>947</v>
      </c>
      <c r="AX116" s="34"/>
      <c r="BA116" s="34"/>
      <c r="BB116" s="34"/>
    </row>
    <row r="117" hidden="1">
      <c r="A117" s="25" t="s">
        <v>948</v>
      </c>
      <c r="B117" s="26" t="s">
        <v>949</v>
      </c>
      <c r="C117" s="27" t="s">
        <v>941</v>
      </c>
      <c r="D117" s="27" t="s">
        <v>52</v>
      </c>
      <c r="E117" s="35" t="s">
        <v>84</v>
      </c>
      <c r="F117" s="27" t="s">
        <v>464</v>
      </c>
      <c r="G117" s="28">
        <v>225.0</v>
      </c>
      <c r="H117" s="36">
        <f t="shared" si="1"/>
        <v>213.75</v>
      </c>
      <c r="I117" s="29" t="s">
        <v>55</v>
      </c>
      <c r="J117" s="30" t="s">
        <v>550</v>
      </c>
      <c r="K117" s="30" t="s">
        <v>243</v>
      </c>
      <c r="L117" s="31" t="s">
        <v>950</v>
      </c>
      <c r="M117" s="31" t="s">
        <v>951</v>
      </c>
      <c r="N117" s="33">
        <v>100.0</v>
      </c>
      <c r="O117" s="33">
        <v>100.0</v>
      </c>
      <c r="P117" s="33">
        <v>100.0</v>
      </c>
      <c r="Q117" s="33">
        <v>25.0</v>
      </c>
      <c r="R117" s="33">
        <v>10.0</v>
      </c>
      <c r="S117" s="33">
        <v>98.0</v>
      </c>
      <c r="T117" s="33">
        <v>5.0</v>
      </c>
      <c r="U117" s="33">
        <v>10.0</v>
      </c>
      <c r="V117" s="33">
        <v>5.0</v>
      </c>
      <c r="W117" s="33">
        <v>5.0</v>
      </c>
      <c r="X117" s="33">
        <v>98.0</v>
      </c>
      <c r="Y117" s="33">
        <v>5.0</v>
      </c>
      <c r="Z117" s="33">
        <v>30.0</v>
      </c>
      <c r="AA117" s="33">
        <v>98.0</v>
      </c>
      <c r="AB117" s="33">
        <v>98.0</v>
      </c>
      <c r="AC117" s="33">
        <v>40.0</v>
      </c>
      <c r="AD117" s="33">
        <v>5.0</v>
      </c>
      <c r="AE117" s="33">
        <v>62.0</v>
      </c>
      <c r="AF117" s="33">
        <v>90.0</v>
      </c>
      <c r="AG117" s="33">
        <v>98.0</v>
      </c>
      <c r="AH117" s="33">
        <v>98.0</v>
      </c>
      <c r="AI117" s="33">
        <v>80.0</v>
      </c>
      <c r="AJ117" s="33">
        <v>95.0</v>
      </c>
      <c r="AK117" s="33">
        <v>72.0</v>
      </c>
      <c r="AL117" s="33">
        <v>92.0</v>
      </c>
      <c r="AM117" s="33">
        <v>100.0</v>
      </c>
      <c r="AN117" s="33">
        <v>100.0</v>
      </c>
      <c r="AO117" s="33">
        <v>100.0</v>
      </c>
      <c r="AP117" s="18" t="s">
        <v>952</v>
      </c>
      <c r="AQ117" s="18" t="s">
        <v>953</v>
      </c>
      <c r="AR117" s="81" t="s">
        <v>92</v>
      </c>
      <c r="AS117" s="81" t="s">
        <v>93</v>
      </c>
      <c r="AT117" s="81" t="s">
        <v>94</v>
      </c>
      <c r="AU117" s="82" t="s">
        <v>94</v>
      </c>
      <c r="AV117" s="83" t="s">
        <v>954</v>
      </c>
      <c r="AW117" s="56" t="s">
        <v>955</v>
      </c>
      <c r="AX117" s="34"/>
      <c r="BA117" s="34"/>
      <c r="BB117" s="34"/>
    </row>
    <row r="118" hidden="1">
      <c r="A118" s="25" t="s">
        <v>956</v>
      </c>
      <c r="B118" s="26" t="s">
        <v>957</v>
      </c>
      <c r="C118" s="27" t="s">
        <v>941</v>
      </c>
      <c r="D118" s="27" t="s">
        <v>52</v>
      </c>
      <c r="E118" s="35" t="s">
        <v>84</v>
      </c>
      <c r="F118" s="27" t="s">
        <v>85</v>
      </c>
      <c r="G118" s="28">
        <v>575.0</v>
      </c>
      <c r="H118" s="36">
        <f t="shared" si="1"/>
        <v>546.25</v>
      </c>
      <c r="I118" s="29" t="s">
        <v>55</v>
      </c>
      <c r="J118" s="30" t="s">
        <v>465</v>
      </c>
      <c r="K118" s="30" t="s">
        <v>243</v>
      </c>
      <c r="L118" s="31" t="s">
        <v>958</v>
      </c>
      <c r="M118" s="31" t="s">
        <v>959</v>
      </c>
      <c r="N118" s="33">
        <v>100.0</v>
      </c>
      <c r="O118" s="33">
        <v>100.0</v>
      </c>
      <c r="P118" s="33">
        <v>100.0</v>
      </c>
      <c r="Q118" s="33">
        <v>70.0</v>
      </c>
      <c r="R118" s="33">
        <v>15.0</v>
      </c>
      <c r="S118" s="33">
        <v>90.0</v>
      </c>
      <c r="T118" s="33">
        <v>45.0</v>
      </c>
      <c r="U118" s="33">
        <v>25.0</v>
      </c>
      <c r="V118" s="33">
        <v>20.0</v>
      </c>
      <c r="W118" s="33">
        <v>10.0</v>
      </c>
      <c r="X118" s="33">
        <v>95.0</v>
      </c>
      <c r="Y118" s="33">
        <v>45.0</v>
      </c>
      <c r="Z118" s="33">
        <v>20.0</v>
      </c>
      <c r="AA118" s="33">
        <v>98.0</v>
      </c>
      <c r="AB118" s="33">
        <v>92.0</v>
      </c>
      <c r="AC118" s="33">
        <v>50.0</v>
      </c>
      <c r="AD118" s="33">
        <v>5.0</v>
      </c>
      <c r="AE118" s="33">
        <v>90.0</v>
      </c>
      <c r="AF118" s="33">
        <v>98.0</v>
      </c>
      <c r="AG118" s="33">
        <v>90.0</v>
      </c>
      <c r="AH118" s="33">
        <v>98.0</v>
      </c>
      <c r="AI118" s="33">
        <v>92.0</v>
      </c>
      <c r="AJ118" s="33">
        <v>98.0</v>
      </c>
      <c r="AK118" s="33">
        <v>91.0</v>
      </c>
      <c r="AL118" s="33">
        <v>99.0</v>
      </c>
      <c r="AM118" s="33">
        <v>100.0</v>
      </c>
      <c r="AN118" s="33">
        <v>100.0</v>
      </c>
      <c r="AO118" s="33">
        <v>100.0</v>
      </c>
      <c r="AP118" s="18" t="s">
        <v>960</v>
      </c>
      <c r="AQ118" s="18" t="s">
        <v>961</v>
      </c>
      <c r="AR118" s="81" t="s">
        <v>92</v>
      </c>
      <c r="AS118" s="81" t="s">
        <v>93</v>
      </c>
      <c r="AT118" s="81" t="s">
        <v>94</v>
      </c>
      <c r="AU118" s="82" t="s">
        <v>94</v>
      </c>
      <c r="AV118" s="83" t="s">
        <v>946</v>
      </c>
      <c r="AW118" s="56" t="s">
        <v>962</v>
      </c>
      <c r="AX118" s="34"/>
      <c r="BA118" s="34"/>
      <c r="BB118" s="34"/>
    </row>
    <row r="119" hidden="1">
      <c r="A119" s="25" t="s">
        <v>963</v>
      </c>
      <c r="B119" s="26" t="s">
        <v>964</v>
      </c>
      <c r="C119" s="27" t="s">
        <v>941</v>
      </c>
      <c r="D119" s="27" t="s">
        <v>52</v>
      </c>
      <c r="E119" s="27" t="s">
        <v>69</v>
      </c>
      <c r="F119" s="27" t="s">
        <v>965</v>
      </c>
      <c r="G119" s="28">
        <v>725.0</v>
      </c>
      <c r="H119" s="36">
        <f t="shared" si="1"/>
        <v>688.75</v>
      </c>
      <c r="I119" s="29" t="s">
        <v>55</v>
      </c>
      <c r="J119" s="30" t="s">
        <v>71</v>
      </c>
      <c r="K119" s="30" t="s">
        <v>25</v>
      </c>
      <c r="L119" s="31" t="s">
        <v>966</v>
      </c>
      <c r="M119" s="31" t="s">
        <v>967</v>
      </c>
      <c r="N119" s="33">
        <v>-100.0</v>
      </c>
      <c r="O119" s="33">
        <v>100.0</v>
      </c>
      <c r="P119" s="33">
        <v>100.0</v>
      </c>
      <c r="Q119" s="33">
        <v>82.0</v>
      </c>
      <c r="R119" s="33">
        <v>25.0</v>
      </c>
      <c r="S119" s="33">
        <v>50.0</v>
      </c>
      <c r="T119" s="33">
        <v>78.0</v>
      </c>
      <c r="U119" s="33">
        <v>75.0</v>
      </c>
      <c r="V119" s="33">
        <v>72.0</v>
      </c>
      <c r="W119" s="33">
        <v>45.0</v>
      </c>
      <c r="X119" s="33">
        <v>55.0</v>
      </c>
      <c r="Y119" s="33">
        <v>80.0</v>
      </c>
      <c r="Z119" s="33">
        <v>92.0</v>
      </c>
      <c r="AA119" s="33">
        <v>55.0</v>
      </c>
      <c r="AB119" s="33">
        <v>55.0</v>
      </c>
      <c r="AC119" s="33">
        <v>82.0</v>
      </c>
      <c r="AD119" s="33">
        <v>15.0</v>
      </c>
      <c r="AE119" s="33">
        <v>90.0</v>
      </c>
      <c r="AF119" s="33">
        <v>65.0</v>
      </c>
      <c r="AG119" s="33">
        <v>78.0</v>
      </c>
      <c r="AH119" s="33">
        <v>58.0</v>
      </c>
      <c r="AI119" s="33">
        <v>90.0</v>
      </c>
      <c r="AJ119" s="33">
        <v>70.0</v>
      </c>
      <c r="AK119" s="33">
        <v>90.0</v>
      </c>
      <c r="AL119" s="33">
        <v>72.0</v>
      </c>
      <c r="AM119" s="33">
        <v>-100.0</v>
      </c>
      <c r="AN119" s="33">
        <v>-100.0</v>
      </c>
      <c r="AO119" s="33">
        <v>-100.0</v>
      </c>
      <c r="AP119" s="18" t="s">
        <v>968</v>
      </c>
      <c r="AQ119" s="18" t="s">
        <v>969</v>
      </c>
      <c r="AR119" s="81" t="s">
        <v>77</v>
      </c>
      <c r="AS119" s="81" t="s">
        <v>78</v>
      </c>
      <c r="AT119" s="81" t="s">
        <v>79</v>
      </c>
      <c r="AU119" s="82" t="s">
        <v>79</v>
      </c>
      <c r="AV119" s="83" t="s">
        <v>970</v>
      </c>
      <c r="AW119" s="56" t="s">
        <v>971</v>
      </c>
      <c r="AX119" s="34"/>
      <c r="AY119" s="55"/>
      <c r="AZ119" s="55"/>
      <c r="BA119" s="34"/>
      <c r="BB119" s="34"/>
    </row>
    <row r="120" hidden="1">
      <c r="A120" s="25" t="s">
        <v>972</v>
      </c>
      <c r="B120" s="26" t="s">
        <v>973</v>
      </c>
      <c r="C120" s="27" t="s">
        <v>941</v>
      </c>
      <c r="D120" s="27" t="s">
        <v>52</v>
      </c>
      <c r="E120" s="27" t="s">
        <v>252</v>
      </c>
      <c r="F120" s="27" t="s">
        <v>974</v>
      </c>
      <c r="G120" s="28">
        <v>440.0</v>
      </c>
      <c r="H120" s="36">
        <f t="shared" si="1"/>
        <v>418</v>
      </c>
      <c r="I120" s="29" t="s">
        <v>55</v>
      </c>
      <c r="J120" s="30" t="s">
        <v>975</v>
      </c>
      <c r="K120" s="30" t="s">
        <v>29</v>
      </c>
      <c r="L120" s="31" t="s">
        <v>976</v>
      </c>
      <c r="M120" s="31" t="s">
        <v>977</v>
      </c>
      <c r="N120" s="33">
        <v>100.0</v>
      </c>
      <c r="O120" s="33">
        <v>100.0</v>
      </c>
      <c r="P120" s="33">
        <v>100.0</v>
      </c>
      <c r="Q120" s="33">
        <v>15.0</v>
      </c>
      <c r="R120" s="33">
        <v>10.0</v>
      </c>
      <c r="S120" s="33">
        <v>78.0</v>
      </c>
      <c r="T120" s="33">
        <v>10.0</v>
      </c>
      <c r="U120" s="33">
        <v>30.0</v>
      </c>
      <c r="V120" s="33">
        <v>35.0</v>
      </c>
      <c r="W120" s="33">
        <v>20.0</v>
      </c>
      <c r="X120" s="33">
        <v>65.0</v>
      </c>
      <c r="Y120" s="33">
        <v>10.0</v>
      </c>
      <c r="Z120" s="33">
        <v>25.0</v>
      </c>
      <c r="AA120" s="33">
        <v>80.0</v>
      </c>
      <c r="AB120" s="33">
        <v>85.0</v>
      </c>
      <c r="AC120" s="33">
        <v>50.0</v>
      </c>
      <c r="AD120" s="33">
        <v>95.0</v>
      </c>
      <c r="AE120" s="33">
        <v>82.0</v>
      </c>
      <c r="AF120" s="33">
        <v>90.0</v>
      </c>
      <c r="AG120" s="33">
        <v>82.0</v>
      </c>
      <c r="AH120" s="33">
        <v>90.0</v>
      </c>
      <c r="AI120" s="33">
        <v>85.0</v>
      </c>
      <c r="AJ120" s="33">
        <v>90.0</v>
      </c>
      <c r="AK120" s="33">
        <v>84.0</v>
      </c>
      <c r="AL120" s="33">
        <v>89.0</v>
      </c>
      <c r="AM120" s="33">
        <v>100.0</v>
      </c>
      <c r="AN120" s="33">
        <v>100.0</v>
      </c>
      <c r="AO120" s="33">
        <v>100.0</v>
      </c>
      <c r="AP120" s="18" t="s">
        <v>978</v>
      </c>
      <c r="AQ120" s="18" t="s">
        <v>979</v>
      </c>
      <c r="AR120" s="81" t="s">
        <v>144</v>
      </c>
      <c r="AS120" s="81" t="s">
        <v>145</v>
      </c>
      <c r="AT120" s="81" t="s">
        <v>146</v>
      </c>
      <c r="AU120" s="82" t="s">
        <v>146</v>
      </c>
      <c r="AV120" s="83" t="s">
        <v>980</v>
      </c>
      <c r="AW120" s="56" t="s">
        <v>981</v>
      </c>
      <c r="AX120" s="34"/>
      <c r="BA120" s="34"/>
      <c r="BB120" s="34"/>
    </row>
    <row r="121" hidden="1">
      <c r="A121" s="25" t="s">
        <v>982</v>
      </c>
      <c r="B121" s="26" t="s">
        <v>983</v>
      </c>
      <c r="C121" s="27" t="s">
        <v>941</v>
      </c>
      <c r="D121" s="27" t="s">
        <v>52</v>
      </c>
      <c r="E121" s="27" t="s">
        <v>252</v>
      </c>
      <c r="F121" s="27" t="s">
        <v>974</v>
      </c>
      <c r="G121" s="28">
        <v>525.0</v>
      </c>
      <c r="H121" s="36">
        <f t="shared" si="1"/>
        <v>498.75</v>
      </c>
      <c r="I121" s="29" t="s">
        <v>55</v>
      </c>
      <c r="J121" s="30" t="s">
        <v>407</v>
      </c>
      <c r="K121" s="30" t="s">
        <v>984</v>
      </c>
      <c r="L121" s="31" t="s">
        <v>976</v>
      </c>
      <c r="M121" s="31" t="s">
        <v>977</v>
      </c>
      <c r="N121" s="33">
        <v>100.0</v>
      </c>
      <c r="O121" s="33">
        <v>100.0</v>
      </c>
      <c r="P121" s="33">
        <v>100.0</v>
      </c>
      <c r="Q121" s="33">
        <v>10.0</v>
      </c>
      <c r="R121" s="33">
        <v>10.0</v>
      </c>
      <c r="S121" s="33">
        <v>82.0</v>
      </c>
      <c r="T121" s="33">
        <v>5.0</v>
      </c>
      <c r="U121" s="33">
        <v>20.0</v>
      </c>
      <c r="V121" s="33">
        <v>25.0</v>
      </c>
      <c r="W121" s="33">
        <v>15.0</v>
      </c>
      <c r="X121" s="33">
        <v>70.0</v>
      </c>
      <c r="Y121" s="33">
        <v>5.0</v>
      </c>
      <c r="Z121" s="33">
        <v>20.0</v>
      </c>
      <c r="AA121" s="33">
        <v>92.0</v>
      </c>
      <c r="AB121" s="33">
        <v>90.0</v>
      </c>
      <c r="AC121" s="33">
        <v>45.0</v>
      </c>
      <c r="AD121" s="33">
        <v>95.0</v>
      </c>
      <c r="AE121" s="33">
        <v>78.0</v>
      </c>
      <c r="AF121" s="33">
        <v>95.0</v>
      </c>
      <c r="AG121" s="33">
        <v>85.0</v>
      </c>
      <c r="AH121" s="33">
        <v>95.0</v>
      </c>
      <c r="AI121" s="33">
        <v>85.0</v>
      </c>
      <c r="AJ121" s="33">
        <v>95.0</v>
      </c>
      <c r="AK121" s="33">
        <v>82.0</v>
      </c>
      <c r="AL121" s="33">
        <v>94.0</v>
      </c>
      <c r="AM121" s="33">
        <v>100.0</v>
      </c>
      <c r="AN121" s="33">
        <v>100.0</v>
      </c>
      <c r="AO121" s="33">
        <v>100.0</v>
      </c>
      <c r="AP121" s="18" t="s">
        <v>985</v>
      </c>
      <c r="AQ121" s="18" t="s">
        <v>979</v>
      </c>
      <c r="AR121" s="81" t="s">
        <v>144</v>
      </c>
      <c r="AS121" s="81" t="s">
        <v>145</v>
      </c>
      <c r="AT121" s="81" t="s">
        <v>146</v>
      </c>
      <c r="AU121" s="82" t="s">
        <v>146</v>
      </c>
      <c r="AV121" s="83" t="s">
        <v>980</v>
      </c>
      <c r="AW121" s="56" t="s">
        <v>986</v>
      </c>
      <c r="AX121" s="34"/>
      <c r="BA121" s="34"/>
      <c r="BB121" s="34"/>
    </row>
    <row r="122" hidden="1">
      <c r="A122" s="25" t="s">
        <v>987</v>
      </c>
      <c r="B122" s="26" t="s">
        <v>988</v>
      </c>
      <c r="C122" s="27" t="s">
        <v>941</v>
      </c>
      <c r="D122" s="27" t="s">
        <v>52</v>
      </c>
      <c r="E122" s="27" t="s">
        <v>252</v>
      </c>
      <c r="F122" s="27" t="s">
        <v>974</v>
      </c>
      <c r="G122" s="28">
        <v>785.0</v>
      </c>
      <c r="H122" s="36">
        <f t="shared" si="1"/>
        <v>745.75</v>
      </c>
      <c r="I122" s="29" t="s">
        <v>55</v>
      </c>
      <c r="J122" s="30" t="s">
        <v>889</v>
      </c>
      <c r="K122" s="30" t="s">
        <v>29</v>
      </c>
      <c r="L122" s="31" t="s">
        <v>989</v>
      </c>
      <c r="M122" s="31" t="s">
        <v>977</v>
      </c>
      <c r="N122" s="33">
        <v>100.0</v>
      </c>
      <c r="O122" s="33">
        <v>100.0</v>
      </c>
      <c r="P122" s="33">
        <v>100.0</v>
      </c>
      <c r="Q122" s="33">
        <v>15.0</v>
      </c>
      <c r="R122" s="33">
        <v>10.0</v>
      </c>
      <c r="S122" s="33">
        <v>75.0</v>
      </c>
      <c r="T122" s="33">
        <v>10.0</v>
      </c>
      <c r="U122" s="33">
        <v>35.0</v>
      </c>
      <c r="V122" s="33">
        <v>40.0</v>
      </c>
      <c r="W122" s="33">
        <v>25.0</v>
      </c>
      <c r="X122" s="33">
        <v>60.0</v>
      </c>
      <c r="Y122" s="33">
        <v>10.0</v>
      </c>
      <c r="Z122" s="33">
        <v>25.0</v>
      </c>
      <c r="AA122" s="33">
        <v>78.0</v>
      </c>
      <c r="AB122" s="33">
        <v>80.0</v>
      </c>
      <c r="AC122" s="33">
        <v>50.0</v>
      </c>
      <c r="AD122" s="33">
        <v>98.0</v>
      </c>
      <c r="AE122" s="33">
        <v>82.0</v>
      </c>
      <c r="AF122" s="33">
        <v>85.0</v>
      </c>
      <c r="AG122" s="33">
        <v>78.0</v>
      </c>
      <c r="AH122" s="33">
        <v>82.0</v>
      </c>
      <c r="AI122" s="33">
        <v>85.0</v>
      </c>
      <c r="AJ122" s="33">
        <v>90.0</v>
      </c>
      <c r="AK122" s="33">
        <v>84.0</v>
      </c>
      <c r="AL122" s="33">
        <v>87.0</v>
      </c>
      <c r="AM122" s="33">
        <v>0.0</v>
      </c>
      <c r="AN122" s="33">
        <v>100.0</v>
      </c>
      <c r="AO122" s="33">
        <v>100.0</v>
      </c>
      <c r="AP122" s="18" t="s">
        <v>990</v>
      </c>
      <c r="AQ122" s="18" t="s">
        <v>979</v>
      </c>
      <c r="AR122" s="81" t="s">
        <v>144</v>
      </c>
      <c r="AS122" s="81" t="s">
        <v>145</v>
      </c>
      <c r="AT122" s="81" t="s">
        <v>146</v>
      </c>
      <c r="AU122" s="82" t="s">
        <v>146</v>
      </c>
      <c r="AV122" s="83" t="s">
        <v>980</v>
      </c>
      <c r="AW122" s="56" t="s">
        <v>991</v>
      </c>
      <c r="AX122" s="52"/>
      <c r="BA122" s="34"/>
      <c r="BB122" s="34"/>
    </row>
    <row r="123" hidden="1">
      <c r="A123" s="25" t="s">
        <v>992</v>
      </c>
      <c r="B123" s="26" t="s">
        <v>993</v>
      </c>
      <c r="C123" s="27" t="s">
        <v>941</v>
      </c>
      <c r="D123" s="27" t="s">
        <v>52</v>
      </c>
      <c r="E123" s="27" t="s">
        <v>365</v>
      </c>
      <c r="F123" s="27" t="s">
        <v>994</v>
      </c>
      <c r="G123" s="28">
        <v>380.0</v>
      </c>
      <c r="H123" s="36">
        <f t="shared" si="1"/>
        <v>361</v>
      </c>
      <c r="I123" s="29" t="s">
        <v>55</v>
      </c>
      <c r="J123" s="30" t="s">
        <v>71</v>
      </c>
      <c r="K123" s="30" t="s">
        <v>162</v>
      </c>
      <c r="L123" s="31" t="s">
        <v>104</v>
      </c>
      <c r="M123" s="31" t="s">
        <v>995</v>
      </c>
      <c r="N123" s="33">
        <v>0.0</v>
      </c>
      <c r="O123" s="33">
        <v>100.0</v>
      </c>
      <c r="P123" s="33">
        <v>100.0</v>
      </c>
      <c r="Q123" s="33">
        <v>98.0</v>
      </c>
      <c r="R123" s="33">
        <v>20.0</v>
      </c>
      <c r="S123" s="33">
        <v>15.0</v>
      </c>
      <c r="T123" s="33">
        <v>92.0</v>
      </c>
      <c r="U123" s="33">
        <v>35.0</v>
      </c>
      <c r="V123" s="33">
        <v>25.0</v>
      </c>
      <c r="W123" s="33">
        <v>10.0</v>
      </c>
      <c r="X123" s="33">
        <v>30.0</v>
      </c>
      <c r="Y123" s="33">
        <v>99.0</v>
      </c>
      <c r="Z123" s="33">
        <v>5.0</v>
      </c>
      <c r="AA123" s="33">
        <v>40.0</v>
      </c>
      <c r="AB123" s="33">
        <v>15.0</v>
      </c>
      <c r="AC123" s="33">
        <v>35.0</v>
      </c>
      <c r="AD123" s="33">
        <v>5.0</v>
      </c>
      <c r="AE123" s="33">
        <v>98.0</v>
      </c>
      <c r="AF123" s="33">
        <v>70.0</v>
      </c>
      <c r="AG123" s="33">
        <v>15.0</v>
      </c>
      <c r="AH123" s="33">
        <v>10.0</v>
      </c>
      <c r="AI123" s="33">
        <v>90.0</v>
      </c>
      <c r="AJ123" s="33">
        <v>60.0</v>
      </c>
      <c r="AK123" s="33">
        <v>98.0</v>
      </c>
      <c r="AL123" s="33">
        <v>68.0</v>
      </c>
      <c r="AM123" s="33">
        <v>-100.0</v>
      </c>
      <c r="AN123" s="33">
        <v>100.0</v>
      </c>
      <c r="AO123" s="33">
        <v>100.0</v>
      </c>
      <c r="AP123" s="18" t="s">
        <v>996</v>
      </c>
      <c r="AQ123" s="18" t="s">
        <v>997</v>
      </c>
      <c r="AR123" s="81" t="s">
        <v>92</v>
      </c>
      <c r="AS123" s="81" t="s">
        <v>93</v>
      </c>
      <c r="AT123" s="81" t="s">
        <v>94</v>
      </c>
      <c r="AU123" s="82" t="s">
        <v>94</v>
      </c>
      <c r="AV123" s="83" t="s">
        <v>395</v>
      </c>
      <c r="AW123" s="56" t="s">
        <v>998</v>
      </c>
      <c r="AX123" s="52"/>
      <c r="AZ123" s="59"/>
      <c r="BA123" s="34"/>
      <c r="BB123" s="34"/>
    </row>
    <row r="124" hidden="1">
      <c r="A124" s="9" t="s">
        <v>999</v>
      </c>
      <c r="B124" s="10" t="s">
        <v>1000</v>
      </c>
      <c r="C124" s="11" t="s">
        <v>941</v>
      </c>
      <c r="D124" s="11" t="s">
        <v>99</v>
      </c>
      <c r="E124" s="11" t="s">
        <v>1001</v>
      </c>
      <c r="F124" s="11" t="s">
        <v>454</v>
      </c>
      <c r="G124" s="12">
        <v>385.0</v>
      </c>
      <c r="H124" s="36">
        <f t="shared" si="1"/>
        <v>365.75</v>
      </c>
      <c r="I124" s="14" t="s">
        <v>55</v>
      </c>
      <c r="J124" s="15" t="s">
        <v>102</v>
      </c>
      <c r="K124" s="15" t="s">
        <v>17</v>
      </c>
      <c r="L124" s="16" t="s">
        <v>104</v>
      </c>
      <c r="M124" s="16" t="s">
        <v>1002</v>
      </c>
      <c r="N124" s="17">
        <v>0.0</v>
      </c>
      <c r="O124" s="17">
        <v>100.0</v>
      </c>
      <c r="P124" s="17">
        <v>100.0</v>
      </c>
      <c r="Q124" s="17">
        <v>90.0</v>
      </c>
      <c r="R124" s="17">
        <v>99.0</v>
      </c>
      <c r="S124" s="17">
        <v>15.0</v>
      </c>
      <c r="T124" s="17">
        <v>85.0</v>
      </c>
      <c r="U124" s="17">
        <v>35.0</v>
      </c>
      <c r="V124" s="17">
        <v>25.0</v>
      </c>
      <c r="W124" s="17">
        <v>10.0</v>
      </c>
      <c r="X124" s="17">
        <v>25.0</v>
      </c>
      <c r="Y124" s="17">
        <v>92.0</v>
      </c>
      <c r="Z124" s="17">
        <v>5.0</v>
      </c>
      <c r="AA124" s="17">
        <v>35.0</v>
      </c>
      <c r="AB124" s="17">
        <v>15.0</v>
      </c>
      <c r="AC124" s="17">
        <v>35.0</v>
      </c>
      <c r="AD124" s="17">
        <v>5.0</v>
      </c>
      <c r="AE124" s="17">
        <v>95.0</v>
      </c>
      <c r="AF124" s="17">
        <v>68.0</v>
      </c>
      <c r="AG124" s="17">
        <v>15.0</v>
      </c>
      <c r="AH124" s="17">
        <v>10.0</v>
      </c>
      <c r="AI124" s="17">
        <v>85.0</v>
      </c>
      <c r="AJ124" s="17">
        <v>58.0</v>
      </c>
      <c r="AK124" s="17">
        <v>92.0</v>
      </c>
      <c r="AL124" s="17">
        <v>65.0</v>
      </c>
      <c r="AM124" s="33">
        <v>-100.0</v>
      </c>
      <c r="AN124" s="17">
        <v>-100.0</v>
      </c>
      <c r="AO124" s="17">
        <v>-100.0</v>
      </c>
      <c r="AP124" s="18" t="s">
        <v>996</v>
      </c>
      <c r="AQ124" s="18" t="s">
        <v>1003</v>
      </c>
      <c r="AR124" s="81" t="s">
        <v>77</v>
      </c>
      <c r="AS124" s="81" t="s">
        <v>78</v>
      </c>
      <c r="AT124" s="81" t="s">
        <v>79</v>
      </c>
      <c r="AU124" s="82" t="s">
        <v>79</v>
      </c>
      <c r="AV124" s="83" t="s">
        <v>1004</v>
      </c>
      <c r="AW124" s="56" t="s">
        <v>1005</v>
      </c>
      <c r="AX124" s="55"/>
      <c r="AY124" s="55"/>
      <c r="AZ124" s="59"/>
      <c r="BA124" s="24"/>
      <c r="BB124" s="24"/>
    </row>
    <row r="125" hidden="1">
      <c r="A125" s="25" t="s">
        <v>1006</v>
      </c>
      <c r="B125" s="26" t="s">
        <v>1007</v>
      </c>
      <c r="C125" s="27" t="s">
        <v>941</v>
      </c>
      <c r="D125" s="27" t="s">
        <v>99</v>
      </c>
      <c r="E125" s="27" t="s">
        <v>112</v>
      </c>
      <c r="F125" s="27" t="s">
        <v>126</v>
      </c>
      <c r="G125" s="28">
        <v>335.0</v>
      </c>
      <c r="H125" s="36">
        <f t="shared" si="1"/>
        <v>318.25</v>
      </c>
      <c r="I125" s="29" t="s">
        <v>55</v>
      </c>
      <c r="J125" s="30" t="s">
        <v>1008</v>
      </c>
      <c r="K125" s="30" t="s">
        <v>57</v>
      </c>
      <c r="L125" s="31" t="s">
        <v>1009</v>
      </c>
      <c r="M125" s="31" t="s">
        <v>1010</v>
      </c>
      <c r="N125" s="33">
        <v>100.0</v>
      </c>
      <c r="O125" s="33">
        <v>100.0</v>
      </c>
      <c r="P125" s="33">
        <v>100.0</v>
      </c>
      <c r="Q125" s="33">
        <v>20.0</v>
      </c>
      <c r="R125" s="33">
        <v>10.0</v>
      </c>
      <c r="S125" s="33">
        <v>98.0</v>
      </c>
      <c r="T125" s="33">
        <v>5.0</v>
      </c>
      <c r="U125" s="33">
        <v>10.0</v>
      </c>
      <c r="V125" s="33">
        <v>5.0</v>
      </c>
      <c r="W125" s="33">
        <v>5.0</v>
      </c>
      <c r="X125" s="33">
        <v>98.0</v>
      </c>
      <c r="Y125" s="33">
        <v>5.0</v>
      </c>
      <c r="Z125" s="33">
        <v>25.0</v>
      </c>
      <c r="AA125" s="33">
        <v>95.0</v>
      </c>
      <c r="AB125" s="33">
        <v>98.0</v>
      </c>
      <c r="AC125" s="33">
        <v>40.0</v>
      </c>
      <c r="AD125" s="33">
        <v>5.0</v>
      </c>
      <c r="AE125" s="33">
        <v>68.0</v>
      </c>
      <c r="AF125" s="33">
        <v>85.0</v>
      </c>
      <c r="AG125" s="33">
        <v>98.0</v>
      </c>
      <c r="AH125" s="33">
        <v>98.0</v>
      </c>
      <c r="AI125" s="33">
        <v>82.0</v>
      </c>
      <c r="AJ125" s="33">
        <v>95.0</v>
      </c>
      <c r="AK125" s="33">
        <v>75.0</v>
      </c>
      <c r="AL125" s="33">
        <v>92.0</v>
      </c>
      <c r="AM125" s="33">
        <v>100.0</v>
      </c>
      <c r="AN125" s="33">
        <v>100.0</v>
      </c>
      <c r="AO125" s="33">
        <v>100.0</v>
      </c>
      <c r="AP125" s="18" t="s">
        <v>1011</v>
      </c>
      <c r="AQ125" s="18" t="s">
        <v>1012</v>
      </c>
      <c r="AR125" s="81" t="s">
        <v>118</v>
      </c>
      <c r="AS125" s="81" t="s">
        <v>119</v>
      </c>
      <c r="AT125" s="81" t="s">
        <v>120</v>
      </c>
      <c r="AU125" s="82" t="s">
        <v>120</v>
      </c>
      <c r="AV125" s="83" t="s">
        <v>1013</v>
      </c>
      <c r="AW125" s="56" t="s">
        <v>1014</v>
      </c>
      <c r="AZ125" s="34"/>
      <c r="BA125" s="34"/>
      <c r="BB125" s="34"/>
    </row>
    <row r="126" hidden="1">
      <c r="A126" s="25" t="s">
        <v>1015</v>
      </c>
      <c r="B126" s="26" t="s">
        <v>1016</v>
      </c>
      <c r="C126" s="27" t="s">
        <v>941</v>
      </c>
      <c r="D126" s="27" t="s">
        <v>52</v>
      </c>
      <c r="E126" s="35" t="s">
        <v>84</v>
      </c>
      <c r="F126" s="27" t="s">
        <v>85</v>
      </c>
      <c r="G126" s="28">
        <v>475.0</v>
      </c>
      <c r="H126" s="36">
        <f t="shared" si="1"/>
        <v>451.25</v>
      </c>
      <c r="I126" s="29" t="s">
        <v>55</v>
      </c>
      <c r="J126" s="30" t="s">
        <v>455</v>
      </c>
      <c r="K126" s="30" t="s">
        <v>173</v>
      </c>
      <c r="L126" s="31" t="s">
        <v>217</v>
      </c>
      <c r="M126" s="31" t="s">
        <v>1017</v>
      </c>
      <c r="N126" s="33">
        <v>100.0</v>
      </c>
      <c r="O126" s="33">
        <v>100.0</v>
      </c>
      <c r="P126" s="33">
        <v>100.0</v>
      </c>
      <c r="Q126" s="33">
        <v>65.0</v>
      </c>
      <c r="R126" s="33">
        <v>20.0</v>
      </c>
      <c r="S126" s="33">
        <v>65.0</v>
      </c>
      <c r="T126" s="33">
        <v>55.0</v>
      </c>
      <c r="U126" s="33">
        <v>90.0</v>
      </c>
      <c r="V126" s="33">
        <v>92.0</v>
      </c>
      <c r="W126" s="33">
        <v>85.0</v>
      </c>
      <c r="X126" s="33">
        <v>72.0</v>
      </c>
      <c r="Y126" s="33">
        <v>45.0</v>
      </c>
      <c r="Z126" s="33">
        <v>30.0</v>
      </c>
      <c r="AA126" s="33">
        <v>82.0</v>
      </c>
      <c r="AB126" s="33">
        <v>75.0</v>
      </c>
      <c r="AC126" s="33">
        <v>90.0</v>
      </c>
      <c r="AD126" s="33">
        <v>35.0</v>
      </c>
      <c r="AE126" s="33">
        <v>90.0</v>
      </c>
      <c r="AF126" s="33">
        <v>85.0</v>
      </c>
      <c r="AG126" s="33">
        <v>72.0</v>
      </c>
      <c r="AH126" s="33">
        <v>68.0</v>
      </c>
      <c r="AI126" s="33">
        <v>85.0</v>
      </c>
      <c r="AJ126" s="33">
        <v>82.0</v>
      </c>
      <c r="AK126" s="33">
        <v>86.0</v>
      </c>
      <c r="AL126" s="33">
        <v>82.0</v>
      </c>
      <c r="AM126" s="33">
        <v>0.0</v>
      </c>
      <c r="AN126" s="33">
        <v>100.0</v>
      </c>
      <c r="AO126" s="33">
        <v>100.0</v>
      </c>
      <c r="AP126" s="18" t="s">
        <v>1018</v>
      </c>
      <c r="AQ126" s="18" t="s">
        <v>1019</v>
      </c>
      <c r="AR126" s="81" t="s">
        <v>92</v>
      </c>
      <c r="AS126" s="81" t="s">
        <v>93</v>
      </c>
      <c r="AT126" s="81" t="s">
        <v>94</v>
      </c>
      <c r="AU126" s="82" t="s">
        <v>94</v>
      </c>
      <c r="AV126" s="83" t="s">
        <v>1020</v>
      </c>
      <c r="AW126" s="56" t="s">
        <v>1021</v>
      </c>
      <c r="AZ126" s="34"/>
      <c r="BA126" s="34"/>
      <c r="BB126" s="34"/>
    </row>
    <row r="127" hidden="1">
      <c r="A127" s="25" t="s">
        <v>1022</v>
      </c>
      <c r="B127" s="26" t="s">
        <v>1023</v>
      </c>
      <c r="C127" s="27" t="s">
        <v>941</v>
      </c>
      <c r="D127" s="27" t="s">
        <v>52</v>
      </c>
      <c r="E127" s="27" t="s">
        <v>53</v>
      </c>
      <c r="F127" s="27" t="s">
        <v>54</v>
      </c>
      <c r="G127" s="28">
        <v>299.0</v>
      </c>
      <c r="H127" s="36">
        <f t="shared" si="1"/>
        <v>284.05</v>
      </c>
      <c r="I127" s="29" t="s">
        <v>55</v>
      </c>
      <c r="J127" s="30" t="s">
        <v>266</v>
      </c>
      <c r="K127" s="30" t="s">
        <v>243</v>
      </c>
      <c r="L127" s="31" t="s">
        <v>1024</v>
      </c>
      <c r="M127" s="31" t="s">
        <v>1025</v>
      </c>
      <c r="N127" s="33">
        <v>100.0</v>
      </c>
      <c r="O127" s="33">
        <v>100.0</v>
      </c>
      <c r="P127" s="33">
        <v>100.0</v>
      </c>
      <c r="Q127" s="33">
        <v>30.0</v>
      </c>
      <c r="R127" s="33">
        <v>15.0</v>
      </c>
      <c r="S127" s="33">
        <v>92.0</v>
      </c>
      <c r="T127" s="33">
        <v>10.0</v>
      </c>
      <c r="U127" s="33">
        <v>10.0</v>
      </c>
      <c r="V127" s="33">
        <v>5.0</v>
      </c>
      <c r="W127" s="33">
        <v>5.0</v>
      </c>
      <c r="X127" s="33">
        <v>90.0</v>
      </c>
      <c r="Y127" s="33">
        <v>10.0</v>
      </c>
      <c r="Z127" s="33">
        <v>15.0</v>
      </c>
      <c r="AA127" s="33">
        <v>92.0</v>
      </c>
      <c r="AB127" s="33">
        <v>98.0</v>
      </c>
      <c r="AC127" s="33">
        <v>35.0</v>
      </c>
      <c r="AD127" s="33">
        <v>5.0</v>
      </c>
      <c r="AE127" s="33">
        <v>78.0</v>
      </c>
      <c r="AF127" s="33">
        <v>90.0</v>
      </c>
      <c r="AG127" s="33">
        <v>98.0</v>
      </c>
      <c r="AH127" s="33">
        <v>98.0</v>
      </c>
      <c r="AI127" s="33">
        <v>90.0</v>
      </c>
      <c r="AJ127" s="33">
        <v>96.0</v>
      </c>
      <c r="AK127" s="33">
        <v>90.0</v>
      </c>
      <c r="AL127" s="33">
        <v>94.0</v>
      </c>
      <c r="AM127" s="33">
        <v>100.0</v>
      </c>
      <c r="AN127" s="33">
        <v>100.0</v>
      </c>
      <c r="AO127" s="33">
        <v>100.0</v>
      </c>
      <c r="AP127" s="18" t="s">
        <v>1026</v>
      </c>
      <c r="AQ127" s="18" t="s">
        <v>1027</v>
      </c>
      <c r="AR127" s="81" t="s">
        <v>62</v>
      </c>
      <c r="AS127" s="81" t="s">
        <v>63</v>
      </c>
      <c r="AT127" s="81" t="s">
        <v>64</v>
      </c>
      <c r="AU127" s="82" t="s">
        <v>64</v>
      </c>
      <c r="AV127" s="83" t="s">
        <v>65</v>
      </c>
      <c r="AW127" s="56" t="s">
        <v>1028</v>
      </c>
      <c r="AZ127" s="34"/>
      <c r="BA127" s="34"/>
      <c r="BB127" s="34"/>
    </row>
    <row r="128" hidden="1">
      <c r="A128" s="25" t="s">
        <v>1029</v>
      </c>
      <c r="B128" s="26" t="s">
        <v>1030</v>
      </c>
      <c r="C128" s="27" t="s">
        <v>941</v>
      </c>
      <c r="D128" s="27" t="s">
        <v>52</v>
      </c>
      <c r="E128" s="27" t="s">
        <v>53</v>
      </c>
      <c r="F128" s="27" t="s">
        <v>974</v>
      </c>
      <c r="G128" s="28">
        <v>250.0</v>
      </c>
      <c r="H128" s="36">
        <f t="shared" si="1"/>
        <v>237.5</v>
      </c>
      <c r="I128" s="29" t="s">
        <v>55</v>
      </c>
      <c r="J128" s="30" t="s">
        <v>71</v>
      </c>
      <c r="K128" s="30" t="s">
        <v>28</v>
      </c>
      <c r="L128" s="31" t="s">
        <v>314</v>
      </c>
      <c r="M128" s="31" t="s">
        <v>1031</v>
      </c>
      <c r="N128" s="33">
        <v>100.0</v>
      </c>
      <c r="O128" s="33">
        <v>100.0</v>
      </c>
      <c r="P128" s="33">
        <v>100.0</v>
      </c>
      <c r="Q128" s="33">
        <v>55.0</v>
      </c>
      <c r="R128" s="33">
        <v>20.0</v>
      </c>
      <c r="S128" s="33">
        <v>55.0</v>
      </c>
      <c r="T128" s="33">
        <v>45.0</v>
      </c>
      <c r="U128" s="33">
        <v>72.0</v>
      </c>
      <c r="V128" s="33">
        <v>75.0</v>
      </c>
      <c r="W128" s="33">
        <v>45.0</v>
      </c>
      <c r="X128" s="33">
        <v>60.0</v>
      </c>
      <c r="Y128" s="33">
        <v>40.0</v>
      </c>
      <c r="Z128" s="33">
        <v>20.0</v>
      </c>
      <c r="AA128" s="33">
        <v>72.0</v>
      </c>
      <c r="AB128" s="33">
        <v>65.0</v>
      </c>
      <c r="AC128" s="33">
        <v>90.0</v>
      </c>
      <c r="AD128" s="33">
        <v>20.0</v>
      </c>
      <c r="AE128" s="33">
        <v>92.0</v>
      </c>
      <c r="AF128" s="33">
        <v>85.0</v>
      </c>
      <c r="AG128" s="33">
        <v>62.0</v>
      </c>
      <c r="AH128" s="33">
        <v>58.0</v>
      </c>
      <c r="AI128" s="33">
        <v>90.0</v>
      </c>
      <c r="AJ128" s="33">
        <v>80.0</v>
      </c>
      <c r="AK128" s="33">
        <v>90.0</v>
      </c>
      <c r="AL128" s="33">
        <v>82.0</v>
      </c>
      <c r="AM128" s="33">
        <v>-100.0</v>
      </c>
      <c r="AN128" s="33">
        <v>100.0</v>
      </c>
      <c r="AO128" s="33">
        <v>100.0</v>
      </c>
      <c r="AP128" s="18" t="s">
        <v>1032</v>
      </c>
      <c r="AQ128" s="18" t="s">
        <v>1033</v>
      </c>
      <c r="AR128" s="81" t="s">
        <v>62</v>
      </c>
      <c r="AS128" s="81" t="s">
        <v>63</v>
      </c>
      <c r="AT128" s="81" t="s">
        <v>64</v>
      </c>
      <c r="AU128" s="82" t="s">
        <v>64</v>
      </c>
      <c r="AV128" s="83" t="s">
        <v>1034</v>
      </c>
      <c r="AW128" s="56" t="s">
        <v>1035</v>
      </c>
      <c r="AZ128" s="34"/>
      <c r="BA128" s="34"/>
      <c r="BB128" s="34"/>
    </row>
    <row r="129" hidden="1">
      <c r="A129" s="25" t="s">
        <v>1036</v>
      </c>
      <c r="B129" s="26" t="s">
        <v>1037</v>
      </c>
      <c r="C129" s="27" t="s">
        <v>941</v>
      </c>
      <c r="D129" s="27" t="s">
        <v>52</v>
      </c>
      <c r="E129" s="35" t="s">
        <v>84</v>
      </c>
      <c r="F129" s="27" t="s">
        <v>85</v>
      </c>
      <c r="G129" s="28">
        <v>385.0</v>
      </c>
      <c r="H129" s="36">
        <f t="shared" si="1"/>
        <v>365.75</v>
      </c>
      <c r="I129" s="29" t="s">
        <v>55</v>
      </c>
      <c r="J129" s="30" t="s">
        <v>358</v>
      </c>
      <c r="K129" s="30" t="s">
        <v>1038</v>
      </c>
      <c r="L129" s="31" t="s">
        <v>1024</v>
      </c>
      <c r="M129" s="31" t="s">
        <v>1039</v>
      </c>
      <c r="N129" s="33">
        <v>100.0</v>
      </c>
      <c r="O129" s="33">
        <v>100.0</v>
      </c>
      <c r="P129" s="33">
        <v>100.0</v>
      </c>
      <c r="Q129" s="33">
        <v>75.0</v>
      </c>
      <c r="R129" s="33">
        <v>20.0</v>
      </c>
      <c r="S129" s="33">
        <v>72.0</v>
      </c>
      <c r="T129" s="33">
        <v>68.0</v>
      </c>
      <c r="U129" s="33">
        <v>65.0</v>
      </c>
      <c r="V129" s="33">
        <v>60.0</v>
      </c>
      <c r="W129" s="33">
        <v>35.0</v>
      </c>
      <c r="X129" s="33">
        <v>78.0</v>
      </c>
      <c r="Y129" s="33">
        <v>65.0</v>
      </c>
      <c r="Z129" s="33">
        <v>20.0</v>
      </c>
      <c r="AA129" s="33">
        <v>90.0</v>
      </c>
      <c r="AB129" s="33">
        <v>90.0</v>
      </c>
      <c r="AC129" s="33">
        <v>72.0</v>
      </c>
      <c r="AD129" s="33">
        <v>15.0</v>
      </c>
      <c r="AE129" s="33">
        <v>98.0</v>
      </c>
      <c r="AF129" s="33">
        <v>95.0</v>
      </c>
      <c r="AG129" s="33">
        <v>68.0</v>
      </c>
      <c r="AH129" s="33">
        <v>75.0</v>
      </c>
      <c r="AI129" s="33">
        <v>92.0</v>
      </c>
      <c r="AJ129" s="33">
        <v>95.0</v>
      </c>
      <c r="AK129" s="33">
        <v>96.0</v>
      </c>
      <c r="AL129" s="33">
        <v>95.0</v>
      </c>
      <c r="AM129" s="33">
        <v>0.0</v>
      </c>
      <c r="AN129" s="33">
        <v>100.0</v>
      </c>
      <c r="AO129" s="33">
        <v>100.0</v>
      </c>
      <c r="AP129" s="18" t="s">
        <v>1040</v>
      </c>
      <c r="AQ129" s="18" t="s">
        <v>1041</v>
      </c>
      <c r="AR129" s="81" t="s">
        <v>92</v>
      </c>
      <c r="AS129" s="81" t="s">
        <v>93</v>
      </c>
      <c r="AT129" s="81" t="s">
        <v>94</v>
      </c>
      <c r="AU129" s="82" t="s">
        <v>94</v>
      </c>
      <c r="AV129" s="83" t="s">
        <v>1042</v>
      </c>
      <c r="AW129" s="56" t="s">
        <v>1043</v>
      </c>
      <c r="AZ129" s="34"/>
      <c r="BA129" s="34"/>
      <c r="BB129" s="34"/>
    </row>
    <row r="130" hidden="1">
      <c r="A130" s="25" t="s">
        <v>1044</v>
      </c>
      <c r="B130" s="26" t="s">
        <v>1045</v>
      </c>
      <c r="C130" s="27" t="s">
        <v>941</v>
      </c>
      <c r="D130" s="27" t="s">
        <v>52</v>
      </c>
      <c r="E130" s="35" t="s">
        <v>84</v>
      </c>
      <c r="F130" s="27" t="s">
        <v>85</v>
      </c>
      <c r="G130" s="28">
        <v>495.0</v>
      </c>
      <c r="H130" s="36">
        <f t="shared" si="1"/>
        <v>470.25</v>
      </c>
      <c r="I130" s="29" t="s">
        <v>55</v>
      </c>
      <c r="J130" s="30" t="s">
        <v>71</v>
      </c>
      <c r="K130" s="30" t="s">
        <v>173</v>
      </c>
      <c r="L130" s="31" t="s">
        <v>1046</v>
      </c>
      <c r="M130" s="31" t="s">
        <v>1047</v>
      </c>
      <c r="N130" s="33">
        <v>100.0</v>
      </c>
      <c r="O130" s="33">
        <v>100.0</v>
      </c>
      <c r="P130" s="33">
        <v>100.0</v>
      </c>
      <c r="Q130" s="33">
        <v>45.0</v>
      </c>
      <c r="R130" s="33">
        <v>15.0</v>
      </c>
      <c r="S130" s="33">
        <v>75.0</v>
      </c>
      <c r="T130" s="33">
        <v>35.0</v>
      </c>
      <c r="U130" s="33">
        <v>92.0</v>
      </c>
      <c r="V130" s="33">
        <v>95.0</v>
      </c>
      <c r="W130" s="33">
        <v>85.0</v>
      </c>
      <c r="X130" s="33">
        <v>72.0</v>
      </c>
      <c r="Y130" s="33">
        <v>25.0</v>
      </c>
      <c r="Z130" s="33">
        <v>25.0</v>
      </c>
      <c r="AA130" s="33">
        <v>80.0</v>
      </c>
      <c r="AB130" s="33">
        <v>82.0</v>
      </c>
      <c r="AC130" s="33">
        <v>90.0</v>
      </c>
      <c r="AD130" s="33">
        <v>40.0</v>
      </c>
      <c r="AE130" s="33">
        <v>90.0</v>
      </c>
      <c r="AF130" s="33">
        <v>85.0</v>
      </c>
      <c r="AG130" s="33">
        <v>78.0</v>
      </c>
      <c r="AH130" s="33">
        <v>75.0</v>
      </c>
      <c r="AI130" s="33">
        <v>90.0</v>
      </c>
      <c r="AJ130" s="33">
        <v>85.0</v>
      </c>
      <c r="AK130" s="33">
        <v>90.0</v>
      </c>
      <c r="AL130" s="33">
        <v>85.0</v>
      </c>
      <c r="AM130" s="33">
        <v>0.0</v>
      </c>
      <c r="AN130" s="33">
        <v>100.0</v>
      </c>
      <c r="AO130" s="33">
        <v>100.0</v>
      </c>
      <c r="AP130" s="18" t="s">
        <v>1048</v>
      </c>
      <c r="AQ130" s="18" t="s">
        <v>1049</v>
      </c>
      <c r="AR130" s="20" t="s">
        <v>92</v>
      </c>
      <c r="AS130" s="20" t="s">
        <v>93</v>
      </c>
      <c r="AT130" s="20" t="s">
        <v>94</v>
      </c>
      <c r="AU130" s="21" t="s">
        <v>94</v>
      </c>
      <c r="AV130" s="22" t="s">
        <v>1050</v>
      </c>
      <c r="AW130" s="56" t="s">
        <v>1051</v>
      </c>
      <c r="AZ130" s="34"/>
      <c r="BA130" s="34"/>
      <c r="BB130" s="34"/>
    </row>
    <row r="131" hidden="1">
      <c r="A131" s="25" t="s">
        <v>1052</v>
      </c>
      <c r="B131" s="26" t="s">
        <v>1053</v>
      </c>
      <c r="C131" s="27" t="s">
        <v>941</v>
      </c>
      <c r="D131" s="27" t="s">
        <v>52</v>
      </c>
      <c r="E131" s="35" t="s">
        <v>84</v>
      </c>
      <c r="F131" s="27" t="s">
        <v>70</v>
      </c>
      <c r="G131" s="28">
        <v>675.0</v>
      </c>
      <c r="H131" s="36">
        <f t="shared" si="1"/>
        <v>641.25</v>
      </c>
      <c r="I131" s="29" t="s">
        <v>55</v>
      </c>
      <c r="J131" s="30" t="s">
        <v>550</v>
      </c>
      <c r="K131" s="30" t="s">
        <v>243</v>
      </c>
      <c r="L131" s="31" t="s">
        <v>1046</v>
      </c>
      <c r="M131" s="31" t="s">
        <v>1054</v>
      </c>
      <c r="N131" s="33">
        <v>100.0</v>
      </c>
      <c r="O131" s="33">
        <v>100.0</v>
      </c>
      <c r="P131" s="33">
        <v>100.0</v>
      </c>
      <c r="Q131" s="33">
        <v>30.0</v>
      </c>
      <c r="R131" s="33">
        <v>10.0</v>
      </c>
      <c r="S131" s="33">
        <v>98.0</v>
      </c>
      <c r="T131" s="33">
        <v>10.0</v>
      </c>
      <c r="U131" s="33">
        <v>10.0</v>
      </c>
      <c r="V131" s="17">
        <v>90.0</v>
      </c>
      <c r="W131" s="17">
        <v>75.0</v>
      </c>
      <c r="X131" s="33">
        <v>98.0</v>
      </c>
      <c r="Y131" s="33">
        <v>10.0</v>
      </c>
      <c r="Z131" s="33">
        <v>35.0</v>
      </c>
      <c r="AA131" s="33">
        <v>98.0</v>
      </c>
      <c r="AB131" s="33">
        <v>98.0</v>
      </c>
      <c r="AC131" s="33">
        <v>40.0</v>
      </c>
      <c r="AD131" s="33">
        <v>5.0</v>
      </c>
      <c r="AE131" s="33">
        <v>72.0</v>
      </c>
      <c r="AF131" s="33">
        <v>90.0</v>
      </c>
      <c r="AG131" s="33">
        <v>98.0</v>
      </c>
      <c r="AH131" s="33">
        <v>98.0</v>
      </c>
      <c r="AI131" s="33">
        <v>85.0</v>
      </c>
      <c r="AJ131" s="33">
        <v>96.0</v>
      </c>
      <c r="AK131" s="33">
        <v>82.0</v>
      </c>
      <c r="AL131" s="33">
        <v>94.0</v>
      </c>
      <c r="AM131" s="33">
        <v>100.0</v>
      </c>
      <c r="AN131" s="33">
        <v>100.0</v>
      </c>
      <c r="AO131" s="33">
        <v>100.0</v>
      </c>
      <c r="AP131" s="18" t="s">
        <v>1055</v>
      </c>
      <c r="AQ131" s="18" t="s">
        <v>1056</v>
      </c>
      <c r="AR131" s="20" t="s">
        <v>92</v>
      </c>
      <c r="AS131" s="20" t="s">
        <v>93</v>
      </c>
      <c r="AT131" s="20" t="s">
        <v>94</v>
      </c>
      <c r="AU131" s="21" t="s">
        <v>94</v>
      </c>
      <c r="AV131" s="22" t="s">
        <v>1057</v>
      </c>
      <c r="AW131" s="56" t="s">
        <v>1058</v>
      </c>
      <c r="AZ131" s="34"/>
      <c r="BA131" s="34"/>
      <c r="BB131" s="34"/>
    </row>
    <row r="132" hidden="1">
      <c r="A132" s="25" t="s">
        <v>1059</v>
      </c>
      <c r="B132" s="26" t="s">
        <v>1060</v>
      </c>
      <c r="C132" s="27" t="s">
        <v>941</v>
      </c>
      <c r="D132" s="27" t="s">
        <v>52</v>
      </c>
      <c r="E132" s="27" t="s">
        <v>252</v>
      </c>
      <c r="F132" s="27" t="s">
        <v>85</v>
      </c>
      <c r="G132" s="28">
        <v>500.0</v>
      </c>
      <c r="H132" s="36">
        <f t="shared" si="1"/>
        <v>475</v>
      </c>
      <c r="I132" s="29" t="s">
        <v>55</v>
      </c>
      <c r="J132" s="30" t="s">
        <v>71</v>
      </c>
      <c r="K132" s="30" t="s">
        <v>29</v>
      </c>
      <c r="L132" s="31" t="s">
        <v>456</v>
      </c>
      <c r="M132" s="31" t="s">
        <v>1061</v>
      </c>
      <c r="N132" s="33">
        <v>100.0</v>
      </c>
      <c r="O132" s="33">
        <v>100.0</v>
      </c>
      <c r="P132" s="33">
        <v>100.0</v>
      </c>
      <c r="Q132" s="33">
        <v>25.0</v>
      </c>
      <c r="R132" s="33">
        <v>10.0</v>
      </c>
      <c r="S132" s="33">
        <v>70.0</v>
      </c>
      <c r="T132" s="33">
        <v>15.0</v>
      </c>
      <c r="U132" s="33">
        <v>82.0</v>
      </c>
      <c r="V132" s="33">
        <v>85.0</v>
      </c>
      <c r="W132" s="33">
        <v>65.0</v>
      </c>
      <c r="X132" s="33">
        <v>65.0</v>
      </c>
      <c r="Y132" s="33">
        <v>10.0</v>
      </c>
      <c r="Z132" s="33">
        <v>25.0</v>
      </c>
      <c r="AA132" s="33">
        <v>78.0</v>
      </c>
      <c r="AB132" s="33">
        <v>75.0</v>
      </c>
      <c r="AC132" s="33">
        <v>82.0</v>
      </c>
      <c r="AD132" s="33">
        <v>98.0</v>
      </c>
      <c r="AE132" s="33">
        <v>90.0</v>
      </c>
      <c r="AF132" s="33">
        <v>85.0</v>
      </c>
      <c r="AG132" s="33">
        <v>72.0</v>
      </c>
      <c r="AH132" s="33">
        <v>68.0</v>
      </c>
      <c r="AI132" s="33">
        <v>90.0</v>
      </c>
      <c r="AJ132" s="33">
        <v>85.0</v>
      </c>
      <c r="AK132" s="33">
        <v>90.0</v>
      </c>
      <c r="AL132" s="33">
        <v>85.0</v>
      </c>
      <c r="AM132" s="33">
        <v>0.0</v>
      </c>
      <c r="AN132" s="33">
        <v>100.0</v>
      </c>
      <c r="AO132" s="33">
        <v>100.0</v>
      </c>
      <c r="AP132" s="18" t="s">
        <v>1062</v>
      </c>
      <c r="AQ132" s="18" t="s">
        <v>1063</v>
      </c>
      <c r="AR132" s="20" t="s">
        <v>144</v>
      </c>
      <c r="AS132" s="20" t="s">
        <v>145</v>
      </c>
      <c r="AT132" s="20" t="s">
        <v>146</v>
      </c>
      <c r="AU132" s="21" t="s">
        <v>146</v>
      </c>
      <c r="AV132" s="22" t="s">
        <v>1064</v>
      </c>
      <c r="AW132" s="56" t="s">
        <v>1065</v>
      </c>
      <c r="AZ132" s="52"/>
      <c r="BA132" s="34"/>
      <c r="BB132" s="34"/>
    </row>
    <row r="133" hidden="1">
      <c r="A133" s="25" t="s">
        <v>1066</v>
      </c>
      <c r="B133" s="26" t="s">
        <v>1067</v>
      </c>
      <c r="C133" s="27" t="s">
        <v>941</v>
      </c>
      <c r="D133" s="27" t="s">
        <v>99</v>
      </c>
      <c r="E133" s="27" t="s">
        <v>112</v>
      </c>
      <c r="F133" s="27" t="s">
        <v>182</v>
      </c>
      <c r="G133" s="28">
        <v>675.0</v>
      </c>
      <c r="H133" s="36">
        <f t="shared" si="1"/>
        <v>641.25</v>
      </c>
      <c r="I133" s="29" t="s">
        <v>55</v>
      </c>
      <c r="J133" s="30" t="s">
        <v>1008</v>
      </c>
      <c r="K133" s="30" t="s">
        <v>57</v>
      </c>
      <c r="L133" s="31" t="s">
        <v>399</v>
      </c>
      <c r="M133" s="31" t="s">
        <v>875</v>
      </c>
      <c r="N133" s="33">
        <v>100.0</v>
      </c>
      <c r="O133" s="33">
        <v>100.0</v>
      </c>
      <c r="P133" s="33">
        <v>100.0</v>
      </c>
      <c r="Q133" s="33">
        <v>20.0</v>
      </c>
      <c r="R133" s="33">
        <v>10.0</v>
      </c>
      <c r="S133" s="33">
        <v>98.0</v>
      </c>
      <c r="T133" s="33">
        <v>5.0</v>
      </c>
      <c r="U133" s="33">
        <v>10.0</v>
      </c>
      <c r="V133" s="33">
        <v>5.0</v>
      </c>
      <c r="W133" s="33">
        <v>5.0</v>
      </c>
      <c r="X133" s="33">
        <v>98.0</v>
      </c>
      <c r="Y133" s="33">
        <v>5.0</v>
      </c>
      <c r="Z133" s="33">
        <v>25.0</v>
      </c>
      <c r="AA133" s="33">
        <v>98.0</v>
      </c>
      <c r="AB133" s="33">
        <v>98.0</v>
      </c>
      <c r="AC133" s="33">
        <v>40.0</v>
      </c>
      <c r="AD133" s="33">
        <v>5.0</v>
      </c>
      <c r="AE133" s="33">
        <v>68.0</v>
      </c>
      <c r="AF133" s="33">
        <v>85.0</v>
      </c>
      <c r="AG133" s="33">
        <v>98.0</v>
      </c>
      <c r="AH133" s="33">
        <v>98.0</v>
      </c>
      <c r="AI133" s="33">
        <v>82.0</v>
      </c>
      <c r="AJ133" s="33">
        <v>95.0</v>
      </c>
      <c r="AK133" s="33">
        <v>75.0</v>
      </c>
      <c r="AL133" s="33">
        <v>92.0</v>
      </c>
      <c r="AM133" s="33">
        <v>100.0</v>
      </c>
      <c r="AN133" s="33">
        <v>100.0</v>
      </c>
      <c r="AO133" s="33">
        <v>100.0</v>
      </c>
      <c r="AP133" s="18" t="s">
        <v>1068</v>
      </c>
      <c r="AQ133" s="18" t="s">
        <v>1069</v>
      </c>
      <c r="AR133" s="20" t="s">
        <v>118</v>
      </c>
      <c r="AS133" s="20" t="s">
        <v>119</v>
      </c>
      <c r="AT133" s="20" t="s">
        <v>120</v>
      </c>
      <c r="AU133" s="21" t="s">
        <v>120</v>
      </c>
      <c r="AV133" s="22" t="s">
        <v>95</v>
      </c>
      <c r="AW133" s="56" t="s">
        <v>1070</v>
      </c>
      <c r="AX133" s="59"/>
      <c r="AZ133" s="52"/>
      <c r="BA133" s="34"/>
      <c r="BB133" s="34"/>
    </row>
    <row r="134" hidden="1">
      <c r="A134" s="25" t="s">
        <v>1071</v>
      </c>
      <c r="B134" s="26" t="s">
        <v>1072</v>
      </c>
      <c r="C134" s="27" t="s">
        <v>941</v>
      </c>
      <c r="D134" s="27" t="s">
        <v>99</v>
      </c>
      <c r="E134" s="27" t="s">
        <v>112</v>
      </c>
      <c r="F134" s="27" t="s">
        <v>101</v>
      </c>
      <c r="G134" s="28">
        <v>625.0</v>
      </c>
      <c r="H134" s="36">
        <f t="shared" si="1"/>
        <v>593.75</v>
      </c>
      <c r="I134" s="29" t="s">
        <v>55</v>
      </c>
      <c r="J134" s="30" t="s">
        <v>1073</v>
      </c>
      <c r="K134" s="30" t="s">
        <v>323</v>
      </c>
      <c r="L134" s="31" t="s">
        <v>154</v>
      </c>
      <c r="M134" s="31" t="s">
        <v>1074</v>
      </c>
      <c r="N134" s="33">
        <v>100.0</v>
      </c>
      <c r="O134" s="33">
        <v>100.0</v>
      </c>
      <c r="P134" s="33">
        <v>100.0</v>
      </c>
      <c r="Q134" s="33">
        <v>40.0</v>
      </c>
      <c r="R134" s="33">
        <v>55.0</v>
      </c>
      <c r="S134" s="33">
        <v>90.0</v>
      </c>
      <c r="T134" s="33">
        <v>20.0</v>
      </c>
      <c r="U134" s="33">
        <v>90.0</v>
      </c>
      <c r="V134" s="33">
        <v>92.0</v>
      </c>
      <c r="W134" s="33">
        <v>80.0</v>
      </c>
      <c r="X134" s="33">
        <v>85.0</v>
      </c>
      <c r="Y134" s="33">
        <v>15.0</v>
      </c>
      <c r="Z134" s="33">
        <v>25.0</v>
      </c>
      <c r="AA134" s="33">
        <v>82.0</v>
      </c>
      <c r="AB134" s="33">
        <v>90.0</v>
      </c>
      <c r="AC134" s="33">
        <v>90.0</v>
      </c>
      <c r="AD134" s="33">
        <v>35.0</v>
      </c>
      <c r="AE134" s="33">
        <v>82.0</v>
      </c>
      <c r="AF134" s="33">
        <v>80.0</v>
      </c>
      <c r="AG134" s="33">
        <v>95.0</v>
      </c>
      <c r="AH134" s="33">
        <v>92.0</v>
      </c>
      <c r="AI134" s="33">
        <v>90.0</v>
      </c>
      <c r="AJ134" s="33">
        <v>85.0</v>
      </c>
      <c r="AK134" s="33">
        <v>85.0</v>
      </c>
      <c r="AL134" s="33">
        <v>82.0</v>
      </c>
      <c r="AM134" s="33">
        <v>100.0</v>
      </c>
      <c r="AN134" s="33">
        <v>100.0</v>
      </c>
      <c r="AO134" s="33">
        <v>100.0</v>
      </c>
      <c r="AP134" s="18" t="s">
        <v>1075</v>
      </c>
      <c r="AQ134" s="18" t="s">
        <v>1076</v>
      </c>
      <c r="AR134" s="20" t="s">
        <v>118</v>
      </c>
      <c r="AS134" s="20" t="s">
        <v>119</v>
      </c>
      <c r="AT134" s="20" t="s">
        <v>120</v>
      </c>
      <c r="AU134" s="21" t="s">
        <v>120</v>
      </c>
      <c r="AV134" s="22" t="s">
        <v>178</v>
      </c>
      <c r="AW134" s="56" t="s">
        <v>1077</v>
      </c>
      <c r="AX134" s="59"/>
      <c r="AY134" s="55"/>
      <c r="AZ134" s="55"/>
      <c r="BA134" s="34"/>
      <c r="BB134" s="34"/>
    </row>
    <row r="135" hidden="1">
      <c r="A135" s="25" t="s">
        <v>1078</v>
      </c>
      <c r="B135" s="26" t="s">
        <v>1079</v>
      </c>
      <c r="C135" s="27" t="s">
        <v>941</v>
      </c>
      <c r="D135" s="27" t="s">
        <v>99</v>
      </c>
      <c r="E135" s="27" t="s">
        <v>112</v>
      </c>
      <c r="F135" s="27" t="s">
        <v>101</v>
      </c>
      <c r="G135" s="28">
        <v>595.0</v>
      </c>
      <c r="H135" s="36">
        <f t="shared" si="1"/>
        <v>565.25</v>
      </c>
      <c r="I135" s="29" t="s">
        <v>55</v>
      </c>
      <c r="J135" s="30" t="s">
        <v>331</v>
      </c>
      <c r="K135" s="30" t="s">
        <v>17</v>
      </c>
      <c r="L135" s="31" t="s">
        <v>1080</v>
      </c>
      <c r="M135" s="31" t="s">
        <v>1081</v>
      </c>
      <c r="N135" s="33">
        <v>0.0</v>
      </c>
      <c r="O135" s="33">
        <v>100.0</v>
      </c>
      <c r="P135" s="33">
        <v>100.0</v>
      </c>
      <c r="Q135" s="33">
        <v>60.0</v>
      </c>
      <c r="R135" s="33">
        <v>90.0</v>
      </c>
      <c r="S135" s="33">
        <v>78.0</v>
      </c>
      <c r="T135" s="33">
        <v>45.0</v>
      </c>
      <c r="U135" s="33">
        <v>82.0</v>
      </c>
      <c r="V135" s="33">
        <v>85.0</v>
      </c>
      <c r="W135" s="33">
        <v>70.0</v>
      </c>
      <c r="X135" s="33">
        <v>60.0</v>
      </c>
      <c r="Y135" s="33">
        <v>40.0</v>
      </c>
      <c r="Z135" s="33">
        <v>35.0</v>
      </c>
      <c r="AA135" s="33">
        <v>55.0</v>
      </c>
      <c r="AB135" s="33">
        <v>78.0</v>
      </c>
      <c r="AC135" s="33">
        <v>82.0</v>
      </c>
      <c r="AD135" s="33">
        <v>25.0</v>
      </c>
      <c r="AE135" s="33">
        <v>68.0</v>
      </c>
      <c r="AF135" s="33">
        <v>60.0</v>
      </c>
      <c r="AG135" s="33">
        <v>90.0</v>
      </c>
      <c r="AH135" s="33">
        <v>80.0</v>
      </c>
      <c r="AI135" s="33">
        <v>75.0</v>
      </c>
      <c r="AJ135" s="33">
        <v>70.0</v>
      </c>
      <c r="AK135" s="33">
        <v>72.0</v>
      </c>
      <c r="AL135" s="33">
        <v>68.0</v>
      </c>
      <c r="AM135" s="33">
        <v>100.0</v>
      </c>
      <c r="AN135" s="33">
        <v>100.0</v>
      </c>
      <c r="AO135" s="33">
        <v>100.0</v>
      </c>
      <c r="AP135" s="18" t="s">
        <v>1082</v>
      </c>
      <c r="AQ135" s="18" t="s">
        <v>1083</v>
      </c>
      <c r="AR135" s="20" t="s">
        <v>118</v>
      </c>
      <c r="AS135" s="20" t="s">
        <v>119</v>
      </c>
      <c r="AT135" s="20" t="s">
        <v>120</v>
      </c>
      <c r="AU135" s="21" t="s">
        <v>120</v>
      </c>
      <c r="AV135" s="22" t="s">
        <v>1084</v>
      </c>
      <c r="AW135" s="56" t="s">
        <v>1085</v>
      </c>
      <c r="AX135" s="34"/>
      <c r="BA135" s="34"/>
      <c r="BB135" s="34"/>
    </row>
    <row r="136" hidden="1">
      <c r="A136" s="25" t="s">
        <v>1086</v>
      </c>
      <c r="B136" s="26" t="s">
        <v>1087</v>
      </c>
      <c r="C136" s="27" t="s">
        <v>941</v>
      </c>
      <c r="D136" s="27" t="s">
        <v>99</v>
      </c>
      <c r="E136" s="27" t="s">
        <v>112</v>
      </c>
      <c r="F136" s="27" t="s">
        <v>54</v>
      </c>
      <c r="G136" s="28">
        <v>300.0</v>
      </c>
      <c r="H136" s="36">
        <f t="shared" si="1"/>
        <v>285</v>
      </c>
      <c r="I136" s="29" t="s">
        <v>55</v>
      </c>
      <c r="J136" s="30" t="s">
        <v>139</v>
      </c>
      <c r="K136" s="30" t="s">
        <v>17</v>
      </c>
      <c r="L136" s="31" t="s">
        <v>966</v>
      </c>
      <c r="M136" s="31" t="s">
        <v>1088</v>
      </c>
      <c r="N136" s="33">
        <v>-100.0</v>
      </c>
      <c r="O136" s="33">
        <v>100.0</v>
      </c>
      <c r="P136" s="33">
        <v>100.0</v>
      </c>
      <c r="Q136" s="33">
        <v>45.0</v>
      </c>
      <c r="R136" s="33">
        <v>35.0</v>
      </c>
      <c r="S136" s="33">
        <v>92.0</v>
      </c>
      <c r="T136" s="33">
        <v>20.0</v>
      </c>
      <c r="U136" s="33">
        <v>40.0</v>
      </c>
      <c r="V136" s="33">
        <v>35.0</v>
      </c>
      <c r="W136" s="33">
        <v>20.0</v>
      </c>
      <c r="X136" s="33">
        <v>78.0</v>
      </c>
      <c r="Y136" s="33">
        <v>15.0</v>
      </c>
      <c r="Z136" s="33">
        <v>90.0</v>
      </c>
      <c r="AA136" s="33">
        <v>65.0</v>
      </c>
      <c r="AB136" s="33">
        <v>92.0</v>
      </c>
      <c r="AC136" s="33">
        <v>55.0</v>
      </c>
      <c r="AD136" s="33">
        <v>10.0</v>
      </c>
      <c r="AE136" s="33">
        <v>70.0</v>
      </c>
      <c r="AF136" s="33">
        <v>65.0</v>
      </c>
      <c r="AG136" s="33">
        <v>98.0</v>
      </c>
      <c r="AH136" s="33">
        <v>92.0</v>
      </c>
      <c r="AI136" s="33">
        <v>82.0</v>
      </c>
      <c r="AJ136" s="33">
        <v>78.0</v>
      </c>
      <c r="AK136" s="33">
        <v>78.0</v>
      </c>
      <c r="AL136" s="33">
        <v>75.0</v>
      </c>
      <c r="AM136" s="33">
        <v>100.0</v>
      </c>
      <c r="AN136" s="33">
        <v>-100.0</v>
      </c>
      <c r="AO136" s="33">
        <v>-100.0</v>
      </c>
      <c r="AP136" s="18" t="s">
        <v>1089</v>
      </c>
      <c r="AQ136" s="18" t="s">
        <v>1090</v>
      </c>
      <c r="AR136" s="20" t="s">
        <v>77</v>
      </c>
      <c r="AS136" s="20" t="s">
        <v>78</v>
      </c>
      <c r="AT136" s="20" t="s">
        <v>79</v>
      </c>
      <c r="AU136" s="21" t="s">
        <v>79</v>
      </c>
      <c r="AV136" s="22" t="s">
        <v>1091</v>
      </c>
      <c r="AW136" s="56" t="s">
        <v>1092</v>
      </c>
      <c r="AX136" s="34"/>
      <c r="BA136" s="34"/>
      <c r="BB136" s="34"/>
    </row>
    <row r="137" hidden="1">
      <c r="A137" s="25" t="s">
        <v>1093</v>
      </c>
      <c r="B137" s="26" t="s">
        <v>1094</v>
      </c>
      <c r="C137" s="27" t="s">
        <v>941</v>
      </c>
      <c r="D137" s="27" t="s">
        <v>99</v>
      </c>
      <c r="E137" s="27" t="s">
        <v>1095</v>
      </c>
      <c r="F137" s="27" t="s">
        <v>464</v>
      </c>
      <c r="G137" s="28">
        <v>440.0</v>
      </c>
      <c r="H137" s="36">
        <f t="shared" si="1"/>
        <v>418</v>
      </c>
      <c r="I137" s="29" t="s">
        <v>55</v>
      </c>
      <c r="J137" s="30" t="s">
        <v>455</v>
      </c>
      <c r="K137" s="30" t="s">
        <v>323</v>
      </c>
      <c r="L137" s="31" t="s">
        <v>1096</v>
      </c>
      <c r="M137" s="31" t="s">
        <v>1097</v>
      </c>
      <c r="N137" s="33">
        <v>0.0</v>
      </c>
      <c r="O137" s="33">
        <v>100.0</v>
      </c>
      <c r="P137" s="33">
        <v>100.0</v>
      </c>
      <c r="Q137" s="33">
        <v>35.0</v>
      </c>
      <c r="R137" s="33">
        <v>25.0</v>
      </c>
      <c r="S137" s="33">
        <v>45.0</v>
      </c>
      <c r="T137" s="33">
        <v>30.0</v>
      </c>
      <c r="U137" s="33">
        <v>92.0</v>
      </c>
      <c r="V137" s="33">
        <v>95.0</v>
      </c>
      <c r="W137" s="33">
        <v>90.0</v>
      </c>
      <c r="X137" s="33">
        <v>55.0</v>
      </c>
      <c r="Y137" s="33">
        <v>20.0</v>
      </c>
      <c r="Z137" s="33">
        <v>15.0</v>
      </c>
      <c r="AA137" s="33">
        <v>60.0</v>
      </c>
      <c r="AB137" s="33">
        <v>50.0</v>
      </c>
      <c r="AC137" s="33">
        <v>78.0</v>
      </c>
      <c r="AD137" s="33">
        <v>15.0</v>
      </c>
      <c r="AE137" s="33">
        <v>90.0</v>
      </c>
      <c r="AF137" s="33">
        <v>75.0</v>
      </c>
      <c r="AG137" s="33">
        <v>50.0</v>
      </c>
      <c r="AH137" s="33">
        <v>42.0</v>
      </c>
      <c r="AI137" s="33">
        <v>80.0</v>
      </c>
      <c r="AJ137" s="33">
        <v>72.0</v>
      </c>
      <c r="AK137" s="33">
        <v>82.0</v>
      </c>
      <c r="AL137" s="33">
        <v>75.0</v>
      </c>
      <c r="AM137" s="33">
        <v>-100.0</v>
      </c>
      <c r="AN137" s="33">
        <v>100.0</v>
      </c>
      <c r="AO137" s="33">
        <v>100.0</v>
      </c>
      <c r="AP137" s="18" t="s">
        <v>1098</v>
      </c>
      <c r="AQ137" s="18" t="s">
        <v>1099</v>
      </c>
      <c r="AR137" s="20" t="s">
        <v>118</v>
      </c>
      <c r="AS137" s="20" t="s">
        <v>119</v>
      </c>
      <c r="AT137" s="20" t="s">
        <v>120</v>
      </c>
      <c r="AU137" s="21" t="s">
        <v>120</v>
      </c>
      <c r="AV137" s="22" t="s">
        <v>1100</v>
      </c>
      <c r="AW137" s="56" t="s">
        <v>1101</v>
      </c>
      <c r="AX137" s="34"/>
      <c r="BA137" s="34"/>
      <c r="BB137" s="34"/>
    </row>
    <row r="138" hidden="1">
      <c r="A138" s="25" t="s">
        <v>1102</v>
      </c>
      <c r="B138" s="26" t="s">
        <v>1103</v>
      </c>
      <c r="C138" s="27" t="s">
        <v>941</v>
      </c>
      <c r="D138" s="27" t="s">
        <v>99</v>
      </c>
      <c r="E138" s="27" t="s">
        <v>112</v>
      </c>
      <c r="F138" s="27" t="s">
        <v>126</v>
      </c>
      <c r="G138" s="28">
        <v>425.0</v>
      </c>
      <c r="H138" s="36">
        <f t="shared" si="1"/>
        <v>403.75</v>
      </c>
      <c r="I138" s="29" t="s">
        <v>55</v>
      </c>
      <c r="J138" s="30" t="s">
        <v>1104</v>
      </c>
      <c r="K138" s="30" t="s">
        <v>57</v>
      </c>
      <c r="L138" s="31" t="s">
        <v>456</v>
      </c>
      <c r="M138" s="31" t="s">
        <v>1105</v>
      </c>
      <c r="N138" s="33">
        <v>100.0</v>
      </c>
      <c r="O138" s="33">
        <v>100.0</v>
      </c>
      <c r="P138" s="33">
        <v>100.0</v>
      </c>
      <c r="Q138" s="33">
        <v>15.0</v>
      </c>
      <c r="R138" s="33">
        <v>15.0</v>
      </c>
      <c r="S138" s="33">
        <v>82.0</v>
      </c>
      <c r="T138" s="33">
        <v>10.0</v>
      </c>
      <c r="U138" s="33">
        <v>20.0</v>
      </c>
      <c r="V138" s="33">
        <v>20.0</v>
      </c>
      <c r="W138" s="33">
        <v>10.0</v>
      </c>
      <c r="X138" s="33">
        <v>70.0</v>
      </c>
      <c r="Y138" s="33">
        <v>10.0</v>
      </c>
      <c r="Z138" s="33">
        <v>20.0</v>
      </c>
      <c r="AA138" s="33">
        <v>85.0</v>
      </c>
      <c r="AB138" s="33">
        <v>90.0</v>
      </c>
      <c r="AC138" s="33">
        <v>40.0</v>
      </c>
      <c r="AD138" s="33">
        <v>98.0</v>
      </c>
      <c r="AE138" s="33">
        <v>82.0</v>
      </c>
      <c r="AF138" s="33">
        <v>80.0</v>
      </c>
      <c r="AG138" s="33">
        <v>90.0</v>
      </c>
      <c r="AH138" s="33">
        <v>90.0</v>
      </c>
      <c r="AI138" s="33">
        <v>85.0</v>
      </c>
      <c r="AJ138" s="33">
        <v>90.0</v>
      </c>
      <c r="AK138" s="33">
        <v>84.0</v>
      </c>
      <c r="AL138" s="33">
        <v>86.0</v>
      </c>
      <c r="AM138" s="33">
        <v>100.0</v>
      </c>
      <c r="AN138" s="33">
        <v>100.0</v>
      </c>
      <c r="AO138" s="33">
        <v>100.0</v>
      </c>
      <c r="AP138" s="18" t="s">
        <v>1106</v>
      </c>
      <c r="AQ138" s="18" t="s">
        <v>1107</v>
      </c>
      <c r="AR138" s="20" t="s">
        <v>144</v>
      </c>
      <c r="AS138" s="20" t="s">
        <v>145</v>
      </c>
      <c r="AT138" s="20" t="s">
        <v>146</v>
      </c>
      <c r="AU138" s="21" t="s">
        <v>146</v>
      </c>
      <c r="AV138" s="22" t="s">
        <v>1108</v>
      </c>
      <c r="AW138" s="56" t="s">
        <v>1109</v>
      </c>
      <c r="AX138" s="34"/>
      <c r="BA138" s="34"/>
      <c r="BB138" s="34"/>
    </row>
    <row r="139" hidden="1">
      <c r="A139" s="25" t="s">
        <v>1110</v>
      </c>
      <c r="B139" s="26" t="s">
        <v>1111</v>
      </c>
      <c r="C139" s="27" t="s">
        <v>941</v>
      </c>
      <c r="D139" s="27" t="s">
        <v>99</v>
      </c>
      <c r="E139" s="27" t="s">
        <v>112</v>
      </c>
      <c r="F139" s="27" t="s">
        <v>54</v>
      </c>
      <c r="G139" s="28">
        <v>315.0</v>
      </c>
      <c r="H139" s="36">
        <f t="shared" si="1"/>
        <v>299.25</v>
      </c>
      <c r="I139" s="29" t="s">
        <v>55</v>
      </c>
      <c r="J139" s="30" t="s">
        <v>1104</v>
      </c>
      <c r="K139" s="30" t="s">
        <v>57</v>
      </c>
      <c r="L139" s="31" t="s">
        <v>950</v>
      </c>
      <c r="M139" s="31" t="s">
        <v>1112</v>
      </c>
      <c r="N139" s="33">
        <v>0.0</v>
      </c>
      <c r="O139" s="33">
        <v>100.0</v>
      </c>
      <c r="P139" s="33">
        <v>100.0</v>
      </c>
      <c r="Q139" s="33">
        <v>35.0</v>
      </c>
      <c r="R139" s="33">
        <v>55.0</v>
      </c>
      <c r="S139" s="33">
        <v>95.0</v>
      </c>
      <c r="T139" s="33">
        <v>20.0</v>
      </c>
      <c r="U139" s="33">
        <v>35.0</v>
      </c>
      <c r="V139" s="33">
        <v>30.0</v>
      </c>
      <c r="W139" s="33">
        <v>15.0</v>
      </c>
      <c r="X139" s="33">
        <v>82.0</v>
      </c>
      <c r="Y139" s="33">
        <v>15.0</v>
      </c>
      <c r="Z139" s="33">
        <v>25.0</v>
      </c>
      <c r="AA139" s="33">
        <v>78.0</v>
      </c>
      <c r="AB139" s="33">
        <v>98.0</v>
      </c>
      <c r="AC139" s="33">
        <v>55.0</v>
      </c>
      <c r="AD139" s="33">
        <v>10.0</v>
      </c>
      <c r="AE139" s="33">
        <v>72.0</v>
      </c>
      <c r="AF139" s="33">
        <v>68.0</v>
      </c>
      <c r="AG139" s="33">
        <v>98.0</v>
      </c>
      <c r="AH139" s="33">
        <v>98.0</v>
      </c>
      <c r="AI139" s="33">
        <v>85.0</v>
      </c>
      <c r="AJ139" s="33">
        <v>90.0</v>
      </c>
      <c r="AK139" s="33">
        <v>80.0</v>
      </c>
      <c r="AL139" s="33">
        <v>82.0</v>
      </c>
      <c r="AM139" s="33">
        <v>100.0</v>
      </c>
      <c r="AN139" s="33">
        <v>100.0</v>
      </c>
      <c r="AO139" s="33">
        <v>100.0</v>
      </c>
      <c r="AP139" s="18" t="s">
        <v>1113</v>
      </c>
      <c r="AQ139" s="18" t="s">
        <v>1114</v>
      </c>
      <c r="AR139" s="20" t="s">
        <v>118</v>
      </c>
      <c r="AS139" s="20" t="s">
        <v>119</v>
      </c>
      <c r="AT139" s="20" t="s">
        <v>120</v>
      </c>
      <c r="AU139" s="21" t="s">
        <v>120</v>
      </c>
      <c r="AV139" s="22" t="s">
        <v>1013</v>
      </c>
      <c r="AW139" s="56" t="s">
        <v>1115</v>
      </c>
      <c r="AX139" s="34"/>
      <c r="BA139" s="34"/>
      <c r="BB139" s="34"/>
    </row>
    <row r="140" hidden="1">
      <c r="A140" s="25" t="s">
        <v>1116</v>
      </c>
      <c r="B140" s="26" t="s">
        <v>1117</v>
      </c>
      <c r="C140" s="27" t="s">
        <v>941</v>
      </c>
      <c r="D140" s="27" t="s">
        <v>99</v>
      </c>
      <c r="E140" s="27" t="s">
        <v>112</v>
      </c>
      <c r="F140" s="27" t="s">
        <v>54</v>
      </c>
      <c r="G140" s="28">
        <v>325.0</v>
      </c>
      <c r="H140" s="36">
        <f t="shared" si="1"/>
        <v>308.75</v>
      </c>
      <c r="I140" s="29" t="s">
        <v>55</v>
      </c>
      <c r="J140" s="30" t="s">
        <v>1104</v>
      </c>
      <c r="K140" s="30" t="s">
        <v>57</v>
      </c>
      <c r="L140" s="31" t="s">
        <v>1118</v>
      </c>
      <c r="M140" s="31" t="s">
        <v>1119</v>
      </c>
      <c r="N140" s="33">
        <v>100.0</v>
      </c>
      <c r="O140" s="33">
        <v>100.0</v>
      </c>
      <c r="P140" s="33">
        <v>100.0</v>
      </c>
      <c r="Q140" s="33">
        <v>20.0</v>
      </c>
      <c r="R140" s="33">
        <v>15.0</v>
      </c>
      <c r="S140" s="33">
        <v>98.0</v>
      </c>
      <c r="T140" s="33">
        <v>5.0</v>
      </c>
      <c r="U140" s="33">
        <v>10.0</v>
      </c>
      <c r="V140" s="33">
        <v>5.0</v>
      </c>
      <c r="W140" s="33">
        <v>5.0</v>
      </c>
      <c r="X140" s="33">
        <v>95.0</v>
      </c>
      <c r="Y140" s="33">
        <v>5.0</v>
      </c>
      <c r="Z140" s="33">
        <v>35.0</v>
      </c>
      <c r="AA140" s="33">
        <v>92.0</v>
      </c>
      <c r="AB140" s="33">
        <v>98.0</v>
      </c>
      <c r="AC140" s="33">
        <v>40.0</v>
      </c>
      <c r="AD140" s="33">
        <v>5.0</v>
      </c>
      <c r="AE140" s="33">
        <v>60.0</v>
      </c>
      <c r="AF140" s="33">
        <v>55.0</v>
      </c>
      <c r="AG140" s="33">
        <v>98.0</v>
      </c>
      <c r="AH140" s="33">
        <v>98.0</v>
      </c>
      <c r="AI140" s="33">
        <v>82.0</v>
      </c>
      <c r="AJ140" s="33">
        <v>90.0</v>
      </c>
      <c r="AK140" s="33">
        <v>75.0</v>
      </c>
      <c r="AL140" s="33">
        <v>80.0</v>
      </c>
      <c r="AM140" s="33">
        <v>100.0</v>
      </c>
      <c r="AN140" s="33">
        <v>100.0</v>
      </c>
      <c r="AO140" s="33">
        <v>100.0</v>
      </c>
      <c r="AP140" s="18" t="s">
        <v>1120</v>
      </c>
      <c r="AQ140" s="18" t="s">
        <v>1121</v>
      </c>
      <c r="AR140" s="20" t="s">
        <v>118</v>
      </c>
      <c r="AS140" s="20" t="s">
        <v>119</v>
      </c>
      <c r="AT140" s="20" t="s">
        <v>120</v>
      </c>
      <c r="AU140" s="21" t="s">
        <v>120</v>
      </c>
      <c r="AV140" s="22" t="s">
        <v>946</v>
      </c>
      <c r="AW140" s="56" t="s">
        <v>1122</v>
      </c>
      <c r="AX140" s="34"/>
      <c r="BA140" s="34"/>
      <c r="BB140" s="34"/>
    </row>
    <row r="141" hidden="1">
      <c r="A141" s="25" t="s">
        <v>1123</v>
      </c>
      <c r="B141" s="26" t="s">
        <v>1124</v>
      </c>
      <c r="C141" s="27" t="s">
        <v>941</v>
      </c>
      <c r="D141" s="27" t="s">
        <v>52</v>
      </c>
      <c r="E141" s="27" t="s">
        <v>252</v>
      </c>
      <c r="F141" s="27" t="s">
        <v>54</v>
      </c>
      <c r="G141" s="28">
        <v>325.0</v>
      </c>
      <c r="H141" s="36">
        <f t="shared" si="1"/>
        <v>308.75</v>
      </c>
      <c r="I141" s="29" t="s">
        <v>55</v>
      </c>
      <c r="J141" s="30" t="s">
        <v>102</v>
      </c>
      <c r="K141" s="30" t="s">
        <v>29</v>
      </c>
      <c r="L141" s="31" t="s">
        <v>456</v>
      </c>
      <c r="M141" s="31" t="s">
        <v>1125</v>
      </c>
      <c r="N141" s="33">
        <v>100.0</v>
      </c>
      <c r="O141" s="33">
        <v>100.0</v>
      </c>
      <c r="P141" s="33">
        <v>100.0</v>
      </c>
      <c r="Q141" s="33">
        <v>20.0</v>
      </c>
      <c r="R141" s="33">
        <v>10.0</v>
      </c>
      <c r="S141" s="33">
        <v>72.0</v>
      </c>
      <c r="T141" s="33">
        <v>15.0</v>
      </c>
      <c r="U141" s="33">
        <v>45.0</v>
      </c>
      <c r="V141" s="33">
        <v>50.0</v>
      </c>
      <c r="W141" s="33">
        <v>35.0</v>
      </c>
      <c r="X141" s="33">
        <v>68.0</v>
      </c>
      <c r="Y141" s="33">
        <v>10.0</v>
      </c>
      <c r="Z141" s="33">
        <v>25.0</v>
      </c>
      <c r="AA141" s="33">
        <v>80.0</v>
      </c>
      <c r="AB141" s="33">
        <v>78.0</v>
      </c>
      <c r="AC141" s="33">
        <v>55.0</v>
      </c>
      <c r="AD141" s="33">
        <v>98.0</v>
      </c>
      <c r="AE141" s="33">
        <v>90.0</v>
      </c>
      <c r="AF141" s="33">
        <v>85.0</v>
      </c>
      <c r="AG141" s="33">
        <v>72.0</v>
      </c>
      <c r="AH141" s="33">
        <v>70.0</v>
      </c>
      <c r="AI141" s="33">
        <v>86.0</v>
      </c>
      <c r="AJ141" s="33">
        <v>85.0</v>
      </c>
      <c r="AK141" s="33">
        <v>90.0</v>
      </c>
      <c r="AL141" s="33">
        <v>86.0</v>
      </c>
      <c r="AM141" s="33">
        <v>0.0</v>
      </c>
      <c r="AN141" s="33">
        <v>100.0</v>
      </c>
      <c r="AO141" s="33">
        <v>100.0</v>
      </c>
      <c r="AP141" s="18" t="s">
        <v>1126</v>
      </c>
      <c r="AQ141" s="18" t="s">
        <v>979</v>
      </c>
      <c r="AR141" s="20" t="s">
        <v>144</v>
      </c>
      <c r="AS141" s="20" t="s">
        <v>145</v>
      </c>
      <c r="AT141" s="20" t="s">
        <v>146</v>
      </c>
      <c r="AU141" s="21" t="s">
        <v>146</v>
      </c>
      <c r="AV141" s="22" t="s">
        <v>443</v>
      </c>
      <c r="AW141" s="56" t="s">
        <v>1127</v>
      </c>
      <c r="AX141" s="34"/>
      <c r="BA141" s="52"/>
      <c r="BB141" s="34"/>
    </row>
    <row r="142" hidden="1">
      <c r="A142" s="25" t="s">
        <v>1128</v>
      </c>
      <c r="B142" s="26" t="s">
        <v>1129</v>
      </c>
      <c r="C142" s="27" t="s">
        <v>941</v>
      </c>
      <c r="D142" s="27" t="s">
        <v>52</v>
      </c>
      <c r="E142" s="27" t="s">
        <v>252</v>
      </c>
      <c r="F142" s="27" t="s">
        <v>974</v>
      </c>
      <c r="G142" s="28">
        <v>499.0</v>
      </c>
      <c r="H142" s="36">
        <f t="shared" si="1"/>
        <v>474.05</v>
      </c>
      <c r="I142" s="29" t="s">
        <v>55</v>
      </c>
      <c r="J142" s="30" t="s">
        <v>253</v>
      </c>
      <c r="K142" s="30" t="s">
        <v>29</v>
      </c>
      <c r="L142" s="31" t="s">
        <v>579</v>
      </c>
      <c r="M142" s="31" t="s">
        <v>1130</v>
      </c>
      <c r="N142" s="33">
        <v>0.0</v>
      </c>
      <c r="O142" s="33">
        <v>100.0</v>
      </c>
      <c r="P142" s="33">
        <v>100.0</v>
      </c>
      <c r="Q142" s="33">
        <v>82.0</v>
      </c>
      <c r="R142" s="33">
        <v>35.0</v>
      </c>
      <c r="S142" s="33">
        <v>55.0</v>
      </c>
      <c r="T142" s="33">
        <v>75.0</v>
      </c>
      <c r="U142" s="33">
        <v>40.0</v>
      </c>
      <c r="V142" s="33">
        <v>35.0</v>
      </c>
      <c r="W142" s="33">
        <v>15.0</v>
      </c>
      <c r="X142" s="33">
        <v>58.0</v>
      </c>
      <c r="Y142" s="33">
        <v>85.0</v>
      </c>
      <c r="Z142" s="33">
        <v>20.0</v>
      </c>
      <c r="AA142" s="33">
        <v>65.0</v>
      </c>
      <c r="AB142" s="33">
        <v>65.0</v>
      </c>
      <c r="AC142" s="33">
        <v>45.0</v>
      </c>
      <c r="AD142" s="33">
        <v>98.0</v>
      </c>
      <c r="AE142" s="33">
        <v>98.0</v>
      </c>
      <c r="AF142" s="33">
        <v>90.0</v>
      </c>
      <c r="AG142" s="33">
        <v>55.0</v>
      </c>
      <c r="AH142" s="33">
        <v>62.0</v>
      </c>
      <c r="AI142" s="33">
        <v>90.0</v>
      </c>
      <c r="AJ142" s="33">
        <v>82.0</v>
      </c>
      <c r="AK142" s="33">
        <v>95.0</v>
      </c>
      <c r="AL142" s="33">
        <v>90.0</v>
      </c>
      <c r="AM142" s="33">
        <v>0.0</v>
      </c>
      <c r="AN142" s="33">
        <v>100.0</v>
      </c>
      <c r="AO142" s="33">
        <v>100.0</v>
      </c>
      <c r="AP142" s="18" t="s">
        <v>1131</v>
      </c>
      <c r="AQ142" s="18" t="s">
        <v>1132</v>
      </c>
      <c r="AR142" s="20" t="s">
        <v>144</v>
      </c>
      <c r="AS142" s="20" t="s">
        <v>145</v>
      </c>
      <c r="AT142" s="20" t="s">
        <v>146</v>
      </c>
      <c r="AU142" s="21" t="s">
        <v>146</v>
      </c>
      <c r="AV142" s="22" t="s">
        <v>395</v>
      </c>
      <c r="AW142" s="56" t="s">
        <v>1133</v>
      </c>
      <c r="AX142" s="34"/>
      <c r="BA142" s="52"/>
      <c r="BB142" s="52"/>
    </row>
    <row r="143" hidden="1">
      <c r="A143" s="25" t="s">
        <v>1134</v>
      </c>
      <c r="B143" s="26" t="s">
        <v>1135</v>
      </c>
      <c r="C143" s="27" t="s">
        <v>941</v>
      </c>
      <c r="D143" s="27" t="s">
        <v>52</v>
      </c>
      <c r="E143" s="27" t="s">
        <v>53</v>
      </c>
      <c r="F143" s="27" t="s">
        <v>974</v>
      </c>
      <c r="G143" s="28">
        <v>250.0</v>
      </c>
      <c r="H143" s="36">
        <f t="shared" si="1"/>
        <v>237.5</v>
      </c>
      <c r="I143" s="29" t="s">
        <v>55</v>
      </c>
      <c r="J143" s="30" t="s">
        <v>102</v>
      </c>
      <c r="K143" s="30" t="s">
        <v>16</v>
      </c>
      <c r="L143" s="31" t="s">
        <v>1136</v>
      </c>
      <c r="M143" s="31" t="s">
        <v>1137</v>
      </c>
      <c r="N143" s="33">
        <v>100.0</v>
      </c>
      <c r="O143" s="33">
        <v>100.0</v>
      </c>
      <c r="P143" s="33">
        <v>100.0</v>
      </c>
      <c r="Q143" s="33">
        <v>90.0</v>
      </c>
      <c r="R143" s="33">
        <v>20.0</v>
      </c>
      <c r="S143" s="33">
        <v>55.0</v>
      </c>
      <c r="T143" s="33">
        <v>62.0</v>
      </c>
      <c r="U143" s="33">
        <v>45.0</v>
      </c>
      <c r="V143" s="33">
        <v>40.0</v>
      </c>
      <c r="W143" s="33">
        <v>20.0</v>
      </c>
      <c r="X143" s="33">
        <v>55.0</v>
      </c>
      <c r="Y143" s="33">
        <v>72.0</v>
      </c>
      <c r="Z143" s="33">
        <v>15.0</v>
      </c>
      <c r="AA143" s="33">
        <v>72.0</v>
      </c>
      <c r="AB143" s="33">
        <v>65.0</v>
      </c>
      <c r="AC143" s="33">
        <v>68.0</v>
      </c>
      <c r="AD143" s="33">
        <v>15.0</v>
      </c>
      <c r="AE143" s="33">
        <v>92.0</v>
      </c>
      <c r="AF143" s="33">
        <v>85.0</v>
      </c>
      <c r="AG143" s="33">
        <v>58.0</v>
      </c>
      <c r="AH143" s="33">
        <v>62.0</v>
      </c>
      <c r="AI143" s="33">
        <v>82.0</v>
      </c>
      <c r="AJ143" s="33">
        <v>80.0</v>
      </c>
      <c r="AK143" s="33">
        <v>90.0</v>
      </c>
      <c r="AL143" s="33">
        <v>85.0</v>
      </c>
      <c r="AM143" s="33">
        <v>0.0</v>
      </c>
      <c r="AN143" s="33">
        <v>100.0</v>
      </c>
      <c r="AO143" s="33">
        <v>100.0</v>
      </c>
      <c r="AP143" s="18" t="s">
        <v>1138</v>
      </c>
      <c r="AQ143" s="18" t="s">
        <v>1139</v>
      </c>
      <c r="AR143" s="20" t="s">
        <v>62</v>
      </c>
      <c r="AS143" s="20" t="s">
        <v>63</v>
      </c>
      <c r="AT143" s="20" t="s">
        <v>64</v>
      </c>
      <c r="AU143" s="21" t="s">
        <v>64</v>
      </c>
      <c r="AV143" s="22" t="s">
        <v>1140</v>
      </c>
      <c r="AW143" s="56" t="s">
        <v>1141</v>
      </c>
      <c r="AX143" s="34"/>
      <c r="AY143" s="59"/>
      <c r="AZ143" s="55"/>
      <c r="BA143" s="55"/>
      <c r="BB143" s="52"/>
    </row>
    <row r="144" hidden="1">
      <c r="A144" s="25" t="s">
        <v>1142</v>
      </c>
      <c r="B144" s="26" t="s">
        <v>1143</v>
      </c>
      <c r="C144" s="27" t="s">
        <v>941</v>
      </c>
      <c r="D144" s="27" t="s">
        <v>52</v>
      </c>
      <c r="E144" s="27" t="s">
        <v>53</v>
      </c>
      <c r="F144" s="27" t="s">
        <v>974</v>
      </c>
      <c r="G144" s="28">
        <v>275.0</v>
      </c>
      <c r="H144" s="36">
        <f t="shared" si="1"/>
        <v>261.25</v>
      </c>
      <c r="I144" s="29" t="s">
        <v>55</v>
      </c>
      <c r="J144" s="30" t="s">
        <v>102</v>
      </c>
      <c r="K144" s="30" t="s">
        <v>1144</v>
      </c>
      <c r="L144" s="31" t="s">
        <v>1145</v>
      </c>
      <c r="M144" s="31" t="s">
        <v>1146</v>
      </c>
      <c r="N144" s="33">
        <v>100.0</v>
      </c>
      <c r="O144" s="33">
        <v>100.0</v>
      </c>
      <c r="P144" s="33">
        <v>100.0</v>
      </c>
      <c r="Q144" s="33">
        <v>35.0</v>
      </c>
      <c r="R144" s="33">
        <v>10.0</v>
      </c>
      <c r="S144" s="33">
        <v>72.0</v>
      </c>
      <c r="T144" s="33">
        <v>20.0</v>
      </c>
      <c r="U144" s="33">
        <v>90.0</v>
      </c>
      <c r="V144" s="33">
        <v>92.0</v>
      </c>
      <c r="W144" s="33">
        <v>95.0</v>
      </c>
      <c r="X144" s="33">
        <v>60.0</v>
      </c>
      <c r="Y144" s="33">
        <v>15.0</v>
      </c>
      <c r="Z144" s="33">
        <v>15.0</v>
      </c>
      <c r="AA144" s="33">
        <v>78.0</v>
      </c>
      <c r="AB144" s="33">
        <v>82.0</v>
      </c>
      <c r="AC144" s="33">
        <v>75.0</v>
      </c>
      <c r="AD144" s="33">
        <v>15.0</v>
      </c>
      <c r="AE144" s="33">
        <v>90.0</v>
      </c>
      <c r="AF144" s="33">
        <v>80.0</v>
      </c>
      <c r="AG144" s="33">
        <v>78.0</v>
      </c>
      <c r="AH144" s="33">
        <v>75.0</v>
      </c>
      <c r="AI144" s="33">
        <v>85.0</v>
      </c>
      <c r="AJ144" s="33">
        <v>82.0</v>
      </c>
      <c r="AK144" s="33">
        <v>90.0</v>
      </c>
      <c r="AL144" s="33">
        <v>82.0</v>
      </c>
      <c r="AM144" s="33">
        <v>0.0</v>
      </c>
      <c r="AN144" s="33">
        <v>100.0</v>
      </c>
      <c r="AO144" s="33">
        <v>100.0</v>
      </c>
      <c r="AP144" s="18" t="s">
        <v>1147</v>
      </c>
      <c r="AQ144" s="18" t="s">
        <v>1148</v>
      </c>
      <c r="AR144" s="20" t="s">
        <v>62</v>
      </c>
      <c r="AS144" s="20" t="s">
        <v>63</v>
      </c>
      <c r="AT144" s="20" t="s">
        <v>64</v>
      </c>
      <c r="AU144" s="21" t="s">
        <v>64</v>
      </c>
      <c r="AV144" s="22" t="s">
        <v>1149</v>
      </c>
      <c r="AW144" s="56" t="s">
        <v>1150</v>
      </c>
      <c r="AX144" s="34"/>
      <c r="AY144" s="59"/>
      <c r="BA144" s="55"/>
      <c r="BB144" s="84"/>
    </row>
    <row r="145" hidden="1">
      <c r="A145" s="25" t="s">
        <v>1151</v>
      </c>
      <c r="B145" s="26" t="s">
        <v>1152</v>
      </c>
      <c r="C145" s="27" t="s">
        <v>941</v>
      </c>
      <c r="D145" s="27" t="s">
        <v>52</v>
      </c>
      <c r="E145" s="27" t="s">
        <v>53</v>
      </c>
      <c r="F145" s="27" t="s">
        <v>974</v>
      </c>
      <c r="G145" s="28">
        <v>450.0</v>
      </c>
      <c r="H145" s="36">
        <f t="shared" si="1"/>
        <v>427.5</v>
      </c>
      <c r="I145" s="29" t="s">
        <v>55</v>
      </c>
      <c r="J145" s="30" t="s">
        <v>71</v>
      </c>
      <c r="K145" s="30" t="s">
        <v>1153</v>
      </c>
      <c r="L145" s="31" t="s">
        <v>314</v>
      </c>
      <c r="M145" s="31" t="s">
        <v>1154</v>
      </c>
      <c r="N145" s="33">
        <v>100.0</v>
      </c>
      <c r="O145" s="33">
        <v>100.0</v>
      </c>
      <c r="P145" s="33">
        <v>100.0</v>
      </c>
      <c r="Q145" s="33">
        <v>45.0</v>
      </c>
      <c r="R145" s="33">
        <v>15.0</v>
      </c>
      <c r="S145" s="33">
        <v>65.0</v>
      </c>
      <c r="T145" s="33">
        <v>35.0</v>
      </c>
      <c r="U145" s="33">
        <v>82.0</v>
      </c>
      <c r="V145" s="33">
        <v>90.0</v>
      </c>
      <c r="W145" s="33">
        <v>55.0</v>
      </c>
      <c r="X145" s="33">
        <v>60.0</v>
      </c>
      <c r="Y145" s="33">
        <v>30.0</v>
      </c>
      <c r="Z145" s="33">
        <v>20.0</v>
      </c>
      <c r="AA145" s="33">
        <v>72.0</v>
      </c>
      <c r="AB145" s="33">
        <v>72.0</v>
      </c>
      <c r="AC145" s="33">
        <v>90.0</v>
      </c>
      <c r="AD145" s="33">
        <v>20.0</v>
      </c>
      <c r="AE145" s="33">
        <v>92.0</v>
      </c>
      <c r="AF145" s="33">
        <v>85.0</v>
      </c>
      <c r="AG145" s="33">
        <v>68.0</v>
      </c>
      <c r="AH145" s="33">
        <v>65.0</v>
      </c>
      <c r="AI145" s="33">
        <v>90.0</v>
      </c>
      <c r="AJ145" s="33">
        <v>82.0</v>
      </c>
      <c r="AK145" s="33">
        <v>90.0</v>
      </c>
      <c r="AL145" s="33">
        <v>85.0</v>
      </c>
      <c r="AM145" s="33">
        <v>0.0</v>
      </c>
      <c r="AN145" s="33">
        <v>100.0</v>
      </c>
      <c r="AO145" s="33">
        <v>100.0</v>
      </c>
      <c r="AP145" s="18" t="s">
        <v>1155</v>
      </c>
      <c r="AQ145" s="18" t="s">
        <v>1033</v>
      </c>
      <c r="AR145" s="20" t="s">
        <v>62</v>
      </c>
      <c r="AS145" s="20" t="s">
        <v>63</v>
      </c>
      <c r="AT145" s="20" t="s">
        <v>64</v>
      </c>
      <c r="AU145" s="21" t="s">
        <v>64</v>
      </c>
      <c r="AV145" s="22" t="s">
        <v>1156</v>
      </c>
      <c r="AW145" s="56" t="s">
        <v>1157</v>
      </c>
      <c r="AX145" s="34"/>
      <c r="AY145" s="34"/>
      <c r="BB145" s="59"/>
    </row>
    <row r="146" hidden="1">
      <c r="A146" s="25" t="s">
        <v>1158</v>
      </c>
      <c r="B146" s="26" t="s">
        <v>1159</v>
      </c>
      <c r="C146" s="27" t="s">
        <v>941</v>
      </c>
      <c r="D146" s="27" t="s">
        <v>52</v>
      </c>
      <c r="E146" s="35" t="s">
        <v>84</v>
      </c>
      <c r="F146" s="27" t="s">
        <v>85</v>
      </c>
      <c r="G146" s="28">
        <v>120.0</v>
      </c>
      <c r="H146" s="36">
        <f t="shared" si="1"/>
        <v>114</v>
      </c>
      <c r="I146" s="29" t="s">
        <v>55</v>
      </c>
      <c r="J146" s="30" t="s">
        <v>139</v>
      </c>
      <c r="K146" s="30" t="s">
        <v>243</v>
      </c>
      <c r="L146" s="31" t="s">
        <v>1160</v>
      </c>
      <c r="M146" s="31" t="s">
        <v>1161</v>
      </c>
      <c r="N146" s="33">
        <v>100.0</v>
      </c>
      <c r="O146" s="33">
        <v>100.0</v>
      </c>
      <c r="P146" s="33">
        <v>100.0</v>
      </c>
      <c r="Q146" s="33">
        <v>15.0</v>
      </c>
      <c r="R146" s="33">
        <v>10.0</v>
      </c>
      <c r="S146" s="33">
        <v>98.0</v>
      </c>
      <c r="T146" s="33">
        <v>5.0</v>
      </c>
      <c r="U146" s="33">
        <v>10.0</v>
      </c>
      <c r="V146" s="33">
        <v>5.0</v>
      </c>
      <c r="W146" s="33">
        <v>5.0</v>
      </c>
      <c r="X146" s="33">
        <v>95.0</v>
      </c>
      <c r="Y146" s="33">
        <v>5.0</v>
      </c>
      <c r="Z146" s="33">
        <v>30.0</v>
      </c>
      <c r="AA146" s="33">
        <v>92.0</v>
      </c>
      <c r="AB146" s="33">
        <v>98.0</v>
      </c>
      <c r="AC146" s="33">
        <v>40.0</v>
      </c>
      <c r="AD146" s="33">
        <v>5.0</v>
      </c>
      <c r="AE146" s="33">
        <v>45.0</v>
      </c>
      <c r="AF146" s="33">
        <v>40.0</v>
      </c>
      <c r="AG146" s="33">
        <v>98.0</v>
      </c>
      <c r="AH146" s="33">
        <v>98.0</v>
      </c>
      <c r="AI146" s="33">
        <v>75.0</v>
      </c>
      <c r="AJ146" s="33">
        <v>85.0</v>
      </c>
      <c r="AK146" s="33">
        <v>65.0</v>
      </c>
      <c r="AL146" s="33">
        <v>75.0</v>
      </c>
      <c r="AM146" s="33">
        <v>100.0</v>
      </c>
      <c r="AN146" s="33">
        <v>100.0</v>
      </c>
      <c r="AO146" s="33">
        <v>100.0</v>
      </c>
      <c r="AP146" s="18" t="s">
        <v>1162</v>
      </c>
      <c r="AQ146" s="18" t="s">
        <v>1163</v>
      </c>
      <c r="AR146" s="20" t="s">
        <v>92</v>
      </c>
      <c r="AS146" s="20" t="s">
        <v>93</v>
      </c>
      <c r="AT146" s="20" t="s">
        <v>94</v>
      </c>
      <c r="AU146" s="21" t="s">
        <v>94</v>
      </c>
      <c r="AV146" s="22" t="s">
        <v>946</v>
      </c>
      <c r="AW146" s="56" t="s">
        <v>1164</v>
      </c>
      <c r="AX146" s="34"/>
      <c r="AY146" s="34"/>
      <c r="BB146" s="34"/>
    </row>
    <row r="147" hidden="1">
      <c r="A147" s="25" t="s">
        <v>1165</v>
      </c>
      <c r="B147" s="26" t="s">
        <v>1166</v>
      </c>
      <c r="C147" s="27" t="s">
        <v>941</v>
      </c>
      <c r="D147" s="27" t="s">
        <v>52</v>
      </c>
      <c r="E147" s="35" t="s">
        <v>84</v>
      </c>
      <c r="F147" s="27" t="s">
        <v>85</v>
      </c>
      <c r="G147" s="28">
        <v>350.0</v>
      </c>
      <c r="H147" s="36">
        <f t="shared" si="1"/>
        <v>332.5</v>
      </c>
      <c r="I147" s="29" t="s">
        <v>55</v>
      </c>
      <c r="J147" s="30" t="s">
        <v>358</v>
      </c>
      <c r="K147" s="30" t="s">
        <v>842</v>
      </c>
      <c r="L147" s="31" t="s">
        <v>1046</v>
      </c>
      <c r="M147" s="31" t="s">
        <v>255</v>
      </c>
      <c r="N147" s="33">
        <v>100.0</v>
      </c>
      <c r="O147" s="33">
        <v>100.0</v>
      </c>
      <c r="P147" s="33">
        <v>100.0</v>
      </c>
      <c r="Q147" s="33">
        <v>45.0</v>
      </c>
      <c r="R147" s="33">
        <v>15.0</v>
      </c>
      <c r="S147" s="33">
        <v>85.0</v>
      </c>
      <c r="T147" s="33">
        <v>35.0</v>
      </c>
      <c r="U147" s="33">
        <v>90.0</v>
      </c>
      <c r="V147" s="33">
        <v>90.0</v>
      </c>
      <c r="W147" s="33">
        <v>72.0</v>
      </c>
      <c r="X147" s="33">
        <v>75.0</v>
      </c>
      <c r="Y147" s="33">
        <v>25.0</v>
      </c>
      <c r="Z147" s="33">
        <v>25.0</v>
      </c>
      <c r="AA147" s="33">
        <v>82.0</v>
      </c>
      <c r="AB147" s="33">
        <v>90.0</v>
      </c>
      <c r="AC147" s="33">
        <v>90.0</v>
      </c>
      <c r="AD147" s="33">
        <v>25.0</v>
      </c>
      <c r="AE147" s="33">
        <v>90.0</v>
      </c>
      <c r="AF147" s="33">
        <v>90.0</v>
      </c>
      <c r="AG147" s="33">
        <v>82.0</v>
      </c>
      <c r="AH147" s="33">
        <v>80.0</v>
      </c>
      <c r="AI147" s="33">
        <v>90.0</v>
      </c>
      <c r="AJ147" s="33">
        <v>90.0</v>
      </c>
      <c r="AK147" s="33">
        <v>90.0</v>
      </c>
      <c r="AL147" s="33">
        <v>90.0</v>
      </c>
      <c r="AM147" s="33">
        <v>0.0</v>
      </c>
      <c r="AN147" s="33">
        <v>100.0</v>
      </c>
      <c r="AO147" s="33">
        <v>100.0</v>
      </c>
      <c r="AP147" s="18" t="s">
        <v>1167</v>
      </c>
      <c r="AQ147" s="18" t="s">
        <v>1049</v>
      </c>
      <c r="AR147" s="20" t="s">
        <v>92</v>
      </c>
      <c r="AS147" s="20" t="s">
        <v>93</v>
      </c>
      <c r="AT147" s="20" t="s">
        <v>94</v>
      </c>
      <c r="AU147" s="21" t="s">
        <v>94</v>
      </c>
      <c r="AV147" s="22" t="s">
        <v>1168</v>
      </c>
      <c r="AW147" s="85" t="s">
        <v>1169</v>
      </c>
      <c r="AX147" s="34"/>
      <c r="AY147" s="34"/>
      <c r="BB147" s="34"/>
    </row>
    <row r="148" hidden="1">
      <c r="A148" s="25" t="s">
        <v>1170</v>
      </c>
      <c r="B148" s="26" t="s">
        <v>1171</v>
      </c>
      <c r="C148" s="27" t="s">
        <v>941</v>
      </c>
      <c r="D148" s="27" t="s">
        <v>52</v>
      </c>
      <c r="E148" s="27" t="s">
        <v>69</v>
      </c>
      <c r="F148" s="27" t="s">
        <v>831</v>
      </c>
      <c r="G148" s="28">
        <v>699.0</v>
      </c>
      <c r="H148" s="36">
        <f t="shared" si="1"/>
        <v>664.05</v>
      </c>
      <c r="I148" s="29" t="s">
        <v>55</v>
      </c>
      <c r="J148" s="30" t="s">
        <v>455</v>
      </c>
      <c r="K148" s="30" t="s">
        <v>173</v>
      </c>
      <c r="L148" s="31" t="s">
        <v>1172</v>
      </c>
      <c r="M148" s="31" t="s">
        <v>551</v>
      </c>
      <c r="N148" s="33">
        <v>0.0</v>
      </c>
      <c r="O148" s="33">
        <v>100.0</v>
      </c>
      <c r="P148" s="33">
        <v>100.0</v>
      </c>
      <c r="Q148" s="33">
        <v>55.0</v>
      </c>
      <c r="R148" s="33">
        <v>10.0</v>
      </c>
      <c r="S148" s="33">
        <v>55.0</v>
      </c>
      <c r="T148" s="33">
        <v>45.0</v>
      </c>
      <c r="U148" s="33">
        <v>95.0</v>
      </c>
      <c r="V148" s="33">
        <v>98.0</v>
      </c>
      <c r="W148" s="33">
        <v>82.0</v>
      </c>
      <c r="X148" s="33">
        <v>65.0</v>
      </c>
      <c r="Y148" s="33">
        <v>30.0</v>
      </c>
      <c r="Z148" s="33">
        <v>75.0</v>
      </c>
      <c r="AA148" s="33">
        <v>60.0</v>
      </c>
      <c r="AB148" s="33">
        <v>68.0</v>
      </c>
      <c r="AC148" s="33">
        <v>98.0</v>
      </c>
      <c r="AD148" s="33">
        <v>65.0</v>
      </c>
      <c r="AE148" s="33">
        <v>90.0</v>
      </c>
      <c r="AF148" s="33">
        <v>78.0</v>
      </c>
      <c r="AG148" s="33">
        <v>65.0</v>
      </c>
      <c r="AH148" s="33">
        <v>58.0</v>
      </c>
      <c r="AI148" s="33">
        <v>85.0</v>
      </c>
      <c r="AJ148" s="33">
        <v>75.0</v>
      </c>
      <c r="AK148" s="33">
        <v>86.0</v>
      </c>
      <c r="AL148" s="33">
        <v>76.0</v>
      </c>
      <c r="AM148" s="33">
        <v>-100.0</v>
      </c>
      <c r="AN148" s="33">
        <v>100.0</v>
      </c>
      <c r="AO148" s="33">
        <v>100.0</v>
      </c>
      <c r="AP148" s="18" t="s">
        <v>968</v>
      </c>
      <c r="AQ148" s="18" t="s">
        <v>1173</v>
      </c>
      <c r="AR148" s="20" t="s">
        <v>166</v>
      </c>
      <c r="AS148" s="20" t="s">
        <v>167</v>
      </c>
      <c r="AT148" s="20" t="s">
        <v>168</v>
      </c>
      <c r="AU148" s="21" t="s">
        <v>168</v>
      </c>
      <c r="AV148" s="22" t="s">
        <v>178</v>
      </c>
      <c r="AW148" s="56" t="s">
        <v>1174</v>
      </c>
      <c r="AX148" s="34"/>
      <c r="AY148" s="34"/>
      <c r="BB148" s="34"/>
    </row>
    <row r="149" hidden="1">
      <c r="A149" s="25" t="s">
        <v>1175</v>
      </c>
      <c r="B149" s="26" t="s">
        <v>1176</v>
      </c>
      <c r="C149" s="27" t="s">
        <v>941</v>
      </c>
      <c r="D149" s="27" t="s">
        <v>52</v>
      </c>
      <c r="E149" s="35" t="s">
        <v>84</v>
      </c>
      <c r="F149" s="27" t="s">
        <v>831</v>
      </c>
      <c r="G149" s="28">
        <v>750.0</v>
      </c>
      <c r="H149" s="36">
        <f t="shared" si="1"/>
        <v>712.5</v>
      </c>
      <c r="I149" s="29" t="s">
        <v>55</v>
      </c>
      <c r="J149" s="30" t="s">
        <v>71</v>
      </c>
      <c r="K149" s="30" t="s">
        <v>817</v>
      </c>
      <c r="L149" s="31" t="s">
        <v>1145</v>
      </c>
      <c r="M149" s="31" t="s">
        <v>1177</v>
      </c>
      <c r="N149" s="33">
        <v>100.0</v>
      </c>
      <c r="O149" s="33">
        <v>100.0</v>
      </c>
      <c r="P149" s="33">
        <v>100.0</v>
      </c>
      <c r="Q149" s="33">
        <v>45.0</v>
      </c>
      <c r="R149" s="33">
        <v>15.0</v>
      </c>
      <c r="S149" s="33">
        <v>68.0</v>
      </c>
      <c r="T149" s="33">
        <v>35.0</v>
      </c>
      <c r="U149" s="33">
        <v>95.0</v>
      </c>
      <c r="V149" s="33">
        <v>98.0</v>
      </c>
      <c r="W149" s="33">
        <v>98.0</v>
      </c>
      <c r="X149" s="33">
        <v>72.0</v>
      </c>
      <c r="Y149" s="33">
        <v>25.0</v>
      </c>
      <c r="Z149" s="33">
        <v>35.0</v>
      </c>
      <c r="AA149" s="33">
        <v>78.0</v>
      </c>
      <c r="AB149" s="33">
        <v>75.0</v>
      </c>
      <c r="AC149" s="33">
        <v>92.0</v>
      </c>
      <c r="AD149" s="33">
        <v>25.0</v>
      </c>
      <c r="AE149" s="33">
        <v>90.0</v>
      </c>
      <c r="AF149" s="33">
        <v>80.0</v>
      </c>
      <c r="AG149" s="33">
        <v>75.0</v>
      </c>
      <c r="AH149" s="33">
        <v>72.0</v>
      </c>
      <c r="AI149" s="33">
        <v>90.0</v>
      </c>
      <c r="AJ149" s="33">
        <v>82.0</v>
      </c>
      <c r="AK149" s="33">
        <v>90.0</v>
      </c>
      <c r="AL149" s="33">
        <v>80.0</v>
      </c>
      <c r="AM149" s="33">
        <v>0.0</v>
      </c>
      <c r="AN149" s="33">
        <v>100.0</v>
      </c>
      <c r="AO149" s="33">
        <v>100.0</v>
      </c>
      <c r="AP149" s="18" t="s">
        <v>1178</v>
      </c>
      <c r="AQ149" s="18" t="s">
        <v>1179</v>
      </c>
      <c r="AR149" s="20" t="s">
        <v>92</v>
      </c>
      <c r="AS149" s="20" t="s">
        <v>93</v>
      </c>
      <c r="AT149" s="20" t="s">
        <v>94</v>
      </c>
      <c r="AU149" s="21" t="s">
        <v>94</v>
      </c>
      <c r="AV149" s="22" t="s">
        <v>1180</v>
      </c>
      <c r="AW149" s="56" t="s">
        <v>1181</v>
      </c>
      <c r="AX149" s="34"/>
      <c r="AY149" s="34"/>
      <c r="BB149" s="34"/>
    </row>
    <row r="150" hidden="1">
      <c r="A150" s="25" t="s">
        <v>1182</v>
      </c>
      <c r="B150" s="26" t="s">
        <v>1183</v>
      </c>
      <c r="C150" s="27" t="s">
        <v>941</v>
      </c>
      <c r="D150" s="27" t="s">
        <v>52</v>
      </c>
      <c r="E150" s="27" t="s">
        <v>252</v>
      </c>
      <c r="F150" s="27" t="s">
        <v>85</v>
      </c>
      <c r="G150" s="28">
        <v>500.0</v>
      </c>
      <c r="H150" s="36">
        <f t="shared" si="1"/>
        <v>475</v>
      </c>
      <c r="I150" s="29" t="s">
        <v>55</v>
      </c>
      <c r="J150" s="30" t="s">
        <v>622</v>
      </c>
      <c r="K150" s="30" t="s">
        <v>29</v>
      </c>
      <c r="L150" s="31" t="s">
        <v>456</v>
      </c>
      <c r="M150" s="31" t="s">
        <v>1061</v>
      </c>
      <c r="N150" s="33">
        <v>100.0</v>
      </c>
      <c r="O150" s="33">
        <v>100.0</v>
      </c>
      <c r="P150" s="33">
        <v>100.0</v>
      </c>
      <c r="Q150" s="33">
        <v>25.0</v>
      </c>
      <c r="R150" s="33">
        <v>10.0</v>
      </c>
      <c r="S150" s="33">
        <v>72.0</v>
      </c>
      <c r="T150" s="33">
        <v>15.0</v>
      </c>
      <c r="U150" s="33">
        <v>82.0</v>
      </c>
      <c r="V150" s="33">
        <v>85.0</v>
      </c>
      <c r="W150" s="33">
        <v>65.0</v>
      </c>
      <c r="X150" s="33">
        <v>68.0</v>
      </c>
      <c r="Y150" s="33">
        <v>10.0</v>
      </c>
      <c r="Z150" s="33">
        <v>25.0</v>
      </c>
      <c r="AA150" s="33">
        <v>82.0</v>
      </c>
      <c r="AB150" s="33">
        <v>78.0</v>
      </c>
      <c r="AC150" s="33">
        <v>82.0</v>
      </c>
      <c r="AD150" s="33">
        <v>98.0</v>
      </c>
      <c r="AE150" s="33">
        <v>92.0</v>
      </c>
      <c r="AF150" s="33">
        <v>90.0</v>
      </c>
      <c r="AG150" s="33">
        <v>72.0</v>
      </c>
      <c r="AH150" s="33">
        <v>70.0</v>
      </c>
      <c r="AI150" s="33">
        <v>90.0</v>
      </c>
      <c r="AJ150" s="33">
        <v>90.0</v>
      </c>
      <c r="AK150" s="33">
        <v>91.0</v>
      </c>
      <c r="AL150" s="33">
        <v>89.0</v>
      </c>
      <c r="AM150" s="33">
        <v>0.0</v>
      </c>
      <c r="AN150" s="33">
        <v>100.0</v>
      </c>
      <c r="AO150" s="33">
        <v>100.0</v>
      </c>
      <c r="AP150" s="18" t="s">
        <v>1184</v>
      </c>
      <c r="AQ150" s="18" t="s">
        <v>1063</v>
      </c>
      <c r="AR150" s="20" t="s">
        <v>144</v>
      </c>
      <c r="AS150" s="20" t="s">
        <v>145</v>
      </c>
      <c r="AT150" s="20" t="s">
        <v>146</v>
      </c>
      <c r="AU150" s="21" t="s">
        <v>146</v>
      </c>
      <c r="AV150" s="22" t="s">
        <v>1064</v>
      </c>
      <c r="AW150" s="56" t="s">
        <v>1185</v>
      </c>
      <c r="AX150" s="34"/>
      <c r="AY150" s="34"/>
      <c r="BB150" s="34"/>
    </row>
    <row r="151" hidden="1">
      <c r="A151" s="9" t="s">
        <v>1186</v>
      </c>
      <c r="B151" s="10" t="s">
        <v>1187</v>
      </c>
      <c r="C151" s="11" t="s">
        <v>941</v>
      </c>
      <c r="D151" s="11" t="s">
        <v>52</v>
      </c>
      <c r="E151" s="11" t="s">
        <v>252</v>
      </c>
      <c r="F151" s="11" t="s">
        <v>454</v>
      </c>
      <c r="G151" s="12">
        <v>500.0</v>
      </c>
      <c r="H151" s="36">
        <f t="shared" si="1"/>
        <v>475</v>
      </c>
      <c r="I151" s="86" t="s">
        <v>55</v>
      </c>
      <c r="J151" s="15" t="s">
        <v>358</v>
      </c>
      <c r="K151" s="15" t="s">
        <v>984</v>
      </c>
      <c r="L151" s="16" t="s">
        <v>254</v>
      </c>
      <c r="M151" s="16" t="s">
        <v>551</v>
      </c>
      <c r="N151" s="17">
        <v>100.0</v>
      </c>
      <c r="O151" s="17">
        <v>100.0</v>
      </c>
      <c r="P151" s="17">
        <v>100.0</v>
      </c>
      <c r="Q151" s="17">
        <v>20.0</v>
      </c>
      <c r="R151" s="17">
        <v>10.0</v>
      </c>
      <c r="S151" s="17">
        <v>82.0</v>
      </c>
      <c r="T151" s="17">
        <v>10.0</v>
      </c>
      <c r="U151" s="17">
        <v>55.0</v>
      </c>
      <c r="V151" s="17">
        <v>60.0</v>
      </c>
      <c r="W151" s="17">
        <v>35.0</v>
      </c>
      <c r="X151" s="17">
        <v>78.0</v>
      </c>
      <c r="Y151" s="17">
        <v>10.0</v>
      </c>
      <c r="Z151" s="17">
        <v>20.0</v>
      </c>
      <c r="AA151" s="17">
        <v>90.0</v>
      </c>
      <c r="AB151" s="17">
        <v>90.0</v>
      </c>
      <c r="AC151" s="17">
        <v>68.0</v>
      </c>
      <c r="AD151" s="17">
        <v>98.0</v>
      </c>
      <c r="AE151" s="17">
        <v>90.0</v>
      </c>
      <c r="AF151" s="17">
        <v>90.0</v>
      </c>
      <c r="AG151" s="17">
        <v>82.0</v>
      </c>
      <c r="AH151" s="17">
        <v>85.0</v>
      </c>
      <c r="AI151" s="17">
        <v>90.0</v>
      </c>
      <c r="AJ151" s="17">
        <v>92.0</v>
      </c>
      <c r="AK151" s="17">
        <v>90.0</v>
      </c>
      <c r="AL151" s="17">
        <v>91.0</v>
      </c>
      <c r="AM151" s="17">
        <v>100.0</v>
      </c>
      <c r="AN151" s="17">
        <v>100.0</v>
      </c>
      <c r="AO151" s="17">
        <v>100.0</v>
      </c>
      <c r="AP151" s="87" t="s">
        <v>1188</v>
      </c>
      <c r="AQ151" s="87" t="s">
        <v>979</v>
      </c>
      <c r="AR151" s="88" t="s">
        <v>144</v>
      </c>
      <c r="AS151" s="88" t="s">
        <v>145</v>
      </c>
      <c r="AT151" s="88" t="s">
        <v>146</v>
      </c>
      <c r="AU151" s="89" t="s">
        <v>146</v>
      </c>
      <c r="AV151" s="90" t="s">
        <v>443</v>
      </c>
      <c r="AW151" s="91" t="s">
        <v>1189</v>
      </c>
      <c r="AX151" s="24"/>
      <c r="AY151" s="24"/>
      <c r="AZ151" s="92"/>
      <c r="BA151" s="92"/>
      <c r="BB151" s="24"/>
    </row>
    <row r="152" hidden="1">
      <c r="A152" s="25" t="s">
        <v>1190</v>
      </c>
      <c r="B152" s="26" t="s">
        <v>1191</v>
      </c>
      <c r="C152" s="27" t="s">
        <v>941</v>
      </c>
      <c r="D152" s="27" t="s">
        <v>52</v>
      </c>
      <c r="E152" s="35" t="s">
        <v>84</v>
      </c>
      <c r="F152" s="27" t="s">
        <v>85</v>
      </c>
      <c r="G152" s="28">
        <v>575.0</v>
      </c>
      <c r="H152" s="36">
        <f t="shared" si="1"/>
        <v>546.25</v>
      </c>
      <c r="I152" s="93" t="s">
        <v>55</v>
      </c>
      <c r="J152" s="30" t="s">
        <v>201</v>
      </c>
      <c r="K152" s="30" t="s">
        <v>243</v>
      </c>
      <c r="L152" s="31" t="s">
        <v>1024</v>
      </c>
      <c r="M152" s="31" t="s">
        <v>1192</v>
      </c>
      <c r="N152" s="33">
        <v>0.0</v>
      </c>
      <c r="O152" s="33">
        <v>100.0</v>
      </c>
      <c r="P152" s="33">
        <v>100.0</v>
      </c>
      <c r="Q152" s="33">
        <v>55.0</v>
      </c>
      <c r="R152" s="33">
        <v>15.0</v>
      </c>
      <c r="S152" s="33">
        <v>90.0</v>
      </c>
      <c r="T152" s="33">
        <v>25.0</v>
      </c>
      <c r="U152" s="33">
        <v>35.0</v>
      </c>
      <c r="V152" s="33">
        <v>30.0</v>
      </c>
      <c r="W152" s="33">
        <v>15.0</v>
      </c>
      <c r="X152" s="33">
        <v>92.0</v>
      </c>
      <c r="Y152" s="33">
        <v>20.0</v>
      </c>
      <c r="Z152" s="33">
        <v>45.0</v>
      </c>
      <c r="AA152" s="33">
        <v>98.0</v>
      </c>
      <c r="AB152" s="33">
        <v>95.0</v>
      </c>
      <c r="AC152" s="33">
        <v>55.0</v>
      </c>
      <c r="AD152" s="33">
        <v>10.0</v>
      </c>
      <c r="AE152" s="33">
        <v>78.0</v>
      </c>
      <c r="AF152" s="33">
        <v>90.0</v>
      </c>
      <c r="AG152" s="33">
        <v>95.0</v>
      </c>
      <c r="AH152" s="33">
        <v>98.0</v>
      </c>
      <c r="AI152" s="33">
        <v>90.0</v>
      </c>
      <c r="AJ152" s="33">
        <v>96.0</v>
      </c>
      <c r="AK152" s="33">
        <v>85.0</v>
      </c>
      <c r="AL152" s="33">
        <v>94.0</v>
      </c>
      <c r="AM152" s="33">
        <v>100.0</v>
      </c>
      <c r="AN152" s="33">
        <v>100.0</v>
      </c>
      <c r="AO152" s="33">
        <v>100.0</v>
      </c>
      <c r="AP152" s="18" t="s">
        <v>1193</v>
      </c>
      <c r="AQ152" s="18" t="s">
        <v>1194</v>
      </c>
      <c r="AR152" s="20" t="s">
        <v>92</v>
      </c>
      <c r="AS152" s="20" t="s">
        <v>93</v>
      </c>
      <c r="AT152" s="20" t="s">
        <v>94</v>
      </c>
      <c r="AU152" s="21" t="s">
        <v>94</v>
      </c>
      <c r="AV152" s="22" t="s">
        <v>946</v>
      </c>
      <c r="AW152" s="56" t="s">
        <v>1195</v>
      </c>
      <c r="AX152" s="34"/>
      <c r="AY152" s="34"/>
      <c r="BB152" s="34"/>
    </row>
    <row r="153">
      <c r="A153" s="25" t="s">
        <v>1196</v>
      </c>
      <c r="B153" s="26" t="s">
        <v>1197</v>
      </c>
      <c r="C153" s="27" t="s">
        <v>1198</v>
      </c>
      <c r="D153" s="27" t="s">
        <v>52</v>
      </c>
      <c r="E153" s="27" t="s">
        <v>125</v>
      </c>
      <c r="F153" s="27" t="s">
        <v>182</v>
      </c>
      <c r="G153" s="28">
        <v>2050.0</v>
      </c>
      <c r="H153" s="36">
        <f t="shared" si="1"/>
        <v>1947.5</v>
      </c>
      <c r="I153" s="25" t="s">
        <v>1199</v>
      </c>
      <c r="J153" s="30" t="s">
        <v>242</v>
      </c>
      <c r="K153" s="30" t="s">
        <v>87</v>
      </c>
      <c r="L153" s="31" t="s">
        <v>1200</v>
      </c>
      <c r="M153" s="31" t="s">
        <v>1201</v>
      </c>
      <c r="N153" s="33">
        <v>100.0</v>
      </c>
      <c r="O153" s="33">
        <v>100.0</v>
      </c>
      <c r="P153" s="33">
        <v>100.0</v>
      </c>
      <c r="Q153" s="33">
        <v>78.0</v>
      </c>
      <c r="R153" s="33">
        <v>15.0</v>
      </c>
      <c r="S153" s="33">
        <v>85.0</v>
      </c>
      <c r="T153" s="33">
        <v>68.0</v>
      </c>
      <c r="U153" s="33">
        <v>45.0</v>
      </c>
      <c r="V153" s="33">
        <v>35.0</v>
      </c>
      <c r="W153" s="33">
        <v>20.0</v>
      </c>
      <c r="X153" s="33">
        <v>90.0</v>
      </c>
      <c r="Y153" s="33">
        <v>65.0</v>
      </c>
      <c r="Z153" s="33">
        <v>20.0</v>
      </c>
      <c r="AA153" s="33">
        <v>98.0</v>
      </c>
      <c r="AB153" s="33">
        <v>95.0</v>
      </c>
      <c r="AC153" s="33">
        <v>55.0</v>
      </c>
      <c r="AD153" s="33">
        <v>10.0</v>
      </c>
      <c r="AE153" s="33">
        <v>98.0</v>
      </c>
      <c r="AF153" s="33">
        <v>98.0</v>
      </c>
      <c r="AG153" s="33">
        <v>85.0</v>
      </c>
      <c r="AH153" s="33">
        <v>95.0</v>
      </c>
      <c r="AI153" s="33">
        <v>95.0</v>
      </c>
      <c r="AJ153" s="33">
        <v>98.0</v>
      </c>
      <c r="AK153" s="33">
        <v>98.0</v>
      </c>
      <c r="AL153" s="33">
        <v>98.0</v>
      </c>
      <c r="AM153" s="33">
        <v>100.0</v>
      </c>
      <c r="AN153" s="33">
        <v>100.0</v>
      </c>
      <c r="AO153" s="33">
        <v>100.0</v>
      </c>
      <c r="AP153" s="18" t="s">
        <v>1202</v>
      </c>
      <c r="AQ153" s="18" t="s">
        <v>1203</v>
      </c>
      <c r="AR153" s="20" t="s">
        <v>601</v>
      </c>
      <c r="AS153" s="20" t="s">
        <v>602</v>
      </c>
      <c r="AT153" s="20" t="s">
        <v>603</v>
      </c>
      <c r="AU153" s="21" t="s">
        <v>603</v>
      </c>
      <c r="AV153" s="22" t="s">
        <v>1204</v>
      </c>
      <c r="AW153" s="56" t="s">
        <v>1205</v>
      </c>
      <c r="AX153" s="52"/>
      <c r="AY153" s="52"/>
      <c r="AZ153" s="59"/>
      <c r="BA153" s="59"/>
      <c r="BB153" s="34"/>
    </row>
    <row r="154">
      <c r="A154" s="25" t="s">
        <v>1206</v>
      </c>
      <c r="B154" s="26" t="s">
        <v>1207</v>
      </c>
      <c r="C154" s="27" t="s">
        <v>1198</v>
      </c>
      <c r="D154" s="27" t="s">
        <v>52</v>
      </c>
      <c r="E154" s="35" t="s">
        <v>84</v>
      </c>
      <c r="F154" s="27" t="s">
        <v>454</v>
      </c>
      <c r="G154" s="28">
        <v>2650.0</v>
      </c>
      <c r="H154" s="36">
        <f t="shared" si="1"/>
        <v>2517.5</v>
      </c>
      <c r="I154" s="25" t="s">
        <v>1199</v>
      </c>
      <c r="J154" s="30" t="s">
        <v>465</v>
      </c>
      <c r="K154" s="30" t="s">
        <v>243</v>
      </c>
      <c r="L154" s="31" t="s">
        <v>1208</v>
      </c>
      <c r="M154" s="31" t="s">
        <v>1209</v>
      </c>
      <c r="N154" s="33">
        <v>100.0</v>
      </c>
      <c r="O154" s="33">
        <v>100.0</v>
      </c>
      <c r="P154" s="33">
        <v>100.0</v>
      </c>
      <c r="Q154" s="33">
        <v>72.0</v>
      </c>
      <c r="R154" s="33">
        <v>15.0</v>
      </c>
      <c r="S154" s="33">
        <v>95.0</v>
      </c>
      <c r="T154" s="33">
        <v>45.0</v>
      </c>
      <c r="U154" s="33">
        <v>35.0</v>
      </c>
      <c r="V154" s="33">
        <v>25.0</v>
      </c>
      <c r="W154" s="33">
        <v>15.0</v>
      </c>
      <c r="X154" s="33">
        <v>98.0</v>
      </c>
      <c r="Y154" s="33">
        <v>35.0</v>
      </c>
      <c r="Z154" s="33">
        <v>25.0</v>
      </c>
      <c r="AA154" s="33">
        <v>98.0</v>
      </c>
      <c r="AB154" s="33">
        <v>98.0</v>
      </c>
      <c r="AC154" s="33">
        <v>50.0</v>
      </c>
      <c r="AD154" s="33">
        <v>10.0</v>
      </c>
      <c r="AE154" s="33">
        <v>90.0</v>
      </c>
      <c r="AF154" s="33">
        <v>98.0</v>
      </c>
      <c r="AG154" s="33">
        <v>98.0</v>
      </c>
      <c r="AH154" s="33">
        <v>98.0</v>
      </c>
      <c r="AI154" s="33">
        <v>95.0</v>
      </c>
      <c r="AJ154" s="33">
        <v>98.0</v>
      </c>
      <c r="AK154" s="33">
        <v>92.0</v>
      </c>
      <c r="AL154" s="33">
        <v>98.0</v>
      </c>
      <c r="AM154" s="33">
        <v>100.0</v>
      </c>
      <c r="AN154" s="33">
        <v>100.0</v>
      </c>
      <c r="AO154" s="33">
        <v>100.0</v>
      </c>
      <c r="AP154" s="18" t="s">
        <v>1210</v>
      </c>
      <c r="AQ154" s="18" t="s">
        <v>1211</v>
      </c>
      <c r="AR154" s="20" t="s">
        <v>92</v>
      </c>
      <c r="AS154" s="20" t="s">
        <v>93</v>
      </c>
      <c r="AT154" s="20" t="s">
        <v>94</v>
      </c>
      <c r="AU154" s="21" t="s">
        <v>94</v>
      </c>
      <c r="AV154" s="22" t="s">
        <v>946</v>
      </c>
      <c r="AW154" s="56" t="s">
        <v>1212</v>
      </c>
      <c r="AX154" s="52"/>
      <c r="AY154" s="52"/>
      <c r="AZ154" s="59"/>
      <c r="BA154" s="59"/>
      <c r="BB154" s="34"/>
    </row>
    <row r="155">
      <c r="A155" s="25" t="s">
        <v>1213</v>
      </c>
      <c r="B155" s="26" t="s">
        <v>1214</v>
      </c>
      <c r="C155" s="27" t="s">
        <v>1198</v>
      </c>
      <c r="D155" s="27" t="s">
        <v>52</v>
      </c>
      <c r="E155" s="27" t="s">
        <v>53</v>
      </c>
      <c r="F155" s="27" t="s">
        <v>126</v>
      </c>
      <c r="G155" s="28">
        <v>1150.0</v>
      </c>
      <c r="H155" s="36">
        <f t="shared" si="1"/>
        <v>1092.5</v>
      </c>
      <c r="I155" s="25" t="s">
        <v>1199</v>
      </c>
      <c r="J155" s="30" t="s">
        <v>253</v>
      </c>
      <c r="K155" s="30" t="s">
        <v>24</v>
      </c>
      <c r="L155" s="31" t="s">
        <v>1215</v>
      </c>
      <c r="M155" s="31" t="s">
        <v>1216</v>
      </c>
      <c r="N155" s="33">
        <v>100.0</v>
      </c>
      <c r="O155" s="33">
        <v>100.0</v>
      </c>
      <c r="P155" s="33">
        <v>100.0</v>
      </c>
      <c r="Q155" s="33">
        <v>85.0</v>
      </c>
      <c r="R155" s="33">
        <v>20.0</v>
      </c>
      <c r="S155" s="33">
        <v>45.0</v>
      </c>
      <c r="T155" s="33">
        <v>82.0</v>
      </c>
      <c r="U155" s="33">
        <v>30.0</v>
      </c>
      <c r="V155" s="33">
        <v>20.0</v>
      </c>
      <c r="W155" s="33">
        <v>10.0</v>
      </c>
      <c r="X155" s="33">
        <v>58.0</v>
      </c>
      <c r="Y155" s="33">
        <v>90.0</v>
      </c>
      <c r="Z155" s="33">
        <v>15.0</v>
      </c>
      <c r="AA155" s="33">
        <v>82.0</v>
      </c>
      <c r="AB155" s="33">
        <v>55.0</v>
      </c>
      <c r="AC155" s="33">
        <v>45.0</v>
      </c>
      <c r="AD155" s="33">
        <v>5.0</v>
      </c>
      <c r="AE155" s="33">
        <v>98.0</v>
      </c>
      <c r="AF155" s="33">
        <v>95.0</v>
      </c>
      <c r="AG155" s="33">
        <v>45.0</v>
      </c>
      <c r="AH155" s="33">
        <v>42.0</v>
      </c>
      <c r="AI155" s="33">
        <v>90.0</v>
      </c>
      <c r="AJ155" s="33">
        <v>82.0</v>
      </c>
      <c r="AK155" s="33">
        <v>95.0</v>
      </c>
      <c r="AL155" s="33">
        <v>90.0</v>
      </c>
      <c r="AM155" s="33">
        <v>-100.0</v>
      </c>
      <c r="AN155" s="33">
        <v>100.0</v>
      </c>
      <c r="AO155" s="33">
        <v>100.0</v>
      </c>
      <c r="AP155" s="18" t="s">
        <v>1217</v>
      </c>
      <c r="AQ155" s="18" t="s">
        <v>1218</v>
      </c>
      <c r="AR155" s="20" t="s">
        <v>62</v>
      </c>
      <c r="AS155" s="20" t="s">
        <v>63</v>
      </c>
      <c r="AT155" s="20" t="s">
        <v>64</v>
      </c>
      <c r="AU155" s="21" t="s">
        <v>64</v>
      </c>
      <c r="AV155" s="22" t="s">
        <v>1219</v>
      </c>
      <c r="AW155" s="56" t="s">
        <v>1220</v>
      </c>
      <c r="AX155" s="55"/>
      <c r="AY155" s="55" t="s">
        <v>1221</v>
      </c>
      <c r="AZ155" s="34"/>
      <c r="BA155" s="34"/>
      <c r="BB155" s="34"/>
    </row>
    <row r="156">
      <c r="A156" s="25" t="s">
        <v>1222</v>
      </c>
      <c r="B156" s="26" t="s">
        <v>1223</v>
      </c>
      <c r="C156" s="27" t="s">
        <v>1198</v>
      </c>
      <c r="D156" s="27" t="s">
        <v>52</v>
      </c>
      <c r="E156" s="27" t="s">
        <v>69</v>
      </c>
      <c r="F156" s="27" t="s">
        <v>70</v>
      </c>
      <c r="G156" s="28">
        <v>2500.0</v>
      </c>
      <c r="H156" s="36">
        <f t="shared" si="1"/>
        <v>2375</v>
      </c>
      <c r="I156" s="25" t="s">
        <v>1199</v>
      </c>
      <c r="J156" s="30" t="s">
        <v>465</v>
      </c>
      <c r="K156" s="30" t="s">
        <v>243</v>
      </c>
      <c r="L156" s="31" t="s">
        <v>1224</v>
      </c>
      <c r="M156" s="31" t="s">
        <v>1225</v>
      </c>
      <c r="N156" s="33">
        <v>100.0</v>
      </c>
      <c r="O156" s="33">
        <v>100.0</v>
      </c>
      <c r="P156" s="33">
        <v>100.0</v>
      </c>
      <c r="Q156" s="33">
        <v>75.0</v>
      </c>
      <c r="R156" s="33">
        <v>15.0</v>
      </c>
      <c r="S156" s="33">
        <v>92.0</v>
      </c>
      <c r="T156" s="33">
        <v>55.0</v>
      </c>
      <c r="U156" s="33">
        <v>35.0</v>
      </c>
      <c r="V156" s="33">
        <v>25.0</v>
      </c>
      <c r="W156" s="33">
        <v>15.0</v>
      </c>
      <c r="X156" s="33">
        <v>92.0</v>
      </c>
      <c r="Y156" s="33">
        <v>45.0</v>
      </c>
      <c r="Z156" s="33">
        <v>20.0</v>
      </c>
      <c r="AA156" s="33">
        <v>98.0</v>
      </c>
      <c r="AB156" s="33">
        <v>98.0</v>
      </c>
      <c r="AC156" s="33">
        <v>50.0</v>
      </c>
      <c r="AD156" s="33">
        <v>10.0</v>
      </c>
      <c r="AE156" s="33">
        <v>95.0</v>
      </c>
      <c r="AF156" s="33">
        <v>98.0</v>
      </c>
      <c r="AG156" s="33">
        <v>95.0</v>
      </c>
      <c r="AH156" s="33">
        <v>98.0</v>
      </c>
      <c r="AI156" s="33">
        <v>95.0</v>
      </c>
      <c r="AJ156" s="33">
        <v>98.0</v>
      </c>
      <c r="AK156" s="33">
        <v>95.0</v>
      </c>
      <c r="AL156" s="33">
        <v>98.0</v>
      </c>
      <c r="AM156" s="33">
        <v>100.0</v>
      </c>
      <c r="AN156" s="33">
        <v>100.0</v>
      </c>
      <c r="AO156" s="33">
        <v>100.0</v>
      </c>
      <c r="AP156" s="18" t="s">
        <v>1210</v>
      </c>
      <c r="AQ156" s="18" t="s">
        <v>1226</v>
      </c>
      <c r="AR156" s="20" t="s">
        <v>166</v>
      </c>
      <c r="AS156" s="20" t="s">
        <v>167</v>
      </c>
      <c r="AT156" s="20" t="s">
        <v>168</v>
      </c>
      <c r="AU156" s="21" t="s">
        <v>168</v>
      </c>
      <c r="AV156" s="22" t="s">
        <v>95</v>
      </c>
      <c r="AW156" s="56" t="s">
        <v>1227</v>
      </c>
      <c r="AZ156" s="34"/>
      <c r="BA156" s="34"/>
      <c r="BB156" s="34"/>
    </row>
    <row r="157">
      <c r="A157" s="25" t="s">
        <v>1228</v>
      </c>
      <c r="B157" s="26" t="s">
        <v>1229</v>
      </c>
      <c r="C157" s="27" t="s">
        <v>1198</v>
      </c>
      <c r="D157" s="27" t="s">
        <v>52</v>
      </c>
      <c r="E157" s="27" t="s">
        <v>69</v>
      </c>
      <c r="F157" s="27" t="s">
        <v>70</v>
      </c>
      <c r="G157" s="28">
        <v>2000.0</v>
      </c>
      <c r="H157" s="36">
        <f t="shared" si="1"/>
        <v>1900</v>
      </c>
      <c r="I157" s="25" t="s">
        <v>1199</v>
      </c>
      <c r="J157" s="30" t="s">
        <v>358</v>
      </c>
      <c r="K157" s="30" t="s">
        <v>1230</v>
      </c>
      <c r="L157" s="31" t="s">
        <v>234</v>
      </c>
      <c r="M157" s="31" t="s">
        <v>1231</v>
      </c>
      <c r="N157" s="33">
        <v>100.0</v>
      </c>
      <c r="O157" s="33">
        <v>100.0</v>
      </c>
      <c r="P157" s="33">
        <v>100.0</v>
      </c>
      <c r="Q157" s="33">
        <v>90.0</v>
      </c>
      <c r="R157" s="33">
        <v>20.0</v>
      </c>
      <c r="S157" s="33">
        <v>55.0</v>
      </c>
      <c r="T157" s="33">
        <v>85.0</v>
      </c>
      <c r="U157" s="33">
        <v>92.0</v>
      </c>
      <c r="V157" s="33">
        <v>98.0</v>
      </c>
      <c r="W157" s="33">
        <v>98.0</v>
      </c>
      <c r="X157" s="33">
        <v>65.0</v>
      </c>
      <c r="Y157" s="33">
        <v>82.0</v>
      </c>
      <c r="Z157" s="33">
        <v>25.0</v>
      </c>
      <c r="AA157" s="33">
        <v>78.0</v>
      </c>
      <c r="AB157" s="33">
        <v>68.0</v>
      </c>
      <c r="AC157" s="33">
        <v>92.0</v>
      </c>
      <c r="AD157" s="33">
        <v>25.0</v>
      </c>
      <c r="AE157" s="33">
        <v>98.0</v>
      </c>
      <c r="AF157" s="33">
        <v>92.0</v>
      </c>
      <c r="AG157" s="33">
        <v>62.0</v>
      </c>
      <c r="AH157" s="33">
        <v>58.0</v>
      </c>
      <c r="AI157" s="33">
        <v>92.0</v>
      </c>
      <c r="AJ157" s="33">
        <v>90.0</v>
      </c>
      <c r="AK157" s="33">
        <v>96.0</v>
      </c>
      <c r="AL157" s="33">
        <v>90.0</v>
      </c>
      <c r="AM157" s="33">
        <v>0.0</v>
      </c>
      <c r="AN157" s="33">
        <v>100.0</v>
      </c>
      <c r="AO157" s="33">
        <v>100.0</v>
      </c>
      <c r="AP157" s="18" t="s">
        <v>1232</v>
      </c>
      <c r="AQ157" s="18" t="s">
        <v>1233</v>
      </c>
      <c r="AR157" s="20" t="s">
        <v>166</v>
      </c>
      <c r="AS157" s="20" t="s">
        <v>167</v>
      </c>
      <c r="AT157" s="20" t="s">
        <v>168</v>
      </c>
      <c r="AU157" s="21" t="s">
        <v>168</v>
      </c>
      <c r="AV157" s="22" t="s">
        <v>1234</v>
      </c>
      <c r="AW157" s="56" t="s">
        <v>1235</v>
      </c>
      <c r="AX157" s="34"/>
      <c r="AZ157" s="34"/>
      <c r="BA157" s="34"/>
      <c r="BB157" s="34"/>
    </row>
    <row r="158">
      <c r="A158" s="25" t="s">
        <v>1236</v>
      </c>
      <c r="B158" s="26" t="s">
        <v>1237</v>
      </c>
      <c r="C158" s="27" t="s">
        <v>1198</v>
      </c>
      <c r="D158" s="27" t="s">
        <v>52</v>
      </c>
      <c r="E158" s="27" t="s">
        <v>69</v>
      </c>
      <c r="F158" s="27" t="s">
        <v>70</v>
      </c>
      <c r="G158" s="28">
        <v>1950.0</v>
      </c>
      <c r="H158" s="36">
        <f t="shared" si="1"/>
        <v>1852.5</v>
      </c>
      <c r="I158" s="25" t="s">
        <v>1199</v>
      </c>
      <c r="J158" s="30" t="s">
        <v>242</v>
      </c>
      <c r="K158" s="30" t="s">
        <v>1238</v>
      </c>
      <c r="L158" s="31" t="s">
        <v>1239</v>
      </c>
      <c r="M158" s="31" t="s">
        <v>1240</v>
      </c>
      <c r="N158" s="33">
        <v>100.0</v>
      </c>
      <c r="O158" s="33">
        <v>100.0</v>
      </c>
      <c r="P158" s="33">
        <v>100.0</v>
      </c>
      <c r="Q158" s="33">
        <v>72.0</v>
      </c>
      <c r="R158" s="33">
        <v>15.0</v>
      </c>
      <c r="S158" s="33">
        <v>82.0</v>
      </c>
      <c r="T158" s="33">
        <v>68.0</v>
      </c>
      <c r="U158" s="33">
        <v>90.0</v>
      </c>
      <c r="V158" s="33">
        <v>90.0</v>
      </c>
      <c r="W158" s="33">
        <v>75.0</v>
      </c>
      <c r="X158" s="33">
        <v>75.0</v>
      </c>
      <c r="Y158" s="33">
        <v>55.0</v>
      </c>
      <c r="Z158" s="33">
        <v>25.0</v>
      </c>
      <c r="AA158" s="33">
        <v>90.0</v>
      </c>
      <c r="AB158" s="33">
        <v>92.0</v>
      </c>
      <c r="AC158" s="33">
        <v>90.0</v>
      </c>
      <c r="AD158" s="33">
        <v>20.0</v>
      </c>
      <c r="AE158" s="33">
        <v>95.0</v>
      </c>
      <c r="AF158" s="33">
        <v>95.0</v>
      </c>
      <c r="AG158" s="33">
        <v>82.0</v>
      </c>
      <c r="AH158" s="33">
        <v>90.0</v>
      </c>
      <c r="AI158" s="33">
        <v>92.0</v>
      </c>
      <c r="AJ158" s="33">
        <v>95.0</v>
      </c>
      <c r="AK158" s="33">
        <v>94.0</v>
      </c>
      <c r="AL158" s="33">
        <v>95.0</v>
      </c>
      <c r="AM158" s="33">
        <v>0.0</v>
      </c>
      <c r="AN158" s="33">
        <v>100.0</v>
      </c>
      <c r="AO158" s="33">
        <v>100.0</v>
      </c>
      <c r="AP158" s="18" t="s">
        <v>1241</v>
      </c>
      <c r="AQ158" s="18" t="s">
        <v>1242</v>
      </c>
      <c r="AR158" s="20" t="s">
        <v>166</v>
      </c>
      <c r="AS158" s="20" t="s">
        <v>167</v>
      </c>
      <c r="AT158" s="20" t="s">
        <v>168</v>
      </c>
      <c r="AU158" s="21" t="s">
        <v>168</v>
      </c>
      <c r="AV158" s="22" t="s">
        <v>1243</v>
      </c>
      <c r="AW158" s="56" t="s">
        <v>1244</v>
      </c>
      <c r="AZ158" s="34"/>
      <c r="BA158" s="34"/>
      <c r="BB158" s="34"/>
    </row>
    <row r="159">
      <c r="A159" s="25" t="s">
        <v>1245</v>
      </c>
      <c r="B159" s="26" t="s">
        <v>1246</v>
      </c>
      <c r="C159" s="27" t="s">
        <v>1198</v>
      </c>
      <c r="D159" s="27" t="s">
        <v>52</v>
      </c>
      <c r="E159" s="35" t="s">
        <v>84</v>
      </c>
      <c r="F159" s="27" t="s">
        <v>454</v>
      </c>
      <c r="G159" s="28">
        <v>2500.0</v>
      </c>
      <c r="H159" s="36">
        <f t="shared" si="1"/>
        <v>2375</v>
      </c>
      <c r="I159" s="25" t="s">
        <v>1199</v>
      </c>
      <c r="J159" s="30" t="s">
        <v>465</v>
      </c>
      <c r="K159" s="30" t="s">
        <v>1247</v>
      </c>
      <c r="L159" s="31" t="s">
        <v>1239</v>
      </c>
      <c r="M159" s="31" t="s">
        <v>1248</v>
      </c>
      <c r="N159" s="33">
        <v>100.0</v>
      </c>
      <c r="O159" s="33">
        <v>100.0</v>
      </c>
      <c r="P159" s="33">
        <v>100.0</v>
      </c>
      <c r="Q159" s="33">
        <v>68.0</v>
      </c>
      <c r="R159" s="33">
        <v>15.0</v>
      </c>
      <c r="S159" s="33">
        <v>92.0</v>
      </c>
      <c r="T159" s="33">
        <v>58.0</v>
      </c>
      <c r="U159" s="33">
        <v>90.0</v>
      </c>
      <c r="V159" s="33">
        <v>90.0</v>
      </c>
      <c r="W159" s="33">
        <v>75.0</v>
      </c>
      <c r="X159" s="33">
        <v>92.0</v>
      </c>
      <c r="Y159" s="33">
        <v>45.0</v>
      </c>
      <c r="Z159" s="33">
        <v>30.0</v>
      </c>
      <c r="AA159" s="33">
        <v>92.0</v>
      </c>
      <c r="AB159" s="33">
        <v>95.0</v>
      </c>
      <c r="AC159" s="33">
        <v>90.0</v>
      </c>
      <c r="AD159" s="33">
        <v>20.0</v>
      </c>
      <c r="AE159" s="33">
        <v>90.0</v>
      </c>
      <c r="AF159" s="33">
        <v>95.0</v>
      </c>
      <c r="AG159" s="33">
        <v>95.0</v>
      </c>
      <c r="AH159" s="33">
        <v>98.0</v>
      </c>
      <c r="AI159" s="33">
        <v>92.0</v>
      </c>
      <c r="AJ159" s="33">
        <v>96.0</v>
      </c>
      <c r="AK159" s="33">
        <v>92.0</v>
      </c>
      <c r="AL159" s="33">
        <v>96.0</v>
      </c>
      <c r="AM159" s="33">
        <v>100.0</v>
      </c>
      <c r="AN159" s="33">
        <v>100.0</v>
      </c>
      <c r="AO159" s="33">
        <v>100.0</v>
      </c>
      <c r="AP159" s="18" t="s">
        <v>1249</v>
      </c>
      <c r="AQ159" s="18" t="s">
        <v>1250</v>
      </c>
      <c r="AR159" s="20" t="s">
        <v>92</v>
      </c>
      <c r="AS159" s="20" t="s">
        <v>93</v>
      </c>
      <c r="AT159" s="20" t="s">
        <v>94</v>
      </c>
      <c r="AU159" s="21" t="s">
        <v>94</v>
      </c>
      <c r="AV159" s="22" t="s">
        <v>1251</v>
      </c>
      <c r="AW159" s="56" t="s">
        <v>1252</v>
      </c>
      <c r="AZ159" s="34"/>
      <c r="BA159" s="34"/>
      <c r="BB159" s="34"/>
    </row>
    <row r="160">
      <c r="A160" s="25" t="s">
        <v>1253</v>
      </c>
      <c r="B160" s="26" t="s">
        <v>1254</v>
      </c>
      <c r="C160" s="27" t="s">
        <v>1198</v>
      </c>
      <c r="D160" s="27" t="s">
        <v>52</v>
      </c>
      <c r="E160" s="27" t="s">
        <v>125</v>
      </c>
      <c r="F160" s="27" t="s">
        <v>182</v>
      </c>
      <c r="G160" s="28">
        <v>1900.0</v>
      </c>
      <c r="H160" s="36">
        <f t="shared" si="1"/>
        <v>1805</v>
      </c>
      <c r="I160" s="25" t="s">
        <v>1199</v>
      </c>
      <c r="J160" s="30" t="s">
        <v>1255</v>
      </c>
      <c r="K160" s="30" t="s">
        <v>202</v>
      </c>
      <c r="L160" s="31" t="s">
        <v>1256</v>
      </c>
      <c r="M160" s="31" t="s">
        <v>255</v>
      </c>
      <c r="N160" s="33">
        <v>100.0</v>
      </c>
      <c r="O160" s="33">
        <v>100.0</v>
      </c>
      <c r="P160" s="33">
        <v>100.0</v>
      </c>
      <c r="Q160" s="33">
        <v>45.0</v>
      </c>
      <c r="R160" s="33">
        <v>10.0</v>
      </c>
      <c r="S160" s="33">
        <v>92.0</v>
      </c>
      <c r="T160" s="33">
        <v>25.0</v>
      </c>
      <c r="U160" s="33">
        <v>82.0</v>
      </c>
      <c r="V160" s="33">
        <v>78.0</v>
      </c>
      <c r="W160" s="33">
        <v>55.0</v>
      </c>
      <c r="X160" s="33">
        <v>85.0</v>
      </c>
      <c r="Y160" s="33">
        <v>15.0</v>
      </c>
      <c r="Z160" s="33">
        <v>20.0</v>
      </c>
      <c r="AA160" s="33">
        <v>90.0</v>
      </c>
      <c r="AB160" s="33">
        <v>98.0</v>
      </c>
      <c r="AC160" s="33">
        <v>85.0</v>
      </c>
      <c r="AD160" s="33">
        <v>15.0</v>
      </c>
      <c r="AE160" s="33">
        <v>90.0</v>
      </c>
      <c r="AF160" s="33">
        <v>92.0</v>
      </c>
      <c r="AG160" s="33">
        <v>95.0</v>
      </c>
      <c r="AH160" s="33">
        <v>98.0</v>
      </c>
      <c r="AI160" s="33">
        <v>90.0</v>
      </c>
      <c r="AJ160" s="33">
        <v>95.0</v>
      </c>
      <c r="AK160" s="33">
        <v>89.0</v>
      </c>
      <c r="AL160" s="33">
        <v>94.0</v>
      </c>
      <c r="AM160" s="33">
        <v>100.0</v>
      </c>
      <c r="AN160" s="33">
        <v>100.0</v>
      </c>
      <c r="AO160" s="33">
        <v>100.0</v>
      </c>
      <c r="AP160" s="18" t="s">
        <v>1257</v>
      </c>
      <c r="AQ160" s="18" t="s">
        <v>1258</v>
      </c>
      <c r="AR160" s="20" t="s">
        <v>601</v>
      </c>
      <c r="AS160" s="20" t="s">
        <v>602</v>
      </c>
      <c r="AT160" s="20" t="s">
        <v>603</v>
      </c>
      <c r="AU160" s="21" t="s">
        <v>603</v>
      </c>
      <c r="AV160" s="22" t="s">
        <v>178</v>
      </c>
      <c r="AW160" s="56" t="s">
        <v>1259</v>
      </c>
      <c r="AZ160" s="34"/>
      <c r="BA160" s="34"/>
      <c r="BB160" s="34"/>
    </row>
    <row r="161">
      <c r="A161" s="25" t="s">
        <v>1260</v>
      </c>
      <c r="B161" s="26" t="s">
        <v>1261</v>
      </c>
      <c r="C161" s="27" t="s">
        <v>1198</v>
      </c>
      <c r="D161" s="27" t="s">
        <v>52</v>
      </c>
      <c r="E161" s="27" t="s">
        <v>252</v>
      </c>
      <c r="F161" s="27" t="s">
        <v>454</v>
      </c>
      <c r="G161" s="28">
        <v>1900.0</v>
      </c>
      <c r="H161" s="36">
        <f t="shared" si="1"/>
        <v>1805</v>
      </c>
      <c r="I161" s="25" t="s">
        <v>1199</v>
      </c>
      <c r="J161" s="30" t="s">
        <v>465</v>
      </c>
      <c r="K161" s="30" t="s">
        <v>767</v>
      </c>
      <c r="L161" s="31" t="s">
        <v>1215</v>
      </c>
      <c r="M161" s="31" t="s">
        <v>432</v>
      </c>
      <c r="N161" s="33">
        <v>100.0</v>
      </c>
      <c r="O161" s="33">
        <v>100.0</v>
      </c>
      <c r="P161" s="33">
        <v>100.0</v>
      </c>
      <c r="Q161" s="33">
        <v>45.0</v>
      </c>
      <c r="R161" s="33">
        <v>10.0</v>
      </c>
      <c r="S161" s="33">
        <v>90.0</v>
      </c>
      <c r="T161" s="33">
        <v>20.0</v>
      </c>
      <c r="U161" s="33">
        <v>35.0</v>
      </c>
      <c r="V161" s="33">
        <v>30.0</v>
      </c>
      <c r="W161" s="33">
        <v>15.0</v>
      </c>
      <c r="X161" s="33">
        <v>82.0</v>
      </c>
      <c r="Y161" s="33">
        <v>15.0</v>
      </c>
      <c r="Z161" s="33">
        <v>20.0</v>
      </c>
      <c r="AA161" s="33">
        <v>95.0</v>
      </c>
      <c r="AB161" s="33">
        <v>92.0</v>
      </c>
      <c r="AC161" s="33">
        <v>55.0</v>
      </c>
      <c r="AD161" s="33">
        <v>98.0</v>
      </c>
      <c r="AE161" s="33">
        <v>92.0</v>
      </c>
      <c r="AF161" s="33">
        <v>98.0</v>
      </c>
      <c r="AG161" s="33">
        <v>90.0</v>
      </c>
      <c r="AH161" s="33">
        <v>95.0</v>
      </c>
      <c r="AI161" s="33">
        <v>92.0</v>
      </c>
      <c r="AJ161" s="33">
        <v>98.0</v>
      </c>
      <c r="AK161" s="33">
        <v>94.0</v>
      </c>
      <c r="AL161" s="33">
        <v>98.0</v>
      </c>
      <c r="AM161" s="33">
        <v>100.0</v>
      </c>
      <c r="AN161" s="33">
        <v>100.0</v>
      </c>
      <c r="AO161" s="33">
        <v>100.0</v>
      </c>
      <c r="AP161" s="18" t="s">
        <v>1210</v>
      </c>
      <c r="AQ161" s="18" t="s">
        <v>1262</v>
      </c>
      <c r="AR161" s="20" t="s">
        <v>144</v>
      </c>
      <c r="AS161" s="20" t="s">
        <v>145</v>
      </c>
      <c r="AT161" s="20" t="s">
        <v>146</v>
      </c>
      <c r="AU161" s="21" t="s">
        <v>146</v>
      </c>
      <c r="AV161" s="22" t="s">
        <v>980</v>
      </c>
      <c r="AW161" s="85" t="s">
        <v>1263</v>
      </c>
      <c r="AZ161" s="34"/>
      <c r="BA161" s="34"/>
      <c r="BB161" s="34"/>
    </row>
    <row r="162">
      <c r="A162" s="25" t="s">
        <v>1264</v>
      </c>
      <c r="B162" s="26" t="s">
        <v>1265</v>
      </c>
      <c r="C162" s="27" t="s">
        <v>1198</v>
      </c>
      <c r="D162" s="27" t="s">
        <v>52</v>
      </c>
      <c r="E162" s="27" t="s">
        <v>125</v>
      </c>
      <c r="F162" s="27" t="s">
        <v>126</v>
      </c>
      <c r="G162" s="28">
        <v>2050.0</v>
      </c>
      <c r="H162" s="36">
        <f t="shared" si="1"/>
        <v>1947.5</v>
      </c>
      <c r="I162" s="25" t="s">
        <v>1199</v>
      </c>
      <c r="J162" s="30" t="s">
        <v>465</v>
      </c>
      <c r="K162" s="30" t="s">
        <v>1266</v>
      </c>
      <c r="L162" s="31" t="s">
        <v>1239</v>
      </c>
      <c r="M162" s="31" t="s">
        <v>1267</v>
      </c>
      <c r="N162" s="33">
        <v>100.0</v>
      </c>
      <c r="O162" s="33">
        <v>100.0</v>
      </c>
      <c r="P162" s="33">
        <v>100.0</v>
      </c>
      <c r="Q162" s="33">
        <v>62.0</v>
      </c>
      <c r="R162" s="33">
        <v>15.0</v>
      </c>
      <c r="S162" s="33">
        <v>90.0</v>
      </c>
      <c r="T162" s="33">
        <v>52.0</v>
      </c>
      <c r="U162" s="33">
        <v>85.0</v>
      </c>
      <c r="V162" s="33">
        <v>90.0</v>
      </c>
      <c r="W162" s="33">
        <v>72.0</v>
      </c>
      <c r="X162" s="33">
        <v>90.0</v>
      </c>
      <c r="Y162" s="33">
        <v>40.0</v>
      </c>
      <c r="Z162" s="33">
        <v>25.0</v>
      </c>
      <c r="AA162" s="33">
        <v>95.0</v>
      </c>
      <c r="AB162" s="33">
        <v>98.0</v>
      </c>
      <c r="AC162" s="33">
        <v>90.0</v>
      </c>
      <c r="AD162" s="33">
        <v>15.0</v>
      </c>
      <c r="AE162" s="33">
        <v>92.0</v>
      </c>
      <c r="AF162" s="33">
        <v>98.0</v>
      </c>
      <c r="AG162" s="33">
        <v>95.0</v>
      </c>
      <c r="AH162" s="33">
        <v>98.0</v>
      </c>
      <c r="AI162" s="33">
        <v>92.0</v>
      </c>
      <c r="AJ162" s="33">
        <v>98.0</v>
      </c>
      <c r="AK162" s="33">
        <v>94.0</v>
      </c>
      <c r="AL162" s="33">
        <v>98.0</v>
      </c>
      <c r="AM162" s="33">
        <v>100.0</v>
      </c>
      <c r="AN162" s="33">
        <v>100.0</v>
      </c>
      <c r="AO162" s="33">
        <v>100.0</v>
      </c>
      <c r="AP162" s="18" t="s">
        <v>1268</v>
      </c>
      <c r="AQ162" s="18" t="s">
        <v>1269</v>
      </c>
      <c r="AR162" s="20" t="s">
        <v>601</v>
      </c>
      <c r="AS162" s="20" t="s">
        <v>602</v>
      </c>
      <c r="AT162" s="20" t="s">
        <v>603</v>
      </c>
      <c r="AU162" s="21" t="s">
        <v>603</v>
      </c>
      <c r="AV162" s="22" t="s">
        <v>271</v>
      </c>
      <c r="AW162" s="56" t="s">
        <v>1270</v>
      </c>
      <c r="AZ162" s="34"/>
      <c r="BA162" s="34"/>
      <c r="BB162" s="34"/>
    </row>
    <row r="163">
      <c r="A163" s="25" t="s">
        <v>1271</v>
      </c>
      <c r="B163" s="26" t="s">
        <v>1272</v>
      </c>
      <c r="C163" s="27" t="s">
        <v>1198</v>
      </c>
      <c r="D163" s="27" t="s">
        <v>52</v>
      </c>
      <c r="E163" s="27" t="s">
        <v>502</v>
      </c>
      <c r="F163" s="27" t="s">
        <v>1273</v>
      </c>
      <c r="G163" s="28">
        <v>1600.0</v>
      </c>
      <c r="H163" s="36">
        <f t="shared" si="1"/>
        <v>1520</v>
      </c>
      <c r="I163" s="25" t="s">
        <v>1199</v>
      </c>
      <c r="J163" s="30" t="s">
        <v>358</v>
      </c>
      <c r="K163" s="30" t="s">
        <v>1274</v>
      </c>
      <c r="L163" s="31" t="s">
        <v>1275</v>
      </c>
      <c r="M163" s="31" t="s">
        <v>1276</v>
      </c>
      <c r="N163" s="33">
        <v>0.0</v>
      </c>
      <c r="O163" s="33">
        <v>100.0</v>
      </c>
      <c r="P163" s="33">
        <v>100.0</v>
      </c>
      <c r="Q163" s="33">
        <v>82.0</v>
      </c>
      <c r="R163" s="33">
        <v>20.0</v>
      </c>
      <c r="S163" s="33">
        <v>65.0</v>
      </c>
      <c r="T163" s="33">
        <v>90.0</v>
      </c>
      <c r="U163" s="33">
        <v>45.0</v>
      </c>
      <c r="V163" s="33">
        <v>35.0</v>
      </c>
      <c r="W163" s="33">
        <v>20.0</v>
      </c>
      <c r="X163" s="33">
        <v>70.0</v>
      </c>
      <c r="Y163" s="33">
        <v>90.0</v>
      </c>
      <c r="Z163" s="33">
        <v>15.0</v>
      </c>
      <c r="AA163" s="33">
        <v>90.0</v>
      </c>
      <c r="AB163" s="33">
        <v>82.0</v>
      </c>
      <c r="AC163" s="33">
        <v>55.0</v>
      </c>
      <c r="AD163" s="33">
        <v>10.0</v>
      </c>
      <c r="AE163" s="33">
        <v>95.0</v>
      </c>
      <c r="AF163" s="33">
        <v>92.0</v>
      </c>
      <c r="AG163" s="33">
        <v>68.0</v>
      </c>
      <c r="AH163" s="33">
        <v>72.0</v>
      </c>
      <c r="AI163" s="33">
        <v>90.0</v>
      </c>
      <c r="AJ163" s="33">
        <v>90.0</v>
      </c>
      <c r="AK163" s="33">
        <v>94.0</v>
      </c>
      <c r="AL163" s="33">
        <v>92.0</v>
      </c>
      <c r="AM163" s="33">
        <v>0.0</v>
      </c>
      <c r="AN163" s="33">
        <v>100.0</v>
      </c>
      <c r="AO163" s="33">
        <v>100.0</v>
      </c>
      <c r="AP163" s="18" t="s">
        <v>1210</v>
      </c>
      <c r="AQ163" s="18" t="s">
        <v>1277</v>
      </c>
      <c r="AR163" s="20" t="s">
        <v>92</v>
      </c>
      <c r="AS163" s="20" t="s">
        <v>93</v>
      </c>
      <c r="AT163" s="20" t="s">
        <v>94</v>
      </c>
      <c r="AU163" s="21" t="s">
        <v>94</v>
      </c>
      <c r="AV163" s="22" t="s">
        <v>1278</v>
      </c>
      <c r="AW163" s="56" t="s">
        <v>1279</v>
      </c>
      <c r="AZ163" s="52"/>
      <c r="BA163" s="34"/>
      <c r="BB163" s="34"/>
    </row>
    <row r="164">
      <c r="A164" s="25" t="s">
        <v>1280</v>
      </c>
      <c r="B164" s="26" t="s">
        <v>1281</v>
      </c>
      <c r="C164" s="27" t="s">
        <v>1198</v>
      </c>
      <c r="D164" s="27" t="s">
        <v>52</v>
      </c>
      <c r="E164" s="27" t="s">
        <v>53</v>
      </c>
      <c r="F164" s="27" t="s">
        <v>101</v>
      </c>
      <c r="G164" s="28">
        <v>1650.0</v>
      </c>
      <c r="H164" s="36">
        <f t="shared" si="1"/>
        <v>1567.5</v>
      </c>
      <c r="I164" s="25" t="s">
        <v>1199</v>
      </c>
      <c r="J164" s="30" t="s">
        <v>242</v>
      </c>
      <c r="K164" s="30" t="s">
        <v>408</v>
      </c>
      <c r="L164" s="31" t="s">
        <v>1215</v>
      </c>
      <c r="M164" s="31" t="s">
        <v>1282</v>
      </c>
      <c r="N164" s="33">
        <v>100.0</v>
      </c>
      <c r="O164" s="33">
        <v>100.0</v>
      </c>
      <c r="P164" s="33">
        <v>100.0</v>
      </c>
      <c r="Q164" s="33">
        <v>78.0</v>
      </c>
      <c r="R164" s="33">
        <v>15.0</v>
      </c>
      <c r="S164" s="33">
        <v>82.0</v>
      </c>
      <c r="T164" s="33">
        <v>75.0</v>
      </c>
      <c r="U164" s="33">
        <v>35.0</v>
      </c>
      <c r="V164" s="33">
        <v>25.0</v>
      </c>
      <c r="W164" s="33">
        <v>15.0</v>
      </c>
      <c r="X164" s="33">
        <v>78.0</v>
      </c>
      <c r="Y164" s="33">
        <v>85.0</v>
      </c>
      <c r="Z164" s="33">
        <v>20.0</v>
      </c>
      <c r="AA164" s="33">
        <v>92.0</v>
      </c>
      <c r="AB164" s="33">
        <v>90.0</v>
      </c>
      <c r="AC164" s="33">
        <v>50.0</v>
      </c>
      <c r="AD164" s="33">
        <v>10.0</v>
      </c>
      <c r="AE164" s="33">
        <v>95.0</v>
      </c>
      <c r="AF164" s="33">
        <v>95.0</v>
      </c>
      <c r="AG164" s="33">
        <v>82.0</v>
      </c>
      <c r="AH164" s="33">
        <v>90.0</v>
      </c>
      <c r="AI164" s="33">
        <v>92.0</v>
      </c>
      <c r="AJ164" s="33">
        <v>95.0</v>
      </c>
      <c r="AK164" s="33">
        <v>98.0</v>
      </c>
      <c r="AL164" s="33">
        <v>95.0</v>
      </c>
      <c r="AM164" s="33">
        <v>0.0</v>
      </c>
      <c r="AN164" s="33">
        <v>100.0</v>
      </c>
      <c r="AO164" s="33">
        <v>100.0</v>
      </c>
      <c r="AP164" s="18" t="s">
        <v>1210</v>
      </c>
      <c r="AQ164" s="18" t="s">
        <v>1283</v>
      </c>
      <c r="AR164" s="20" t="s">
        <v>62</v>
      </c>
      <c r="AS164" s="20" t="s">
        <v>63</v>
      </c>
      <c r="AT164" s="20" t="s">
        <v>64</v>
      </c>
      <c r="AU164" s="21" t="s">
        <v>64</v>
      </c>
      <c r="AV164" s="22" t="s">
        <v>1284</v>
      </c>
      <c r="AW164" s="56" t="s">
        <v>1285</v>
      </c>
      <c r="AX164" s="59"/>
      <c r="AZ164" s="52"/>
      <c r="BA164" s="34"/>
      <c r="BB164" s="34"/>
    </row>
    <row r="165">
      <c r="A165" s="25" t="s">
        <v>1286</v>
      </c>
      <c r="B165" s="26" t="s">
        <v>1287</v>
      </c>
      <c r="C165" s="27" t="s">
        <v>1198</v>
      </c>
      <c r="D165" s="27" t="s">
        <v>52</v>
      </c>
      <c r="E165" s="27" t="s">
        <v>252</v>
      </c>
      <c r="F165" s="27" t="s">
        <v>454</v>
      </c>
      <c r="G165" s="28">
        <v>1750.0</v>
      </c>
      <c r="H165" s="36">
        <f t="shared" si="1"/>
        <v>1662.5</v>
      </c>
      <c r="I165" s="25" t="s">
        <v>1199</v>
      </c>
      <c r="J165" s="30" t="s">
        <v>465</v>
      </c>
      <c r="K165" s="30" t="s">
        <v>767</v>
      </c>
      <c r="L165" s="31" t="s">
        <v>456</v>
      </c>
      <c r="M165" s="31" t="s">
        <v>1276</v>
      </c>
      <c r="N165" s="33">
        <v>100.0</v>
      </c>
      <c r="O165" s="33">
        <v>100.0</v>
      </c>
      <c r="P165" s="33">
        <v>100.0</v>
      </c>
      <c r="Q165" s="33">
        <v>35.0</v>
      </c>
      <c r="R165" s="33">
        <v>10.0</v>
      </c>
      <c r="S165" s="33">
        <v>90.0</v>
      </c>
      <c r="T165" s="33">
        <v>15.0</v>
      </c>
      <c r="U165" s="33">
        <v>30.0</v>
      </c>
      <c r="V165" s="33">
        <v>25.0</v>
      </c>
      <c r="W165" s="33">
        <v>15.0</v>
      </c>
      <c r="X165" s="33">
        <v>82.0</v>
      </c>
      <c r="Y165" s="33">
        <v>10.0</v>
      </c>
      <c r="Z165" s="33">
        <v>20.0</v>
      </c>
      <c r="AA165" s="33">
        <v>95.0</v>
      </c>
      <c r="AB165" s="33">
        <v>92.0</v>
      </c>
      <c r="AC165" s="33">
        <v>50.0</v>
      </c>
      <c r="AD165" s="33">
        <v>98.0</v>
      </c>
      <c r="AE165" s="33">
        <v>92.0</v>
      </c>
      <c r="AF165" s="33">
        <v>98.0</v>
      </c>
      <c r="AG165" s="33">
        <v>90.0</v>
      </c>
      <c r="AH165" s="33">
        <v>95.0</v>
      </c>
      <c r="AI165" s="33">
        <v>92.0</v>
      </c>
      <c r="AJ165" s="33">
        <v>98.0</v>
      </c>
      <c r="AK165" s="33">
        <v>94.0</v>
      </c>
      <c r="AL165" s="33">
        <v>98.0</v>
      </c>
      <c r="AM165" s="33">
        <v>100.0</v>
      </c>
      <c r="AN165" s="33">
        <v>100.0</v>
      </c>
      <c r="AO165" s="33">
        <v>100.0</v>
      </c>
      <c r="AP165" s="18" t="s">
        <v>1288</v>
      </c>
      <c r="AQ165" s="18" t="s">
        <v>1289</v>
      </c>
      <c r="AR165" s="20" t="s">
        <v>144</v>
      </c>
      <c r="AS165" s="20" t="s">
        <v>145</v>
      </c>
      <c r="AT165" s="20" t="s">
        <v>146</v>
      </c>
      <c r="AU165" s="21" t="s">
        <v>146</v>
      </c>
      <c r="AV165" s="22" t="s">
        <v>980</v>
      </c>
      <c r="AW165" s="56" t="s">
        <v>1290</v>
      </c>
      <c r="AX165" s="59"/>
      <c r="AY165" s="55"/>
      <c r="AZ165" s="55"/>
      <c r="BA165" s="34"/>
      <c r="BB165" s="34"/>
    </row>
    <row r="166">
      <c r="A166" s="25" t="s">
        <v>1291</v>
      </c>
      <c r="B166" s="26" t="s">
        <v>1292</v>
      </c>
      <c r="C166" s="27" t="s">
        <v>1198</v>
      </c>
      <c r="D166" s="27" t="s">
        <v>52</v>
      </c>
      <c r="E166" s="35" t="s">
        <v>84</v>
      </c>
      <c r="F166" s="27" t="s">
        <v>54</v>
      </c>
      <c r="G166" s="28">
        <v>2100.0</v>
      </c>
      <c r="H166" s="36">
        <f t="shared" si="1"/>
        <v>1995</v>
      </c>
      <c r="I166" s="25" t="s">
        <v>1199</v>
      </c>
      <c r="J166" s="30" t="s">
        <v>266</v>
      </c>
      <c r="K166" s="30" t="s">
        <v>243</v>
      </c>
      <c r="L166" s="31" t="s">
        <v>1293</v>
      </c>
      <c r="M166" s="31" t="s">
        <v>1201</v>
      </c>
      <c r="N166" s="33">
        <v>100.0</v>
      </c>
      <c r="O166" s="33">
        <v>100.0</v>
      </c>
      <c r="P166" s="33">
        <v>100.0</v>
      </c>
      <c r="Q166" s="33">
        <v>45.0</v>
      </c>
      <c r="R166" s="33">
        <v>10.0</v>
      </c>
      <c r="S166" s="33">
        <v>98.0</v>
      </c>
      <c r="T166" s="33">
        <v>15.0</v>
      </c>
      <c r="U166" s="33">
        <v>15.0</v>
      </c>
      <c r="V166" s="33">
        <v>10.0</v>
      </c>
      <c r="W166" s="33">
        <v>5.0</v>
      </c>
      <c r="X166" s="33">
        <v>98.0</v>
      </c>
      <c r="Y166" s="33">
        <v>10.0</v>
      </c>
      <c r="Z166" s="33">
        <v>35.0</v>
      </c>
      <c r="AA166" s="33">
        <v>98.0</v>
      </c>
      <c r="AB166" s="33">
        <v>98.0</v>
      </c>
      <c r="AC166" s="33">
        <v>40.0</v>
      </c>
      <c r="AD166" s="33">
        <v>5.0</v>
      </c>
      <c r="AE166" s="33">
        <v>82.0</v>
      </c>
      <c r="AF166" s="33">
        <v>98.0</v>
      </c>
      <c r="AG166" s="33">
        <v>98.0</v>
      </c>
      <c r="AH166" s="33">
        <v>98.0</v>
      </c>
      <c r="AI166" s="33">
        <v>90.0</v>
      </c>
      <c r="AJ166" s="33">
        <v>98.0</v>
      </c>
      <c r="AK166" s="33">
        <v>90.0</v>
      </c>
      <c r="AL166" s="33">
        <v>98.0</v>
      </c>
      <c r="AM166" s="33">
        <v>100.0</v>
      </c>
      <c r="AN166" s="33">
        <v>100.0</v>
      </c>
      <c r="AO166" s="33">
        <v>100.0</v>
      </c>
      <c r="AP166" s="18" t="s">
        <v>1232</v>
      </c>
      <c r="AQ166" s="18" t="s">
        <v>1294</v>
      </c>
      <c r="AR166" s="20" t="s">
        <v>92</v>
      </c>
      <c r="AS166" s="20" t="s">
        <v>93</v>
      </c>
      <c r="AT166" s="20" t="s">
        <v>94</v>
      </c>
      <c r="AU166" s="21" t="s">
        <v>94</v>
      </c>
      <c r="AV166" s="22" t="s">
        <v>946</v>
      </c>
      <c r="AW166" s="56" t="s">
        <v>1295</v>
      </c>
      <c r="AX166" s="34"/>
      <c r="BA166" s="34"/>
      <c r="BB166" s="34"/>
    </row>
    <row r="167">
      <c r="A167" s="25" t="s">
        <v>1296</v>
      </c>
      <c r="B167" s="26" t="s">
        <v>1297</v>
      </c>
      <c r="C167" s="27" t="s">
        <v>1198</v>
      </c>
      <c r="D167" s="27" t="s">
        <v>52</v>
      </c>
      <c r="E167" s="27" t="s">
        <v>69</v>
      </c>
      <c r="F167" s="27" t="s">
        <v>454</v>
      </c>
      <c r="G167" s="28">
        <v>2000.0</v>
      </c>
      <c r="H167" s="36">
        <f t="shared" si="1"/>
        <v>1900</v>
      </c>
      <c r="I167" s="25" t="s">
        <v>1199</v>
      </c>
      <c r="J167" s="30" t="s">
        <v>465</v>
      </c>
      <c r="K167" s="30" t="s">
        <v>243</v>
      </c>
      <c r="L167" s="31" t="s">
        <v>1298</v>
      </c>
      <c r="M167" s="31" t="s">
        <v>1225</v>
      </c>
      <c r="N167" s="33">
        <v>100.0</v>
      </c>
      <c r="O167" s="33">
        <v>100.0</v>
      </c>
      <c r="P167" s="33">
        <v>100.0</v>
      </c>
      <c r="Q167" s="33">
        <v>50.0</v>
      </c>
      <c r="R167" s="33">
        <v>10.0</v>
      </c>
      <c r="S167" s="33">
        <v>98.0</v>
      </c>
      <c r="T167" s="33">
        <v>20.0</v>
      </c>
      <c r="U167" s="33">
        <v>25.0</v>
      </c>
      <c r="V167" s="33">
        <v>20.0</v>
      </c>
      <c r="W167" s="33">
        <v>10.0</v>
      </c>
      <c r="X167" s="33">
        <v>98.0</v>
      </c>
      <c r="Y167" s="33">
        <v>15.0</v>
      </c>
      <c r="Z167" s="33">
        <v>30.0</v>
      </c>
      <c r="AA167" s="33">
        <v>98.0</v>
      </c>
      <c r="AB167" s="33">
        <v>98.0</v>
      </c>
      <c r="AC167" s="33">
        <v>45.0</v>
      </c>
      <c r="AD167" s="33">
        <v>5.0</v>
      </c>
      <c r="AE167" s="33">
        <v>90.0</v>
      </c>
      <c r="AF167" s="33">
        <v>98.0</v>
      </c>
      <c r="AG167" s="33">
        <v>98.0</v>
      </c>
      <c r="AH167" s="33">
        <v>98.0</v>
      </c>
      <c r="AI167" s="33">
        <v>92.0</v>
      </c>
      <c r="AJ167" s="33">
        <v>98.0</v>
      </c>
      <c r="AK167" s="33">
        <v>90.0</v>
      </c>
      <c r="AL167" s="33">
        <v>98.0</v>
      </c>
      <c r="AM167" s="33">
        <v>100.0</v>
      </c>
      <c r="AN167" s="33">
        <v>100.0</v>
      </c>
      <c r="AO167" s="33">
        <v>100.0</v>
      </c>
      <c r="AP167" s="18" t="s">
        <v>1299</v>
      </c>
      <c r="AQ167" s="18" t="s">
        <v>1300</v>
      </c>
      <c r="AR167" s="20" t="s">
        <v>166</v>
      </c>
      <c r="AS167" s="20" t="s">
        <v>167</v>
      </c>
      <c r="AT167" s="20" t="s">
        <v>168</v>
      </c>
      <c r="AU167" s="21" t="s">
        <v>168</v>
      </c>
      <c r="AV167" s="22" t="s">
        <v>1301</v>
      </c>
      <c r="AW167" s="56" t="s">
        <v>1302</v>
      </c>
      <c r="AX167" s="34"/>
      <c r="BA167" s="34"/>
      <c r="BB167" s="34"/>
    </row>
    <row r="168" hidden="1">
      <c r="A168" s="25" t="s">
        <v>1303</v>
      </c>
      <c r="B168" s="26" t="s">
        <v>1304</v>
      </c>
      <c r="C168" s="27" t="s">
        <v>1305</v>
      </c>
      <c r="D168" s="27" t="s">
        <v>52</v>
      </c>
      <c r="E168" s="27" t="s">
        <v>53</v>
      </c>
      <c r="F168" s="29" t="s">
        <v>1306</v>
      </c>
      <c r="G168" s="28">
        <v>625.0</v>
      </c>
      <c r="H168" s="36">
        <f t="shared" si="1"/>
        <v>593.75</v>
      </c>
      <c r="I168" s="25" t="s">
        <v>1199</v>
      </c>
      <c r="J168" s="30" t="s">
        <v>102</v>
      </c>
      <c r="K168" s="30" t="s">
        <v>28</v>
      </c>
      <c r="L168" s="31" t="s">
        <v>1307</v>
      </c>
      <c r="M168" s="31" t="s">
        <v>1308</v>
      </c>
      <c r="N168" s="33">
        <v>100.0</v>
      </c>
      <c r="O168" s="33">
        <v>100.0</v>
      </c>
      <c r="P168" s="33">
        <v>100.0</v>
      </c>
      <c r="Q168" s="33">
        <v>35.0</v>
      </c>
      <c r="R168" s="33">
        <v>10.0</v>
      </c>
      <c r="S168" s="33">
        <v>65.0</v>
      </c>
      <c r="T168" s="33">
        <v>25.0</v>
      </c>
      <c r="U168" s="33">
        <v>72.0</v>
      </c>
      <c r="V168" s="33">
        <v>68.0</v>
      </c>
      <c r="W168" s="33">
        <v>45.0</v>
      </c>
      <c r="X168" s="33">
        <v>60.0</v>
      </c>
      <c r="Y168" s="33">
        <v>15.0</v>
      </c>
      <c r="Z168" s="33">
        <v>15.0</v>
      </c>
      <c r="AA168" s="33">
        <v>70.0</v>
      </c>
      <c r="AB168" s="33">
        <v>65.0</v>
      </c>
      <c r="AC168" s="33">
        <v>90.0</v>
      </c>
      <c r="AD168" s="33">
        <v>10.0</v>
      </c>
      <c r="AE168" s="33">
        <v>90.0</v>
      </c>
      <c r="AF168" s="33">
        <v>78.0</v>
      </c>
      <c r="AG168" s="33">
        <v>68.0</v>
      </c>
      <c r="AH168" s="33">
        <v>65.0</v>
      </c>
      <c r="AI168" s="33">
        <v>80.0</v>
      </c>
      <c r="AJ168" s="33">
        <v>75.0</v>
      </c>
      <c r="AK168" s="33">
        <v>90.0</v>
      </c>
      <c r="AL168" s="33">
        <v>78.0</v>
      </c>
      <c r="AM168" s="33">
        <v>0.0</v>
      </c>
      <c r="AN168" s="33">
        <v>100.0</v>
      </c>
      <c r="AO168" s="33">
        <v>100.0</v>
      </c>
      <c r="AP168" s="18" t="s">
        <v>1309</v>
      </c>
      <c r="AQ168" s="18" t="s">
        <v>1310</v>
      </c>
      <c r="AR168" s="20" t="s">
        <v>62</v>
      </c>
      <c r="AS168" s="20" t="s">
        <v>63</v>
      </c>
      <c r="AT168" s="20" t="s">
        <v>64</v>
      </c>
      <c r="AU168" s="21" t="s">
        <v>64</v>
      </c>
      <c r="AV168" s="22" t="s">
        <v>1311</v>
      </c>
      <c r="AW168" s="56" t="s">
        <v>1312</v>
      </c>
      <c r="AX168" s="34"/>
      <c r="BA168" s="34"/>
      <c r="BB168" s="34"/>
    </row>
    <row r="169" hidden="1">
      <c r="A169" s="25" t="s">
        <v>1313</v>
      </c>
      <c r="B169" s="26" t="s">
        <v>1314</v>
      </c>
      <c r="C169" s="27" t="s">
        <v>1305</v>
      </c>
      <c r="D169" s="27" t="s">
        <v>52</v>
      </c>
      <c r="E169" s="27" t="s">
        <v>53</v>
      </c>
      <c r="F169" s="27" t="s">
        <v>1315</v>
      </c>
      <c r="G169" s="28">
        <v>549.0</v>
      </c>
      <c r="H169" s="36">
        <f t="shared" si="1"/>
        <v>521.55</v>
      </c>
      <c r="I169" s="25" t="s">
        <v>1199</v>
      </c>
      <c r="J169" s="30" t="s">
        <v>1316</v>
      </c>
      <c r="K169" s="30" t="s">
        <v>27</v>
      </c>
      <c r="L169" s="31" t="s">
        <v>1307</v>
      </c>
      <c r="M169" s="31" t="s">
        <v>1317</v>
      </c>
      <c r="N169" s="33">
        <v>100.0</v>
      </c>
      <c r="O169" s="33">
        <v>100.0</v>
      </c>
      <c r="P169" s="33">
        <v>100.0</v>
      </c>
      <c r="Q169" s="33">
        <v>55.0</v>
      </c>
      <c r="R169" s="33">
        <v>15.0</v>
      </c>
      <c r="S169" s="33">
        <v>82.0</v>
      </c>
      <c r="T169" s="33">
        <v>45.0</v>
      </c>
      <c r="U169" s="33">
        <v>45.0</v>
      </c>
      <c r="V169" s="33">
        <v>35.0</v>
      </c>
      <c r="W169" s="33">
        <v>20.0</v>
      </c>
      <c r="X169" s="33">
        <v>75.0</v>
      </c>
      <c r="Y169" s="33">
        <v>65.0</v>
      </c>
      <c r="Z169" s="33">
        <v>20.0</v>
      </c>
      <c r="AA169" s="33">
        <v>82.0</v>
      </c>
      <c r="AB169" s="33">
        <v>90.0</v>
      </c>
      <c r="AC169" s="33">
        <v>55.0</v>
      </c>
      <c r="AD169" s="33">
        <v>10.0</v>
      </c>
      <c r="AE169" s="33">
        <v>90.0</v>
      </c>
      <c r="AF169" s="33">
        <v>82.0</v>
      </c>
      <c r="AG169" s="33">
        <v>85.0</v>
      </c>
      <c r="AH169" s="33">
        <v>90.0</v>
      </c>
      <c r="AI169" s="33">
        <v>90.0</v>
      </c>
      <c r="AJ169" s="33">
        <v>85.0</v>
      </c>
      <c r="AK169" s="33">
        <v>90.0</v>
      </c>
      <c r="AL169" s="33">
        <v>86.0</v>
      </c>
      <c r="AM169" s="33">
        <v>0.0</v>
      </c>
      <c r="AN169" s="33">
        <v>100.0</v>
      </c>
      <c r="AO169" s="33">
        <v>100.0</v>
      </c>
      <c r="AP169" s="18" t="s">
        <v>1318</v>
      </c>
      <c r="AQ169" s="18" t="s">
        <v>1319</v>
      </c>
      <c r="AR169" s="20" t="s">
        <v>62</v>
      </c>
      <c r="AS169" s="20" t="s">
        <v>63</v>
      </c>
      <c r="AT169" s="20" t="s">
        <v>64</v>
      </c>
      <c r="AU169" s="21" t="s">
        <v>64</v>
      </c>
      <c r="AV169" s="22" t="s">
        <v>1320</v>
      </c>
      <c r="AW169" s="56" t="s">
        <v>1321</v>
      </c>
      <c r="AX169" s="34"/>
      <c r="BA169" s="34"/>
      <c r="BB169" s="34"/>
    </row>
    <row r="170" hidden="1">
      <c r="A170" s="25" t="s">
        <v>1322</v>
      </c>
      <c r="B170" s="26" t="s">
        <v>1323</v>
      </c>
      <c r="C170" s="27" t="s">
        <v>1305</v>
      </c>
      <c r="D170" s="27" t="s">
        <v>52</v>
      </c>
      <c r="E170" s="27" t="s">
        <v>125</v>
      </c>
      <c r="F170" s="27" t="s">
        <v>126</v>
      </c>
      <c r="G170" s="28">
        <v>990.0</v>
      </c>
      <c r="H170" s="36">
        <f t="shared" si="1"/>
        <v>940.5</v>
      </c>
      <c r="I170" s="25" t="s">
        <v>1199</v>
      </c>
      <c r="J170" s="30" t="s">
        <v>266</v>
      </c>
      <c r="K170" s="30" t="s">
        <v>243</v>
      </c>
      <c r="L170" s="31" t="s">
        <v>1324</v>
      </c>
      <c r="M170" s="31" t="s">
        <v>1325</v>
      </c>
      <c r="N170" s="33">
        <v>100.0</v>
      </c>
      <c r="O170" s="33">
        <v>100.0</v>
      </c>
      <c r="P170" s="33">
        <v>100.0</v>
      </c>
      <c r="Q170" s="33">
        <v>35.0</v>
      </c>
      <c r="R170" s="33">
        <v>10.0</v>
      </c>
      <c r="S170" s="33">
        <v>95.0</v>
      </c>
      <c r="T170" s="33">
        <v>15.0</v>
      </c>
      <c r="U170" s="33">
        <v>25.0</v>
      </c>
      <c r="V170" s="33">
        <v>20.0</v>
      </c>
      <c r="W170" s="33">
        <v>10.0</v>
      </c>
      <c r="X170" s="33">
        <v>95.0</v>
      </c>
      <c r="Y170" s="33">
        <v>10.0</v>
      </c>
      <c r="Z170" s="33">
        <v>25.0</v>
      </c>
      <c r="AA170" s="33">
        <v>92.0</v>
      </c>
      <c r="AB170" s="33">
        <v>98.0</v>
      </c>
      <c r="AC170" s="33">
        <v>50.0</v>
      </c>
      <c r="AD170" s="33">
        <v>5.0</v>
      </c>
      <c r="AE170" s="33">
        <v>82.0</v>
      </c>
      <c r="AF170" s="33">
        <v>92.0</v>
      </c>
      <c r="AG170" s="33">
        <v>98.0</v>
      </c>
      <c r="AH170" s="33">
        <v>98.0</v>
      </c>
      <c r="AI170" s="33">
        <v>90.0</v>
      </c>
      <c r="AJ170" s="33">
        <v>98.0</v>
      </c>
      <c r="AK170" s="33">
        <v>90.0</v>
      </c>
      <c r="AL170" s="33">
        <v>96.0</v>
      </c>
      <c r="AM170" s="33">
        <v>100.0</v>
      </c>
      <c r="AN170" s="33">
        <v>100.0</v>
      </c>
      <c r="AO170" s="33">
        <v>100.0</v>
      </c>
      <c r="AP170" s="18" t="s">
        <v>1326</v>
      </c>
      <c r="AQ170" s="18" t="s">
        <v>1327</v>
      </c>
      <c r="AR170" s="20" t="s">
        <v>601</v>
      </c>
      <c r="AS170" s="20" t="s">
        <v>602</v>
      </c>
      <c r="AT170" s="20" t="s">
        <v>603</v>
      </c>
      <c r="AU170" s="21" t="s">
        <v>603</v>
      </c>
      <c r="AV170" s="22" t="s">
        <v>95</v>
      </c>
      <c r="AW170" s="56" t="s">
        <v>1328</v>
      </c>
      <c r="AX170" s="34"/>
      <c r="BA170" s="34"/>
      <c r="BB170" s="34"/>
    </row>
    <row r="171">
      <c r="A171" s="25" t="s">
        <v>1329</v>
      </c>
      <c r="B171" s="26" t="s">
        <v>1330</v>
      </c>
      <c r="C171" s="27" t="s">
        <v>1305</v>
      </c>
      <c r="D171" s="27" t="s">
        <v>52</v>
      </c>
      <c r="E171" s="35" t="s">
        <v>84</v>
      </c>
      <c r="F171" s="27" t="s">
        <v>454</v>
      </c>
      <c r="G171" s="28">
        <v>1040.0</v>
      </c>
      <c r="H171" s="36">
        <f t="shared" si="1"/>
        <v>988</v>
      </c>
      <c r="I171" s="25" t="s">
        <v>1199</v>
      </c>
      <c r="J171" s="30" t="s">
        <v>550</v>
      </c>
      <c r="K171" s="30" t="s">
        <v>243</v>
      </c>
      <c r="L171" s="31" t="s">
        <v>1324</v>
      </c>
      <c r="M171" s="31" t="s">
        <v>1331</v>
      </c>
      <c r="N171" s="33">
        <v>100.0</v>
      </c>
      <c r="O171" s="33">
        <v>100.0</v>
      </c>
      <c r="P171" s="33">
        <v>100.0</v>
      </c>
      <c r="Q171" s="33">
        <v>25.0</v>
      </c>
      <c r="R171" s="33">
        <v>10.0</v>
      </c>
      <c r="S171" s="33">
        <v>98.0</v>
      </c>
      <c r="T171" s="33">
        <v>10.0</v>
      </c>
      <c r="U171" s="33">
        <v>20.0</v>
      </c>
      <c r="V171" s="33">
        <v>15.0</v>
      </c>
      <c r="W171" s="33">
        <v>10.0</v>
      </c>
      <c r="X171" s="33">
        <v>98.0</v>
      </c>
      <c r="Y171" s="33">
        <v>5.0</v>
      </c>
      <c r="Z171" s="33">
        <v>30.0</v>
      </c>
      <c r="AA171" s="33">
        <v>95.0</v>
      </c>
      <c r="AB171" s="33">
        <v>98.0</v>
      </c>
      <c r="AC171" s="33">
        <v>45.0</v>
      </c>
      <c r="AD171" s="33">
        <v>5.0</v>
      </c>
      <c r="AE171" s="33">
        <v>72.0</v>
      </c>
      <c r="AF171" s="33">
        <v>90.0</v>
      </c>
      <c r="AG171" s="33">
        <v>98.0</v>
      </c>
      <c r="AH171" s="33">
        <v>98.0</v>
      </c>
      <c r="AI171" s="33">
        <v>85.0</v>
      </c>
      <c r="AJ171" s="33">
        <v>95.0</v>
      </c>
      <c r="AK171" s="33">
        <v>80.0</v>
      </c>
      <c r="AL171" s="33">
        <v>92.0</v>
      </c>
      <c r="AM171" s="33">
        <v>100.0</v>
      </c>
      <c r="AN171" s="33">
        <v>100.0</v>
      </c>
      <c r="AO171" s="33">
        <v>100.0</v>
      </c>
      <c r="AP171" s="18" t="s">
        <v>1326</v>
      </c>
      <c r="AQ171" s="18" t="s">
        <v>1332</v>
      </c>
      <c r="AR171" s="20" t="s">
        <v>92</v>
      </c>
      <c r="AS171" s="20" t="s">
        <v>93</v>
      </c>
      <c r="AT171" s="20" t="s">
        <v>94</v>
      </c>
      <c r="AU171" s="21" t="s">
        <v>94</v>
      </c>
      <c r="AV171" s="22" t="s">
        <v>946</v>
      </c>
      <c r="AW171" s="56" t="s">
        <v>1333</v>
      </c>
      <c r="AX171" s="34"/>
      <c r="BA171" s="34"/>
      <c r="BB171" s="34"/>
    </row>
    <row r="172">
      <c r="A172" s="25" t="s">
        <v>1334</v>
      </c>
      <c r="B172" s="26" t="s">
        <v>1335</v>
      </c>
      <c r="C172" s="27" t="s">
        <v>1305</v>
      </c>
      <c r="D172" s="27" t="s">
        <v>52</v>
      </c>
      <c r="E172" s="27" t="s">
        <v>252</v>
      </c>
      <c r="F172" s="27" t="s">
        <v>1336</v>
      </c>
      <c r="G172" s="28">
        <v>1199.0</v>
      </c>
      <c r="H172" s="36">
        <f t="shared" si="1"/>
        <v>1139.05</v>
      </c>
      <c r="I172" s="25" t="s">
        <v>1199</v>
      </c>
      <c r="J172" s="30" t="s">
        <v>1337</v>
      </c>
      <c r="K172" s="30" t="s">
        <v>608</v>
      </c>
      <c r="L172" s="31" t="s">
        <v>456</v>
      </c>
      <c r="M172" s="31" t="s">
        <v>1338</v>
      </c>
      <c r="N172" s="33">
        <v>100.0</v>
      </c>
      <c r="O172" s="33">
        <v>100.0</v>
      </c>
      <c r="P172" s="33">
        <v>100.0</v>
      </c>
      <c r="Q172" s="33">
        <v>20.0</v>
      </c>
      <c r="R172" s="33">
        <v>10.0</v>
      </c>
      <c r="S172" s="33">
        <v>82.0</v>
      </c>
      <c r="T172" s="33">
        <v>10.0</v>
      </c>
      <c r="U172" s="33">
        <v>25.0</v>
      </c>
      <c r="V172" s="33">
        <v>20.0</v>
      </c>
      <c r="W172" s="33">
        <v>10.0</v>
      </c>
      <c r="X172" s="33">
        <v>82.0</v>
      </c>
      <c r="Y172" s="33">
        <v>10.0</v>
      </c>
      <c r="Z172" s="33">
        <v>25.0</v>
      </c>
      <c r="AA172" s="33">
        <v>85.0</v>
      </c>
      <c r="AB172" s="33">
        <v>90.0</v>
      </c>
      <c r="AC172" s="33">
        <v>45.0</v>
      </c>
      <c r="AD172" s="33">
        <v>98.0</v>
      </c>
      <c r="AE172" s="33">
        <v>82.0</v>
      </c>
      <c r="AF172" s="33">
        <v>90.0</v>
      </c>
      <c r="AG172" s="33">
        <v>90.0</v>
      </c>
      <c r="AH172" s="33">
        <v>90.0</v>
      </c>
      <c r="AI172" s="33">
        <v>85.0</v>
      </c>
      <c r="AJ172" s="33">
        <v>90.0</v>
      </c>
      <c r="AK172" s="33">
        <v>84.0</v>
      </c>
      <c r="AL172" s="33">
        <v>89.0</v>
      </c>
      <c r="AM172" s="33">
        <v>100.0</v>
      </c>
      <c r="AN172" s="33">
        <v>100.0</v>
      </c>
      <c r="AO172" s="33">
        <v>100.0</v>
      </c>
      <c r="AP172" s="18" t="s">
        <v>1339</v>
      </c>
      <c r="AQ172" s="18" t="s">
        <v>1289</v>
      </c>
      <c r="AR172" s="20" t="s">
        <v>144</v>
      </c>
      <c r="AS172" s="20" t="s">
        <v>145</v>
      </c>
      <c r="AT172" s="20" t="s">
        <v>146</v>
      </c>
      <c r="AU172" s="21" t="s">
        <v>146</v>
      </c>
      <c r="AV172" s="22" t="s">
        <v>980</v>
      </c>
      <c r="AW172" s="56" t="s">
        <v>1340</v>
      </c>
      <c r="AX172" s="34"/>
      <c r="BA172" s="34"/>
      <c r="BB172" s="34"/>
    </row>
    <row r="173" hidden="1">
      <c r="A173" s="25" t="s">
        <v>1341</v>
      </c>
      <c r="B173" s="26" t="s">
        <v>1342</v>
      </c>
      <c r="C173" s="27" t="s">
        <v>1305</v>
      </c>
      <c r="D173" s="27" t="s">
        <v>52</v>
      </c>
      <c r="E173" s="35" t="s">
        <v>84</v>
      </c>
      <c r="F173" s="27" t="s">
        <v>1343</v>
      </c>
      <c r="G173" s="28">
        <v>490.0</v>
      </c>
      <c r="H173" s="36">
        <f t="shared" si="1"/>
        <v>465.5</v>
      </c>
      <c r="I173" s="25" t="s">
        <v>1199</v>
      </c>
      <c r="J173" s="30" t="s">
        <v>465</v>
      </c>
      <c r="K173" s="30" t="s">
        <v>202</v>
      </c>
      <c r="L173" s="31" t="s">
        <v>1344</v>
      </c>
      <c r="M173" s="31" t="s">
        <v>1345</v>
      </c>
      <c r="N173" s="33">
        <v>100.0</v>
      </c>
      <c r="O173" s="33">
        <v>100.0</v>
      </c>
      <c r="P173" s="33">
        <v>100.0</v>
      </c>
      <c r="Q173" s="33">
        <v>45.0</v>
      </c>
      <c r="R173" s="33">
        <v>10.0</v>
      </c>
      <c r="S173" s="33">
        <v>92.0</v>
      </c>
      <c r="T173" s="33">
        <v>20.0</v>
      </c>
      <c r="U173" s="33">
        <v>20.0</v>
      </c>
      <c r="V173" s="33">
        <v>15.0</v>
      </c>
      <c r="W173" s="33">
        <v>10.0</v>
      </c>
      <c r="X173" s="33">
        <v>85.0</v>
      </c>
      <c r="Y173" s="33">
        <v>15.0</v>
      </c>
      <c r="Z173" s="33">
        <v>20.0</v>
      </c>
      <c r="AA173" s="33">
        <v>98.0</v>
      </c>
      <c r="AB173" s="33">
        <v>98.0</v>
      </c>
      <c r="AC173" s="33">
        <v>45.0</v>
      </c>
      <c r="AD173" s="33">
        <v>5.0</v>
      </c>
      <c r="AE173" s="33">
        <v>90.0</v>
      </c>
      <c r="AF173" s="33">
        <v>98.0</v>
      </c>
      <c r="AG173" s="33">
        <v>95.0</v>
      </c>
      <c r="AH173" s="33">
        <v>98.0</v>
      </c>
      <c r="AI173" s="33">
        <v>92.0</v>
      </c>
      <c r="AJ173" s="33">
        <v>98.0</v>
      </c>
      <c r="AK173" s="33">
        <v>92.0</v>
      </c>
      <c r="AL173" s="33">
        <v>98.0</v>
      </c>
      <c r="AM173" s="33">
        <v>100.0</v>
      </c>
      <c r="AN173" s="33">
        <v>100.0</v>
      </c>
      <c r="AO173" s="33">
        <v>100.0</v>
      </c>
      <c r="AP173" s="18" t="s">
        <v>1346</v>
      </c>
      <c r="AQ173" s="18" t="s">
        <v>1347</v>
      </c>
      <c r="AR173" s="20" t="s">
        <v>92</v>
      </c>
      <c r="AS173" s="20" t="s">
        <v>93</v>
      </c>
      <c r="AT173" s="20" t="s">
        <v>94</v>
      </c>
      <c r="AU173" s="21" t="s">
        <v>94</v>
      </c>
      <c r="AV173" s="22" t="s">
        <v>1348</v>
      </c>
      <c r="AW173" s="56" t="s">
        <v>1349</v>
      </c>
      <c r="AX173" s="34"/>
      <c r="BA173" s="34"/>
      <c r="BB173" s="34"/>
    </row>
    <row r="174" hidden="1">
      <c r="A174" s="25" t="s">
        <v>1350</v>
      </c>
      <c r="B174" s="26" t="s">
        <v>1351</v>
      </c>
      <c r="C174" s="27" t="s">
        <v>1305</v>
      </c>
      <c r="D174" s="27" t="s">
        <v>52</v>
      </c>
      <c r="E174" s="27" t="s">
        <v>252</v>
      </c>
      <c r="F174" s="27" t="s">
        <v>70</v>
      </c>
      <c r="G174" s="28">
        <v>849.0</v>
      </c>
      <c r="H174" s="36">
        <f t="shared" si="1"/>
        <v>806.55</v>
      </c>
      <c r="I174" s="25" t="s">
        <v>1199</v>
      </c>
      <c r="J174" s="30" t="s">
        <v>201</v>
      </c>
      <c r="K174" s="30" t="s">
        <v>767</v>
      </c>
      <c r="L174" s="31" t="s">
        <v>456</v>
      </c>
      <c r="M174" s="31" t="s">
        <v>1345</v>
      </c>
      <c r="N174" s="33">
        <v>100.0</v>
      </c>
      <c r="O174" s="33">
        <v>100.0</v>
      </c>
      <c r="P174" s="33">
        <v>100.0</v>
      </c>
      <c r="Q174" s="33">
        <v>20.0</v>
      </c>
      <c r="R174" s="33">
        <v>10.0</v>
      </c>
      <c r="S174" s="33">
        <v>90.0</v>
      </c>
      <c r="T174" s="33">
        <v>10.0</v>
      </c>
      <c r="U174" s="33">
        <v>20.0</v>
      </c>
      <c r="V174" s="33">
        <v>15.0</v>
      </c>
      <c r="W174" s="33">
        <v>10.0</v>
      </c>
      <c r="X174" s="33">
        <v>80.0</v>
      </c>
      <c r="Y174" s="33">
        <v>10.0</v>
      </c>
      <c r="Z174" s="33">
        <v>20.0</v>
      </c>
      <c r="AA174" s="33">
        <v>90.0</v>
      </c>
      <c r="AB174" s="33">
        <v>95.0</v>
      </c>
      <c r="AC174" s="33">
        <v>40.0</v>
      </c>
      <c r="AD174" s="33">
        <v>98.0</v>
      </c>
      <c r="AE174" s="33">
        <v>85.0</v>
      </c>
      <c r="AF174" s="33">
        <v>92.0</v>
      </c>
      <c r="AG174" s="33">
        <v>92.0</v>
      </c>
      <c r="AH174" s="33">
        <v>95.0</v>
      </c>
      <c r="AI174" s="33">
        <v>90.0</v>
      </c>
      <c r="AJ174" s="33">
        <v>94.0</v>
      </c>
      <c r="AK174" s="33">
        <v>87.0</v>
      </c>
      <c r="AL174" s="33">
        <v>93.0</v>
      </c>
      <c r="AM174" s="33">
        <v>100.0</v>
      </c>
      <c r="AN174" s="33">
        <v>100.0</v>
      </c>
      <c r="AO174" s="33">
        <v>100.0</v>
      </c>
      <c r="AP174" s="18" t="s">
        <v>1339</v>
      </c>
      <c r="AQ174" s="18" t="s">
        <v>1289</v>
      </c>
      <c r="AR174" s="20" t="s">
        <v>144</v>
      </c>
      <c r="AS174" s="20" t="s">
        <v>145</v>
      </c>
      <c r="AT174" s="20" t="s">
        <v>146</v>
      </c>
      <c r="AU174" s="21" t="s">
        <v>146</v>
      </c>
      <c r="AV174" s="22" t="s">
        <v>980</v>
      </c>
      <c r="AW174" s="56" t="s">
        <v>1352</v>
      </c>
      <c r="AX174" s="34"/>
      <c r="BA174" s="34"/>
      <c r="BB174" s="34"/>
    </row>
    <row r="175">
      <c r="A175" s="25" t="s">
        <v>1353</v>
      </c>
      <c r="B175" s="26" t="s">
        <v>1354</v>
      </c>
      <c r="C175" s="27" t="s">
        <v>1305</v>
      </c>
      <c r="D175" s="27" t="s">
        <v>52</v>
      </c>
      <c r="E175" s="27" t="s">
        <v>252</v>
      </c>
      <c r="F175" s="27" t="s">
        <v>454</v>
      </c>
      <c r="G175" s="28">
        <v>1550.0</v>
      </c>
      <c r="H175" s="36">
        <f t="shared" si="1"/>
        <v>1472.5</v>
      </c>
      <c r="I175" s="25" t="s">
        <v>1199</v>
      </c>
      <c r="J175" s="30" t="s">
        <v>201</v>
      </c>
      <c r="K175" s="30" t="s">
        <v>588</v>
      </c>
      <c r="L175" s="31" t="s">
        <v>1307</v>
      </c>
      <c r="M175" s="31" t="s">
        <v>1355</v>
      </c>
      <c r="N175" s="33">
        <v>100.0</v>
      </c>
      <c r="O175" s="33">
        <v>100.0</v>
      </c>
      <c r="P175" s="33">
        <v>100.0</v>
      </c>
      <c r="Q175" s="33">
        <v>25.0</v>
      </c>
      <c r="R175" s="33">
        <v>10.0</v>
      </c>
      <c r="S175" s="33">
        <v>90.0</v>
      </c>
      <c r="T175" s="33">
        <v>15.0</v>
      </c>
      <c r="U175" s="33">
        <v>45.0</v>
      </c>
      <c r="V175" s="17">
        <v>42.0</v>
      </c>
      <c r="W175" s="33">
        <v>25.0</v>
      </c>
      <c r="X175" s="33">
        <v>90.0</v>
      </c>
      <c r="Y175" s="33">
        <v>10.0</v>
      </c>
      <c r="Z175" s="33">
        <v>20.0</v>
      </c>
      <c r="AA175" s="33">
        <v>90.0</v>
      </c>
      <c r="AB175" s="33">
        <v>95.0</v>
      </c>
      <c r="AC175" s="33">
        <v>55.0</v>
      </c>
      <c r="AD175" s="33">
        <v>98.0</v>
      </c>
      <c r="AE175" s="33">
        <v>82.0</v>
      </c>
      <c r="AF175" s="33">
        <v>90.0</v>
      </c>
      <c r="AG175" s="33">
        <v>95.0</v>
      </c>
      <c r="AH175" s="33">
        <v>98.0</v>
      </c>
      <c r="AI175" s="33">
        <v>90.0</v>
      </c>
      <c r="AJ175" s="33">
        <v>95.0</v>
      </c>
      <c r="AK175" s="33">
        <v>86.0</v>
      </c>
      <c r="AL175" s="33">
        <v>94.0</v>
      </c>
      <c r="AM175" s="33">
        <v>100.0</v>
      </c>
      <c r="AN175" s="33">
        <v>100.0</v>
      </c>
      <c r="AO175" s="33">
        <v>100.0</v>
      </c>
      <c r="AP175" s="18" t="s">
        <v>1356</v>
      </c>
      <c r="AQ175" s="18" t="s">
        <v>1357</v>
      </c>
      <c r="AR175" s="20" t="s">
        <v>144</v>
      </c>
      <c r="AS175" s="20" t="s">
        <v>145</v>
      </c>
      <c r="AT175" s="20" t="s">
        <v>146</v>
      </c>
      <c r="AU175" s="21" t="s">
        <v>146</v>
      </c>
      <c r="AV175" s="22" t="s">
        <v>1358</v>
      </c>
      <c r="AW175" s="56" t="s">
        <v>1359</v>
      </c>
      <c r="AX175" s="34"/>
      <c r="AY175" s="55"/>
      <c r="AZ175" s="55"/>
      <c r="BA175" s="34"/>
      <c r="BB175" s="34"/>
    </row>
    <row r="176" hidden="1">
      <c r="A176" s="25" t="s">
        <v>1360</v>
      </c>
      <c r="B176" s="26" t="s">
        <v>1361</v>
      </c>
      <c r="C176" s="27" t="s">
        <v>1305</v>
      </c>
      <c r="D176" s="27" t="s">
        <v>52</v>
      </c>
      <c r="E176" s="27" t="s">
        <v>125</v>
      </c>
      <c r="F176" s="27" t="s">
        <v>126</v>
      </c>
      <c r="G176" s="28">
        <v>899.0</v>
      </c>
      <c r="H176" s="36">
        <f t="shared" si="1"/>
        <v>854.05</v>
      </c>
      <c r="I176" s="25" t="s">
        <v>1199</v>
      </c>
      <c r="J176" s="30" t="s">
        <v>465</v>
      </c>
      <c r="K176" s="30" t="s">
        <v>243</v>
      </c>
      <c r="L176" s="31" t="s">
        <v>399</v>
      </c>
      <c r="M176" s="31" t="s">
        <v>1362</v>
      </c>
      <c r="N176" s="33">
        <v>100.0</v>
      </c>
      <c r="O176" s="33">
        <v>100.0</v>
      </c>
      <c r="P176" s="33">
        <v>100.0</v>
      </c>
      <c r="Q176" s="33">
        <v>55.0</v>
      </c>
      <c r="R176" s="33">
        <v>10.0</v>
      </c>
      <c r="S176" s="33">
        <v>90.0</v>
      </c>
      <c r="T176" s="33">
        <v>72.0</v>
      </c>
      <c r="U176" s="33">
        <v>72.0</v>
      </c>
      <c r="V176" s="33">
        <v>68.0</v>
      </c>
      <c r="W176" s="33">
        <v>45.0</v>
      </c>
      <c r="X176" s="33">
        <v>90.0</v>
      </c>
      <c r="Y176" s="33">
        <v>55.0</v>
      </c>
      <c r="Z176" s="33">
        <v>20.0</v>
      </c>
      <c r="AA176" s="33">
        <v>92.0</v>
      </c>
      <c r="AB176" s="33">
        <v>95.0</v>
      </c>
      <c r="AC176" s="33">
        <v>72.0</v>
      </c>
      <c r="AD176" s="33">
        <v>10.0</v>
      </c>
      <c r="AE176" s="33">
        <v>92.0</v>
      </c>
      <c r="AF176" s="33">
        <v>98.0</v>
      </c>
      <c r="AG176" s="33">
        <v>90.0</v>
      </c>
      <c r="AH176" s="33">
        <v>98.0</v>
      </c>
      <c r="AI176" s="33">
        <v>92.0</v>
      </c>
      <c r="AJ176" s="33">
        <v>98.0</v>
      </c>
      <c r="AK176" s="33">
        <v>94.0</v>
      </c>
      <c r="AL176" s="33">
        <v>98.0</v>
      </c>
      <c r="AM176" s="33">
        <v>100.0</v>
      </c>
      <c r="AN176" s="33">
        <v>100.0</v>
      </c>
      <c r="AO176" s="33">
        <v>100.0</v>
      </c>
      <c r="AP176" s="18" t="s">
        <v>1363</v>
      </c>
      <c r="AQ176" s="18" t="s">
        <v>1364</v>
      </c>
      <c r="AR176" s="20" t="s">
        <v>601</v>
      </c>
      <c r="AS176" s="20" t="s">
        <v>602</v>
      </c>
      <c r="AT176" s="20" t="s">
        <v>603</v>
      </c>
      <c r="AU176" s="21" t="s">
        <v>603</v>
      </c>
      <c r="AV176" s="22" t="s">
        <v>178</v>
      </c>
      <c r="AW176" s="56" t="s">
        <v>1365</v>
      </c>
      <c r="AX176" s="34"/>
      <c r="BA176" s="34"/>
      <c r="BB176" s="34"/>
    </row>
    <row r="177">
      <c r="A177" s="25" t="s">
        <v>1366</v>
      </c>
      <c r="B177" s="26" t="s">
        <v>1367</v>
      </c>
      <c r="C177" s="27" t="s">
        <v>1305</v>
      </c>
      <c r="D177" s="27" t="s">
        <v>52</v>
      </c>
      <c r="E177" s="27" t="s">
        <v>69</v>
      </c>
      <c r="F177" s="27" t="s">
        <v>744</v>
      </c>
      <c r="G177" s="28">
        <v>2250.0</v>
      </c>
      <c r="H177" s="36">
        <f t="shared" si="1"/>
        <v>2137.5</v>
      </c>
      <c r="I177" s="25" t="s">
        <v>1199</v>
      </c>
      <c r="J177" s="30" t="s">
        <v>201</v>
      </c>
      <c r="K177" s="30" t="s">
        <v>1368</v>
      </c>
      <c r="L177" s="31" t="s">
        <v>1369</v>
      </c>
      <c r="M177" s="31" t="s">
        <v>1370</v>
      </c>
      <c r="N177" s="33">
        <v>100.0</v>
      </c>
      <c r="O177" s="33">
        <v>100.0</v>
      </c>
      <c r="P177" s="33">
        <v>100.0</v>
      </c>
      <c r="Q177" s="33">
        <v>20.0</v>
      </c>
      <c r="R177" s="33">
        <v>10.0</v>
      </c>
      <c r="S177" s="33">
        <v>82.0</v>
      </c>
      <c r="T177" s="33">
        <v>10.0</v>
      </c>
      <c r="U177" s="33">
        <v>35.0</v>
      </c>
      <c r="V177" s="33">
        <v>30.0</v>
      </c>
      <c r="W177" s="33">
        <v>15.0</v>
      </c>
      <c r="X177" s="33">
        <v>78.0</v>
      </c>
      <c r="Y177" s="33">
        <v>10.0</v>
      </c>
      <c r="Z177" s="33">
        <v>90.0</v>
      </c>
      <c r="AA177" s="33">
        <v>90.0</v>
      </c>
      <c r="AB177" s="33">
        <v>90.0</v>
      </c>
      <c r="AC177" s="33">
        <v>72.0</v>
      </c>
      <c r="AD177" s="33">
        <v>10.0</v>
      </c>
      <c r="AE177" s="33">
        <v>82.0</v>
      </c>
      <c r="AF177" s="33">
        <v>90.0</v>
      </c>
      <c r="AG177" s="33">
        <v>90.0</v>
      </c>
      <c r="AH177" s="33">
        <v>95.0</v>
      </c>
      <c r="AI177" s="33">
        <v>90.0</v>
      </c>
      <c r="AJ177" s="33">
        <v>92.0</v>
      </c>
      <c r="AK177" s="33">
        <v>85.0</v>
      </c>
      <c r="AL177" s="33">
        <v>90.0</v>
      </c>
      <c r="AM177" s="33">
        <v>100.0</v>
      </c>
      <c r="AN177" s="33">
        <v>100.0</v>
      </c>
      <c r="AO177" s="33">
        <v>100.0</v>
      </c>
      <c r="AP177" s="18" t="s">
        <v>1371</v>
      </c>
      <c r="AQ177" s="18" t="s">
        <v>1372</v>
      </c>
      <c r="AR177" s="20" t="s">
        <v>166</v>
      </c>
      <c r="AS177" s="20" t="s">
        <v>167</v>
      </c>
      <c r="AT177" s="20" t="s">
        <v>168</v>
      </c>
      <c r="AU177" s="21" t="s">
        <v>168</v>
      </c>
      <c r="AV177" s="22" t="s">
        <v>95</v>
      </c>
      <c r="AW177" s="56" t="s">
        <v>1373</v>
      </c>
      <c r="AX177" s="34"/>
      <c r="BA177" s="34"/>
      <c r="BB177" s="34"/>
    </row>
    <row r="178">
      <c r="A178" s="25" t="s">
        <v>1374</v>
      </c>
      <c r="B178" s="26" t="s">
        <v>1375</v>
      </c>
      <c r="C178" s="27" t="s">
        <v>1305</v>
      </c>
      <c r="D178" s="27" t="s">
        <v>52</v>
      </c>
      <c r="E178" s="35" t="s">
        <v>84</v>
      </c>
      <c r="F178" s="27" t="s">
        <v>54</v>
      </c>
      <c r="G178" s="28">
        <v>2350.0</v>
      </c>
      <c r="H178" s="36">
        <f t="shared" si="1"/>
        <v>2232.5</v>
      </c>
      <c r="I178" s="25" t="s">
        <v>1199</v>
      </c>
      <c r="J178" s="30" t="s">
        <v>1008</v>
      </c>
      <c r="K178" s="30" t="s">
        <v>1376</v>
      </c>
      <c r="L178" s="31" t="s">
        <v>1369</v>
      </c>
      <c r="M178" s="31" t="s">
        <v>1377</v>
      </c>
      <c r="N178" s="33">
        <v>100.0</v>
      </c>
      <c r="O178" s="33">
        <v>100.0</v>
      </c>
      <c r="P178" s="33">
        <v>100.0</v>
      </c>
      <c r="Q178" s="33">
        <v>15.0</v>
      </c>
      <c r="R178" s="33">
        <v>10.0</v>
      </c>
      <c r="S178" s="33">
        <v>95.0</v>
      </c>
      <c r="T178" s="33">
        <v>5.0</v>
      </c>
      <c r="U178" s="33">
        <v>30.0</v>
      </c>
      <c r="V178" s="33">
        <v>25.0</v>
      </c>
      <c r="W178" s="33">
        <v>15.0</v>
      </c>
      <c r="X178" s="33">
        <v>85.0</v>
      </c>
      <c r="Y178" s="33">
        <v>5.0</v>
      </c>
      <c r="Z178" s="33">
        <v>90.0</v>
      </c>
      <c r="AA178" s="33">
        <v>90.0</v>
      </c>
      <c r="AB178" s="33">
        <v>98.0</v>
      </c>
      <c r="AC178" s="33">
        <v>70.0</v>
      </c>
      <c r="AD178" s="33">
        <v>5.0</v>
      </c>
      <c r="AE178" s="33">
        <v>72.0</v>
      </c>
      <c r="AF178" s="33">
        <v>82.0</v>
      </c>
      <c r="AG178" s="33">
        <v>98.0</v>
      </c>
      <c r="AH178" s="33">
        <v>98.0</v>
      </c>
      <c r="AI178" s="33">
        <v>85.0</v>
      </c>
      <c r="AJ178" s="33">
        <v>92.0</v>
      </c>
      <c r="AK178" s="33">
        <v>80.0</v>
      </c>
      <c r="AL178" s="33">
        <v>90.0</v>
      </c>
      <c r="AM178" s="33">
        <v>100.0</v>
      </c>
      <c r="AN178" s="33">
        <v>100.0</v>
      </c>
      <c r="AO178" s="33">
        <v>100.0</v>
      </c>
      <c r="AP178" s="18" t="s">
        <v>1371</v>
      </c>
      <c r="AQ178" s="18" t="s">
        <v>1378</v>
      </c>
      <c r="AR178" s="20" t="s">
        <v>92</v>
      </c>
      <c r="AS178" s="20" t="s">
        <v>93</v>
      </c>
      <c r="AT178" s="20" t="s">
        <v>94</v>
      </c>
      <c r="AU178" s="21" t="s">
        <v>94</v>
      </c>
      <c r="AV178" s="22" t="s">
        <v>946</v>
      </c>
      <c r="AW178" s="56" t="s">
        <v>1379</v>
      </c>
      <c r="AX178" s="34"/>
      <c r="BA178" s="34"/>
      <c r="BB178" s="34"/>
    </row>
    <row r="179">
      <c r="A179" s="25" t="s">
        <v>1380</v>
      </c>
      <c r="B179" s="26" t="s">
        <v>1381</v>
      </c>
      <c r="C179" s="27" t="s">
        <v>1305</v>
      </c>
      <c r="D179" s="27" t="s">
        <v>52</v>
      </c>
      <c r="E179" s="27" t="s">
        <v>69</v>
      </c>
      <c r="F179" s="27" t="s">
        <v>70</v>
      </c>
      <c r="G179" s="28">
        <v>1002.0</v>
      </c>
      <c r="H179" s="36">
        <f t="shared" si="1"/>
        <v>951.9</v>
      </c>
      <c r="I179" s="25" t="s">
        <v>1199</v>
      </c>
      <c r="J179" s="30" t="s">
        <v>242</v>
      </c>
      <c r="K179" s="30" t="s">
        <v>1238</v>
      </c>
      <c r="L179" s="31" t="s">
        <v>154</v>
      </c>
      <c r="M179" s="31" t="s">
        <v>1382</v>
      </c>
      <c r="N179" s="33">
        <v>100.0</v>
      </c>
      <c r="O179" s="33">
        <v>100.0</v>
      </c>
      <c r="P179" s="33">
        <v>100.0</v>
      </c>
      <c r="Q179" s="33">
        <v>72.0</v>
      </c>
      <c r="R179" s="33">
        <v>15.0</v>
      </c>
      <c r="S179" s="33">
        <v>85.0</v>
      </c>
      <c r="T179" s="33">
        <v>75.0</v>
      </c>
      <c r="U179" s="33">
        <v>92.0</v>
      </c>
      <c r="V179" s="33">
        <v>95.0</v>
      </c>
      <c r="W179" s="33">
        <v>82.0</v>
      </c>
      <c r="X179" s="33">
        <v>82.0</v>
      </c>
      <c r="Y179" s="33">
        <v>60.0</v>
      </c>
      <c r="Z179" s="33">
        <v>25.0</v>
      </c>
      <c r="AA179" s="33">
        <v>90.0</v>
      </c>
      <c r="AB179" s="33">
        <v>92.0</v>
      </c>
      <c r="AC179" s="33">
        <v>92.0</v>
      </c>
      <c r="AD179" s="33">
        <v>25.0</v>
      </c>
      <c r="AE179" s="33">
        <v>95.0</v>
      </c>
      <c r="AF179" s="33">
        <v>95.0</v>
      </c>
      <c r="AG179" s="33">
        <v>85.0</v>
      </c>
      <c r="AH179" s="33">
        <v>90.0</v>
      </c>
      <c r="AI179" s="33">
        <v>92.0</v>
      </c>
      <c r="AJ179" s="33">
        <v>95.0</v>
      </c>
      <c r="AK179" s="33">
        <v>94.0</v>
      </c>
      <c r="AL179" s="33">
        <v>95.0</v>
      </c>
      <c r="AM179" s="33">
        <v>100.0</v>
      </c>
      <c r="AN179" s="33">
        <v>100.0</v>
      </c>
      <c r="AO179" s="33">
        <v>100.0</v>
      </c>
      <c r="AP179" s="18" t="s">
        <v>1383</v>
      </c>
      <c r="AQ179" s="18" t="s">
        <v>1384</v>
      </c>
      <c r="AR179" s="20" t="s">
        <v>166</v>
      </c>
      <c r="AS179" s="20" t="s">
        <v>167</v>
      </c>
      <c r="AT179" s="20" t="s">
        <v>168</v>
      </c>
      <c r="AU179" s="21" t="s">
        <v>168</v>
      </c>
      <c r="AV179" s="22" t="s">
        <v>1385</v>
      </c>
      <c r="AW179" s="56" t="s">
        <v>1386</v>
      </c>
      <c r="AX179" s="34"/>
      <c r="BA179" s="34"/>
      <c r="BB179" s="34"/>
    </row>
    <row r="180" hidden="1">
      <c r="A180" s="25" t="s">
        <v>1387</v>
      </c>
      <c r="B180" s="26" t="s">
        <v>1388</v>
      </c>
      <c r="C180" s="27" t="s">
        <v>1305</v>
      </c>
      <c r="D180" s="27" t="s">
        <v>52</v>
      </c>
      <c r="E180" s="27" t="s">
        <v>502</v>
      </c>
      <c r="F180" s="27" t="s">
        <v>1273</v>
      </c>
      <c r="G180" s="28">
        <v>999.0</v>
      </c>
      <c r="H180" s="36">
        <f t="shared" si="1"/>
        <v>949.05</v>
      </c>
      <c r="I180" s="25" t="s">
        <v>1199</v>
      </c>
      <c r="J180" s="30" t="s">
        <v>1389</v>
      </c>
      <c r="K180" s="30" t="s">
        <v>173</v>
      </c>
      <c r="L180" s="31" t="s">
        <v>1390</v>
      </c>
      <c r="M180" s="31" t="s">
        <v>1391</v>
      </c>
      <c r="N180" s="33">
        <v>0.0</v>
      </c>
      <c r="O180" s="33">
        <v>100.0</v>
      </c>
      <c r="P180" s="33">
        <v>100.0</v>
      </c>
      <c r="Q180" s="33">
        <v>58.0</v>
      </c>
      <c r="R180" s="33">
        <v>20.0</v>
      </c>
      <c r="S180" s="33">
        <v>45.0</v>
      </c>
      <c r="T180" s="33">
        <v>72.0</v>
      </c>
      <c r="U180" s="33">
        <v>90.0</v>
      </c>
      <c r="V180" s="33">
        <v>92.0</v>
      </c>
      <c r="W180" s="33">
        <v>78.0</v>
      </c>
      <c r="X180" s="33">
        <v>45.0</v>
      </c>
      <c r="Y180" s="33">
        <v>55.0</v>
      </c>
      <c r="Z180" s="33">
        <v>30.0</v>
      </c>
      <c r="AA180" s="33">
        <v>52.0</v>
      </c>
      <c r="AB180" s="33">
        <v>55.0</v>
      </c>
      <c r="AC180" s="33">
        <v>90.0</v>
      </c>
      <c r="AD180" s="33">
        <v>45.0</v>
      </c>
      <c r="AE180" s="33">
        <v>90.0</v>
      </c>
      <c r="AF180" s="33">
        <v>70.0</v>
      </c>
      <c r="AG180" s="33">
        <v>42.0</v>
      </c>
      <c r="AH180" s="33">
        <v>35.0</v>
      </c>
      <c r="AI180" s="33">
        <v>78.0</v>
      </c>
      <c r="AJ180" s="33">
        <v>65.0</v>
      </c>
      <c r="AK180" s="33">
        <v>90.0</v>
      </c>
      <c r="AL180" s="33">
        <v>68.0</v>
      </c>
      <c r="AM180" s="33">
        <v>-100.0</v>
      </c>
      <c r="AN180" s="33">
        <v>100.0</v>
      </c>
      <c r="AO180" s="33">
        <v>100.0</v>
      </c>
      <c r="AP180" s="18" t="s">
        <v>1326</v>
      </c>
      <c r="AQ180" s="18" t="s">
        <v>1392</v>
      </c>
      <c r="AR180" s="20" t="s">
        <v>507</v>
      </c>
      <c r="AS180" s="20" t="s">
        <v>508</v>
      </c>
      <c r="AT180" s="20" t="s">
        <v>509</v>
      </c>
      <c r="AU180" s="21" t="s">
        <v>509</v>
      </c>
      <c r="AV180" s="22" t="s">
        <v>1393</v>
      </c>
      <c r="AW180" s="85" t="s">
        <v>1394</v>
      </c>
      <c r="AX180" s="34"/>
      <c r="BA180" s="34"/>
      <c r="BB180" s="34"/>
    </row>
    <row r="181" hidden="1">
      <c r="A181" s="25" t="s">
        <v>1395</v>
      </c>
      <c r="B181" s="26" t="s">
        <v>1396</v>
      </c>
      <c r="C181" s="27" t="s">
        <v>1397</v>
      </c>
      <c r="D181" s="27" t="s">
        <v>52</v>
      </c>
      <c r="E181" s="27" t="s">
        <v>53</v>
      </c>
      <c r="F181" s="27" t="s">
        <v>138</v>
      </c>
      <c r="G181" s="28">
        <v>800.0</v>
      </c>
      <c r="H181" s="36">
        <f t="shared" si="1"/>
        <v>760</v>
      </c>
      <c r="I181" s="25" t="s">
        <v>1199</v>
      </c>
      <c r="J181" s="30" t="s">
        <v>242</v>
      </c>
      <c r="K181" s="30" t="s">
        <v>408</v>
      </c>
      <c r="L181" s="31" t="s">
        <v>1398</v>
      </c>
      <c r="M181" s="31" t="s">
        <v>1399</v>
      </c>
      <c r="N181" s="33">
        <v>100.0</v>
      </c>
      <c r="O181" s="33">
        <v>100.0</v>
      </c>
      <c r="P181" s="33">
        <v>100.0</v>
      </c>
      <c r="Q181" s="33">
        <v>45.0</v>
      </c>
      <c r="R181" s="33">
        <v>10.0</v>
      </c>
      <c r="S181" s="33">
        <v>82.0</v>
      </c>
      <c r="T181" s="33">
        <v>25.0</v>
      </c>
      <c r="U181" s="33">
        <v>25.0</v>
      </c>
      <c r="V181" s="33">
        <v>20.0</v>
      </c>
      <c r="W181" s="33">
        <v>10.0</v>
      </c>
      <c r="X181" s="33">
        <v>78.0</v>
      </c>
      <c r="Y181" s="33">
        <v>20.0</v>
      </c>
      <c r="Z181" s="33">
        <v>15.0</v>
      </c>
      <c r="AA181" s="33">
        <v>90.0</v>
      </c>
      <c r="AB181" s="33">
        <v>92.0</v>
      </c>
      <c r="AC181" s="33">
        <v>45.0</v>
      </c>
      <c r="AD181" s="33">
        <v>5.0</v>
      </c>
      <c r="AE181" s="33">
        <v>90.0</v>
      </c>
      <c r="AF181" s="33">
        <v>95.0</v>
      </c>
      <c r="AG181" s="33">
        <v>85.0</v>
      </c>
      <c r="AH181" s="33">
        <v>92.0</v>
      </c>
      <c r="AI181" s="33">
        <v>90.0</v>
      </c>
      <c r="AJ181" s="33">
        <v>95.0</v>
      </c>
      <c r="AK181" s="33">
        <v>92.0</v>
      </c>
      <c r="AL181" s="33">
        <v>95.0</v>
      </c>
      <c r="AM181" s="33">
        <v>100.0</v>
      </c>
      <c r="AN181" s="33">
        <v>100.0</v>
      </c>
      <c r="AO181" s="33">
        <v>100.0</v>
      </c>
      <c r="AP181" s="18" t="s">
        <v>1400</v>
      </c>
      <c r="AQ181" s="18" t="s">
        <v>1401</v>
      </c>
      <c r="AR181" s="20" t="s">
        <v>62</v>
      </c>
      <c r="AS181" s="20" t="s">
        <v>63</v>
      </c>
      <c r="AT181" s="20" t="s">
        <v>64</v>
      </c>
      <c r="AU181" s="21" t="s">
        <v>64</v>
      </c>
      <c r="AV181" s="22" t="s">
        <v>1402</v>
      </c>
      <c r="AW181" s="85" t="s">
        <v>1403</v>
      </c>
      <c r="AX181" s="34"/>
      <c r="BA181" s="34"/>
      <c r="BB181" s="34"/>
    </row>
    <row r="182">
      <c r="A182" s="25" t="s">
        <v>1404</v>
      </c>
      <c r="B182" s="26" t="s">
        <v>1405</v>
      </c>
      <c r="C182" s="27" t="s">
        <v>1397</v>
      </c>
      <c r="D182" s="27" t="s">
        <v>52</v>
      </c>
      <c r="E182" s="35" t="s">
        <v>84</v>
      </c>
      <c r="F182" s="27" t="s">
        <v>454</v>
      </c>
      <c r="G182" s="28">
        <v>1780.0</v>
      </c>
      <c r="H182" s="36">
        <f t="shared" si="1"/>
        <v>1691</v>
      </c>
      <c r="I182" s="25" t="s">
        <v>1199</v>
      </c>
      <c r="J182" s="30" t="s">
        <v>465</v>
      </c>
      <c r="K182" s="30" t="s">
        <v>243</v>
      </c>
      <c r="L182" s="31" t="s">
        <v>1406</v>
      </c>
      <c r="M182" s="31" t="s">
        <v>1407</v>
      </c>
      <c r="N182" s="33">
        <v>100.0</v>
      </c>
      <c r="O182" s="33">
        <v>100.0</v>
      </c>
      <c r="P182" s="33">
        <v>100.0</v>
      </c>
      <c r="Q182" s="33">
        <v>52.0</v>
      </c>
      <c r="R182" s="33">
        <v>10.0</v>
      </c>
      <c r="S182" s="33">
        <v>98.0</v>
      </c>
      <c r="T182" s="33">
        <v>20.0</v>
      </c>
      <c r="U182" s="33">
        <v>25.0</v>
      </c>
      <c r="V182" s="33">
        <v>20.0</v>
      </c>
      <c r="W182" s="33">
        <v>10.0</v>
      </c>
      <c r="X182" s="33">
        <v>98.0</v>
      </c>
      <c r="Y182" s="33">
        <v>15.0</v>
      </c>
      <c r="Z182" s="33">
        <v>30.0</v>
      </c>
      <c r="AA182" s="33">
        <v>95.0</v>
      </c>
      <c r="AB182" s="33">
        <v>98.0</v>
      </c>
      <c r="AC182" s="33">
        <v>50.0</v>
      </c>
      <c r="AD182" s="33">
        <v>5.0</v>
      </c>
      <c r="AE182" s="33">
        <v>90.0</v>
      </c>
      <c r="AF182" s="33">
        <v>95.0</v>
      </c>
      <c r="AG182" s="33">
        <v>98.0</v>
      </c>
      <c r="AH182" s="33">
        <v>98.0</v>
      </c>
      <c r="AI182" s="33">
        <v>92.0</v>
      </c>
      <c r="AJ182" s="33">
        <v>98.0</v>
      </c>
      <c r="AK182" s="33">
        <v>90.0</v>
      </c>
      <c r="AL182" s="33">
        <v>98.0</v>
      </c>
      <c r="AM182" s="33">
        <v>100.0</v>
      </c>
      <c r="AN182" s="33">
        <v>100.0</v>
      </c>
      <c r="AO182" s="33">
        <v>100.0</v>
      </c>
      <c r="AP182" s="18" t="s">
        <v>1408</v>
      </c>
      <c r="AQ182" s="18" t="s">
        <v>1409</v>
      </c>
      <c r="AR182" s="20" t="s">
        <v>92</v>
      </c>
      <c r="AS182" s="20" t="s">
        <v>93</v>
      </c>
      <c r="AT182" s="20" t="s">
        <v>94</v>
      </c>
      <c r="AU182" s="21" t="s">
        <v>94</v>
      </c>
      <c r="AV182" s="22" t="s">
        <v>1410</v>
      </c>
      <c r="AW182" s="56" t="s">
        <v>1411</v>
      </c>
      <c r="AX182" s="34"/>
      <c r="BA182" s="34"/>
      <c r="BB182" s="34"/>
    </row>
    <row r="183">
      <c r="A183" s="25" t="s">
        <v>1412</v>
      </c>
      <c r="B183" s="26" t="s">
        <v>1413</v>
      </c>
      <c r="C183" s="27" t="s">
        <v>1397</v>
      </c>
      <c r="D183" s="27" t="s">
        <v>52</v>
      </c>
      <c r="E183" s="27" t="s">
        <v>69</v>
      </c>
      <c r="F183" s="27" t="s">
        <v>70</v>
      </c>
      <c r="G183" s="28">
        <v>2850.0</v>
      </c>
      <c r="H183" s="36">
        <f t="shared" si="1"/>
        <v>2707.5</v>
      </c>
      <c r="I183" s="25" t="s">
        <v>1199</v>
      </c>
      <c r="J183" s="30" t="s">
        <v>71</v>
      </c>
      <c r="K183" s="30" t="s">
        <v>1414</v>
      </c>
      <c r="L183" s="31" t="s">
        <v>73</v>
      </c>
      <c r="M183" s="31" t="s">
        <v>1415</v>
      </c>
      <c r="N183" s="33">
        <v>-100.0</v>
      </c>
      <c r="O183" s="33">
        <v>100.0</v>
      </c>
      <c r="P183" s="33">
        <v>100.0</v>
      </c>
      <c r="Q183" s="33">
        <v>90.0</v>
      </c>
      <c r="R183" s="33">
        <v>15.0</v>
      </c>
      <c r="S183" s="33">
        <v>72.0</v>
      </c>
      <c r="T183" s="33">
        <v>82.0</v>
      </c>
      <c r="U183" s="33">
        <v>55.0</v>
      </c>
      <c r="V183" s="33">
        <v>45.0</v>
      </c>
      <c r="W183" s="33">
        <v>25.0</v>
      </c>
      <c r="X183" s="33">
        <v>90.0</v>
      </c>
      <c r="Y183" s="33">
        <v>85.0</v>
      </c>
      <c r="Z183" s="33">
        <v>92.0</v>
      </c>
      <c r="AA183" s="33">
        <v>82.0</v>
      </c>
      <c r="AB183" s="33">
        <v>78.0</v>
      </c>
      <c r="AC183" s="33">
        <v>60.0</v>
      </c>
      <c r="AD183" s="33">
        <v>10.0</v>
      </c>
      <c r="AE183" s="33">
        <v>92.0</v>
      </c>
      <c r="AF183" s="33">
        <v>82.0</v>
      </c>
      <c r="AG183" s="33">
        <v>72.0</v>
      </c>
      <c r="AH183" s="33">
        <v>68.0</v>
      </c>
      <c r="AI183" s="33">
        <v>90.0</v>
      </c>
      <c r="AJ183" s="33">
        <v>80.0</v>
      </c>
      <c r="AK183" s="33">
        <v>92.0</v>
      </c>
      <c r="AL183" s="33">
        <v>82.0</v>
      </c>
      <c r="AM183" s="33">
        <v>0.0</v>
      </c>
      <c r="AN183" s="33">
        <v>-100.0</v>
      </c>
      <c r="AO183" s="33">
        <v>-100.0</v>
      </c>
      <c r="AP183" s="18" t="s">
        <v>1416</v>
      </c>
      <c r="AQ183" s="18" t="s">
        <v>1417</v>
      </c>
      <c r="AR183" s="20" t="s">
        <v>77</v>
      </c>
      <c r="AS183" s="20" t="s">
        <v>78</v>
      </c>
      <c r="AT183" s="20" t="s">
        <v>79</v>
      </c>
      <c r="AU183" s="21" t="s">
        <v>79</v>
      </c>
      <c r="AV183" s="22" t="s">
        <v>1418</v>
      </c>
      <c r="AW183" s="56" t="s">
        <v>1419</v>
      </c>
      <c r="AX183" s="34"/>
      <c r="BA183" s="52"/>
      <c r="BB183" s="34"/>
    </row>
    <row r="184">
      <c r="A184" s="25" t="s">
        <v>1420</v>
      </c>
      <c r="B184" s="26" t="s">
        <v>1421</v>
      </c>
      <c r="C184" s="27" t="s">
        <v>1397</v>
      </c>
      <c r="D184" s="27" t="s">
        <v>52</v>
      </c>
      <c r="E184" s="27" t="s">
        <v>69</v>
      </c>
      <c r="F184" s="27" t="s">
        <v>70</v>
      </c>
      <c r="G184" s="28">
        <v>2650.0</v>
      </c>
      <c r="H184" s="36">
        <f t="shared" si="1"/>
        <v>2517.5</v>
      </c>
      <c r="I184" s="25" t="s">
        <v>1199</v>
      </c>
      <c r="J184" s="30" t="s">
        <v>71</v>
      </c>
      <c r="K184" s="30" t="s">
        <v>173</v>
      </c>
      <c r="L184" s="31" t="s">
        <v>314</v>
      </c>
      <c r="M184" s="31" t="s">
        <v>1422</v>
      </c>
      <c r="N184" s="33">
        <v>0.0</v>
      </c>
      <c r="O184" s="33">
        <v>100.0</v>
      </c>
      <c r="P184" s="33">
        <v>100.0</v>
      </c>
      <c r="Q184" s="33">
        <v>65.0</v>
      </c>
      <c r="R184" s="33">
        <v>15.0</v>
      </c>
      <c r="S184" s="33">
        <v>72.0</v>
      </c>
      <c r="T184" s="33">
        <v>55.0</v>
      </c>
      <c r="U184" s="33">
        <v>95.0</v>
      </c>
      <c r="V184" s="33">
        <v>98.0</v>
      </c>
      <c r="W184" s="33">
        <v>82.0</v>
      </c>
      <c r="X184" s="33">
        <v>72.0</v>
      </c>
      <c r="Y184" s="33">
        <v>40.0</v>
      </c>
      <c r="Z184" s="33">
        <v>45.0</v>
      </c>
      <c r="AA184" s="33">
        <v>75.0</v>
      </c>
      <c r="AB184" s="33">
        <v>82.0</v>
      </c>
      <c r="AC184" s="33">
        <v>98.0</v>
      </c>
      <c r="AD184" s="33">
        <v>45.0</v>
      </c>
      <c r="AE184" s="33">
        <v>92.0</v>
      </c>
      <c r="AF184" s="33">
        <v>85.0</v>
      </c>
      <c r="AG184" s="33">
        <v>75.0</v>
      </c>
      <c r="AH184" s="33">
        <v>70.0</v>
      </c>
      <c r="AI184" s="33">
        <v>90.0</v>
      </c>
      <c r="AJ184" s="33">
        <v>85.0</v>
      </c>
      <c r="AK184" s="33">
        <v>92.0</v>
      </c>
      <c r="AL184" s="33">
        <v>86.0</v>
      </c>
      <c r="AM184" s="33">
        <v>0.0</v>
      </c>
      <c r="AN184" s="33">
        <v>100.0</v>
      </c>
      <c r="AO184" s="33">
        <v>100.0</v>
      </c>
      <c r="AP184" s="18" t="s">
        <v>1423</v>
      </c>
      <c r="AQ184" s="18" t="s">
        <v>1424</v>
      </c>
      <c r="AR184" s="20" t="s">
        <v>166</v>
      </c>
      <c r="AS184" s="20" t="s">
        <v>167</v>
      </c>
      <c r="AT184" s="20" t="s">
        <v>168</v>
      </c>
      <c r="AU184" s="21" t="s">
        <v>168</v>
      </c>
      <c r="AV184" s="22" t="s">
        <v>178</v>
      </c>
      <c r="AW184" s="56" t="s">
        <v>1425</v>
      </c>
      <c r="AX184" s="34"/>
      <c r="BA184" s="52"/>
      <c r="BB184" s="34"/>
    </row>
    <row r="185" hidden="1">
      <c r="A185" s="25" t="s">
        <v>1426</v>
      </c>
      <c r="B185" s="26" t="s">
        <v>1427</v>
      </c>
      <c r="C185" s="27" t="s">
        <v>1397</v>
      </c>
      <c r="D185" s="27" t="s">
        <v>52</v>
      </c>
      <c r="E185" s="27" t="s">
        <v>53</v>
      </c>
      <c r="F185" s="27" t="s">
        <v>138</v>
      </c>
      <c r="G185" s="28">
        <v>800.0</v>
      </c>
      <c r="H185" s="36">
        <f t="shared" si="1"/>
        <v>760</v>
      </c>
      <c r="I185" s="25" t="s">
        <v>1199</v>
      </c>
      <c r="J185" s="30" t="s">
        <v>71</v>
      </c>
      <c r="K185" s="30" t="s">
        <v>162</v>
      </c>
      <c r="L185" s="31" t="s">
        <v>1428</v>
      </c>
      <c r="M185" s="31" t="s">
        <v>1429</v>
      </c>
      <c r="N185" s="33">
        <v>0.0</v>
      </c>
      <c r="O185" s="33">
        <v>100.0</v>
      </c>
      <c r="P185" s="33">
        <v>100.0</v>
      </c>
      <c r="Q185" s="33">
        <v>90.0</v>
      </c>
      <c r="R185" s="33">
        <v>20.0</v>
      </c>
      <c r="S185" s="33">
        <v>38.0</v>
      </c>
      <c r="T185" s="33">
        <v>92.0</v>
      </c>
      <c r="U185" s="33">
        <v>35.0</v>
      </c>
      <c r="V185" s="33">
        <v>25.0</v>
      </c>
      <c r="W185" s="33">
        <v>10.0</v>
      </c>
      <c r="X185" s="33">
        <v>42.0</v>
      </c>
      <c r="Y185" s="33">
        <v>95.0</v>
      </c>
      <c r="Z185" s="33">
        <v>15.0</v>
      </c>
      <c r="AA185" s="33">
        <v>45.0</v>
      </c>
      <c r="AB185" s="33">
        <v>40.0</v>
      </c>
      <c r="AC185" s="33">
        <v>35.0</v>
      </c>
      <c r="AD185" s="33">
        <v>5.0</v>
      </c>
      <c r="AE185" s="33">
        <v>98.0</v>
      </c>
      <c r="AF185" s="33">
        <v>82.0</v>
      </c>
      <c r="AG185" s="33">
        <v>35.0</v>
      </c>
      <c r="AH185" s="33">
        <v>25.0</v>
      </c>
      <c r="AI185" s="33">
        <v>90.0</v>
      </c>
      <c r="AJ185" s="33">
        <v>72.0</v>
      </c>
      <c r="AK185" s="33">
        <v>98.0</v>
      </c>
      <c r="AL185" s="33">
        <v>80.0</v>
      </c>
      <c r="AM185" s="33">
        <v>-100.0</v>
      </c>
      <c r="AN185" s="33">
        <v>100.0</v>
      </c>
      <c r="AO185" s="33">
        <v>100.0</v>
      </c>
      <c r="AP185" s="18" t="s">
        <v>1430</v>
      </c>
      <c r="AQ185" s="18" t="s">
        <v>1431</v>
      </c>
      <c r="AR185" s="20" t="s">
        <v>62</v>
      </c>
      <c r="AS185" s="20" t="s">
        <v>63</v>
      </c>
      <c r="AT185" s="20" t="s">
        <v>64</v>
      </c>
      <c r="AU185" s="21" t="s">
        <v>64</v>
      </c>
      <c r="AV185" s="22" t="s">
        <v>395</v>
      </c>
      <c r="AW185" s="56" t="s">
        <v>1432</v>
      </c>
      <c r="AX185" s="34"/>
      <c r="AY185" s="55"/>
      <c r="AZ185" s="55"/>
      <c r="BA185" s="55"/>
      <c r="BB185" s="34"/>
    </row>
    <row r="186">
      <c r="A186" s="25" t="s">
        <v>1433</v>
      </c>
      <c r="B186" s="26" t="s">
        <v>1434</v>
      </c>
      <c r="C186" s="27" t="s">
        <v>1397</v>
      </c>
      <c r="D186" s="27" t="s">
        <v>52</v>
      </c>
      <c r="E186" s="27" t="s">
        <v>125</v>
      </c>
      <c r="F186" s="27" t="s">
        <v>1435</v>
      </c>
      <c r="G186" s="28">
        <v>1150.0</v>
      </c>
      <c r="H186" s="36">
        <f t="shared" si="1"/>
        <v>1092.5</v>
      </c>
      <c r="I186" s="25" t="s">
        <v>1199</v>
      </c>
      <c r="J186" s="30" t="s">
        <v>71</v>
      </c>
      <c r="K186" s="30" t="s">
        <v>191</v>
      </c>
      <c r="L186" s="31" t="s">
        <v>1436</v>
      </c>
      <c r="M186" s="31" t="s">
        <v>1437</v>
      </c>
      <c r="N186" s="33">
        <v>0.0</v>
      </c>
      <c r="O186" s="33">
        <v>100.0</v>
      </c>
      <c r="P186" s="33">
        <v>100.0</v>
      </c>
      <c r="Q186" s="33">
        <v>90.0</v>
      </c>
      <c r="R186" s="33">
        <v>15.0</v>
      </c>
      <c r="S186" s="33">
        <v>45.0</v>
      </c>
      <c r="T186" s="33">
        <v>85.0</v>
      </c>
      <c r="U186" s="33">
        <v>35.0</v>
      </c>
      <c r="V186" s="33">
        <v>25.0</v>
      </c>
      <c r="W186" s="33">
        <v>10.0</v>
      </c>
      <c r="X186" s="33">
        <v>50.0</v>
      </c>
      <c r="Y186" s="33">
        <v>90.0</v>
      </c>
      <c r="Z186" s="33">
        <v>15.0</v>
      </c>
      <c r="AA186" s="33">
        <v>55.0</v>
      </c>
      <c r="AB186" s="33">
        <v>50.0</v>
      </c>
      <c r="AC186" s="33">
        <v>40.0</v>
      </c>
      <c r="AD186" s="33">
        <v>5.0</v>
      </c>
      <c r="AE186" s="33">
        <v>98.0</v>
      </c>
      <c r="AF186" s="33">
        <v>80.0</v>
      </c>
      <c r="AG186" s="33">
        <v>45.0</v>
      </c>
      <c r="AH186" s="33">
        <v>35.0</v>
      </c>
      <c r="AI186" s="33">
        <v>90.0</v>
      </c>
      <c r="AJ186" s="33">
        <v>75.0</v>
      </c>
      <c r="AK186" s="33">
        <v>96.0</v>
      </c>
      <c r="AL186" s="33">
        <v>82.0</v>
      </c>
      <c r="AM186" s="33">
        <v>-100.0</v>
      </c>
      <c r="AN186" s="33">
        <v>100.0</v>
      </c>
      <c r="AO186" s="33">
        <v>100.0</v>
      </c>
      <c r="AP186" s="18" t="s">
        <v>1438</v>
      </c>
      <c r="AQ186" s="18" t="s">
        <v>1439</v>
      </c>
      <c r="AR186" s="20" t="s">
        <v>132</v>
      </c>
      <c r="AS186" s="20" t="s">
        <v>63</v>
      </c>
      <c r="AT186" s="20" t="s">
        <v>133</v>
      </c>
      <c r="AU186" s="21" t="s">
        <v>133</v>
      </c>
      <c r="AV186" s="22" t="s">
        <v>1440</v>
      </c>
      <c r="AW186" s="94" t="s">
        <v>1441</v>
      </c>
      <c r="AX186" s="34"/>
      <c r="BB186" s="34"/>
    </row>
    <row r="187">
      <c r="A187" s="25" t="s">
        <v>1442</v>
      </c>
      <c r="B187" s="26" t="s">
        <v>1443</v>
      </c>
      <c r="C187" s="27" t="s">
        <v>1397</v>
      </c>
      <c r="D187" s="27" t="s">
        <v>52</v>
      </c>
      <c r="E187" s="35" t="s">
        <v>84</v>
      </c>
      <c r="F187" s="27" t="s">
        <v>54</v>
      </c>
      <c r="G187" s="28">
        <v>1150.0</v>
      </c>
      <c r="H187" s="36">
        <f t="shared" si="1"/>
        <v>1092.5</v>
      </c>
      <c r="I187" s="25" t="s">
        <v>1199</v>
      </c>
      <c r="J187" s="30" t="s">
        <v>1444</v>
      </c>
      <c r="K187" s="30" t="s">
        <v>1445</v>
      </c>
      <c r="L187" s="31" t="s">
        <v>1436</v>
      </c>
      <c r="M187" s="31" t="s">
        <v>1446</v>
      </c>
      <c r="N187" s="33">
        <v>100.0</v>
      </c>
      <c r="O187" s="33">
        <v>100.0</v>
      </c>
      <c r="P187" s="33">
        <v>100.0</v>
      </c>
      <c r="Q187" s="33">
        <v>90.0</v>
      </c>
      <c r="R187" s="33">
        <v>15.0</v>
      </c>
      <c r="S187" s="33">
        <v>78.0</v>
      </c>
      <c r="T187" s="33">
        <v>72.0</v>
      </c>
      <c r="U187" s="33">
        <v>40.0</v>
      </c>
      <c r="V187" s="33">
        <v>30.0</v>
      </c>
      <c r="W187" s="33">
        <v>15.0</v>
      </c>
      <c r="X187" s="33">
        <v>72.0</v>
      </c>
      <c r="Y187" s="33">
        <v>75.0</v>
      </c>
      <c r="Z187" s="33">
        <v>20.0</v>
      </c>
      <c r="AA187" s="33">
        <v>72.0</v>
      </c>
      <c r="AB187" s="33">
        <v>90.0</v>
      </c>
      <c r="AC187" s="33">
        <v>50.0</v>
      </c>
      <c r="AD187" s="33">
        <v>5.0</v>
      </c>
      <c r="AE187" s="33">
        <v>95.0</v>
      </c>
      <c r="AF187" s="33">
        <v>85.0</v>
      </c>
      <c r="AG187" s="33">
        <v>78.0</v>
      </c>
      <c r="AH187" s="33">
        <v>75.0</v>
      </c>
      <c r="AI187" s="33">
        <v>90.0</v>
      </c>
      <c r="AJ187" s="33">
        <v>85.0</v>
      </c>
      <c r="AK187" s="33">
        <v>95.0</v>
      </c>
      <c r="AL187" s="33">
        <v>90.0</v>
      </c>
      <c r="AM187" s="33">
        <v>0.0</v>
      </c>
      <c r="AN187" s="33">
        <v>100.0</v>
      </c>
      <c r="AO187" s="33">
        <v>100.0</v>
      </c>
      <c r="AP187" s="18" t="s">
        <v>1447</v>
      </c>
      <c r="AQ187" s="18" t="s">
        <v>1448</v>
      </c>
      <c r="AR187" s="20" t="s">
        <v>92</v>
      </c>
      <c r="AS187" s="20" t="s">
        <v>93</v>
      </c>
      <c r="AT187" s="20" t="s">
        <v>94</v>
      </c>
      <c r="AU187" s="21" t="s">
        <v>94</v>
      </c>
      <c r="AV187" s="22" t="s">
        <v>1449</v>
      </c>
      <c r="AW187" s="94" t="s">
        <v>1450</v>
      </c>
      <c r="AX187" s="34"/>
      <c r="BB187" s="34"/>
    </row>
    <row r="188">
      <c r="A188" s="25" t="s">
        <v>1451</v>
      </c>
      <c r="B188" s="26" t="s">
        <v>1452</v>
      </c>
      <c r="C188" s="27" t="s">
        <v>1397</v>
      </c>
      <c r="D188" s="27" t="s">
        <v>52</v>
      </c>
      <c r="E188" s="27" t="s">
        <v>69</v>
      </c>
      <c r="F188" s="27" t="s">
        <v>70</v>
      </c>
      <c r="G188" s="28">
        <v>2780.0</v>
      </c>
      <c r="H188" s="36">
        <f t="shared" si="1"/>
        <v>2641</v>
      </c>
      <c r="I188" s="25" t="s">
        <v>1199</v>
      </c>
      <c r="J188" s="30" t="s">
        <v>1255</v>
      </c>
      <c r="K188" s="30" t="s">
        <v>1453</v>
      </c>
      <c r="L188" s="31" t="s">
        <v>1454</v>
      </c>
      <c r="M188" s="31" t="s">
        <v>1455</v>
      </c>
      <c r="N188" s="33">
        <v>100.0</v>
      </c>
      <c r="O188" s="33">
        <v>100.0</v>
      </c>
      <c r="P188" s="33">
        <v>100.0</v>
      </c>
      <c r="Q188" s="33">
        <v>35.0</v>
      </c>
      <c r="R188" s="33">
        <v>10.0</v>
      </c>
      <c r="S188" s="33">
        <v>90.0</v>
      </c>
      <c r="T188" s="33">
        <v>25.0</v>
      </c>
      <c r="U188" s="33">
        <v>72.0</v>
      </c>
      <c r="V188" s="33">
        <v>68.0</v>
      </c>
      <c r="W188" s="33">
        <v>45.0</v>
      </c>
      <c r="X188" s="33">
        <v>90.0</v>
      </c>
      <c r="Y188" s="33">
        <v>15.0</v>
      </c>
      <c r="Z188" s="33">
        <v>92.0</v>
      </c>
      <c r="AA188" s="33">
        <v>90.0</v>
      </c>
      <c r="AB188" s="33">
        <v>95.0</v>
      </c>
      <c r="AC188" s="33">
        <v>85.0</v>
      </c>
      <c r="AD188" s="33">
        <v>15.0</v>
      </c>
      <c r="AE188" s="33">
        <v>90.0</v>
      </c>
      <c r="AF188" s="33">
        <v>92.0</v>
      </c>
      <c r="AG188" s="33">
        <v>92.0</v>
      </c>
      <c r="AH188" s="33">
        <v>95.0</v>
      </c>
      <c r="AI188" s="33">
        <v>90.0</v>
      </c>
      <c r="AJ188" s="33">
        <v>95.0</v>
      </c>
      <c r="AK188" s="33">
        <v>89.0</v>
      </c>
      <c r="AL188" s="33">
        <v>94.0</v>
      </c>
      <c r="AM188" s="33">
        <v>100.0</v>
      </c>
      <c r="AN188" s="33">
        <v>100.0</v>
      </c>
      <c r="AO188" s="33">
        <v>100.0</v>
      </c>
      <c r="AP188" s="18" t="s">
        <v>1456</v>
      </c>
      <c r="AQ188" s="18" t="s">
        <v>1457</v>
      </c>
      <c r="AR188" s="20" t="s">
        <v>166</v>
      </c>
      <c r="AS188" s="20" t="s">
        <v>167</v>
      </c>
      <c r="AT188" s="20" t="s">
        <v>168</v>
      </c>
      <c r="AU188" s="21" t="s">
        <v>168</v>
      </c>
      <c r="AV188" s="22" t="s">
        <v>271</v>
      </c>
      <c r="AW188" s="95" t="s">
        <v>1458</v>
      </c>
      <c r="AX188" s="34"/>
      <c r="BA188" s="59"/>
      <c r="BB188" s="34"/>
    </row>
    <row r="189">
      <c r="A189" s="25" t="s">
        <v>1459</v>
      </c>
      <c r="B189" s="26" t="s">
        <v>1460</v>
      </c>
      <c r="C189" s="27" t="s">
        <v>1397</v>
      </c>
      <c r="D189" s="27" t="s">
        <v>52</v>
      </c>
      <c r="E189" s="35" t="s">
        <v>84</v>
      </c>
      <c r="F189" s="27" t="s">
        <v>454</v>
      </c>
      <c r="G189" s="28">
        <v>2480.0</v>
      </c>
      <c r="H189" s="36">
        <f t="shared" si="1"/>
        <v>2356</v>
      </c>
      <c r="I189" s="25" t="s">
        <v>1199</v>
      </c>
      <c r="J189" s="30" t="s">
        <v>201</v>
      </c>
      <c r="K189" s="30" t="s">
        <v>1453</v>
      </c>
      <c r="L189" s="31" t="s">
        <v>1454</v>
      </c>
      <c r="M189" s="31" t="s">
        <v>1461</v>
      </c>
      <c r="N189" s="33">
        <v>100.0</v>
      </c>
      <c r="O189" s="33">
        <v>100.0</v>
      </c>
      <c r="P189" s="33">
        <v>100.0</v>
      </c>
      <c r="Q189" s="33">
        <v>25.0</v>
      </c>
      <c r="R189" s="33">
        <v>10.0</v>
      </c>
      <c r="S189" s="33">
        <v>98.0</v>
      </c>
      <c r="T189" s="33">
        <v>15.0</v>
      </c>
      <c r="U189" s="33">
        <v>65.0</v>
      </c>
      <c r="V189" s="33">
        <v>60.0</v>
      </c>
      <c r="W189" s="33">
        <v>40.0</v>
      </c>
      <c r="X189" s="33">
        <v>95.0</v>
      </c>
      <c r="Y189" s="33">
        <v>10.0</v>
      </c>
      <c r="Z189" s="33">
        <v>95.0</v>
      </c>
      <c r="AA189" s="33">
        <v>92.0</v>
      </c>
      <c r="AB189" s="33">
        <v>98.0</v>
      </c>
      <c r="AC189" s="33">
        <v>82.0</v>
      </c>
      <c r="AD189" s="33">
        <v>10.0</v>
      </c>
      <c r="AE189" s="33">
        <v>78.0</v>
      </c>
      <c r="AF189" s="33">
        <v>90.0</v>
      </c>
      <c r="AG189" s="33">
        <v>98.0</v>
      </c>
      <c r="AH189" s="33">
        <v>98.0</v>
      </c>
      <c r="AI189" s="33">
        <v>90.0</v>
      </c>
      <c r="AJ189" s="33">
        <v>95.0</v>
      </c>
      <c r="AK189" s="33">
        <v>82.0</v>
      </c>
      <c r="AL189" s="33">
        <v>92.0</v>
      </c>
      <c r="AM189" s="33">
        <v>100.0</v>
      </c>
      <c r="AN189" s="33">
        <v>100.0</v>
      </c>
      <c r="AO189" s="33">
        <v>100.0</v>
      </c>
      <c r="AP189" s="18" t="s">
        <v>1462</v>
      </c>
      <c r="AQ189" s="18" t="s">
        <v>1463</v>
      </c>
      <c r="AR189" s="20" t="s">
        <v>92</v>
      </c>
      <c r="AS189" s="20" t="s">
        <v>93</v>
      </c>
      <c r="AT189" s="20" t="s">
        <v>94</v>
      </c>
      <c r="AU189" s="21" t="s">
        <v>94</v>
      </c>
      <c r="AV189" s="22" t="s">
        <v>946</v>
      </c>
      <c r="AW189" s="94" t="s">
        <v>1464</v>
      </c>
      <c r="AX189" s="34"/>
      <c r="BA189" s="34"/>
      <c r="BB189" s="34"/>
    </row>
    <row r="190">
      <c r="A190" s="25" t="s">
        <v>1465</v>
      </c>
      <c r="B190" s="26" t="s">
        <v>1466</v>
      </c>
      <c r="C190" s="27" t="s">
        <v>1397</v>
      </c>
      <c r="D190" s="27" t="s">
        <v>52</v>
      </c>
      <c r="E190" s="35" t="s">
        <v>84</v>
      </c>
      <c r="F190" s="27" t="s">
        <v>454</v>
      </c>
      <c r="G190" s="28">
        <v>1700.0</v>
      </c>
      <c r="H190" s="36">
        <f t="shared" si="1"/>
        <v>1615</v>
      </c>
      <c r="I190" s="25" t="s">
        <v>1199</v>
      </c>
      <c r="J190" s="30" t="s">
        <v>465</v>
      </c>
      <c r="K190" s="30" t="s">
        <v>705</v>
      </c>
      <c r="L190" s="31" t="s">
        <v>1467</v>
      </c>
      <c r="M190" s="31" t="s">
        <v>551</v>
      </c>
      <c r="N190" s="33">
        <v>100.0</v>
      </c>
      <c r="O190" s="33">
        <v>100.0</v>
      </c>
      <c r="P190" s="33">
        <v>100.0</v>
      </c>
      <c r="Q190" s="33">
        <v>55.0</v>
      </c>
      <c r="R190" s="33">
        <v>10.0</v>
      </c>
      <c r="S190" s="33">
        <v>92.0</v>
      </c>
      <c r="T190" s="33">
        <v>45.0</v>
      </c>
      <c r="U190" s="33">
        <v>85.0</v>
      </c>
      <c r="V190" s="33">
        <v>82.0</v>
      </c>
      <c r="W190" s="33">
        <v>55.0</v>
      </c>
      <c r="X190" s="33">
        <v>82.0</v>
      </c>
      <c r="Y190" s="33">
        <v>35.0</v>
      </c>
      <c r="Z190" s="33">
        <v>20.0</v>
      </c>
      <c r="AA190" s="33">
        <v>90.0</v>
      </c>
      <c r="AB190" s="33">
        <v>98.0</v>
      </c>
      <c r="AC190" s="33">
        <v>90.0</v>
      </c>
      <c r="AD190" s="33">
        <v>15.0</v>
      </c>
      <c r="AE190" s="33">
        <v>95.0</v>
      </c>
      <c r="AF190" s="33">
        <v>98.0</v>
      </c>
      <c r="AG190" s="33">
        <v>90.0</v>
      </c>
      <c r="AH190" s="33">
        <v>98.0</v>
      </c>
      <c r="AI190" s="33">
        <v>95.0</v>
      </c>
      <c r="AJ190" s="33">
        <v>98.0</v>
      </c>
      <c r="AK190" s="33">
        <v>96.0</v>
      </c>
      <c r="AL190" s="33">
        <v>98.0</v>
      </c>
      <c r="AM190" s="33">
        <v>100.0</v>
      </c>
      <c r="AN190" s="33">
        <v>100.0</v>
      </c>
      <c r="AO190" s="33">
        <v>100.0</v>
      </c>
      <c r="AP190" s="18" t="s">
        <v>1468</v>
      </c>
      <c r="AQ190" s="18" t="s">
        <v>1469</v>
      </c>
      <c r="AR190" s="20" t="s">
        <v>92</v>
      </c>
      <c r="AS190" s="20" t="s">
        <v>93</v>
      </c>
      <c r="AT190" s="20" t="s">
        <v>94</v>
      </c>
      <c r="AU190" s="21" t="s">
        <v>94</v>
      </c>
      <c r="AV190" s="22" t="s">
        <v>1168</v>
      </c>
      <c r="AW190" s="95" t="s">
        <v>1470</v>
      </c>
      <c r="AX190" s="34"/>
      <c r="BA190" s="34"/>
      <c r="BB190" s="34"/>
    </row>
    <row r="191">
      <c r="A191" s="25" t="s">
        <v>1471</v>
      </c>
      <c r="B191" s="26" t="s">
        <v>1472</v>
      </c>
      <c r="C191" s="27" t="s">
        <v>1397</v>
      </c>
      <c r="D191" s="27" t="s">
        <v>52</v>
      </c>
      <c r="E191" s="35" t="s">
        <v>84</v>
      </c>
      <c r="F191" s="27" t="s">
        <v>454</v>
      </c>
      <c r="G191" s="28">
        <v>1700.0</v>
      </c>
      <c r="H191" s="36">
        <f t="shared" si="1"/>
        <v>1615</v>
      </c>
      <c r="I191" s="25" t="s">
        <v>1199</v>
      </c>
      <c r="J191" s="30" t="s">
        <v>242</v>
      </c>
      <c r="K191" s="30" t="s">
        <v>1473</v>
      </c>
      <c r="L191" s="31" t="s">
        <v>1467</v>
      </c>
      <c r="M191" s="31" t="s">
        <v>1474</v>
      </c>
      <c r="N191" s="33">
        <v>100.0</v>
      </c>
      <c r="O191" s="33">
        <v>100.0</v>
      </c>
      <c r="P191" s="33">
        <v>100.0</v>
      </c>
      <c r="Q191" s="33">
        <v>35.0</v>
      </c>
      <c r="R191" s="33">
        <v>10.0</v>
      </c>
      <c r="S191" s="33">
        <v>82.0</v>
      </c>
      <c r="T191" s="33">
        <v>30.0</v>
      </c>
      <c r="U191" s="33">
        <v>90.0</v>
      </c>
      <c r="V191" s="33">
        <v>85.0</v>
      </c>
      <c r="W191" s="33">
        <v>60.0</v>
      </c>
      <c r="X191" s="33">
        <v>75.0</v>
      </c>
      <c r="Y191" s="33">
        <v>20.0</v>
      </c>
      <c r="Z191" s="33">
        <v>20.0</v>
      </c>
      <c r="AA191" s="33">
        <v>90.0</v>
      </c>
      <c r="AB191" s="33">
        <v>85.0</v>
      </c>
      <c r="AC191" s="33">
        <v>92.0</v>
      </c>
      <c r="AD191" s="33">
        <v>82.0</v>
      </c>
      <c r="AE191" s="33">
        <v>90.0</v>
      </c>
      <c r="AF191" s="33">
        <v>92.0</v>
      </c>
      <c r="AG191" s="33">
        <v>82.0</v>
      </c>
      <c r="AH191" s="33">
        <v>90.0</v>
      </c>
      <c r="AI191" s="33">
        <v>90.0</v>
      </c>
      <c r="AJ191" s="33">
        <v>92.0</v>
      </c>
      <c r="AK191" s="33">
        <v>90.0</v>
      </c>
      <c r="AL191" s="33">
        <v>92.0</v>
      </c>
      <c r="AM191" s="33">
        <v>0.0</v>
      </c>
      <c r="AN191" s="33">
        <v>100.0</v>
      </c>
      <c r="AO191" s="33">
        <v>100.0</v>
      </c>
      <c r="AP191" s="18" t="s">
        <v>1475</v>
      </c>
      <c r="AQ191" s="18" t="s">
        <v>1476</v>
      </c>
      <c r="AR191" s="20" t="s">
        <v>144</v>
      </c>
      <c r="AS191" s="20" t="s">
        <v>145</v>
      </c>
      <c r="AT191" s="20" t="s">
        <v>146</v>
      </c>
      <c r="AU191" s="21" t="s">
        <v>146</v>
      </c>
      <c r="AV191" s="22" t="s">
        <v>1477</v>
      </c>
      <c r="AW191" s="94" t="s">
        <v>1478</v>
      </c>
      <c r="AX191" s="34"/>
      <c r="BA191" s="34"/>
      <c r="BB191" s="34"/>
    </row>
    <row r="192" hidden="1">
      <c r="A192" s="25" t="s">
        <v>1479</v>
      </c>
      <c r="B192" s="26" t="s">
        <v>1480</v>
      </c>
      <c r="C192" s="27" t="s">
        <v>1397</v>
      </c>
      <c r="D192" s="27" t="s">
        <v>52</v>
      </c>
      <c r="E192" s="35" t="s">
        <v>84</v>
      </c>
      <c r="F192" s="27" t="s">
        <v>1343</v>
      </c>
      <c r="G192" s="28">
        <v>600.0</v>
      </c>
      <c r="H192" s="36">
        <f t="shared" si="1"/>
        <v>570</v>
      </c>
      <c r="I192" s="25" t="s">
        <v>1199</v>
      </c>
      <c r="J192" s="30" t="s">
        <v>465</v>
      </c>
      <c r="K192" s="30" t="s">
        <v>202</v>
      </c>
      <c r="L192" s="31" t="s">
        <v>1024</v>
      </c>
      <c r="M192" s="31" t="s">
        <v>1345</v>
      </c>
      <c r="N192" s="33">
        <v>100.0</v>
      </c>
      <c r="O192" s="33">
        <v>100.0</v>
      </c>
      <c r="P192" s="33">
        <v>100.0</v>
      </c>
      <c r="Q192" s="33">
        <v>45.0</v>
      </c>
      <c r="R192" s="33">
        <v>10.0</v>
      </c>
      <c r="S192" s="33">
        <v>95.0</v>
      </c>
      <c r="T192" s="33">
        <v>15.0</v>
      </c>
      <c r="U192" s="33">
        <v>20.0</v>
      </c>
      <c r="V192" s="33">
        <v>15.0</v>
      </c>
      <c r="W192" s="33">
        <v>10.0</v>
      </c>
      <c r="X192" s="33">
        <v>85.0</v>
      </c>
      <c r="Y192" s="33">
        <v>10.0</v>
      </c>
      <c r="Z192" s="33">
        <v>15.0</v>
      </c>
      <c r="AA192" s="33">
        <v>98.0</v>
      </c>
      <c r="AB192" s="33">
        <v>98.0</v>
      </c>
      <c r="AC192" s="33">
        <v>40.0</v>
      </c>
      <c r="AD192" s="33">
        <v>5.0</v>
      </c>
      <c r="AE192" s="33">
        <v>92.0</v>
      </c>
      <c r="AF192" s="33">
        <v>98.0</v>
      </c>
      <c r="AG192" s="33">
        <v>95.0</v>
      </c>
      <c r="AH192" s="33">
        <v>98.0</v>
      </c>
      <c r="AI192" s="33">
        <v>95.0</v>
      </c>
      <c r="AJ192" s="33">
        <v>98.0</v>
      </c>
      <c r="AK192" s="33">
        <v>94.0</v>
      </c>
      <c r="AL192" s="33">
        <v>98.0</v>
      </c>
      <c r="AM192" s="33">
        <v>100.0</v>
      </c>
      <c r="AN192" s="33">
        <v>100.0</v>
      </c>
      <c r="AO192" s="33">
        <v>100.0</v>
      </c>
      <c r="AP192" s="18" t="s">
        <v>1481</v>
      </c>
      <c r="AQ192" s="18" t="s">
        <v>1482</v>
      </c>
      <c r="AR192" s="20" t="s">
        <v>92</v>
      </c>
      <c r="AS192" s="20" t="s">
        <v>93</v>
      </c>
      <c r="AT192" s="20" t="s">
        <v>94</v>
      </c>
      <c r="AU192" s="21" t="s">
        <v>94</v>
      </c>
      <c r="AV192" s="22" t="s">
        <v>946</v>
      </c>
      <c r="AW192" s="94" t="s">
        <v>1483</v>
      </c>
      <c r="AX192" s="34"/>
      <c r="BA192" s="34"/>
      <c r="BB192" s="34"/>
    </row>
    <row r="193">
      <c r="A193" s="25" t="s">
        <v>1484</v>
      </c>
      <c r="B193" s="26" t="s">
        <v>1485</v>
      </c>
      <c r="C193" s="27" t="s">
        <v>1397</v>
      </c>
      <c r="D193" s="27" t="s">
        <v>52</v>
      </c>
      <c r="E193" s="27" t="s">
        <v>252</v>
      </c>
      <c r="F193" s="27" t="s">
        <v>464</v>
      </c>
      <c r="G193" s="28">
        <v>1400.0</v>
      </c>
      <c r="H193" s="36">
        <f t="shared" si="1"/>
        <v>1330</v>
      </c>
      <c r="I193" s="96" t="s">
        <v>1199</v>
      </c>
      <c r="J193" s="30" t="s">
        <v>253</v>
      </c>
      <c r="K193" s="30" t="s">
        <v>29</v>
      </c>
      <c r="L193" s="31" t="s">
        <v>456</v>
      </c>
      <c r="M193" s="31" t="s">
        <v>1486</v>
      </c>
      <c r="N193" s="33">
        <v>100.0</v>
      </c>
      <c r="O193" s="33">
        <v>100.0</v>
      </c>
      <c r="P193" s="33">
        <v>100.0</v>
      </c>
      <c r="Q193" s="33">
        <v>42.0</v>
      </c>
      <c r="R193" s="33">
        <v>10.0</v>
      </c>
      <c r="S193" s="33">
        <v>62.0</v>
      </c>
      <c r="T193" s="33">
        <v>78.0</v>
      </c>
      <c r="U193" s="33">
        <v>35.0</v>
      </c>
      <c r="V193" s="33">
        <v>30.0</v>
      </c>
      <c r="W193" s="33">
        <v>15.0</v>
      </c>
      <c r="X193" s="33">
        <v>65.0</v>
      </c>
      <c r="Y193" s="33">
        <v>72.0</v>
      </c>
      <c r="Z193" s="33">
        <v>20.0</v>
      </c>
      <c r="AA193" s="33">
        <v>82.0</v>
      </c>
      <c r="AB193" s="33">
        <v>72.0</v>
      </c>
      <c r="AC193" s="33">
        <v>45.0</v>
      </c>
      <c r="AD193" s="33">
        <v>98.0</v>
      </c>
      <c r="AE193" s="33">
        <v>98.0</v>
      </c>
      <c r="AF193" s="33">
        <v>92.0</v>
      </c>
      <c r="AG193" s="33">
        <v>58.0</v>
      </c>
      <c r="AH193" s="33">
        <v>55.0</v>
      </c>
      <c r="AI193" s="33">
        <v>90.0</v>
      </c>
      <c r="AJ193" s="33">
        <v>82.0</v>
      </c>
      <c r="AK193" s="33">
        <v>95.0</v>
      </c>
      <c r="AL193" s="33">
        <v>90.0</v>
      </c>
      <c r="AM193" s="33">
        <v>-100.0</v>
      </c>
      <c r="AN193" s="33">
        <v>100.0</v>
      </c>
      <c r="AO193" s="33">
        <v>100.0</v>
      </c>
      <c r="AP193" s="18" t="s">
        <v>1487</v>
      </c>
      <c r="AQ193" s="18" t="s">
        <v>1488</v>
      </c>
      <c r="AR193" s="20" t="s">
        <v>144</v>
      </c>
      <c r="AS193" s="20" t="s">
        <v>145</v>
      </c>
      <c r="AT193" s="20" t="s">
        <v>146</v>
      </c>
      <c r="AU193" s="21" t="s">
        <v>146</v>
      </c>
      <c r="AV193" s="22" t="s">
        <v>1489</v>
      </c>
      <c r="AW193" s="94" t="s">
        <v>1490</v>
      </c>
      <c r="AX193" s="34"/>
      <c r="BA193" s="34"/>
      <c r="BB193" s="34"/>
    </row>
    <row r="194">
      <c r="A194" s="25" t="s">
        <v>1491</v>
      </c>
      <c r="B194" s="26" t="s">
        <v>1492</v>
      </c>
      <c r="C194" s="27" t="s">
        <v>1493</v>
      </c>
      <c r="D194" s="27" t="s">
        <v>52</v>
      </c>
      <c r="E194" s="27" t="s">
        <v>69</v>
      </c>
      <c r="F194" s="27" t="s">
        <v>454</v>
      </c>
      <c r="G194" s="29">
        <v>2399.0</v>
      </c>
      <c r="H194" s="36">
        <f t="shared" si="1"/>
        <v>2279.05</v>
      </c>
      <c r="I194" s="96" t="s">
        <v>1199</v>
      </c>
      <c r="J194" s="30" t="s">
        <v>266</v>
      </c>
      <c r="K194" s="30" t="s">
        <v>243</v>
      </c>
      <c r="L194" s="31" t="s">
        <v>1494</v>
      </c>
      <c r="M194" s="31" t="s">
        <v>1495</v>
      </c>
      <c r="N194" s="33">
        <v>100.0</v>
      </c>
      <c r="O194" s="33">
        <v>100.0</v>
      </c>
      <c r="P194" s="33">
        <v>100.0</v>
      </c>
      <c r="Q194" s="33">
        <v>45.0</v>
      </c>
      <c r="R194" s="33">
        <v>10.0</v>
      </c>
      <c r="S194" s="33">
        <v>95.0</v>
      </c>
      <c r="T194" s="33">
        <v>20.0</v>
      </c>
      <c r="U194" s="33">
        <v>45.0</v>
      </c>
      <c r="V194" s="33">
        <v>40.0</v>
      </c>
      <c r="W194" s="33">
        <v>25.0</v>
      </c>
      <c r="X194" s="33">
        <v>92.0</v>
      </c>
      <c r="Y194" s="33">
        <v>15.0</v>
      </c>
      <c r="Z194" s="33">
        <v>78.0</v>
      </c>
      <c r="AA194" s="33">
        <v>95.0</v>
      </c>
      <c r="AB194" s="33">
        <v>98.0</v>
      </c>
      <c r="AC194" s="33">
        <v>72.0</v>
      </c>
      <c r="AD194" s="33">
        <v>10.0</v>
      </c>
      <c r="AE194" s="33">
        <v>82.0</v>
      </c>
      <c r="AF194" s="33">
        <v>92.0</v>
      </c>
      <c r="AG194" s="33">
        <v>98.0</v>
      </c>
      <c r="AH194" s="33">
        <v>98.0</v>
      </c>
      <c r="AI194" s="33">
        <v>90.0</v>
      </c>
      <c r="AJ194" s="33">
        <v>95.0</v>
      </c>
      <c r="AK194" s="33">
        <v>90.0</v>
      </c>
      <c r="AL194" s="33">
        <v>94.0</v>
      </c>
      <c r="AM194" s="33">
        <v>100.0</v>
      </c>
      <c r="AN194" s="33">
        <v>100.0</v>
      </c>
      <c r="AO194" s="33">
        <v>100.0</v>
      </c>
      <c r="AP194" s="18" t="s">
        <v>1496</v>
      </c>
      <c r="AQ194" s="18" t="s">
        <v>1497</v>
      </c>
      <c r="AR194" s="20" t="s">
        <v>166</v>
      </c>
      <c r="AS194" s="20" t="s">
        <v>167</v>
      </c>
      <c r="AT194" s="20" t="s">
        <v>168</v>
      </c>
      <c r="AU194" s="21" t="s">
        <v>168</v>
      </c>
      <c r="AV194" s="22" t="s">
        <v>95</v>
      </c>
      <c r="AW194" s="94" t="s">
        <v>1498</v>
      </c>
      <c r="AX194" s="34"/>
      <c r="BA194" s="34"/>
      <c r="BB194" s="34"/>
    </row>
    <row r="195">
      <c r="A195" s="25" t="s">
        <v>1499</v>
      </c>
      <c r="B195" s="26" t="s">
        <v>1500</v>
      </c>
      <c r="C195" s="27" t="s">
        <v>1493</v>
      </c>
      <c r="D195" s="27" t="s">
        <v>52</v>
      </c>
      <c r="E195" s="27" t="s">
        <v>125</v>
      </c>
      <c r="F195" s="27" t="s">
        <v>126</v>
      </c>
      <c r="G195" s="29">
        <v>2239.0</v>
      </c>
      <c r="H195" s="36">
        <f t="shared" si="1"/>
        <v>2127.05</v>
      </c>
      <c r="I195" s="96" t="s">
        <v>1199</v>
      </c>
      <c r="J195" s="30" t="s">
        <v>465</v>
      </c>
      <c r="K195" s="30" t="s">
        <v>243</v>
      </c>
      <c r="L195" s="31" t="s">
        <v>1494</v>
      </c>
      <c r="M195" s="31" t="s">
        <v>1501</v>
      </c>
      <c r="N195" s="33">
        <v>100.0</v>
      </c>
      <c r="O195" s="33">
        <v>100.0</v>
      </c>
      <c r="P195" s="33">
        <v>100.0</v>
      </c>
      <c r="Q195" s="33">
        <v>40.0</v>
      </c>
      <c r="R195" s="33">
        <v>10.0</v>
      </c>
      <c r="S195" s="33">
        <v>92.0</v>
      </c>
      <c r="T195" s="33">
        <v>15.0</v>
      </c>
      <c r="U195" s="33">
        <v>35.0</v>
      </c>
      <c r="V195" s="33">
        <v>30.0</v>
      </c>
      <c r="W195" s="33">
        <v>20.0</v>
      </c>
      <c r="X195" s="33">
        <v>90.0</v>
      </c>
      <c r="Y195" s="33">
        <v>10.0</v>
      </c>
      <c r="Z195" s="33">
        <v>35.0</v>
      </c>
      <c r="AA195" s="33">
        <v>95.0</v>
      </c>
      <c r="AB195" s="33">
        <v>98.0</v>
      </c>
      <c r="AC195" s="33">
        <v>60.0</v>
      </c>
      <c r="AD195" s="33">
        <v>5.0</v>
      </c>
      <c r="AE195" s="33">
        <v>90.0</v>
      </c>
      <c r="AF195" s="33">
        <v>95.0</v>
      </c>
      <c r="AG195" s="33">
        <v>98.0</v>
      </c>
      <c r="AH195" s="33">
        <v>98.0</v>
      </c>
      <c r="AI195" s="33">
        <v>92.0</v>
      </c>
      <c r="AJ195" s="33">
        <v>98.0</v>
      </c>
      <c r="AK195" s="33">
        <v>90.0</v>
      </c>
      <c r="AL195" s="33">
        <v>98.0</v>
      </c>
      <c r="AM195" s="33">
        <v>100.0</v>
      </c>
      <c r="AN195" s="33">
        <v>100.0</v>
      </c>
      <c r="AO195" s="33">
        <v>100.0</v>
      </c>
      <c r="AP195" s="18" t="s">
        <v>1502</v>
      </c>
      <c r="AQ195" s="18" t="s">
        <v>1503</v>
      </c>
      <c r="AR195" s="20" t="s">
        <v>601</v>
      </c>
      <c r="AS195" s="20" t="s">
        <v>602</v>
      </c>
      <c r="AT195" s="20" t="s">
        <v>603</v>
      </c>
      <c r="AU195" s="21" t="s">
        <v>603</v>
      </c>
      <c r="AV195" s="22" t="s">
        <v>95</v>
      </c>
      <c r="AW195" s="94" t="s">
        <v>1504</v>
      </c>
      <c r="AX195" s="34"/>
      <c r="BA195" s="34"/>
      <c r="BB195" s="34"/>
    </row>
    <row r="196">
      <c r="A196" s="25" t="s">
        <v>1505</v>
      </c>
      <c r="B196" s="26" t="s">
        <v>1506</v>
      </c>
      <c r="C196" s="27" t="s">
        <v>1493</v>
      </c>
      <c r="D196" s="27" t="s">
        <v>52</v>
      </c>
      <c r="E196" s="35" t="s">
        <v>84</v>
      </c>
      <c r="F196" s="27" t="s">
        <v>126</v>
      </c>
      <c r="G196" s="29">
        <v>2239.0</v>
      </c>
      <c r="H196" s="36">
        <f t="shared" si="1"/>
        <v>2127.05</v>
      </c>
      <c r="I196" s="96" t="s">
        <v>1199</v>
      </c>
      <c r="J196" s="30" t="s">
        <v>266</v>
      </c>
      <c r="K196" s="30" t="s">
        <v>243</v>
      </c>
      <c r="L196" s="31" t="s">
        <v>1507</v>
      </c>
      <c r="M196" s="31" t="s">
        <v>1508</v>
      </c>
      <c r="N196" s="33">
        <v>100.0</v>
      </c>
      <c r="O196" s="33">
        <v>100.0</v>
      </c>
      <c r="P196" s="33">
        <v>100.0</v>
      </c>
      <c r="Q196" s="33">
        <v>38.0</v>
      </c>
      <c r="R196" s="33">
        <v>10.0</v>
      </c>
      <c r="S196" s="33">
        <v>98.0</v>
      </c>
      <c r="T196" s="33">
        <v>15.0</v>
      </c>
      <c r="U196" s="33">
        <v>30.0</v>
      </c>
      <c r="V196" s="33">
        <v>25.0</v>
      </c>
      <c r="W196" s="33">
        <v>15.0</v>
      </c>
      <c r="X196" s="33">
        <v>92.0</v>
      </c>
      <c r="Y196" s="33">
        <v>10.0</v>
      </c>
      <c r="Z196" s="17">
        <v>90.0</v>
      </c>
      <c r="AA196" s="33">
        <v>95.0</v>
      </c>
      <c r="AB196" s="33">
        <v>98.0</v>
      </c>
      <c r="AC196" s="33">
        <v>55.0</v>
      </c>
      <c r="AD196" s="33">
        <v>5.0</v>
      </c>
      <c r="AE196" s="33">
        <v>85.0</v>
      </c>
      <c r="AF196" s="33">
        <v>92.0</v>
      </c>
      <c r="AG196" s="33">
        <v>98.0</v>
      </c>
      <c r="AH196" s="33">
        <v>98.0</v>
      </c>
      <c r="AI196" s="33">
        <v>90.0</v>
      </c>
      <c r="AJ196" s="33">
        <v>98.0</v>
      </c>
      <c r="AK196" s="33">
        <v>90.0</v>
      </c>
      <c r="AL196" s="33">
        <v>95.0</v>
      </c>
      <c r="AM196" s="33">
        <v>100.0</v>
      </c>
      <c r="AN196" s="33">
        <v>100.0</v>
      </c>
      <c r="AO196" s="33">
        <v>100.0</v>
      </c>
      <c r="AP196" s="18" t="s">
        <v>1509</v>
      </c>
      <c r="AQ196" s="18" t="s">
        <v>1510</v>
      </c>
      <c r="AR196" s="20" t="s">
        <v>92</v>
      </c>
      <c r="AS196" s="20" t="s">
        <v>93</v>
      </c>
      <c r="AT196" s="20" t="s">
        <v>94</v>
      </c>
      <c r="AU196" s="21" t="s">
        <v>94</v>
      </c>
      <c r="AV196" s="22" t="s">
        <v>946</v>
      </c>
      <c r="AW196" s="94" t="s">
        <v>1511</v>
      </c>
      <c r="AX196" s="34"/>
      <c r="BA196" s="34"/>
      <c r="BB196" s="34"/>
    </row>
    <row r="197">
      <c r="A197" s="25" t="s">
        <v>1512</v>
      </c>
      <c r="B197" s="26" t="s">
        <v>1513</v>
      </c>
      <c r="C197" s="27" t="s">
        <v>1493</v>
      </c>
      <c r="D197" s="27" t="s">
        <v>52</v>
      </c>
      <c r="E197" s="35" t="s">
        <v>84</v>
      </c>
      <c r="F197" s="27" t="s">
        <v>454</v>
      </c>
      <c r="G197" s="29">
        <v>2239.0</v>
      </c>
      <c r="H197" s="36">
        <f t="shared" si="1"/>
        <v>2127.05</v>
      </c>
      <c r="I197" s="96" t="s">
        <v>1199</v>
      </c>
      <c r="J197" s="30" t="s">
        <v>201</v>
      </c>
      <c r="K197" s="30" t="s">
        <v>243</v>
      </c>
      <c r="L197" s="31" t="s">
        <v>1514</v>
      </c>
      <c r="M197" s="31" t="s">
        <v>1515</v>
      </c>
      <c r="N197" s="33">
        <v>100.0</v>
      </c>
      <c r="O197" s="33">
        <v>100.0</v>
      </c>
      <c r="P197" s="33">
        <v>100.0</v>
      </c>
      <c r="Q197" s="33">
        <v>35.0</v>
      </c>
      <c r="R197" s="33">
        <v>10.0</v>
      </c>
      <c r="S197" s="33">
        <v>98.0</v>
      </c>
      <c r="T197" s="33">
        <v>10.0</v>
      </c>
      <c r="U197" s="33">
        <v>15.0</v>
      </c>
      <c r="V197" s="33">
        <v>10.0</v>
      </c>
      <c r="W197" s="33">
        <v>5.0</v>
      </c>
      <c r="X197" s="33">
        <v>98.0</v>
      </c>
      <c r="Y197" s="33">
        <v>5.0</v>
      </c>
      <c r="Z197" s="33">
        <v>45.0</v>
      </c>
      <c r="AA197" s="33">
        <v>98.0</v>
      </c>
      <c r="AB197" s="33">
        <v>98.0</v>
      </c>
      <c r="AC197" s="33">
        <v>40.0</v>
      </c>
      <c r="AD197" s="33">
        <v>5.0</v>
      </c>
      <c r="AE197" s="33">
        <v>75.0</v>
      </c>
      <c r="AF197" s="33">
        <v>95.0</v>
      </c>
      <c r="AG197" s="33">
        <v>98.0</v>
      </c>
      <c r="AH197" s="33">
        <v>98.0</v>
      </c>
      <c r="AI197" s="33">
        <v>90.0</v>
      </c>
      <c r="AJ197" s="33">
        <v>98.0</v>
      </c>
      <c r="AK197" s="33">
        <v>82.0</v>
      </c>
      <c r="AL197" s="33">
        <v>98.0</v>
      </c>
      <c r="AM197" s="33">
        <v>100.0</v>
      </c>
      <c r="AN197" s="33">
        <v>100.0</v>
      </c>
      <c r="AO197" s="33">
        <v>100.0</v>
      </c>
      <c r="AP197" s="18" t="s">
        <v>1516</v>
      </c>
      <c r="AQ197" s="18" t="s">
        <v>1517</v>
      </c>
      <c r="AR197" s="20" t="s">
        <v>92</v>
      </c>
      <c r="AS197" s="20" t="s">
        <v>93</v>
      </c>
      <c r="AT197" s="20" t="s">
        <v>94</v>
      </c>
      <c r="AU197" s="21" t="s">
        <v>94</v>
      </c>
      <c r="AV197" s="22" t="s">
        <v>946</v>
      </c>
      <c r="AW197" s="94" t="s">
        <v>1518</v>
      </c>
      <c r="AX197" s="34"/>
      <c r="BA197" s="34"/>
      <c r="BB197" s="34"/>
    </row>
    <row r="198">
      <c r="A198" s="25" t="s">
        <v>1519</v>
      </c>
      <c r="B198" s="26" t="s">
        <v>1520</v>
      </c>
      <c r="C198" s="27" t="s">
        <v>1493</v>
      </c>
      <c r="D198" s="27" t="s">
        <v>52</v>
      </c>
      <c r="E198" s="27" t="s">
        <v>69</v>
      </c>
      <c r="F198" s="27" t="s">
        <v>70</v>
      </c>
      <c r="G198" s="29">
        <v>2099.0</v>
      </c>
      <c r="H198" s="36">
        <f t="shared" si="1"/>
        <v>1994.05</v>
      </c>
      <c r="I198" s="96" t="s">
        <v>1199</v>
      </c>
      <c r="J198" s="30" t="s">
        <v>465</v>
      </c>
      <c r="K198" s="30" t="s">
        <v>243</v>
      </c>
      <c r="L198" s="31" t="s">
        <v>1514</v>
      </c>
      <c r="M198" s="31" t="s">
        <v>1521</v>
      </c>
      <c r="N198" s="33">
        <v>100.0</v>
      </c>
      <c r="O198" s="33">
        <v>100.0</v>
      </c>
      <c r="P198" s="33">
        <v>100.0</v>
      </c>
      <c r="Q198" s="33">
        <v>42.0</v>
      </c>
      <c r="R198" s="33">
        <v>10.0</v>
      </c>
      <c r="S198" s="33">
        <v>98.0</v>
      </c>
      <c r="T198" s="33">
        <v>15.0</v>
      </c>
      <c r="U198" s="33">
        <v>20.0</v>
      </c>
      <c r="V198" s="33">
        <v>15.0</v>
      </c>
      <c r="W198" s="33">
        <v>10.0</v>
      </c>
      <c r="X198" s="33">
        <v>98.0</v>
      </c>
      <c r="Y198" s="33">
        <v>10.0</v>
      </c>
      <c r="Z198" s="33">
        <v>35.0</v>
      </c>
      <c r="AA198" s="33">
        <v>98.0</v>
      </c>
      <c r="AB198" s="33">
        <v>98.0</v>
      </c>
      <c r="AC198" s="33">
        <v>45.0</v>
      </c>
      <c r="AD198" s="33">
        <v>5.0</v>
      </c>
      <c r="AE198" s="33">
        <v>90.0</v>
      </c>
      <c r="AF198" s="33">
        <v>98.0</v>
      </c>
      <c r="AG198" s="33">
        <v>98.0</v>
      </c>
      <c r="AH198" s="33">
        <v>98.0</v>
      </c>
      <c r="AI198" s="33">
        <v>92.0</v>
      </c>
      <c r="AJ198" s="33">
        <v>98.0</v>
      </c>
      <c r="AK198" s="33">
        <v>90.0</v>
      </c>
      <c r="AL198" s="33">
        <v>98.0</v>
      </c>
      <c r="AM198" s="33">
        <v>100.0</v>
      </c>
      <c r="AN198" s="33">
        <v>100.0</v>
      </c>
      <c r="AO198" s="33">
        <v>100.0</v>
      </c>
      <c r="AP198" s="18" t="s">
        <v>1522</v>
      </c>
      <c r="AQ198" s="18" t="s">
        <v>1523</v>
      </c>
      <c r="AR198" s="20" t="s">
        <v>166</v>
      </c>
      <c r="AS198" s="20" t="s">
        <v>167</v>
      </c>
      <c r="AT198" s="20" t="s">
        <v>168</v>
      </c>
      <c r="AU198" s="21" t="s">
        <v>168</v>
      </c>
      <c r="AV198" s="22" t="s">
        <v>95</v>
      </c>
      <c r="AW198" s="94" t="s">
        <v>1524</v>
      </c>
      <c r="AX198" s="34"/>
      <c r="AY198" s="55"/>
      <c r="AZ198" s="55"/>
      <c r="BA198" s="34"/>
      <c r="BB198" s="34"/>
    </row>
    <row r="199">
      <c r="A199" s="25" t="s">
        <v>1525</v>
      </c>
      <c r="B199" s="26" t="s">
        <v>1526</v>
      </c>
      <c r="C199" s="27" t="s">
        <v>1493</v>
      </c>
      <c r="D199" s="27" t="s">
        <v>52</v>
      </c>
      <c r="E199" s="27" t="s">
        <v>125</v>
      </c>
      <c r="F199" s="27" t="s">
        <v>152</v>
      </c>
      <c r="G199" s="29">
        <v>1899.0</v>
      </c>
      <c r="H199" s="36">
        <f t="shared" si="1"/>
        <v>1804.05</v>
      </c>
      <c r="I199" s="96" t="s">
        <v>1199</v>
      </c>
      <c r="J199" s="30" t="s">
        <v>71</v>
      </c>
      <c r="K199" s="30" t="s">
        <v>162</v>
      </c>
      <c r="L199" s="31" t="s">
        <v>1527</v>
      </c>
      <c r="M199" s="31" t="s">
        <v>1528</v>
      </c>
      <c r="N199" s="33">
        <v>0.0</v>
      </c>
      <c r="O199" s="33">
        <v>100.0</v>
      </c>
      <c r="P199" s="33">
        <v>100.0</v>
      </c>
      <c r="Q199" s="33">
        <v>92.0</v>
      </c>
      <c r="R199" s="33">
        <v>25.0</v>
      </c>
      <c r="S199" s="33">
        <v>42.0</v>
      </c>
      <c r="T199" s="33">
        <v>95.0</v>
      </c>
      <c r="U199" s="33">
        <v>45.0</v>
      </c>
      <c r="V199" s="33">
        <v>35.0</v>
      </c>
      <c r="W199" s="33">
        <v>15.0</v>
      </c>
      <c r="X199" s="33">
        <v>58.0</v>
      </c>
      <c r="Y199" s="33">
        <v>98.0</v>
      </c>
      <c r="Z199" s="33">
        <v>15.0</v>
      </c>
      <c r="AA199" s="33">
        <v>68.0</v>
      </c>
      <c r="AB199" s="33">
        <v>50.0</v>
      </c>
      <c r="AC199" s="33">
        <v>45.0</v>
      </c>
      <c r="AD199" s="33">
        <v>5.0</v>
      </c>
      <c r="AE199" s="33">
        <v>98.0</v>
      </c>
      <c r="AF199" s="33">
        <v>78.0</v>
      </c>
      <c r="AG199" s="33">
        <v>40.0</v>
      </c>
      <c r="AH199" s="33">
        <v>32.0</v>
      </c>
      <c r="AI199" s="33">
        <v>90.0</v>
      </c>
      <c r="AJ199" s="33">
        <v>70.0</v>
      </c>
      <c r="AK199" s="33">
        <v>98.0</v>
      </c>
      <c r="AL199" s="33">
        <v>75.0</v>
      </c>
      <c r="AM199" s="33">
        <v>-100.0</v>
      </c>
      <c r="AN199" s="33">
        <v>100.0</v>
      </c>
      <c r="AO199" s="33">
        <v>100.0</v>
      </c>
      <c r="AP199" s="18" t="s">
        <v>1529</v>
      </c>
      <c r="AQ199" s="18" t="s">
        <v>1530</v>
      </c>
      <c r="AR199" s="20" t="s">
        <v>132</v>
      </c>
      <c r="AS199" s="20" t="s">
        <v>63</v>
      </c>
      <c r="AT199" s="20" t="s">
        <v>133</v>
      </c>
      <c r="AU199" s="21" t="s">
        <v>133</v>
      </c>
      <c r="AV199" s="22" t="s">
        <v>1440</v>
      </c>
      <c r="AW199" s="94" t="s">
        <v>1531</v>
      </c>
      <c r="AX199" s="34"/>
      <c r="BA199" s="34"/>
      <c r="BB199" s="34"/>
    </row>
    <row r="200" ht="97.5" customHeight="1">
      <c r="A200" s="25" t="s">
        <v>1532</v>
      </c>
      <c r="B200" s="26" t="s">
        <v>1533</v>
      </c>
      <c r="C200" s="27" t="s">
        <v>1493</v>
      </c>
      <c r="D200" s="27" t="s">
        <v>52</v>
      </c>
      <c r="E200" s="27" t="s">
        <v>125</v>
      </c>
      <c r="F200" s="27" t="s">
        <v>1435</v>
      </c>
      <c r="G200" s="29">
        <v>1999.0</v>
      </c>
      <c r="H200" s="36">
        <f t="shared" si="1"/>
        <v>1899.05</v>
      </c>
      <c r="I200" s="96" t="s">
        <v>1199</v>
      </c>
      <c r="J200" s="30" t="s">
        <v>253</v>
      </c>
      <c r="K200" s="30" t="s">
        <v>162</v>
      </c>
      <c r="L200" s="31" t="s">
        <v>1534</v>
      </c>
      <c r="M200" s="31" t="s">
        <v>1535</v>
      </c>
      <c r="N200" s="33">
        <v>0.0</v>
      </c>
      <c r="O200" s="33">
        <v>100.0</v>
      </c>
      <c r="P200" s="33">
        <v>100.0</v>
      </c>
      <c r="Q200" s="33">
        <v>95.0</v>
      </c>
      <c r="R200" s="33">
        <v>20.0</v>
      </c>
      <c r="S200" s="33">
        <v>58.0</v>
      </c>
      <c r="T200" s="33">
        <v>95.0</v>
      </c>
      <c r="U200" s="33">
        <v>52.0</v>
      </c>
      <c r="V200" s="33">
        <v>40.0</v>
      </c>
      <c r="W200" s="33">
        <v>18.0</v>
      </c>
      <c r="X200" s="33">
        <v>72.0</v>
      </c>
      <c r="Y200" s="33">
        <v>98.0</v>
      </c>
      <c r="Z200" s="33">
        <v>18.0</v>
      </c>
      <c r="AA200" s="33">
        <v>82.0</v>
      </c>
      <c r="AB200" s="33">
        <v>72.0</v>
      </c>
      <c r="AC200" s="33">
        <v>50.0</v>
      </c>
      <c r="AD200" s="33">
        <v>5.0</v>
      </c>
      <c r="AE200" s="33">
        <v>98.0</v>
      </c>
      <c r="AF200" s="33">
        <v>90.0</v>
      </c>
      <c r="AG200" s="33">
        <v>58.0</v>
      </c>
      <c r="AH200" s="33">
        <v>52.0</v>
      </c>
      <c r="AI200" s="33">
        <v>92.0</v>
      </c>
      <c r="AJ200" s="33">
        <v>85.0</v>
      </c>
      <c r="AK200" s="33">
        <v>98.0</v>
      </c>
      <c r="AL200" s="33">
        <v>90.0</v>
      </c>
      <c r="AM200" s="33">
        <v>-100.0</v>
      </c>
      <c r="AN200" s="33">
        <v>100.0</v>
      </c>
      <c r="AO200" s="33">
        <v>100.0</v>
      </c>
      <c r="AP200" s="18" t="s">
        <v>1536</v>
      </c>
      <c r="AQ200" s="18" t="s">
        <v>1537</v>
      </c>
      <c r="AR200" s="20" t="s">
        <v>132</v>
      </c>
      <c r="AS200" s="20" t="s">
        <v>63</v>
      </c>
      <c r="AT200" s="20" t="s">
        <v>133</v>
      </c>
      <c r="AU200" s="21" t="s">
        <v>133</v>
      </c>
      <c r="AV200" s="22" t="s">
        <v>1440</v>
      </c>
      <c r="AW200" s="94" t="s">
        <v>1538</v>
      </c>
      <c r="AX200" s="34"/>
      <c r="BA200" s="34"/>
      <c r="BB200" s="34"/>
    </row>
    <row r="201">
      <c r="A201" s="25" t="s">
        <v>1539</v>
      </c>
      <c r="B201" s="26" t="s">
        <v>1540</v>
      </c>
      <c r="C201" s="27" t="s">
        <v>1493</v>
      </c>
      <c r="D201" s="27" t="s">
        <v>52</v>
      </c>
      <c r="E201" s="27" t="s">
        <v>53</v>
      </c>
      <c r="F201" s="27" t="s">
        <v>126</v>
      </c>
      <c r="G201" s="29">
        <v>1439.0</v>
      </c>
      <c r="H201" s="36">
        <f t="shared" si="1"/>
        <v>1367.05</v>
      </c>
      <c r="I201" s="96" t="s">
        <v>1199</v>
      </c>
      <c r="J201" s="30" t="s">
        <v>71</v>
      </c>
      <c r="K201" s="30" t="s">
        <v>1541</v>
      </c>
      <c r="L201" s="31" t="s">
        <v>1542</v>
      </c>
      <c r="M201" s="31" t="s">
        <v>1543</v>
      </c>
      <c r="N201" s="33">
        <v>100.0</v>
      </c>
      <c r="O201" s="33">
        <v>100.0</v>
      </c>
      <c r="P201" s="33">
        <v>100.0</v>
      </c>
      <c r="Q201" s="33">
        <v>72.0</v>
      </c>
      <c r="R201" s="33">
        <v>15.0</v>
      </c>
      <c r="S201" s="33">
        <v>82.0</v>
      </c>
      <c r="T201" s="33">
        <v>90.0</v>
      </c>
      <c r="U201" s="33">
        <v>25.0</v>
      </c>
      <c r="V201" s="33">
        <v>20.0</v>
      </c>
      <c r="W201" s="33">
        <v>10.0</v>
      </c>
      <c r="X201" s="33">
        <v>72.0</v>
      </c>
      <c r="Y201" s="33">
        <v>95.0</v>
      </c>
      <c r="Z201" s="33">
        <v>15.0</v>
      </c>
      <c r="AA201" s="33">
        <v>72.0</v>
      </c>
      <c r="AB201" s="33">
        <v>82.0</v>
      </c>
      <c r="AC201" s="33">
        <v>40.0</v>
      </c>
      <c r="AD201" s="33">
        <v>5.0</v>
      </c>
      <c r="AE201" s="33">
        <v>95.0</v>
      </c>
      <c r="AF201" s="33">
        <v>82.0</v>
      </c>
      <c r="AG201" s="33">
        <v>80.0</v>
      </c>
      <c r="AH201" s="33">
        <v>72.0</v>
      </c>
      <c r="AI201" s="33">
        <v>90.0</v>
      </c>
      <c r="AJ201" s="33">
        <v>80.0</v>
      </c>
      <c r="AK201" s="33">
        <v>98.0</v>
      </c>
      <c r="AL201" s="33">
        <v>82.0</v>
      </c>
      <c r="AM201" s="33">
        <v>0.0</v>
      </c>
      <c r="AN201" s="33">
        <v>100.0</v>
      </c>
      <c r="AO201" s="33">
        <v>100.0</v>
      </c>
      <c r="AP201" s="18" t="s">
        <v>1544</v>
      </c>
      <c r="AQ201" s="18" t="s">
        <v>1545</v>
      </c>
      <c r="AR201" s="20" t="s">
        <v>62</v>
      </c>
      <c r="AS201" s="20" t="s">
        <v>63</v>
      </c>
      <c r="AT201" s="20" t="s">
        <v>64</v>
      </c>
      <c r="AU201" s="21" t="s">
        <v>64</v>
      </c>
      <c r="AV201" s="22" t="s">
        <v>310</v>
      </c>
      <c r="AW201" s="94" t="s">
        <v>1546</v>
      </c>
      <c r="AX201" s="34"/>
      <c r="BA201" s="34"/>
      <c r="BB201" s="34"/>
    </row>
    <row r="202">
      <c r="A202" s="25" t="s">
        <v>1547</v>
      </c>
      <c r="B202" s="26" t="s">
        <v>1548</v>
      </c>
      <c r="C202" s="27" t="s">
        <v>1493</v>
      </c>
      <c r="D202" s="27" t="s">
        <v>52</v>
      </c>
      <c r="E202" s="35" t="s">
        <v>84</v>
      </c>
      <c r="F202" s="27" t="s">
        <v>454</v>
      </c>
      <c r="G202" s="29">
        <v>2239.0</v>
      </c>
      <c r="H202" s="36">
        <f t="shared" si="1"/>
        <v>2127.05</v>
      </c>
      <c r="I202" s="96" t="s">
        <v>1199</v>
      </c>
      <c r="J202" s="30" t="s">
        <v>201</v>
      </c>
      <c r="K202" s="30" t="s">
        <v>1453</v>
      </c>
      <c r="L202" s="31" t="s">
        <v>1549</v>
      </c>
      <c r="M202" s="31" t="s">
        <v>1550</v>
      </c>
      <c r="N202" s="33">
        <v>100.0</v>
      </c>
      <c r="O202" s="33">
        <v>100.0</v>
      </c>
      <c r="P202" s="33">
        <v>100.0</v>
      </c>
      <c r="Q202" s="33">
        <v>35.0</v>
      </c>
      <c r="R202" s="33">
        <v>10.0</v>
      </c>
      <c r="S202" s="33">
        <v>98.0</v>
      </c>
      <c r="T202" s="33">
        <v>15.0</v>
      </c>
      <c r="U202" s="33">
        <v>35.0</v>
      </c>
      <c r="V202" s="33">
        <v>30.0</v>
      </c>
      <c r="W202" s="33">
        <v>20.0</v>
      </c>
      <c r="X202" s="33">
        <v>98.0</v>
      </c>
      <c r="Y202" s="33">
        <v>10.0</v>
      </c>
      <c r="Z202" s="33">
        <v>90.0</v>
      </c>
      <c r="AA202" s="33">
        <v>95.0</v>
      </c>
      <c r="AB202" s="33">
        <v>98.0</v>
      </c>
      <c r="AC202" s="33">
        <v>72.0</v>
      </c>
      <c r="AD202" s="33">
        <v>5.0</v>
      </c>
      <c r="AE202" s="33">
        <v>78.0</v>
      </c>
      <c r="AF202" s="33">
        <v>92.0</v>
      </c>
      <c r="AG202" s="33">
        <v>98.0</v>
      </c>
      <c r="AH202" s="33">
        <v>98.0</v>
      </c>
      <c r="AI202" s="33">
        <v>90.0</v>
      </c>
      <c r="AJ202" s="33">
        <v>95.0</v>
      </c>
      <c r="AK202" s="33">
        <v>85.0</v>
      </c>
      <c r="AL202" s="33">
        <v>94.0</v>
      </c>
      <c r="AM202" s="33">
        <v>100.0</v>
      </c>
      <c r="AN202" s="33">
        <v>100.0</v>
      </c>
      <c r="AO202" s="33">
        <v>100.0</v>
      </c>
      <c r="AP202" s="18" t="s">
        <v>1551</v>
      </c>
      <c r="AQ202" s="18" t="s">
        <v>1552</v>
      </c>
      <c r="AR202" s="20" t="s">
        <v>92</v>
      </c>
      <c r="AS202" s="20" t="s">
        <v>93</v>
      </c>
      <c r="AT202" s="20" t="s">
        <v>94</v>
      </c>
      <c r="AU202" s="21" t="s">
        <v>94</v>
      </c>
      <c r="AV202" s="22" t="s">
        <v>946</v>
      </c>
      <c r="AW202" s="94" t="s">
        <v>1553</v>
      </c>
      <c r="AX202" s="34"/>
      <c r="BA202" s="34"/>
      <c r="BB202" s="34"/>
    </row>
    <row r="203">
      <c r="A203" s="25" t="s">
        <v>1554</v>
      </c>
      <c r="B203" s="26" t="s">
        <v>1555</v>
      </c>
      <c r="C203" s="27" t="s">
        <v>1493</v>
      </c>
      <c r="D203" s="27" t="s">
        <v>52</v>
      </c>
      <c r="E203" s="27" t="s">
        <v>252</v>
      </c>
      <c r="F203" s="27" t="s">
        <v>1556</v>
      </c>
      <c r="G203" s="29">
        <v>1999.0</v>
      </c>
      <c r="H203" s="36">
        <f t="shared" si="1"/>
        <v>1899.05</v>
      </c>
      <c r="I203" s="96" t="s">
        <v>1199</v>
      </c>
      <c r="J203" s="30" t="s">
        <v>465</v>
      </c>
      <c r="K203" s="30" t="s">
        <v>588</v>
      </c>
      <c r="L203" s="31" t="s">
        <v>1557</v>
      </c>
      <c r="M203" s="31" t="s">
        <v>1558</v>
      </c>
      <c r="N203" s="33">
        <v>100.0</v>
      </c>
      <c r="O203" s="33">
        <v>100.0</v>
      </c>
      <c r="P203" s="33">
        <v>100.0</v>
      </c>
      <c r="Q203" s="33">
        <v>35.0</v>
      </c>
      <c r="R203" s="33">
        <v>10.0</v>
      </c>
      <c r="S203" s="33">
        <v>95.0</v>
      </c>
      <c r="T203" s="33">
        <v>15.0</v>
      </c>
      <c r="U203" s="33">
        <v>20.0</v>
      </c>
      <c r="V203" s="33">
        <v>15.0</v>
      </c>
      <c r="W203" s="33">
        <v>10.0</v>
      </c>
      <c r="X203" s="33">
        <v>98.0</v>
      </c>
      <c r="Y203" s="33">
        <v>10.0</v>
      </c>
      <c r="Z203" s="33">
        <v>25.0</v>
      </c>
      <c r="AA203" s="33">
        <v>98.0</v>
      </c>
      <c r="AB203" s="33">
        <v>98.0</v>
      </c>
      <c r="AC203" s="33">
        <v>40.0</v>
      </c>
      <c r="AD203" s="33">
        <v>98.0</v>
      </c>
      <c r="AE203" s="33">
        <v>90.0</v>
      </c>
      <c r="AF203" s="33">
        <v>98.0</v>
      </c>
      <c r="AG203" s="33">
        <v>95.0</v>
      </c>
      <c r="AH203" s="33">
        <v>98.0</v>
      </c>
      <c r="AI203" s="33">
        <v>92.0</v>
      </c>
      <c r="AJ203" s="33">
        <v>98.0</v>
      </c>
      <c r="AK203" s="33">
        <v>90.0</v>
      </c>
      <c r="AL203" s="33">
        <v>98.0</v>
      </c>
      <c r="AM203" s="33">
        <v>100.0</v>
      </c>
      <c r="AN203" s="33">
        <v>100.0</v>
      </c>
      <c r="AO203" s="33">
        <v>100.0</v>
      </c>
      <c r="AP203" s="18" t="s">
        <v>1559</v>
      </c>
      <c r="AQ203" s="18" t="s">
        <v>1560</v>
      </c>
      <c r="AR203" s="20" t="s">
        <v>144</v>
      </c>
      <c r="AS203" s="20" t="s">
        <v>145</v>
      </c>
      <c r="AT203" s="20" t="s">
        <v>146</v>
      </c>
      <c r="AU203" s="21" t="s">
        <v>146</v>
      </c>
      <c r="AV203" s="22" t="s">
        <v>980</v>
      </c>
      <c r="AW203" s="94" t="s">
        <v>1561</v>
      </c>
      <c r="AX203" s="34"/>
      <c r="BA203" s="34"/>
      <c r="BB203" s="34"/>
    </row>
    <row r="204">
      <c r="A204" s="25" t="s">
        <v>1562</v>
      </c>
      <c r="B204" s="26" t="s">
        <v>1563</v>
      </c>
      <c r="C204" s="27" t="s">
        <v>1493</v>
      </c>
      <c r="D204" s="27" t="s">
        <v>52</v>
      </c>
      <c r="E204" s="27" t="s">
        <v>53</v>
      </c>
      <c r="F204" s="27" t="s">
        <v>101</v>
      </c>
      <c r="G204" s="29">
        <v>1549.0</v>
      </c>
      <c r="H204" s="36">
        <f t="shared" si="1"/>
        <v>1471.55</v>
      </c>
      <c r="I204" s="96" t="s">
        <v>1199</v>
      </c>
      <c r="J204" s="30" t="s">
        <v>465</v>
      </c>
      <c r="K204" s="30" t="s">
        <v>243</v>
      </c>
      <c r="L204" s="31" t="s">
        <v>1514</v>
      </c>
      <c r="M204" s="31" t="s">
        <v>1564</v>
      </c>
      <c r="N204" s="33">
        <v>100.0</v>
      </c>
      <c r="O204" s="33">
        <v>100.0</v>
      </c>
      <c r="P204" s="33">
        <v>100.0</v>
      </c>
      <c r="Q204" s="33">
        <v>35.0</v>
      </c>
      <c r="R204" s="33">
        <v>10.0</v>
      </c>
      <c r="S204" s="33">
        <v>90.0</v>
      </c>
      <c r="T204" s="33">
        <v>15.0</v>
      </c>
      <c r="U204" s="33">
        <v>15.0</v>
      </c>
      <c r="V204" s="33">
        <v>10.0</v>
      </c>
      <c r="W204" s="33">
        <v>5.0</v>
      </c>
      <c r="X204" s="33">
        <v>92.0</v>
      </c>
      <c r="Y204" s="33">
        <v>10.0</v>
      </c>
      <c r="Z204" s="33">
        <v>15.0</v>
      </c>
      <c r="AA204" s="33">
        <v>98.0</v>
      </c>
      <c r="AB204" s="33">
        <v>95.0</v>
      </c>
      <c r="AC204" s="33">
        <v>35.0</v>
      </c>
      <c r="AD204" s="33">
        <v>5.0</v>
      </c>
      <c r="AE204" s="33">
        <v>92.0</v>
      </c>
      <c r="AF204" s="33">
        <v>98.0</v>
      </c>
      <c r="AG204" s="33">
        <v>90.0</v>
      </c>
      <c r="AH204" s="33">
        <v>98.0</v>
      </c>
      <c r="AI204" s="33">
        <v>92.0</v>
      </c>
      <c r="AJ204" s="33">
        <v>98.0</v>
      </c>
      <c r="AK204" s="33">
        <v>94.0</v>
      </c>
      <c r="AL204" s="33">
        <v>98.0</v>
      </c>
      <c r="AM204" s="33">
        <v>100.0</v>
      </c>
      <c r="AN204" s="33">
        <v>100.0</v>
      </c>
      <c r="AO204" s="33">
        <v>100.0</v>
      </c>
      <c r="AP204" s="18" t="s">
        <v>1565</v>
      </c>
      <c r="AQ204" s="18" t="s">
        <v>1566</v>
      </c>
      <c r="AR204" s="20" t="s">
        <v>62</v>
      </c>
      <c r="AS204" s="20" t="s">
        <v>63</v>
      </c>
      <c r="AT204" s="20" t="s">
        <v>64</v>
      </c>
      <c r="AU204" s="21" t="s">
        <v>64</v>
      </c>
      <c r="AV204" s="22" t="s">
        <v>65</v>
      </c>
      <c r="AW204" s="94" t="s">
        <v>1567</v>
      </c>
      <c r="AX204" s="34"/>
      <c r="BA204" s="34"/>
      <c r="BB204" s="34"/>
    </row>
    <row r="205">
      <c r="A205" s="25" t="s">
        <v>1568</v>
      </c>
      <c r="B205" s="26" t="s">
        <v>1569</v>
      </c>
      <c r="C205" s="27" t="s">
        <v>1493</v>
      </c>
      <c r="D205" s="27" t="s">
        <v>52</v>
      </c>
      <c r="E205" s="27" t="s">
        <v>53</v>
      </c>
      <c r="F205" s="27" t="s">
        <v>1570</v>
      </c>
      <c r="G205" s="29">
        <v>1799.0</v>
      </c>
      <c r="H205" s="36">
        <f t="shared" si="1"/>
        <v>1709.05</v>
      </c>
      <c r="I205" s="96" t="s">
        <v>1199</v>
      </c>
      <c r="J205" s="30" t="s">
        <v>465</v>
      </c>
      <c r="K205" s="30" t="s">
        <v>243</v>
      </c>
      <c r="L205" s="31" t="s">
        <v>1571</v>
      </c>
      <c r="M205" s="31" t="s">
        <v>1572</v>
      </c>
      <c r="N205" s="33">
        <v>100.0</v>
      </c>
      <c r="O205" s="33">
        <v>100.0</v>
      </c>
      <c r="P205" s="33">
        <v>100.0</v>
      </c>
      <c r="Q205" s="33">
        <v>42.0</v>
      </c>
      <c r="R205" s="33">
        <v>10.0</v>
      </c>
      <c r="S205" s="33">
        <v>90.0</v>
      </c>
      <c r="T205" s="33">
        <v>25.0</v>
      </c>
      <c r="U205" s="33">
        <v>20.0</v>
      </c>
      <c r="V205" s="33">
        <v>15.0</v>
      </c>
      <c r="W205" s="33">
        <v>10.0</v>
      </c>
      <c r="X205" s="33">
        <v>90.0</v>
      </c>
      <c r="Y205" s="33">
        <v>15.0</v>
      </c>
      <c r="Z205" s="33">
        <v>15.0</v>
      </c>
      <c r="AA205" s="33">
        <v>98.0</v>
      </c>
      <c r="AB205" s="33">
        <v>98.0</v>
      </c>
      <c r="AC205" s="33">
        <v>40.0</v>
      </c>
      <c r="AD205" s="33">
        <v>5.0</v>
      </c>
      <c r="AE205" s="33">
        <v>95.0</v>
      </c>
      <c r="AF205" s="33">
        <v>98.0</v>
      </c>
      <c r="AG205" s="33">
        <v>90.0</v>
      </c>
      <c r="AH205" s="33">
        <v>98.0</v>
      </c>
      <c r="AI205" s="33">
        <v>95.0</v>
      </c>
      <c r="AJ205" s="33">
        <v>98.0</v>
      </c>
      <c r="AK205" s="33">
        <v>96.0</v>
      </c>
      <c r="AL205" s="33">
        <v>98.0</v>
      </c>
      <c r="AM205" s="33">
        <v>100.0</v>
      </c>
      <c r="AN205" s="33">
        <v>100.0</v>
      </c>
      <c r="AO205" s="33">
        <v>100.0</v>
      </c>
      <c r="AP205" s="18" t="s">
        <v>1573</v>
      </c>
      <c r="AQ205" s="18" t="s">
        <v>1574</v>
      </c>
      <c r="AR205" s="20" t="s">
        <v>62</v>
      </c>
      <c r="AS205" s="20" t="s">
        <v>63</v>
      </c>
      <c r="AT205" s="20" t="s">
        <v>64</v>
      </c>
      <c r="AU205" s="21" t="s">
        <v>64</v>
      </c>
      <c r="AV205" s="22" t="s">
        <v>65</v>
      </c>
      <c r="AW205" s="94" t="s">
        <v>1575</v>
      </c>
      <c r="AX205" s="34"/>
      <c r="BA205" s="34"/>
      <c r="BB205" s="34"/>
    </row>
    <row r="206">
      <c r="A206" s="25" t="s">
        <v>1576</v>
      </c>
      <c r="B206" s="26" t="s">
        <v>1577</v>
      </c>
      <c r="C206" s="27" t="s">
        <v>1493</v>
      </c>
      <c r="D206" s="27" t="s">
        <v>52</v>
      </c>
      <c r="E206" s="27" t="s">
        <v>69</v>
      </c>
      <c r="F206" s="27" t="s">
        <v>70</v>
      </c>
      <c r="G206" s="29">
        <v>2999.0</v>
      </c>
      <c r="H206" s="36">
        <f t="shared" si="1"/>
        <v>2849.05</v>
      </c>
      <c r="I206" s="96" t="s">
        <v>1199</v>
      </c>
      <c r="J206" s="30" t="s">
        <v>358</v>
      </c>
      <c r="K206" s="30" t="s">
        <v>1578</v>
      </c>
      <c r="L206" s="31" t="s">
        <v>114</v>
      </c>
      <c r="M206" s="31" t="s">
        <v>1579</v>
      </c>
      <c r="N206" s="33">
        <v>100.0</v>
      </c>
      <c r="O206" s="33">
        <v>100.0</v>
      </c>
      <c r="P206" s="33">
        <v>100.0</v>
      </c>
      <c r="Q206" s="33">
        <v>90.0</v>
      </c>
      <c r="R206" s="33">
        <v>15.0</v>
      </c>
      <c r="S206" s="33">
        <v>72.0</v>
      </c>
      <c r="T206" s="33">
        <v>92.0</v>
      </c>
      <c r="U206" s="33">
        <v>95.0</v>
      </c>
      <c r="V206" s="33">
        <v>98.0</v>
      </c>
      <c r="W206" s="33">
        <v>98.0</v>
      </c>
      <c r="X206" s="33">
        <v>78.0</v>
      </c>
      <c r="Y206" s="33">
        <v>72.0</v>
      </c>
      <c r="Z206" s="33">
        <v>25.0</v>
      </c>
      <c r="AA206" s="33">
        <v>92.0</v>
      </c>
      <c r="AB206" s="33">
        <v>82.0</v>
      </c>
      <c r="AC206" s="33">
        <v>95.0</v>
      </c>
      <c r="AD206" s="33">
        <v>20.0</v>
      </c>
      <c r="AE206" s="33">
        <v>98.0</v>
      </c>
      <c r="AF206" s="33">
        <v>95.0</v>
      </c>
      <c r="AG206" s="33">
        <v>72.0</v>
      </c>
      <c r="AH206" s="33">
        <v>68.0</v>
      </c>
      <c r="AI206" s="33">
        <v>95.0</v>
      </c>
      <c r="AJ206" s="33">
        <v>92.0</v>
      </c>
      <c r="AK206" s="33">
        <v>98.0</v>
      </c>
      <c r="AL206" s="33">
        <v>95.0</v>
      </c>
      <c r="AM206" s="33">
        <v>0.0</v>
      </c>
      <c r="AN206" s="33">
        <v>100.0</v>
      </c>
      <c r="AO206" s="33">
        <v>100.0</v>
      </c>
      <c r="AP206" s="18" t="s">
        <v>1580</v>
      </c>
      <c r="AQ206" s="18" t="s">
        <v>1581</v>
      </c>
      <c r="AR206" s="20" t="s">
        <v>166</v>
      </c>
      <c r="AS206" s="20" t="s">
        <v>167</v>
      </c>
      <c r="AT206" s="20" t="s">
        <v>168</v>
      </c>
      <c r="AU206" s="21" t="s">
        <v>168</v>
      </c>
      <c r="AV206" s="22" t="s">
        <v>1582</v>
      </c>
      <c r="AW206" s="94" t="s">
        <v>1583</v>
      </c>
      <c r="AX206" s="34"/>
      <c r="BA206" s="34"/>
      <c r="BB206" s="34"/>
    </row>
    <row r="207">
      <c r="A207" s="25" t="s">
        <v>1584</v>
      </c>
      <c r="B207" s="26" t="s">
        <v>1585</v>
      </c>
      <c r="C207" s="27" t="s">
        <v>1493</v>
      </c>
      <c r="D207" s="27" t="s">
        <v>52</v>
      </c>
      <c r="E207" s="27" t="s">
        <v>125</v>
      </c>
      <c r="F207" s="27" t="s">
        <v>54</v>
      </c>
      <c r="G207" s="27">
        <v>2199.0</v>
      </c>
      <c r="H207" s="36">
        <f t="shared" si="1"/>
        <v>2089.05</v>
      </c>
      <c r="I207" s="96" t="s">
        <v>1199</v>
      </c>
      <c r="J207" s="30" t="s">
        <v>358</v>
      </c>
      <c r="K207" s="30" t="s">
        <v>1586</v>
      </c>
      <c r="L207" s="31" t="s">
        <v>1145</v>
      </c>
      <c r="M207" s="31" t="s">
        <v>1587</v>
      </c>
      <c r="N207" s="33">
        <v>0.0</v>
      </c>
      <c r="O207" s="33">
        <v>100.0</v>
      </c>
      <c r="P207" s="33">
        <v>100.0</v>
      </c>
      <c r="Q207" s="33">
        <v>85.0</v>
      </c>
      <c r="R207" s="33">
        <v>15.0</v>
      </c>
      <c r="S207" s="33">
        <v>65.0</v>
      </c>
      <c r="T207" s="33">
        <v>95.0</v>
      </c>
      <c r="U207" s="33">
        <v>92.0</v>
      </c>
      <c r="V207" s="33">
        <v>98.0</v>
      </c>
      <c r="W207" s="33">
        <v>95.0</v>
      </c>
      <c r="X207" s="33">
        <v>72.0</v>
      </c>
      <c r="Y207" s="33">
        <v>82.0</v>
      </c>
      <c r="Z207" s="33">
        <v>20.0</v>
      </c>
      <c r="AA207" s="33">
        <v>90.0</v>
      </c>
      <c r="AB207" s="33">
        <v>75.0</v>
      </c>
      <c r="AC207" s="33">
        <v>92.0</v>
      </c>
      <c r="AD207" s="33">
        <v>15.0</v>
      </c>
      <c r="AE207" s="33">
        <v>98.0</v>
      </c>
      <c r="AF207" s="33">
        <v>90.0</v>
      </c>
      <c r="AG207" s="33">
        <v>65.0</v>
      </c>
      <c r="AH207" s="33">
        <v>60.0</v>
      </c>
      <c r="AI207" s="33">
        <v>92.0</v>
      </c>
      <c r="AJ207" s="33">
        <v>90.0</v>
      </c>
      <c r="AK207" s="33">
        <v>98.0</v>
      </c>
      <c r="AL207" s="33">
        <v>90.0</v>
      </c>
      <c r="AM207" s="33">
        <v>0.0</v>
      </c>
      <c r="AN207" s="33">
        <v>100.0</v>
      </c>
      <c r="AO207" s="33">
        <v>100.0</v>
      </c>
      <c r="AP207" s="18" t="s">
        <v>1588</v>
      </c>
      <c r="AQ207" s="18" t="s">
        <v>1589</v>
      </c>
      <c r="AR207" s="20" t="s">
        <v>132</v>
      </c>
      <c r="AS207" s="20" t="s">
        <v>63</v>
      </c>
      <c r="AT207" s="20" t="s">
        <v>133</v>
      </c>
      <c r="AU207" s="21" t="s">
        <v>133</v>
      </c>
      <c r="AV207" s="22" t="s">
        <v>1590</v>
      </c>
      <c r="AW207" s="94" t="s">
        <v>1591</v>
      </c>
      <c r="AX207" s="52"/>
      <c r="BA207" s="34"/>
      <c r="BB207" s="34"/>
    </row>
    <row r="208" hidden="1">
      <c r="A208" s="25" t="s">
        <v>1592</v>
      </c>
      <c r="B208" s="26" t="s">
        <v>1593</v>
      </c>
      <c r="C208" s="27" t="s">
        <v>1594</v>
      </c>
      <c r="D208" s="27" t="s">
        <v>52</v>
      </c>
      <c r="E208" s="35" t="s">
        <v>84</v>
      </c>
      <c r="F208" s="27" t="s">
        <v>85</v>
      </c>
      <c r="G208" s="29">
        <v>550.0</v>
      </c>
      <c r="H208" s="36">
        <f t="shared" si="1"/>
        <v>522.5</v>
      </c>
      <c r="I208" s="97" t="s">
        <v>55</v>
      </c>
      <c r="J208" s="30" t="s">
        <v>465</v>
      </c>
      <c r="K208" s="30" t="s">
        <v>832</v>
      </c>
      <c r="L208" s="31" t="s">
        <v>1595</v>
      </c>
      <c r="M208" s="31" t="s">
        <v>1061</v>
      </c>
      <c r="N208" s="33">
        <v>100.0</v>
      </c>
      <c r="O208" s="33">
        <v>100.0</v>
      </c>
      <c r="P208" s="33">
        <v>100.0</v>
      </c>
      <c r="Q208" s="33">
        <v>55.0</v>
      </c>
      <c r="R208" s="33">
        <v>10.0</v>
      </c>
      <c r="S208" s="33">
        <v>92.0</v>
      </c>
      <c r="T208" s="33">
        <v>45.0</v>
      </c>
      <c r="U208" s="33">
        <v>82.0</v>
      </c>
      <c r="V208" s="33">
        <v>85.0</v>
      </c>
      <c r="W208" s="33">
        <v>65.0</v>
      </c>
      <c r="X208" s="33">
        <v>90.0</v>
      </c>
      <c r="Y208" s="33">
        <v>30.0</v>
      </c>
      <c r="Z208" s="33">
        <v>35.0</v>
      </c>
      <c r="AA208" s="33">
        <v>90.0</v>
      </c>
      <c r="AB208" s="33">
        <v>95.0</v>
      </c>
      <c r="AC208" s="33">
        <v>90.0</v>
      </c>
      <c r="AD208" s="33">
        <v>15.0</v>
      </c>
      <c r="AE208" s="33">
        <v>90.0</v>
      </c>
      <c r="AF208" s="33">
        <v>92.0</v>
      </c>
      <c r="AG208" s="33">
        <v>95.0</v>
      </c>
      <c r="AH208" s="33">
        <v>98.0</v>
      </c>
      <c r="AI208" s="33">
        <v>92.0</v>
      </c>
      <c r="AJ208" s="33">
        <v>95.0</v>
      </c>
      <c r="AK208" s="33">
        <v>90.0</v>
      </c>
      <c r="AL208" s="33">
        <v>94.0</v>
      </c>
      <c r="AM208" s="33">
        <v>100.0</v>
      </c>
      <c r="AN208" s="33">
        <v>100.0</v>
      </c>
      <c r="AO208" s="33">
        <v>100.0</v>
      </c>
      <c r="AP208" s="18" t="s">
        <v>1596</v>
      </c>
      <c r="AQ208" s="18" t="s">
        <v>1597</v>
      </c>
      <c r="AR208" s="20" t="s">
        <v>92</v>
      </c>
      <c r="AS208" s="20" t="s">
        <v>93</v>
      </c>
      <c r="AT208" s="20" t="s">
        <v>94</v>
      </c>
      <c r="AU208" s="21" t="s">
        <v>94</v>
      </c>
      <c r="AV208" s="22" t="s">
        <v>1598</v>
      </c>
      <c r="AW208" s="94" t="s">
        <v>1599</v>
      </c>
      <c r="BA208" s="34"/>
      <c r="BB208" s="34"/>
    </row>
    <row r="209" hidden="1">
      <c r="A209" s="25" t="s">
        <v>1600</v>
      </c>
      <c r="B209" s="26" t="s">
        <v>1601</v>
      </c>
      <c r="C209" s="27" t="s">
        <v>1594</v>
      </c>
      <c r="D209" s="27" t="s">
        <v>52</v>
      </c>
      <c r="E209" s="27" t="s">
        <v>53</v>
      </c>
      <c r="F209" s="27" t="s">
        <v>54</v>
      </c>
      <c r="G209" s="29">
        <v>345.0</v>
      </c>
      <c r="H209" s="36">
        <f t="shared" si="1"/>
        <v>327.75</v>
      </c>
      <c r="I209" s="97" t="s">
        <v>55</v>
      </c>
      <c r="J209" s="30" t="s">
        <v>242</v>
      </c>
      <c r="K209" s="30" t="s">
        <v>1602</v>
      </c>
      <c r="L209" s="31" t="s">
        <v>1595</v>
      </c>
      <c r="M209" s="31" t="s">
        <v>1603</v>
      </c>
      <c r="N209" s="33">
        <v>100.0</v>
      </c>
      <c r="O209" s="33">
        <v>100.0</v>
      </c>
      <c r="P209" s="33">
        <v>100.0</v>
      </c>
      <c r="Q209" s="33">
        <v>35.0</v>
      </c>
      <c r="R209" s="33">
        <v>10.0</v>
      </c>
      <c r="S209" s="33">
        <v>82.0</v>
      </c>
      <c r="T209" s="33">
        <v>15.0</v>
      </c>
      <c r="U209" s="33">
        <v>15.0</v>
      </c>
      <c r="V209" s="33">
        <v>10.0</v>
      </c>
      <c r="W209" s="33">
        <v>5.0</v>
      </c>
      <c r="X209" s="33">
        <v>78.0</v>
      </c>
      <c r="Y209" s="33">
        <v>10.0</v>
      </c>
      <c r="Z209" s="33">
        <v>15.0</v>
      </c>
      <c r="AA209" s="33">
        <v>90.0</v>
      </c>
      <c r="AB209" s="33">
        <v>90.0</v>
      </c>
      <c r="AC209" s="33">
        <v>35.0</v>
      </c>
      <c r="AD209" s="33">
        <v>5.0</v>
      </c>
      <c r="AE209" s="33">
        <v>90.0</v>
      </c>
      <c r="AF209" s="33">
        <v>95.0</v>
      </c>
      <c r="AG209" s="33">
        <v>82.0</v>
      </c>
      <c r="AH209" s="33">
        <v>90.0</v>
      </c>
      <c r="AI209" s="33">
        <v>90.0</v>
      </c>
      <c r="AJ209" s="33">
        <v>95.0</v>
      </c>
      <c r="AK209" s="33">
        <v>92.0</v>
      </c>
      <c r="AL209" s="33">
        <v>95.0</v>
      </c>
      <c r="AM209" s="33">
        <v>0.0</v>
      </c>
      <c r="AN209" s="33">
        <v>100.0</v>
      </c>
      <c r="AO209" s="33">
        <v>100.0</v>
      </c>
      <c r="AP209" s="18" t="s">
        <v>1604</v>
      </c>
      <c r="AQ209" s="18" t="s">
        <v>1605</v>
      </c>
      <c r="AR209" s="20" t="s">
        <v>62</v>
      </c>
      <c r="AS209" s="20" t="s">
        <v>63</v>
      </c>
      <c r="AT209" s="20" t="s">
        <v>64</v>
      </c>
      <c r="AU209" s="21" t="s">
        <v>64</v>
      </c>
      <c r="AV209" s="22" t="s">
        <v>65</v>
      </c>
      <c r="AW209" s="98" t="s">
        <v>1606</v>
      </c>
      <c r="BA209" s="34"/>
      <c r="BB209" s="34"/>
    </row>
    <row r="210" hidden="1">
      <c r="A210" s="25" t="s">
        <v>1607</v>
      </c>
      <c r="B210" s="26" t="s">
        <v>1608</v>
      </c>
      <c r="C210" s="27" t="s">
        <v>1594</v>
      </c>
      <c r="D210" s="27" t="s">
        <v>52</v>
      </c>
      <c r="E210" s="27" t="s">
        <v>69</v>
      </c>
      <c r="F210" s="27" t="s">
        <v>70</v>
      </c>
      <c r="G210" s="29">
        <v>695.0</v>
      </c>
      <c r="H210" s="36">
        <f t="shared" si="1"/>
        <v>660.25</v>
      </c>
      <c r="I210" s="97" t="s">
        <v>55</v>
      </c>
      <c r="J210" s="30" t="s">
        <v>253</v>
      </c>
      <c r="K210" s="30" t="s">
        <v>162</v>
      </c>
      <c r="L210" s="31" t="s">
        <v>104</v>
      </c>
      <c r="M210" s="31" t="s">
        <v>1609</v>
      </c>
      <c r="N210" s="33">
        <v>0.0</v>
      </c>
      <c r="O210" s="33">
        <v>100.0</v>
      </c>
      <c r="P210" s="33">
        <v>100.0</v>
      </c>
      <c r="Q210" s="33">
        <v>95.0</v>
      </c>
      <c r="R210" s="33">
        <v>20.0</v>
      </c>
      <c r="S210" s="33">
        <v>55.0</v>
      </c>
      <c r="T210" s="33">
        <v>92.0</v>
      </c>
      <c r="U210" s="33">
        <v>72.0</v>
      </c>
      <c r="V210" s="33">
        <v>68.0</v>
      </c>
      <c r="W210" s="33">
        <v>35.0</v>
      </c>
      <c r="X210" s="33">
        <v>68.0</v>
      </c>
      <c r="Y210" s="33">
        <v>98.0</v>
      </c>
      <c r="Z210" s="33">
        <v>20.0</v>
      </c>
      <c r="AA210" s="33">
        <v>75.0</v>
      </c>
      <c r="AB210" s="33">
        <v>68.0</v>
      </c>
      <c r="AC210" s="33">
        <v>72.0</v>
      </c>
      <c r="AD210" s="33">
        <v>10.0</v>
      </c>
      <c r="AE210" s="33">
        <v>98.0</v>
      </c>
      <c r="AF210" s="33">
        <v>90.0</v>
      </c>
      <c r="AG210" s="33">
        <v>55.0</v>
      </c>
      <c r="AH210" s="33">
        <v>48.0</v>
      </c>
      <c r="AI210" s="33">
        <v>92.0</v>
      </c>
      <c r="AJ210" s="33">
        <v>82.0</v>
      </c>
      <c r="AK210" s="33">
        <v>98.0</v>
      </c>
      <c r="AL210" s="33">
        <v>90.0</v>
      </c>
      <c r="AM210" s="33">
        <v>-100.0</v>
      </c>
      <c r="AN210" s="33">
        <v>100.0</v>
      </c>
      <c r="AO210" s="33">
        <v>100.0</v>
      </c>
      <c r="AP210" s="18" t="s">
        <v>1610</v>
      </c>
      <c r="AQ210" s="18" t="s">
        <v>1611</v>
      </c>
      <c r="AR210" s="20" t="s">
        <v>166</v>
      </c>
      <c r="AS210" s="20" t="s">
        <v>167</v>
      </c>
      <c r="AT210" s="20" t="s">
        <v>168</v>
      </c>
      <c r="AU210" s="21" t="s">
        <v>168</v>
      </c>
      <c r="AV210" s="22" t="s">
        <v>395</v>
      </c>
      <c r="AW210" s="94" t="s">
        <v>1612</v>
      </c>
      <c r="AX210" s="34"/>
      <c r="BA210" s="34"/>
      <c r="BB210" s="34"/>
    </row>
    <row r="211" hidden="1">
      <c r="A211" s="25" t="s">
        <v>1613</v>
      </c>
      <c r="B211" s="26" t="s">
        <v>1614</v>
      </c>
      <c r="C211" s="27" t="s">
        <v>1594</v>
      </c>
      <c r="D211" s="27" t="s">
        <v>52</v>
      </c>
      <c r="E211" s="27" t="s">
        <v>69</v>
      </c>
      <c r="F211" s="27" t="s">
        <v>70</v>
      </c>
      <c r="G211" s="29">
        <v>649.0</v>
      </c>
      <c r="H211" s="36">
        <f t="shared" si="1"/>
        <v>616.55</v>
      </c>
      <c r="I211" s="97" t="s">
        <v>55</v>
      </c>
      <c r="J211" s="30" t="s">
        <v>253</v>
      </c>
      <c r="K211" s="30" t="s">
        <v>1615</v>
      </c>
      <c r="L211" s="31" t="s">
        <v>234</v>
      </c>
      <c r="M211" s="31" t="s">
        <v>1616</v>
      </c>
      <c r="N211" s="33">
        <v>100.0</v>
      </c>
      <c r="O211" s="33">
        <v>100.0</v>
      </c>
      <c r="P211" s="33">
        <v>100.0</v>
      </c>
      <c r="Q211" s="33">
        <v>90.0</v>
      </c>
      <c r="R211" s="33">
        <v>15.0</v>
      </c>
      <c r="S211" s="33">
        <v>68.0</v>
      </c>
      <c r="T211" s="33">
        <v>90.0</v>
      </c>
      <c r="U211" s="33">
        <v>95.0</v>
      </c>
      <c r="V211" s="33">
        <v>98.0</v>
      </c>
      <c r="W211" s="33">
        <v>90.0</v>
      </c>
      <c r="X211" s="33">
        <v>72.0</v>
      </c>
      <c r="Y211" s="33">
        <v>75.0</v>
      </c>
      <c r="Z211" s="33">
        <v>25.0</v>
      </c>
      <c r="AA211" s="33">
        <v>82.0</v>
      </c>
      <c r="AB211" s="33">
        <v>78.0</v>
      </c>
      <c r="AC211" s="33">
        <v>95.0</v>
      </c>
      <c r="AD211" s="33">
        <v>15.0</v>
      </c>
      <c r="AE211" s="33">
        <v>98.0</v>
      </c>
      <c r="AF211" s="33">
        <v>90.0</v>
      </c>
      <c r="AG211" s="33">
        <v>68.0</v>
      </c>
      <c r="AH211" s="33">
        <v>62.0</v>
      </c>
      <c r="AI211" s="33">
        <v>92.0</v>
      </c>
      <c r="AJ211" s="33">
        <v>85.0</v>
      </c>
      <c r="AK211" s="33">
        <v>98.0</v>
      </c>
      <c r="AL211" s="33">
        <v>90.0</v>
      </c>
      <c r="AM211" s="33">
        <v>0.0</v>
      </c>
      <c r="AN211" s="33">
        <v>100.0</v>
      </c>
      <c r="AO211" s="33">
        <v>100.0</v>
      </c>
      <c r="AP211" s="18" t="s">
        <v>1617</v>
      </c>
      <c r="AQ211" s="18" t="s">
        <v>1618</v>
      </c>
      <c r="AR211" s="20" t="s">
        <v>166</v>
      </c>
      <c r="AS211" s="20" t="s">
        <v>167</v>
      </c>
      <c r="AT211" s="20" t="s">
        <v>168</v>
      </c>
      <c r="AU211" s="21" t="s">
        <v>168</v>
      </c>
      <c r="AV211" s="22" t="s">
        <v>1619</v>
      </c>
      <c r="AW211" s="94" t="s">
        <v>1620</v>
      </c>
      <c r="AX211" s="34"/>
      <c r="BA211" s="34"/>
      <c r="BB211" s="34"/>
    </row>
    <row r="212" hidden="1">
      <c r="A212" s="25" t="s">
        <v>1621</v>
      </c>
      <c r="B212" s="26" t="s">
        <v>1622</v>
      </c>
      <c r="C212" s="27" t="s">
        <v>1594</v>
      </c>
      <c r="D212" s="27" t="s">
        <v>52</v>
      </c>
      <c r="E212" s="27" t="s">
        <v>69</v>
      </c>
      <c r="F212" s="27" t="s">
        <v>70</v>
      </c>
      <c r="G212" s="29">
        <v>695.0</v>
      </c>
      <c r="H212" s="36">
        <f t="shared" si="1"/>
        <v>660.25</v>
      </c>
      <c r="I212" s="97" t="s">
        <v>55</v>
      </c>
      <c r="J212" s="30" t="s">
        <v>253</v>
      </c>
      <c r="K212" s="30" t="s">
        <v>817</v>
      </c>
      <c r="L212" s="31" t="s">
        <v>1623</v>
      </c>
      <c r="M212" s="31" t="s">
        <v>1624</v>
      </c>
      <c r="N212" s="33">
        <v>100.0</v>
      </c>
      <c r="O212" s="33">
        <v>100.0</v>
      </c>
      <c r="P212" s="33">
        <v>100.0</v>
      </c>
      <c r="Q212" s="33">
        <v>55.0</v>
      </c>
      <c r="R212" s="33">
        <v>10.0</v>
      </c>
      <c r="S212" s="33">
        <v>72.0</v>
      </c>
      <c r="T212" s="33">
        <v>45.0</v>
      </c>
      <c r="U212" s="33">
        <v>95.0</v>
      </c>
      <c r="V212" s="33">
        <v>98.0</v>
      </c>
      <c r="W212" s="33">
        <v>95.0</v>
      </c>
      <c r="X212" s="33">
        <v>65.0</v>
      </c>
      <c r="Y212" s="33">
        <v>35.0</v>
      </c>
      <c r="Z212" s="33">
        <v>25.0</v>
      </c>
      <c r="AA212" s="33">
        <v>82.0</v>
      </c>
      <c r="AB212" s="33">
        <v>78.0</v>
      </c>
      <c r="AC212" s="33">
        <v>95.0</v>
      </c>
      <c r="AD212" s="33">
        <v>20.0</v>
      </c>
      <c r="AE212" s="33">
        <v>92.0</v>
      </c>
      <c r="AF212" s="33">
        <v>90.0</v>
      </c>
      <c r="AG212" s="33">
        <v>72.0</v>
      </c>
      <c r="AH212" s="33">
        <v>68.0</v>
      </c>
      <c r="AI212" s="33">
        <v>90.0</v>
      </c>
      <c r="AJ212" s="33">
        <v>85.0</v>
      </c>
      <c r="AK212" s="33">
        <v>92.0</v>
      </c>
      <c r="AL212" s="33">
        <v>90.0</v>
      </c>
      <c r="AM212" s="33">
        <v>0.0</v>
      </c>
      <c r="AN212" s="33">
        <v>100.0</v>
      </c>
      <c r="AO212" s="33">
        <v>100.0</v>
      </c>
      <c r="AP212" s="18" t="s">
        <v>1625</v>
      </c>
      <c r="AQ212" s="18" t="s">
        <v>1626</v>
      </c>
      <c r="AR212" s="20" t="s">
        <v>166</v>
      </c>
      <c r="AS212" s="20" t="s">
        <v>167</v>
      </c>
      <c r="AT212" s="20" t="s">
        <v>168</v>
      </c>
      <c r="AU212" s="21" t="s">
        <v>168</v>
      </c>
      <c r="AV212" s="22" t="s">
        <v>1627</v>
      </c>
      <c r="AW212" s="94" t="s">
        <v>1628</v>
      </c>
      <c r="BA212" s="34"/>
      <c r="BB212" s="34"/>
    </row>
    <row r="213" hidden="1">
      <c r="A213" s="25" t="s">
        <v>1629</v>
      </c>
      <c r="B213" s="26" t="s">
        <v>1630</v>
      </c>
      <c r="C213" s="27" t="s">
        <v>1594</v>
      </c>
      <c r="D213" s="27" t="s">
        <v>52</v>
      </c>
      <c r="E213" s="27" t="s">
        <v>69</v>
      </c>
      <c r="F213" s="27" t="s">
        <v>70</v>
      </c>
      <c r="G213" s="29">
        <v>545.0</v>
      </c>
      <c r="H213" s="36">
        <f t="shared" si="1"/>
        <v>517.75</v>
      </c>
      <c r="I213" s="97" t="s">
        <v>55</v>
      </c>
      <c r="J213" s="30" t="s">
        <v>465</v>
      </c>
      <c r="K213" s="30" t="s">
        <v>202</v>
      </c>
      <c r="L213" s="31" t="s">
        <v>267</v>
      </c>
      <c r="M213" s="31" t="s">
        <v>1631</v>
      </c>
      <c r="N213" s="33">
        <v>100.0</v>
      </c>
      <c r="O213" s="33">
        <v>100.0</v>
      </c>
      <c r="P213" s="33">
        <v>100.0</v>
      </c>
      <c r="Q213" s="33">
        <v>35.0</v>
      </c>
      <c r="R213" s="33">
        <v>10.0</v>
      </c>
      <c r="S213" s="33">
        <v>98.0</v>
      </c>
      <c r="T213" s="33">
        <v>15.0</v>
      </c>
      <c r="U213" s="33">
        <v>20.0</v>
      </c>
      <c r="V213" s="33">
        <v>15.0</v>
      </c>
      <c r="W213" s="33">
        <v>10.0</v>
      </c>
      <c r="X213" s="33">
        <v>82.0</v>
      </c>
      <c r="Y213" s="33">
        <v>10.0</v>
      </c>
      <c r="Z213" s="33">
        <v>15.0</v>
      </c>
      <c r="AA213" s="33">
        <v>92.0</v>
      </c>
      <c r="AB213" s="33">
        <v>98.0</v>
      </c>
      <c r="AC213" s="33">
        <v>45.0</v>
      </c>
      <c r="AD213" s="33">
        <v>5.0</v>
      </c>
      <c r="AE213" s="33">
        <v>92.0</v>
      </c>
      <c r="AF213" s="33">
        <v>98.0</v>
      </c>
      <c r="AG213" s="33">
        <v>98.0</v>
      </c>
      <c r="AH213" s="33">
        <v>98.0</v>
      </c>
      <c r="AI213" s="33">
        <v>95.0</v>
      </c>
      <c r="AJ213" s="33">
        <v>98.0</v>
      </c>
      <c r="AK213" s="33">
        <v>94.0</v>
      </c>
      <c r="AL213" s="33">
        <v>98.0</v>
      </c>
      <c r="AM213" s="33">
        <v>100.0</v>
      </c>
      <c r="AN213" s="33">
        <v>100.0</v>
      </c>
      <c r="AO213" s="33">
        <v>100.0</v>
      </c>
      <c r="AP213" s="18" t="s">
        <v>1632</v>
      </c>
      <c r="AQ213" s="18" t="s">
        <v>1633</v>
      </c>
      <c r="AR213" s="20" t="s">
        <v>166</v>
      </c>
      <c r="AS213" s="20" t="s">
        <v>167</v>
      </c>
      <c r="AT213" s="20" t="s">
        <v>168</v>
      </c>
      <c r="AU213" s="21" t="s">
        <v>168</v>
      </c>
      <c r="AV213" s="22" t="s">
        <v>95</v>
      </c>
      <c r="AW213" s="98" t="s">
        <v>1634</v>
      </c>
      <c r="AZ213" s="34"/>
      <c r="BA213" s="34"/>
      <c r="BB213" s="34"/>
    </row>
    <row r="214" hidden="1">
      <c r="A214" s="25" t="s">
        <v>1635</v>
      </c>
      <c r="B214" s="26" t="s">
        <v>1636</v>
      </c>
      <c r="C214" s="27" t="s">
        <v>1594</v>
      </c>
      <c r="D214" s="27" t="s">
        <v>52</v>
      </c>
      <c r="E214" s="35" t="s">
        <v>84</v>
      </c>
      <c r="F214" s="27" t="s">
        <v>85</v>
      </c>
      <c r="G214" s="29">
        <v>650.0</v>
      </c>
      <c r="H214" s="36">
        <f t="shared" si="1"/>
        <v>617.5</v>
      </c>
      <c r="I214" s="97" t="s">
        <v>55</v>
      </c>
      <c r="J214" s="30" t="s">
        <v>71</v>
      </c>
      <c r="K214" s="30" t="s">
        <v>25</v>
      </c>
      <c r="L214" s="31" t="s">
        <v>1637</v>
      </c>
      <c r="M214" s="31" t="s">
        <v>1638</v>
      </c>
      <c r="N214" s="33">
        <v>-100.0</v>
      </c>
      <c r="O214" s="33">
        <v>100.0</v>
      </c>
      <c r="P214" s="33">
        <v>100.0</v>
      </c>
      <c r="Q214" s="33">
        <v>82.0</v>
      </c>
      <c r="R214" s="33">
        <v>10.0</v>
      </c>
      <c r="S214" s="33">
        <v>82.0</v>
      </c>
      <c r="T214" s="33">
        <v>72.0</v>
      </c>
      <c r="U214" s="33">
        <v>45.0</v>
      </c>
      <c r="V214" s="33">
        <v>35.0</v>
      </c>
      <c r="W214" s="33">
        <v>20.0</v>
      </c>
      <c r="X214" s="33">
        <v>82.0</v>
      </c>
      <c r="Y214" s="33">
        <v>78.0</v>
      </c>
      <c r="Z214" s="33">
        <v>98.0</v>
      </c>
      <c r="AA214" s="33">
        <v>68.0</v>
      </c>
      <c r="AB214" s="33">
        <v>82.0</v>
      </c>
      <c r="AC214" s="33">
        <v>65.0</v>
      </c>
      <c r="AD214" s="33">
        <v>10.0</v>
      </c>
      <c r="AE214" s="33">
        <v>90.0</v>
      </c>
      <c r="AF214" s="33">
        <v>68.0</v>
      </c>
      <c r="AG214" s="33">
        <v>82.0</v>
      </c>
      <c r="AH214" s="33">
        <v>72.0</v>
      </c>
      <c r="AI214" s="33">
        <v>90.0</v>
      </c>
      <c r="AJ214" s="33">
        <v>72.0</v>
      </c>
      <c r="AK214" s="33">
        <v>90.0</v>
      </c>
      <c r="AL214" s="33">
        <v>72.0</v>
      </c>
      <c r="AM214" s="33">
        <v>0.0</v>
      </c>
      <c r="AN214" s="33">
        <v>-100.0</v>
      </c>
      <c r="AO214" s="33">
        <v>-100.0</v>
      </c>
      <c r="AP214" s="18" t="s">
        <v>1639</v>
      </c>
      <c r="AQ214" s="18" t="s">
        <v>1640</v>
      </c>
      <c r="AR214" s="20" t="s">
        <v>77</v>
      </c>
      <c r="AS214" s="20" t="s">
        <v>78</v>
      </c>
      <c r="AT214" s="20" t="s">
        <v>79</v>
      </c>
      <c r="AU214" s="21" t="s">
        <v>79</v>
      </c>
      <c r="AV214" s="22" t="s">
        <v>1641</v>
      </c>
      <c r="AW214" s="94" t="s">
        <v>1642</v>
      </c>
      <c r="AZ214" s="34"/>
      <c r="BA214" s="34"/>
      <c r="BB214" s="34"/>
    </row>
    <row r="215" hidden="1">
      <c r="A215" s="25" t="s">
        <v>1643</v>
      </c>
      <c r="B215" s="26" t="s">
        <v>1644</v>
      </c>
      <c r="C215" s="27" t="s">
        <v>1594</v>
      </c>
      <c r="D215" s="27" t="s">
        <v>52</v>
      </c>
      <c r="E215" s="35" t="s">
        <v>84</v>
      </c>
      <c r="F215" s="27" t="s">
        <v>85</v>
      </c>
      <c r="G215" s="29">
        <v>550.0</v>
      </c>
      <c r="H215" s="36">
        <f t="shared" si="1"/>
        <v>522.5</v>
      </c>
      <c r="I215" s="97" t="s">
        <v>55</v>
      </c>
      <c r="J215" s="30" t="s">
        <v>1645</v>
      </c>
      <c r="K215" s="30" t="s">
        <v>27</v>
      </c>
      <c r="L215" s="31" t="s">
        <v>1646</v>
      </c>
      <c r="M215" s="31" t="s">
        <v>1647</v>
      </c>
      <c r="N215" s="33">
        <v>100.0</v>
      </c>
      <c r="O215" s="33">
        <v>100.0</v>
      </c>
      <c r="P215" s="33">
        <v>100.0</v>
      </c>
      <c r="Q215" s="33">
        <v>30.0</v>
      </c>
      <c r="R215" s="33">
        <v>10.0</v>
      </c>
      <c r="S215" s="33">
        <v>82.0</v>
      </c>
      <c r="T215" s="33">
        <v>20.0</v>
      </c>
      <c r="U215" s="33">
        <v>72.0</v>
      </c>
      <c r="V215" s="33">
        <v>75.0</v>
      </c>
      <c r="W215" s="33">
        <v>55.0</v>
      </c>
      <c r="X215" s="33">
        <v>72.0</v>
      </c>
      <c r="Y215" s="33">
        <v>10.0</v>
      </c>
      <c r="Z215" s="33">
        <v>45.0</v>
      </c>
      <c r="AA215" s="33">
        <v>82.0</v>
      </c>
      <c r="AB215" s="33">
        <v>90.0</v>
      </c>
      <c r="AC215" s="33">
        <v>82.0</v>
      </c>
      <c r="AD215" s="33">
        <v>75.0</v>
      </c>
      <c r="AE215" s="33">
        <v>85.0</v>
      </c>
      <c r="AF215" s="33">
        <v>82.0</v>
      </c>
      <c r="AG215" s="33">
        <v>90.0</v>
      </c>
      <c r="AH215" s="33">
        <v>85.0</v>
      </c>
      <c r="AI215" s="33">
        <v>90.0</v>
      </c>
      <c r="AJ215" s="33">
        <v>85.0</v>
      </c>
      <c r="AK215" s="33">
        <v>90.0</v>
      </c>
      <c r="AL215" s="33">
        <v>85.0</v>
      </c>
      <c r="AM215" s="33">
        <v>100.0</v>
      </c>
      <c r="AN215" s="33">
        <v>100.0</v>
      </c>
      <c r="AO215" s="33">
        <v>100.0</v>
      </c>
      <c r="AP215" s="18" t="s">
        <v>1648</v>
      </c>
      <c r="AQ215" s="18" t="s">
        <v>1649</v>
      </c>
      <c r="AR215" s="20" t="s">
        <v>144</v>
      </c>
      <c r="AS215" s="20" t="s">
        <v>145</v>
      </c>
      <c r="AT215" s="20" t="s">
        <v>146</v>
      </c>
      <c r="AU215" s="21" t="s">
        <v>146</v>
      </c>
      <c r="AV215" s="22" t="s">
        <v>1042</v>
      </c>
      <c r="AW215" s="94" t="s">
        <v>1650</v>
      </c>
      <c r="AZ215" s="34"/>
      <c r="BA215" s="34"/>
      <c r="BB215" s="34"/>
    </row>
    <row r="216" hidden="1">
      <c r="A216" s="25" t="s">
        <v>1651</v>
      </c>
      <c r="B216" s="26" t="s">
        <v>1652</v>
      </c>
      <c r="C216" s="27" t="s">
        <v>1594</v>
      </c>
      <c r="D216" s="27" t="s">
        <v>52</v>
      </c>
      <c r="E216" s="27" t="s">
        <v>125</v>
      </c>
      <c r="F216" s="27" t="s">
        <v>54</v>
      </c>
      <c r="G216" s="29">
        <v>300.0</v>
      </c>
      <c r="H216" s="36">
        <f t="shared" si="1"/>
        <v>285</v>
      </c>
      <c r="I216" s="97" t="s">
        <v>55</v>
      </c>
      <c r="J216" s="30" t="s">
        <v>102</v>
      </c>
      <c r="K216" s="30" t="s">
        <v>1038</v>
      </c>
      <c r="L216" s="31" t="s">
        <v>1653</v>
      </c>
      <c r="M216" s="31" t="s">
        <v>1654</v>
      </c>
      <c r="N216" s="33">
        <v>100.0</v>
      </c>
      <c r="O216" s="33">
        <v>100.0</v>
      </c>
      <c r="P216" s="33">
        <v>100.0</v>
      </c>
      <c r="Q216" s="33">
        <v>45.0</v>
      </c>
      <c r="R216" s="33">
        <v>10.0</v>
      </c>
      <c r="S216" s="33">
        <v>75.0</v>
      </c>
      <c r="T216" s="33">
        <v>35.0</v>
      </c>
      <c r="U216" s="33">
        <v>45.0</v>
      </c>
      <c r="V216" s="33">
        <v>35.0</v>
      </c>
      <c r="W216" s="33">
        <v>20.0</v>
      </c>
      <c r="X216" s="33">
        <v>72.0</v>
      </c>
      <c r="Y216" s="33">
        <v>25.0</v>
      </c>
      <c r="Z216" s="33">
        <v>15.0</v>
      </c>
      <c r="AA216" s="33">
        <v>90.0</v>
      </c>
      <c r="AB216" s="33">
        <v>90.0</v>
      </c>
      <c r="AC216" s="33">
        <v>65.0</v>
      </c>
      <c r="AD216" s="33">
        <v>5.0</v>
      </c>
      <c r="AE216" s="33">
        <v>90.0</v>
      </c>
      <c r="AF216" s="33">
        <v>82.0</v>
      </c>
      <c r="AG216" s="33">
        <v>75.0</v>
      </c>
      <c r="AH216" s="33">
        <v>72.0</v>
      </c>
      <c r="AI216" s="33">
        <v>85.0</v>
      </c>
      <c r="AJ216" s="33">
        <v>80.0</v>
      </c>
      <c r="AK216" s="33">
        <v>90.0</v>
      </c>
      <c r="AL216" s="33">
        <v>82.0</v>
      </c>
      <c r="AM216" s="33">
        <v>0.0</v>
      </c>
      <c r="AN216" s="33">
        <v>100.0</v>
      </c>
      <c r="AO216" s="33">
        <v>100.0</v>
      </c>
      <c r="AP216" s="18" t="s">
        <v>1655</v>
      </c>
      <c r="AQ216" s="18" t="s">
        <v>1656</v>
      </c>
      <c r="AR216" s="20" t="s">
        <v>601</v>
      </c>
      <c r="AS216" s="20" t="s">
        <v>602</v>
      </c>
      <c r="AT216" s="20" t="s">
        <v>603</v>
      </c>
      <c r="AU216" s="21" t="s">
        <v>603</v>
      </c>
      <c r="AV216" s="22" t="s">
        <v>271</v>
      </c>
      <c r="AW216" s="94" t="s">
        <v>1657</v>
      </c>
      <c r="AZ216" s="34"/>
      <c r="BA216" s="34"/>
      <c r="BB216" s="34"/>
    </row>
    <row r="217" hidden="1">
      <c r="A217" s="25" t="s">
        <v>1658</v>
      </c>
      <c r="B217" s="26" t="s">
        <v>1659</v>
      </c>
      <c r="C217" s="27" t="s">
        <v>1594</v>
      </c>
      <c r="D217" s="27" t="s">
        <v>52</v>
      </c>
      <c r="E217" s="27" t="s">
        <v>69</v>
      </c>
      <c r="F217" s="27" t="s">
        <v>1660</v>
      </c>
      <c r="G217" s="29">
        <v>595.0</v>
      </c>
      <c r="H217" s="36">
        <f t="shared" si="1"/>
        <v>565.25</v>
      </c>
      <c r="I217" s="97" t="s">
        <v>55</v>
      </c>
      <c r="J217" s="30" t="s">
        <v>71</v>
      </c>
      <c r="K217" s="30" t="s">
        <v>817</v>
      </c>
      <c r="L217" s="31" t="s">
        <v>1661</v>
      </c>
      <c r="M217" s="31" t="s">
        <v>1662</v>
      </c>
      <c r="N217" s="33">
        <v>0.0</v>
      </c>
      <c r="O217" s="33">
        <v>100.0</v>
      </c>
      <c r="P217" s="33">
        <v>100.0</v>
      </c>
      <c r="Q217" s="33">
        <v>72.0</v>
      </c>
      <c r="R217" s="33">
        <v>15.0</v>
      </c>
      <c r="S217" s="33">
        <v>72.0</v>
      </c>
      <c r="T217" s="33">
        <v>62.0</v>
      </c>
      <c r="U217" s="33">
        <v>95.0</v>
      </c>
      <c r="V217" s="33">
        <v>98.0</v>
      </c>
      <c r="W217" s="33">
        <v>90.0</v>
      </c>
      <c r="X217" s="33">
        <v>72.0</v>
      </c>
      <c r="Y217" s="33">
        <v>42.0</v>
      </c>
      <c r="Z217" s="33">
        <v>35.0</v>
      </c>
      <c r="AA217" s="33">
        <v>75.0</v>
      </c>
      <c r="AB217" s="33">
        <v>78.0</v>
      </c>
      <c r="AC217" s="33">
        <v>98.0</v>
      </c>
      <c r="AD217" s="33">
        <v>25.0</v>
      </c>
      <c r="AE217" s="33">
        <v>92.0</v>
      </c>
      <c r="AF217" s="33">
        <v>85.0</v>
      </c>
      <c r="AG217" s="33">
        <v>72.0</v>
      </c>
      <c r="AH217" s="33">
        <v>68.0</v>
      </c>
      <c r="AI217" s="33">
        <v>90.0</v>
      </c>
      <c r="AJ217" s="33">
        <v>85.0</v>
      </c>
      <c r="AK217" s="33">
        <v>92.0</v>
      </c>
      <c r="AL217" s="33">
        <v>86.0</v>
      </c>
      <c r="AM217" s="33">
        <v>0.0</v>
      </c>
      <c r="AN217" s="33">
        <v>100.0</v>
      </c>
      <c r="AO217" s="33">
        <v>100.0</v>
      </c>
      <c r="AP217" s="18" t="s">
        <v>1663</v>
      </c>
      <c r="AQ217" s="18" t="s">
        <v>1664</v>
      </c>
      <c r="AR217" s="20" t="s">
        <v>166</v>
      </c>
      <c r="AS217" s="20" t="s">
        <v>167</v>
      </c>
      <c r="AT217" s="20" t="s">
        <v>168</v>
      </c>
      <c r="AU217" s="21" t="s">
        <v>168</v>
      </c>
      <c r="AV217" s="22" t="s">
        <v>178</v>
      </c>
      <c r="AW217" s="94" t="s">
        <v>1665</v>
      </c>
      <c r="AX217" s="55"/>
      <c r="AY217" s="55"/>
      <c r="AZ217" s="34"/>
      <c r="BA217" s="34"/>
      <c r="BB217" s="34"/>
    </row>
    <row r="218" hidden="1">
      <c r="A218" s="25" t="s">
        <v>1666</v>
      </c>
      <c r="B218" s="26" t="s">
        <v>1667</v>
      </c>
      <c r="C218" s="27" t="s">
        <v>1594</v>
      </c>
      <c r="D218" s="27" t="s">
        <v>52</v>
      </c>
      <c r="E218" s="27" t="s">
        <v>502</v>
      </c>
      <c r="F218" s="27" t="s">
        <v>70</v>
      </c>
      <c r="G218" s="27">
        <v>645.0</v>
      </c>
      <c r="H218" s="36">
        <f t="shared" si="1"/>
        <v>612.75</v>
      </c>
      <c r="I218" s="97" t="s">
        <v>55</v>
      </c>
      <c r="J218" s="30" t="s">
        <v>102</v>
      </c>
      <c r="K218" s="30" t="s">
        <v>162</v>
      </c>
      <c r="L218" s="31" t="s">
        <v>1080</v>
      </c>
      <c r="M218" s="31" t="s">
        <v>1668</v>
      </c>
      <c r="N218" s="33">
        <v>-100.0</v>
      </c>
      <c r="O218" s="33">
        <v>100.0</v>
      </c>
      <c r="P218" s="33">
        <v>100.0</v>
      </c>
      <c r="Q218" s="33">
        <v>95.0</v>
      </c>
      <c r="R218" s="33">
        <v>35.0</v>
      </c>
      <c r="S218" s="33">
        <v>35.0</v>
      </c>
      <c r="T218" s="33">
        <v>98.0</v>
      </c>
      <c r="U218" s="33">
        <v>82.0</v>
      </c>
      <c r="V218" s="33">
        <v>85.0</v>
      </c>
      <c r="W218" s="33">
        <v>65.0</v>
      </c>
      <c r="X218" s="33">
        <v>42.0</v>
      </c>
      <c r="Y218" s="33">
        <v>98.0</v>
      </c>
      <c r="Z218" s="33">
        <v>35.0</v>
      </c>
      <c r="AA218" s="33">
        <v>35.0</v>
      </c>
      <c r="AB218" s="33">
        <v>40.0</v>
      </c>
      <c r="AC218" s="33">
        <v>82.0</v>
      </c>
      <c r="AD218" s="33">
        <v>25.0</v>
      </c>
      <c r="AE218" s="33">
        <v>90.0</v>
      </c>
      <c r="AF218" s="33">
        <v>55.0</v>
      </c>
      <c r="AG218" s="33">
        <v>25.0</v>
      </c>
      <c r="AH218" s="33">
        <v>15.0</v>
      </c>
      <c r="AI218" s="33">
        <v>82.0</v>
      </c>
      <c r="AJ218" s="33">
        <v>45.0</v>
      </c>
      <c r="AK218" s="33">
        <v>92.0</v>
      </c>
      <c r="AL218" s="33">
        <v>50.0</v>
      </c>
      <c r="AM218" s="33">
        <v>-100.0</v>
      </c>
      <c r="AN218" s="33">
        <v>100.0</v>
      </c>
      <c r="AO218" s="33">
        <v>100.0</v>
      </c>
      <c r="AP218" s="18" t="s">
        <v>1669</v>
      </c>
      <c r="AQ218" s="18" t="s">
        <v>1670</v>
      </c>
      <c r="AR218" s="20" t="s">
        <v>507</v>
      </c>
      <c r="AS218" s="20" t="s">
        <v>508</v>
      </c>
      <c r="AT218" s="20" t="s">
        <v>509</v>
      </c>
      <c r="AU218" s="21" t="s">
        <v>509</v>
      </c>
      <c r="AV218" s="22" t="s">
        <v>1671</v>
      </c>
      <c r="AW218" s="94" t="s">
        <v>1672</v>
      </c>
      <c r="AZ218" s="34"/>
      <c r="BA218" s="34"/>
      <c r="BB218" s="34"/>
    </row>
    <row r="219" hidden="1">
      <c r="A219" s="25" t="s">
        <v>1673</v>
      </c>
      <c r="B219" s="26" t="s">
        <v>1674</v>
      </c>
      <c r="C219" s="27" t="s">
        <v>1594</v>
      </c>
      <c r="D219" s="27" t="s">
        <v>52</v>
      </c>
      <c r="E219" s="27" t="s">
        <v>502</v>
      </c>
      <c r="F219" s="27" t="s">
        <v>85</v>
      </c>
      <c r="G219" s="29">
        <v>550.0</v>
      </c>
      <c r="H219" s="36">
        <f t="shared" si="1"/>
        <v>522.5</v>
      </c>
      <c r="I219" s="97" t="s">
        <v>55</v>
      </c>
      <c r="J219" s="30" t="s">
        <v>266</v>
      </c>
      <c r="K219" s="30" t="s">
        <v>1266</v>
      </c>
      <c r="L219" s="31" t="s">
        <v>1595</v>
      </c>
      <c r="M219" s="31" t="s">
        <v>1675</v>
      </c>
      <c r="N219" s="33">
        <v>100.0</v>
      </c>
      <c r="O219" s="33">
        <v>100.0</v>
      </c>
      <c r="P219" s="33">
        <v>100.0</v>
      </c>
      <c r="Q219" s="33">
        <v>55.0</v>
      </c>
      <c r="R219" s="33">
        <v>10.0</v>
      </c>
      <c r="S219" s="33">
        <v>98.0</v>
      </c>
      <c r="T219" s="33">
        <v>45.0</v>
      </c>
      <c r="U219" s="33">
        <v>85.0</v>
      </c>
      <c r="V219" s="33">
        <v>90.0</v>
      </c>
      <c r="W219" s="33">
        <v>72.0</v>
      </c>
      <c r="X219" s="33">
        <v>92.0</v>
      </c>
      <c r="Y219" s="33">
        <v>30.0</v>
      </c>
      <c r="Z219" s="33">
        <v>35.0</v>
      </c>
      <c r="AA219" s="33">
        <v>90.0</v>
      </c>
      <c r="AB219" s="33">
        <v>98.0</v>
      </c>
      <c r="AC219" s="33">
        <v>90.0</v>
      </c>
      <c r="AD219" s="33">
        <v>15.0</v>
      </c>
      <c r="AE219" s="33">
        <v>82.0</v>
      </c>
      <c r="AF219" s="33">
        <v>90.0</v>
      </c>
      <c r="AG219" s="33">
        <v>98.0</v>
      </c>
      <c r="AH219" s="33">
        <v>98.0</v>
      </c>
      <c r="AI219" s="33">
        <v>90.0</v>
      </c>
      <c r="AJ219" s="33">
        <v>95.0</v>
      </c>
      <c r="AK219" s="33">
        <v>90.0</v>
      </c>
      <c r="AL219" s="33">
        <v>94.0</v>
      </c>
      <c r="AM219" s="33">
        <v>100.0</v>
      </c>
      <c r="AN219" s="33">
        <v>100.0</v>
      </c>
      <c r="AO219" s="33">
        <v>100.0</v>
      </c>
      <c r="AP219" s="18" t="s">
        <v>1676</v>
      </c>
      <c r="AQ219" s="18" t="s">
        <v>1677</v>
      </c>
      <c r="AR219" s="20" t="s">
        <v>507</v>
      </c>
      <c r="AS219" s="20" t="s">
        <v>508</v>
      </c>
      <c r="AT219" s="20" t="s">
        <v>509</v>
      </c>
      <c r="AU219" s="21" t="s">
        <v>509</v>
      </c>
      <c r="AV219" s="22" t="s">
        <v>1678</v>
      </c>
      <c r="AW219" s="94" t="s">
        <v>1679</v>
      </c>
      <c r="AZ219" s="34"/>
      <c r="BA219" s="34"/>
      <c r="BB219" s="34"/>
    </row>
    <row r="220" hidden="1">
      <c r="A220" s="25" t="s">
        <v>1680</v>
      </c>
      <c r="B220" s="26" t="s">
        <v>1681</v>
      </c>
      <c r="C220" s="27" t="s">
        <v>1594</v>
      </c>
      <c r="D220" s="27" t="s">
        <v>52</v>
      </c>
      <c r="E220" s="27" t="s">
        <v>53</v>
      </c>
      <c r="F220" s="27" t="s">
        <v>54</v>
      </c>
      <c r="G220" s="29">
        <v>250.0</v>
      </c>
      <c r="H220" s="36">
        <f t="shared" si="1"/>
        <v>237.5</v>
      </c>
      <c r="I220" s="97" t="s">
        <v>55</v>
      </c>
      <c r="J220" s="30" t="s">
        <v>71</v>
      </c>
      <c r="K220" s="30" t="s">
        <v>16</v>
      </c>
      <c r="L220" s="31" t="s">
        <v>1682</v>
      </c>
      <c r="M220" s="31" t="s">
        <v>1603</v>
      </c>
      <c r="N220" s="33">
        <v>100.0</v>
      </c>
      <c r="O220" s="33">
        <v>100.0</v>
      </c>
      <c r="P220" s="33">
        <v>100.0</v>
      </c>
      <c r="Q220" s="33">
        <v>90.0</v>
      </c>
      <c r="R220" s="33">
        <v>15.0</v>
      </c>
      <c r="S220" s="33">
        <v>55.0</v>
      </c>
      <c r="T220" s="33">
        <v>75.0</v>
      </c>
      <c r="U220" s="33">
        <v>25.0</v>
      </c>
      <c r="V220" s="33">
        <v>20.0</v>
      </c>
      <c r="W220" s="33">
        <v>10.0</v>
      </c>
      <c r="X220" s="33">
        <v>62.0</v>
      </c>
      <c r="Y220" s="33">
        <v>82.0</v>
      </c>
      <c r="Z220" s="33">
        <v>15.0</v>
      </c>
      <c r="AA220" s="33">
        <v>68.0</v>
      </c>
      <c r="AB220" s="33">
        <v>65.0</v>
      </c>
      <c r="AC220" s="33">
        <v>40.0</v>
      </c>
      <c r="AD220" s="33">
        <v>5.0</v>
      </c>
      <c r="AE220" s="33">
        <v>98.0</v>
      </c>
      <c r="AF220" s="33">
        <v>78.0</v>
      </c>
      <c r="AG220" s="33">
        <v>55.0</v>
      </c>
      <c r="AH220" s="33">
        <v>48.0</v>
      </c>
      <c r="AI220" s="33">
        <v>90.0</v>
      </c>
      <c r="AJ220" s="33">
        <v>72.0</v>
      </c>
      <c r="AK220" s="33">
        <v>98.0</v>
      </c>
      <c r="AL220" s="33">
        <v>80.0</v>
      </c>
      <c r="AM220" s="33">
        <v>-100.0</v>
      </c>
      <c r="AN220" s="33">
        <v>100.0</v>
      </c>
      <c r="AO220" s="33">
        <v>100.0</v>
      </c>
      <c r="AP220" s="18" t="s">
        <v>1683</v>
      </c>
      <c r="AQ220" s="18" t="s">
        <v>1684</v>
      </c>
      <c r="AR220" s="20" t="s">
        <v>62</v>
      </c>
      <c r="AS220" s="20" t="s">
        <v>63</v>
      </c>
      <c r="AT220" s="20" t="s">
        <v>64</v>
      </c>
      <c r="AU220" s="21" t="s">
        <v>64</v>
      </c>
      <c r="AV220" s="22" t="s">
        <v>789</v>
      </c>
      <c r="AW220" s="94" t="s">
        <v>1685</v>
      </c>
      <c r="AZ220" s="34"/>
      <c r="BA220" s="34"/>
      <c r="BB220" s="34"/>
    </row>
    <row r="221" hidden="1">
      <c r="A221" s="25" t="s">
        <v>1686</v>
      </c>
      <c r="B221" s="26" t="s">
        <v>1687</v>
      </c>
      <c r="C221" s="27" t="s">
        <v>1594</v>
      </c>
      <c r="D221" s="27" t="s">
        <v>52</v>
      </c>
      <c r="E221" s="35" t="s">
        <v>84</v>
      </c>
      <c r="F221" s="27" t="s">
        <v>549</v>
      </c>
      <c r="G221" s="29">
        <v>395.0</v>
      </c>
      <c r="H221" s="36">
        <f t="shared" si="1"/>
        <v>375.25</v>
      </c>
      <c r="I221" s="97" t="s">
        <v>55</v>
      </c>
      <c r="J221" s="30" t="s">
        <v>266</v>
      </c>
      <c r="K221" s="30" t="s">
        <v>243</v>
      </c>
      <c r="L221" s="31" t="s">
        <v>1514</v>
      </c>
      <c r="M221" s="31" t="s">
        <v>551</v>
      </c>
      <c r="N221" s="33">
        <v>100.0</v>
      </c>
      <c r="O221" s="33">
        <v>100.0</v>
      </c>
      <c r="P221" s="33">
        <v>100.0</v>
      </c>
      <c r="Q221" s="33">
        <v>55.0</v>
      </c>
      <c r="R221" s="33">
        <v>10.0</v>
      </c>
      <c r="S221" s="33">
        <v>98.0</v>
      </c>
      <c r="T221" s="33">
        <v>25.0</v>
      </c>
      <c r="U221" s="33">
        <v>45.0</v>
      </c>
      <c r="V221" s="33">
        <v>42.0</v>
      </c>
      <c r="W221" s="33">
        <v>25.0</v>
      </c>
      <c r="X221" s="33">
        <v>98.0</v>
      </c>
      <c r="Y221" s="33">
        <v>20.0</v>
      </c>
      <c r="Z221" s="33">
        <v>35.0</v>
      </c>
      <c r="AA221" s="33">
        <v>98.0</v>
      </c>
      <c r="AB221" s="33">
        <v>98.0</v>
      </c>
      <c r="AC221" s="33">
        <v>65.0</v>
      </c>
      <c r="AD221" s="33">
        <v>10.0</v>
      </c>
      <c r="AE221" s="33">
        <v>85.0</v>
      </c>
      <c r="AF221" s="33">
        <v>98.0</v>
      </c>
      <c r="AG221" s="33">
        <v>98.0</v>
      </c>
      <c r="AH221" s="33">
        <v>98.0</v>
      </c>
      <c r="AI221" s="33">
        <v>92.0</v>
      </c>
      <c r="AJ221" s="33">
        <v>98.0</v>
      </c>
      <c r="AK221" s="33">
        <v>90.0</v>
      </c>
      <c r="AL221" s="33">
        <v>98.0</v>
      </c>
      <c r="AM221" s="33">
        <v>100.0</v>
      </c>
      <c r="AN221" s="33">
        <v>100.0</v>
      </c>
      <c r="AO221" s="33">
        <v>100.0</v>
      </c>
      <c r="AP221" s="18" t="s">
        <v>1688</v>
      </c>
      <c r="AQ221" s="18" t="s">
        <v>1689</v>
      </c>
      <c r="AR221" s="20" t="s">
        <v>92</v>
      </c>
      <c r="AS221" s="20" t="s">
        <v>93</v>
      </c>
      <c r="AT221" s="20" t="s">
        <v>94</v>
      </c>
      <c r="AU221" s="21" t="s">
        <v>94</v>
      </c>
      <c r="AV221" s="22" t="s">
        <v>121</v>
      </c>
      <c r="AW221" s="94" t="s">
        <v>1690</v>
      </c>
      <c r="AZ221" s="34"/>
      <c r="BA221" s="34"/>
      <c r="BB221" s="34"/>
    </row>
    <row r="222" hidden="1">
      <c r="A222" s="25" t="s">
        <v>1691</v>
      </c>
      <c r="B222" s="26" t="s">
        <v>1692</v>
      </c>
      <c r="C222" s="27" t="s">
        <v>1594</v>
      </c>
      <c r="D222" s="27" t="s">
        <v>52</v>
      </c>
      <c r="E222" s="35" t="s">
        <v>84</v>
      </c>
      <c r="F222" s="29" t="s">
        <v>70</v>
      </c>
      <c r="G222" s="29">
        <v>495.0</v>
      </c>
      <c r="H222" s="36">
        <f t="shared" si="1"/>
        <v>470.25</v>
      </c>
      <c r="I222" s="97" t="s">
        <v>55</v>
      </c>
      <c r="J222" s="30" t="s">
        <v>71</v>
      </c>
      <c r="K222" s="30" t="s">
        <v>1693</v>
      </c>
      <c r="L222" s="31" t="s">
        <v>1694</v>
      </c>
      <c r="M222" s="31" t="s">
        <v>1695</v>
      </c>
      <c r="N222" s="33">
        <v>100.0</v>
      </c>
      <c r="O222" s="33">
        <v>100.0</v>
      </c>
      <c r="P222" s="33">
        <v>100.0</v>
      </c>
      <c r="Q222" s="33">
        <v>62.0</v>
      </c>
      <c r="R222" s="33">
        <v>10.0</v>
      </c>
      <c r="S222" s="33">
        <v>82.0</v>
      </c>
      <c r="T222" s="33">
        <v>55.0</v>
      </c>
      <c r="U222" s="33">
        <v>95.0</v>
      </c>
      <c r="V222" s="33">
        <v>98.0</v>
      </c>
      <c r="W222" s="33">
        <v>92.0</v>
      </c>
      <c r="X222" s="33">
        <v>75.0</v>
      </c>
      <c r="Y222" s="33">
        <v>35.0</v>
      </c>
      <c r="Z222" s="33">
        <v>25.0</v>
      </c>
      <c r="AA222" s="33">
        <v>82.0</v>
      </c>
      <c r="AB222" s="33">
        <v>90.0</v>
      </c>
      <c r="AC222" s="33">
        <v>92.0</v>
      </c>
      <c r="AD222" s="33">
        <v>15.0</v>
      </c>
      <c r="AE222" s="33">
        <v>90.0</v>
      </c>
      <c r="AF222" s="33">
        <v>82.0</v>
      </c>
      <c r="AG222" s="33">
        <v>85.0</v>
      </c>
      <c r="AH222" s="33">
        <v>82.0</v>
      </c>
      <c r="AI222" s="33">
        <v>90.0</v>
      </c>
      <c r="AJ222" s="33">
        <v>85.0</v>
      </c>
      <c r="AK222" s="33">
        <v>90.0</v>
      </c>
      <c r="AL222" s="33">
        <v>85.0</v>
      </c>
      <c r="AM222" s="33">
        <v>0.0</v>
      </c>
      <c r="AN222" s="33">
        <v>100.0</v>
      </c>
      <c r="AO222" s="33">
        <v>100.0</v>
      </c>
      <c r="AP222" s="18" t="s">
        <v>1696</v>
      </c>
      <c r="AQ222" s="18" t="s">
        <v>1697</v>
      </c>
      <c r="AR222" s="20" t="s">
        <v>92</v>
      </c>
      <c r="AS222" s="20" t="s">
        <v>93</v>
      </c>
      <c r="AT222" s="20" t="s">
        <v>94</v>
      </c>
      <c r="AU222" s="21" t="s">
        <v>94</v>
      </c>
      <c r="AV222" s="22" t="s">
        <v>1180</v>
      </c>
      <c r="AW222" s="98" t="s">
        <v>1698</v>
      </c>
      <c r="AZ222" s="34"/>
      <c r="BA222" s="34"/>
      <c r="BB222" s="34"/>
    </row>
    <row r="223" hidden="1">
      <c r="A223" s="25" t="s">
        <v>1699</v>
      </c>
      <c r="B223" s="26" t="s">
        <v>1700</v>
      </c>
      <c r="C223" s="27" t="s">
        <v>1594</v>
      </c>
      <c r="D223" s="27" t="s">
        <v>52</v>
      </c>
      <c r="E223" s="27" t="s">
        <v>252</v>
      </c>
      <c r="F223" s="27" t="s">
        <v>454</v>
      </c>
      <c r="G223" s="29">
        <v>495.0</v>
      </c>
      <c r="H223" s="36">
        <f t="shared" si="1"/>
        <v>470.25</v>
      </c>
      <c r="I223" s="97" t="s">
        <v>55</v>
      </c>
      <c r="J223" s="30" t="s">
        <v>253</v>
      </c>
      <c r="K223" s="30" t="s">
        <v>1701</v>
      </c>
      <c r="L223" s="31" t="s">
        <v>1661</v>
      </c>
      <c r="M223" s="31" t="s">
        <v>1702</v>
      </c>
      <c r="N223" s="33">
        <v>100.0</v>
      </c>
      <c r="O223" s="33">
        <v>100.0</v>
      </c>
      <c r="P223" s="33">
        <v>100.0</v>
      </c>
      <c r="Q223" s="33">
        <v>68.0</v>
      </c>
      <c r="R223" s="33">
        <v>10.0</v>
      </c>
      <c r="S223" s="33">
        <v>75.0</v>
      </c>
      <c r="T223" s="33">
        <v>58.0</v>
      </c>
      <c r="U223" s="33">
        <v>92.0</v>
      </c>
      <c r="V223" s="33">
        <v>95.0</v>
      </c>
      <c r="W223" s="33">
        <v>82.0</v>
      </c>
      <c r="X223" s="33">
        <v>72.0</v>
      </c>
      <c r="Y223" s="33">
        <v>40.0</v>
      </c>
      <c r="Z223" s="33">
        <v>25.0</v>
      </c>
      <c r="AA223" s="33">
        <v>82.0</v>
      </c>
      <c r="AB223" s="33">
        <v>82.0</v>
      </c>
      <c r="AC223" s="33">
        <v>95.0</v>
      </c>
      <c r="AD223" s="33">
        <v>98.0</v>
      </c>
      <c r="AE223" s="33">
        <v>92.0</v>
      </c>
      <c r="AF223" s="33">
        <v>90.0</v>
      </c>
      <c r="AG223" s="33">
        <v>75.0</v>
      </c>
      <c r="AH223" s="33">
        <v>72.0</v>
      </c>
      <c r="AI223" s="33">
        <v>90.0</v>
      </c>
      <c r="AJ223" s="33">
        <v>85.0</v>
      </c>
      <c r="AK223" s="33">
        <v>92.0</v>
      </c>
      <c r="AL223" s="33">
        <v>90.0</v>
      </c>
      <c r="AM223" s="33">
        <v>0.0</v>
      </c>
      <c r="AN223" s="33">
        <v>100.0</v>
      </c>
      <c r="AO223" s="33">
        <v>100.0</v>
      </c>
      <c r="AP223" s="18" t="s">
        <v>1703</v>
      </c>
      <c r="AQ223" s="18" t="s">
        <v>1704</v>
      </c>
      <c r="AR223" s="20" t="s">
        <v>144</v>
      </c>
      <c r="AS223" s="20" t="s">
        <v>145</v>
      </c>
      <c r="AT223" s="20" t="s">
        <v>146</v>
      </c>
      <c r="AU223" s="21" t="s">
        <v>146</v>
      </c>
      <c r="AV223" s="22" t="s">
        <v>1705</v>
      </c>
      <c r="AW223" s="94" t="s">
        <v>1706</v>
      </c>
      <c r="AZ223" s="34"/>
      <c r="BA223" s="34"/>
      <c r="BB223" s="34"/>
    </row>
    <row r="224">
      <c r="A224" s="25" t="s">
        <v>1707</v>
      </c>
      <c r="B224" s="26" t="s">
        <v>1708</v>
      </c>
      <c r="C224" s="27" t="s">
        <v>1709</v>
      </c>
      <c r="D224" s="27" t="s">
        <v>52</v>
      </c>
      <c r="E224" s="27" t="s">
        <v>502</v>
      </c>
      <c r="F224" s="27" t="s">
        <v>1710</v>
      </c>
      <c r="G224" s="27">
        <v>2240.0</v>
      </c>
      <c r="H224" s="36">
        <f t="shared" si="1"/>
        <v>2128</v>
      </c>
      <c r="I224" s="97" t="s">
        <v>1199</v>
      </c>
      <c r="J224" s="30" t="s">
        <v>266</v>
      </c>
      <c r="K224" s="30" t="s">
        <v>243</v>
      </c>
      <c r="L224" s="31" t="s">
        <v>1595</v>
      </c>
      <c r="M224" s="31" t="s">
        <v>1711</v>
      </c>
      <c r="N224" s="33">
        <v>100.0</v>
      </c>
      <c r="O224" s="33">
        <v>100.0</v>
      </c>
      <c r="P224" s="33">
        <v>100.0</v>
      </c>
      <c r="Q224" s="33">
        <v>42.0</v>
      </c>
      <c r="R224" s="33">
        <v>10.0</v>
      </c>
      <c r="S224" s="33">
        <v>98.0</v>
      </c>
      <c r="T224" s="33">
        <v>20.0</v>
      </c>
      <c r="U224" s="33">
        <v>55.0</v>
      </c>
      <c r="V224" s="33">
        <v>50.0</v>
      </c>
      <c r="W224" s="33">
        <v>30.0</v>
      </c>
      <c r="X224" s="33">
        <v>95.0</v>
      </c>
      <c r="Y224" s="33">
        <v>15.0</v>
      </c>
      <c r="Z224" s="33">
        <v>45.0</v>
      </c>
      <c r="AA224" s="33">
        <v>95.0</v>
      </c>
      <c r="AB224" s="33">
        <v>98.0</v>
      </c>
      <c r="AC224" s="33">
        <v>75.0</v>
      </c>
      <c r="AD224" s="33">
        <v>10.0</v>
      </c>
      <c r="AE224" s="33">
        <v>82.0</v>
      </c>
      <c r="AF224" s="33">
        <v>95.0</v>
      </c>
      <c r="AG224" s="33">
        <v>98.0</v>
      </c>
      <c r="AH224" s="33">
        <v>98.0</v>
      </c>
      <c r="AI224" s="33">
        <v>90.0</v>
      </c>
      <c r="AJ224" s="33">
        <v>98.0</v>
      </c>
      <c r="AK224" s="33">
        <v>90.0</v>
      </c>
      <c r="AL224" s="33">
        <v>96.0</v>
      </c>
      <c r="AM224" s="33">
        <v>100.0</v>
      </c>
      <c r="AN224" s="33">
        <v>100.0</v>
      </c>
      <c r="AO224" s="33">
        <v>100.0</v>
      </c>
      <c r="AP224" s="18" t="s">
        <v>1712</v>
      </c>
      <c r="AQ224" s="18" t="s">
        <v>1713</v>
      </c>
      <c r="AR224" s="20" t="s">
        <v>507</v>
      </c>
      <c r="AS224" s="20" t="s">
        <v>508</v>
      </c>
      <c r="AT224" s="20" t="s">
        <v>509</v>
      </c>
      <c r="AU224" s="21" t="s">
        <v>509</v>
      </c>
      <c r="AV224" s="22" t="s">
        <v>1714</v>
      </c>
      <c r="AW224" s="94" t="s">
        <v>1715</v>
      </c>
      <c r="AZ224" s="34"/>
      <c r="BA224" s="34"/>
      <c r="BB224" s="34"/>
    </row>
    <row r="225" hidden="1">
      <c r="A225" s="25" t="s">
        <v>1716</v>
      </c>
      <c r="B225" s="26" t="s">
        <v>1717</v>
      </c>
      <c r="C225" s="27" t="s">
        <v>1709</v>
      </c>
      <c r="D225" s="27" t="s">
        <v>52</v>
      </c>
      <c r="E225" s="27" t="s">
        <v>125</v>
      </c>
      <c r="F225" s="27" t="s">
        <v>454</v>
      </c>
      <c r="G225" s="29">
        <v>900.0</v>
      </c>
      <c r="H225" s="36">
        <f t="shared" si="1"/>
        <v>855</v>
      </c>
      <c r="I225" s="97" t="s">
        <v>1199</v>
      </c>
      <c r="J225" s="30" t="s">
        <v>465</v>
      </c>
      <c r="K225" s="30" t="s">
        <v>243</v>
      </c>
      <c r="L225" s="31" t="s">
        <v>1718</v>
      </c>
      <c r="M225" s="31" t="s">
        <v>1719</v>
      </c>
      <c r="N225" s="33">
        <v>100.0</v>
      </c>
      <c r="O225" s="33">
        <v>100.0</v>
      </c>
      <c r="P225" s="33">
        <v>100.0</v>
      </c>
      <c r="Q225" s="33">
        <v>38.0</v>
      </c>
      <c r="R225" s="33">
        <v>10.0</v>
      </c>
      <c r="S225" s="33">
        <v>98.0</v>
      </c>
      <c r="T225" s="33">
        <v>15.0</v>
      </c>
      <c r="U225" s="33">
        <v>35.0</v>
      </c>
      <c r="V225" s="33">
        <v>30.0</v>
      </c>
      <c r="W225" s="33">
        <v>20.0</v>
      </c>
      <c r="X225" s="33">
        <v>98.0</v>
      </c>
      <c r="Y225" s="33">
        <v>10.0</v>
      </c>
      <c r="Z225" s="33">
        <v>55.0</v>
      </c>
      <c r="AA225" s="33">
        <v>98.0</v>
      </c>
      <c r="AB225" s="33">
        <v>98.0</v>
      </c>
      <c r="AC225" s="33">
        <v>60.0</v>
      </c>
      <c r="AD225" s="33">
        <v>5.0</v>
      </c>
      <c r="AE225" s="33">
        <v>90.0</v>
      </c>
      <c r="AF225" s="33">
        <v>98.0</v>
      </c>
      <c r="AG225" s="33">
        <v>98.0</v>
      </c>
      <c r="AH225" s="33">
        <v>98.0</v>
      </c>
      <c r="AI225" s="33">
        <v>92.0</v>
      </c>
      <c r="AJ225" s="33">
        <v>98.0</v>
      </c>
      <c r="AK225" s="33">
        <v>90.0</v>
      </c>
      <c r="AL225" s="33">
        <v>98.0</v>
      </c>
      <c r="AM225" s="33">
        <v>100.0</v>
      </c>
      <c r="AN225" s="33">
        <v>100.0</v>
      </c>
      <c r="AO225" s="33">
        <v>100.0</v>
      </c>
      <c r="AP225" s="18" t="s">
        <v>1720</v>
      </c>
      <c r="AQ225" s="18" t="s">
        <v>1721</v>
      </c>
      <c r="AR225" s="20" t="s">
        <v>601</v>
      </c>
      <c r="AS225" s="20" t="s">
        <v>602</v>
      </c>
      <c r="AT225" s="20" t="s">
        <v>603</v>
      </c>
      <c r="AU225" s="21" t="s">
        <v>603</v>
      </c>
      <c r="AV225" s="22" t="s">
        <v>1204</v>
      </c>
      <c r="AW225" s="94" t="s">
        <v>1722</v>
      </c>
      <c r="AZ225" s="34"/>
      <c r="BA225" s="34"/>
      <c r="BB225" s="34"/>
    </row>
    <row r="226">
      <c r="A226" s="25" t="s">
        <v>1723</v>
      </c>
      <c r="B226" s="26" t="s">
        <v>1724</v>
      </c>
      <c r="C226" s="27" t="s">
        <v>1709</v>
      </c>
      <c r="D226" s="27" t="s">
        <v>52</v>
      </c>
      <c r="E226" s="35" t="s">
        <v>84</v>
      </c>
      <c r="F226" s="27" t="s">
        <v>454</v>
      </c>
      <c r="G226" s="99">
        <v>2900.0</v>
      </c>
      <c r="H226" s="36">
        <f t="shared" si="1"/>
        <v>2755</v>
      </c>
      <c r="I226" s="97" t="s">
        <v>1199</v>
      </c>
      <c r="J226" s="30" t="s">
        <v>266</v>
      </c>
      <c r="K226" s="30" t="s">
        <v>243</v>
      </c>
      <c r="L226" s="31" t="s">
        <v>1725</v>
      </c>
      <c r="M226" s="31" t="s">
        <v>1726</v>
      </c>
      <c r="N226" s="33">
        <v>100.0</v>
      </c>
      <c r="O226" s="33">
        <v>100.0</v>
      </c>
      <c r="P226" s="33">
        <v>100.0</v>
      </c>
      <c r="Q226" s="33">
        <v>45.0</v>
      </c>
      <c r="R226" s="33">
        <v>10.0</v>
      </c>
      <c r="S226" s="33">
        <v>98.0</v>
      </c>
      <c r="T226" s="33">
        <v>20.0</v>
      </c>
      <c r="U226" s="33">
        <v>35.0</v>
      </c>
      <c r="V226" s="33">
        <v>30.0</v>
      </c>
      <c r="W226" s="33">
        <v>20.0</v>
      </c>
      <c r="X226" s="33">
        <v>98.0</v>
      </c>
      <c r="Y226" s="33">
        <v>10.0</v>
      </c>
      <c r="Z226" s="33">
        <v>58.0</v>
      </c>
      <c r="AA226" s="33">
        <v>98.0</v>
      </c>
      <c r="AB226" s="33">
        <v>98.0</v>
      </c>
      <c r="AC226" s="33">
        <v>62.0</v>
      </c>
      <c r="AD226" s="33">
        <v>5.0</v>
      </c>
      <c r="AE226" s="33">
        <v>85.0</v>
      </c>
      <c r="AF226" s="33">
        <v>98.0</v>
      </c>
      <c r="AG226" s="33">
        <v>98.0</v>
      </c>
      <c r="AH226" s="33">
        <v>98.0</v>
      </c>
      <c r="AI226" s="33">
        <v>90.0</v>
      </c>
      <c r="AJ226" s="33">
        <v>98.0</v>
      </c>
      <c r="AK226" s="33">
        <v>90.0</v>
      </c>
      <c r="AL226" s="33">
        <v>98.0</v>
      </c>
      <c r="AM226" s="33">
        <v>100.0</v>
      </c>
      <c r="AN226" s="33">
        <v>100.0</v>
      </c>
      <c r="AO226" s="33">
        <v>100.0</v>
      </c>
      <c r="AP226" s="18" t="s">
        <v>1727</v>
      </c>
      <c r="AQ226" s="18" t="s">
        <v>1728</v>
      </c>
      <c r="AR226" s="20" t="s">
        <v>92</v>
      </c>
      <c r="AS226" s="20" t="s">
        <v>93</v>
      </c>
      <c r="AT226" s="20" t="s">
        <v>94</v>
      </c>
      <c r="AU226" s="21" t="s">
        <v>94</v>
      </c>
      <c r="AV226" s="22" t="s">
        <v>1348</v>
      </c>
      <c r="AW226" s="94" t="s">
        <v>1729</v>
      </c>
      <c r="AZ226" s="34"/>
      <c r="BA226" s="34"/>
      <c r="BB226" s="34"/>
    </row>
    <row r="227">
      <c r="A227" s="25" t="s">
        <v>1730</v>
      </c>
      <c r="B227" s="26" t="s">
        <v>1731</v>
      </c>
      <c r="C227" s="27" t="s">
        <v>1709</v>
      </c>
      <c r="D227" s="27" t="s">
        <v>52</v>
      </c>
      <c r="E227" s="27" t="s">
        <v>69</v>
      </c>
      <c r="F227" s="27" t="s">
        <v>454</v>
      </c>
      <c r="G227" s="99">
        <v>3250.0</v>
      </c>
      <c r="H227" s="36">
        <f t="shared" si="1"/>
        <v>3087.5</v>
      </c>
      <c r="I227" s="97" t="s">
        <v>1199</v>
      </c>
      <c r="J227" s="30" t="s">
        <v>465</v>
      </c>
      <c r="K227" s="30" t="s">
        <v>243</v>
      </c>
      <c r="L227" s="31" t="s">
        <v>1725</v>
      </c>
      <c r="M227" s="31" t="s">
        <v>1732</v>
      </c>
      <c r="N227" s="33">
        <v>100.0</v>
      </c>
      <c r="O227" s="33">
        <v>100.0</v>
      </c>
      <c r="P227" s="33">
        <v>100.0</v>
      </c>
      <c r="Q227" s="33">
        <v>42.0</v>
      </c>
      <c r="R227" s="33">
        <v>10.0</v>
      </c>
      <c r="S227" s="33">
        <v>98.0</v>
      </c>
      <c r="T227" s="33">
        <v>20.0</v>
      </c>
      <c r="U227" s="33">
        <v>35.0</v>
      </c>
      <c r="V227" s="33">
        <v>30.0</v>
      </c>
      <c r="W227" s="33">
        <v>20.0</v>
      </c>
      <c r="X227" s="33">
        <v>98.0</v>
      </c>
      <c r="Y227" s="33">
        <v>10.0</v>
      </c>
      <c r="Z227" s="33">
        <v>48.0</v>
      </c>
      <c r="AA227" s="33">
        <v>98.0</v>
      </c>
      <c r="AB227" s="33">
        <v>98.0</v>
      </c>
      <c r="AC227" s="33">
        <v>62.0</v>
      </c>
      <c r="AD227" s="33">
        <v>5.0</v>
      </c>
      <c r="AE227" s="33">
        <v>90.0</v>
      </c>
      <c r="AF227" s="33">
        <v>98.0</v>
      </c>
      <c r="AG227" s="33">
        <v>98.0</v>
      </c>
      <c r="AH227" s="33">
        <v>98.0</v>
      </c>
      <c r="AI227" s="33">
        <v>92.0</v>
      </c>
      <c r="AJ227" s="33">
        <v>98.0</v>
      </c>
      <c r="AK227" s="33">
        <v>90.0</v>
      </c>
      <c r="AL227" s="33">
        <v>98.0</v>
      </c>
      <c r="AM227" s="33">
        <v>100.0</v>
      </c>
      <c r="AN227" s="33">
        <v>100.0</v>
      </c>
      <c r="AO227" s="33">
        <v>100.0</v>
      </c>
      <c r="AP227" s="18" t="s">
        <v>1733</v>
      </c>
      <c r="AQ227" s="18" t="s">
        <v>1734</v>
      </c>
      <c r="AR227" s="20" t="s">
        <v>166</v>
      </c>
      <c r="AS227" s="20" t="s">
        <v>167</v>
      </c>
      <c r="AT227" s="20" t="s">
        <v>168</v>
      </c>
      <c r="AU227" s="21" t="s">
        <v>168</v>
      </c>
      <c r="AV227" s="22" t="s">
        <v>1348</v>
      </c>
      <c r="AW227" s="94" t="s">
        <v>1735</v>
      </c>
      <c r="AY227" s="55"/>
      <c r="AZ227" s="55"/>
      <c r="BA227" s="34"/>
      <c r="BB227" s="34"/>
    </row>
    <row r="228" hidden="1">
      <c r="A228" s="25" t="s">
        <v>1736</v>
      </c>
      <c r="B228" s="26" t="s">
        <v>1737</v>
      </c>
      <c r="C228" s="27" t="s">
        <v>1709</v>
      </c>
      <c r="D228" s="27" t="s">
        <v>52</v>
      </c>
      <c r="E228" s="27" t="s">
        <v>53</v>
      </c>
      <c r="F228" s="27" t="s">
        <v>744</v>
      </c>
      <c r="G228" s="29">
        <v>870.0</v>
      </c>
      <c r="H228" s="36">
        <f t="shared" si="1"/>
        <v>826.5</v>
      </c>
      <c r="I228" s="97" t="s">
        <v>1199</v>
      </c>
      <c r="J228" s="30" t="s">
        <v>465</v>
      </c>
      <c r="K228" s="30" t="s">
        <v>243</v>
      </c>
      <c r="L228" s="31" t="s">
        <v>1725</v>
      </c>
      <c r="M228" s="31" t="s">
        <v>1738</v>
      </c>
      <c r="N228" s="33">
        <v>100.0</v>
      </c>
      <c r="O228" s="33">
        <v>100.0</v>
      </c>
      <c r="P228" s="33">
        <v>100.0</v>
      </c>
      <c r="Q228" s="33">
        <v>35.0</v>
      </c>
      <c r="R228" s="33">
        <v>10.0</v>
      </c>
      <c r="S228" s="33">
        <v>90.0</v>
      </c>
      <c r="T228" s="33">
        <v>15.0</v>
      </c>
      <c r="U228" s="33">
        <v>15.0</v>
      </c>
      <c r="V228" s="33">
        <v>10.0</v>
      </c>
      <c r="W228" s="33">
        <v>5.0</v>
      </c>
      <c r="X228" s="33">
        <v>90.0</v>
      </c>
      <c r="Y228" s="33">
        <v>10.0</v>
      </c>
      <c r="Z228" s="33">
        <v>15.0</v>
      </c>
      <c r="AA228" s="33">
        <v>98.0</v>
      </c>
      <c r="AB228" s="33">
        <v>95.0</v>
      </c>
      <c r="AC228" s="33">
        <v>35.0</v>
      </c>
      <c r="AD228" s="33">
        <v>5.0</v>
      </c>
      <c r="AE228" s="33">
        <v>92.0</v>
      </c>
      <c r="AF228" s="33">
        <v>98.0</v>
      </c>
      <c r="AG228" s="33">
        <v>90.0</v>
      </c>
      <c r="AH228" s="33">
        <v>98.0</v>
      </c>
      <c r="AI228" s="33">
        <v>92.0</v>
      </c>
      <c r="AJ228" s="33">
        <v>98.0</v>
      </c>
      <c r="AK228" s="33">
        <v>94.0</v>
      </c>
      <c r="AL228" s="33">
        <v>98.0</v>
      </c>
      <c r="AM228" s="33">
        <v>100.0</v>
      </c>
      <c r="AN228" s="33">
        <v>100.0</v>
      </c>
      <c r="AO228" s="33">
        <v>100.0</v>
      </c>
      <c r="AP228" s="18" t="s">
        <v>1739</v>
      </c>
      <c r="AQ228" s="18" t="s">
        <v>1740</v>
      </c>
      <c r="AR228" s="20" t="s">
        <v>62</v>
      </c>
      <c r="AS228" s="20" t="s">
        <v>63</v>
      </c>
      <c r="AT228" s="20" t="s">
        <v>64</v>
      </c>
      <c r="AU228" s="21" t="s">
        <v>64</v>
      </c>
      <c r="AV228" s="22" t="s">
        <v>65</v>
      </c>
      <c r="AW228" s="94" t="s">
        <v>1741</v>
      </c>
      <c r="AX228" s="34"/>
      <c r="BA228" s="34"/>
      <c r="BB228" s="34"/>
    </row>
    <row r="229">
      <c r="A229" s="25" t="s">
        <v>1742</v>
      </c>
      <c r="B229" s="26" t="s">
        <v>1743</v>
      </c>
      <c r="C229" s="27" t="s">
        <v>1709</v>
      </c>
      <c r="D229" s="27" t="s">
        <v>52</v>
      </c>
      <c r="E229" s="27" t="s">
        <v>502</v>
      </c>
      <c r="F229" s="27" t="s">
        <v>693</v>
      </c>
      <c r="G229" s="27">
        <v>1300.0</v>
      </c>
      <c r="H229" s="36">
        <f t="shared" si="1"/>
        <v>1235</v>
      </c>
      <c r="I229" s="97" t="s">
        <v>1199</v>
      </c>
      <c r="J229" s="30" t="s">
        <v>201</v>
      </c>
      <c r="K229" s="30" t="s">
        <v>1453</v>
      </c>
      <c r="L229" s="31" t="s">
        <v>1744</v>
      </c>
      <c r="M229" s="31" t="s">
        <v>1745</v>
      </c>
      <c r="N229" s="33">
        <v>100.0</v>
      </c>
      <c r="O229" s="33">
        <v>100.0</v>
      </c>
      <c r="P229" s="33">
        <v>100.0</v>
      </c>
      <c r="Q229" s="33">
        <v>35.0</v>
      </c>
      <c r="R229" s="33">
        <v>10.0</v>
      </c>
      <c r="S229" s="33">
        <v>98.0</v>
      </c>
      <c r="T229" s="33">
        <v>15.0</v>
      </c>
      <c r="U229" s="33">
        <v>55.0</v>
      </c>
      <c r="V229" s="33">
        <v>50.0</v>
      </c>
      <c r="W229" s="33">
        <v>30.0</v>
      </c>
      <c r="X229" s="33">
        <v>95.0</v>
      </c>
      <c r="Y229" s="33">
        <v>10.0</v>
      </c>
      <c r="Z229" s="33">
        <v>95.0</v>
      </c>
      <c r="AA229" s="33">
        <v>95.0</v>
      </c>
      <c r="AB229" s="33">
        <v>98.0</v>
      </c>
      <c r="AC229" s="33">
        <v>82.0</v>
      </c>
      <c r="AD229" s="33">
        <v>10.0</v>
      </c>
      <c r="AE229" s="33">
        <v>78.0</v>
      </c>
      <c r="AF229" s="33">
        <v>92.0</v>
      </c>
      <c r="AG229" s="33">
        <v>98.0</v>
      </c>
      <c r="AH229" s="33">
        <v>98.0</v>
      </c>
      <c r="AI229" s="33">
        <v>90.0</v>
      </c>
      <c r="AJ229" s="33">
        <v>95.0</v>
      </c>
      <c r="AK229" s="33">
        <v>85.0</v>
      </c>
      <c r="AL229" s="33">
        <v>92.0</v>
      </c>
      <c r="AM229" s="33">
        <v>100.0</v>
      </c>
      <c r="AN229" s="33">
        <v>100.0</v>
      </c>
      <c r="AO229" s="33">
        <v>100.0</v>
      </c>
      <c r="AP229" s="18" t="s">
        <v>1746</v>
      </c>
      <c r="AQ229" s="18" t="s">
        <v>1747</v>
      </c>
      <c r="AR229" s="20" t="s">
        <v>507</v>
      </c>
      <c r="AS229" s="20" t="s">
        <v>508</v>
      </c>
      <c r="AT229" s="20" t="s">
        <v>509</v>
      </c>
      <c r="AU229" s="21" t="s">
        <v>509</v>
      </c>
      <c r="AV229" s="22" t="s">
        <v>1748</v>
      </c>
      <c r="AW229" s="94" t="s">
        <v>1749</v>
      </c>
      <c r="AX229" s="34"/>
      <c r="BA229" s="34"/>
      <c r="BB229" s="34"/>
    </row>
    <row r="230" hidden="1">
      <c r="A230" s="25" t="s">
        <v>1750</v>
      </c>
      <c r="B230" s="26" t="s">
        <v>1751</v>
      </c>
      <c r="C230" s="27" t="s">
        <v>1752</v>
      </c>
      <c r="D230" s="27" t="s">
        <v>52</v>
      </c>
      <c r="E230" s="27" t="s">
        <v>69</v>
      </c>
      <c r="F230" s="100" t="s">
        <v>70</v>
      </c>
      <c r="G230" s="101">
        <v>699.0</v>
      </c>
      <c r="H230" s="36">
        <f t="shared" si="1"/>
        <v>664.05</v>
      </c>
      <c r="I230" s="97" t="s">
        <v>55</v>
      </c>
      <c r="J230" s="30" t="s">
        <v>71</v>
      </c>
      <c r="K230" s="30" t="s">
        <v>817</v>
      </c>
      <c r="L230" s="31" t="s">
        <v>1753</v>
      </c>
      <c r="M230" s="31" t="s">
        <v>1754</v>
      </c>
      <c r="N230" s="33">
        <v>0.0</v>
      </c>
      <c r="O230" s="33">
        <v>100.0</v>
      </c>
      <c r="P230" s="33">
        <v>100.0</v>
      </c>
      <c r="Q230" s="33">
        <v>65.0</v>
      </c>
      <c r="R230" s="33">
        <v>10.0</v>
      </c>
      <c r="S230" s="33">
        <v>68.0</v>
      </c>
      <c r="T230" s="33">
        <v>52.0</v>
      </c>
      <c r="U230" s="33">
        <v>95.0</v>
      </c>
      <c r="V230" s="33">
        <v>98.0</v>
      </c>
      <c r="W230" s="33">
        <v>92.0</v>
      </c>
      <c r="X230" s="33">
        <v>68.0</v>
      </c>
      <c r="Y230" s="33">
        <v>35.0</v>
      </c>
      <c r="Z230" s="33">
        <v>25.0</v>
      </c>
      <c r="AA230" s="33">
        <v>78.0</v>
      </c>
      <c r="AB230" s="33">
        <v>75.0</v>
      </c>
      <c r="AC230" s="33">
        <v>98.0</v>
      </c>
      <c r="AD230" s="33">
        <v>20.0</v>
      </c>
      <c r="AE230" s="33">
        <v>90.0</v>
      </c>
      <c r="AF230" s="33">
        <v>82.0</v>
      </c>
      <c r="AG230" s="33">
        <v>68.0</v>
      </c>
      <c r="AH230" s="33">
        <v>62.0</v>
      </c>
      <c r="AI230" s="33">
        <v>90.0</v>
      </c>
      <c r="AJ230" s="33">
        <v>80.0</v>
      </c>
      <c r="AK230" s="33">
        <v>90.0</v>
      </c>
      <c r="AL230" s="33">
        <v>82.0</v>
      </c>
      <c r="AM230" s="33">
        <v>0.0</v>
      </c>
      <c r="AN230" s="33">
        <v>100.0</v>
      </c>
      <c r="AO230" s="33">
        <v>100.0</v>
      </c>
      <c r="AP230" s="18" t="s">
        <v>1755</v>
      </c>
      <c r="AQ230" s="18" t="s">
        <v>1756</v>
      </c>
      <c r="AR230" s="20" t="s">
        <v>166</v>
      </c>
      <c r="AS230" s="20" t="s">
        <v>167</v>
      </c>
      <c r="AT230" s="20" t="s">
        <v>168</v>
      </c>
      <c r="AU230" s="21" t="s">
        <v>168</v>
      </c>
      <c r="AV230" s="22" t="s">
        <v>1757</v>
      </c>
      <c r="AW230" s="94" t="s">
        <v>1758</v>
      </c>
      <c r="AX230" s="34"/>
      <c r="BA230" s="34"/>
      <c r="BB230" s="34"/>
    </row>
    <row r="231" hidden="1">
      <c r="A231" s="25" t="s">
        <v>1759</v>
      </c>
      <c r="B231" s="26" t="s">
        <v>1760</v>
      </c>
      <c r="C231" s="27" t="s">
        <v>1752</v>
      </c>
      <c r="D231" s="27" t="s">
        <v>52</v>
      </c>
      <c r="E231" s="27" t="s">
        <v>252</v>
      </c>
      <c r="F231" s="27" t="s">
        <v>85</v>
      </c>
      <c r="G231" s="29">
        <v>499.0</v>
      </c>
      <c r="H231" s="36">
        <f t="shared" si="1"/>
        <v>474.05</v>
      </c>
      <c r="I231" s="97" t="s">
        <v>55</v>
      </c>
      <c r="J231" s="30" t="s">
        <v>242</v>
      </c>
      <c r="K231" s="30" t="s">
        <v>759</v>
      </c>
      <c r="L231" s="31" t="s">
        <v>114</v>
      </c>
      <c r="M231" s="31" t="s">
        <v>1761</v>
      </c>
      <c r="N231" s="33">
        <v>100.0</v>
      </c>
      <c r="O231" s="33">
        <v>100.0</v>
      </c>
      <c r="P231" s="33">
        <v>100.0</v>
      </c>
      <c r="Q231" s="33">
        <v>78.0</v>
      </c>
      <c r="R231" s="33">
        <v>10.0</v>
      </c>
      <c r="S231" s="33">
        <v>82.0</v>
      </c>
      <c r="T231" s="33">
        <v>82.0</v>
      </c>
      <c r="U231" s="33">
        <v>72.0</v>
      </c>
      <c r="V231" s="33">
        <v>68.0</v>
      </c>
      <c r="W231" s="33">
        <v>45.0</v>
      </c>
      <c r="X231" s="33">
        <v>90.0</v>
      </c>
      <c r="Y231" s="33">
        <v>72.0</v>
      </c>
      <c r="Z231" s="33">
        <v>20.0</v>
      </c>
      <c r="AA231" s="33">
        <v>92.0</v>
      </c>
      <c r="AB231" s="33">
        <v>90.0</v>
      </c>
      <c r="AC231" s="33">
        <v>72.0</v>
      </c>
      <c r="AD231" s="33">
        <v>98.0</v>
      </c>
      <c r="AE231" s="33">
        <v>98.0</v>
      </c>
      <c r="AF231" s="33">
        <v>98.0</v>
      </c>
      <c r="AG231" s="33">
        <v>82.0</v>
      </c>
      <c r="AH231" s="33">
        <v>95.0</v>
      </c>
      <c r="AI231" s="33">
        <v>92.0</v>
      </c>
      <c r="AJ231" s="33">
        <v>98.0</v>
      </c>
      <c r="AK231" s="33">
        <v>98.0</v>
      </c>
      <c r="AL231" s="33">
        <v>98.0</v>
      </c>
      <c r="AM231" s="33">
        <v>100.0</v>
      </c>
      <c r="AN231" s="33">
        <v>100.0</v>
      </c>
      <c r="AO231" s="33">
        <v>100.0</v>
      </c>
      <c r="AP231" s="18" t="s">
        <v>1762</v>
      </c>
      <c r="AQ231" s="18" t="s">
        <v>1763</v>
      </c>
      <c r="AR231" s="20" t="s">
        <v>144</v>
      </c>
      <c r="AS231" s="20" t="s">
        <v>145</v>
      </c>
      <c r="AT231" s="20" t="s">
        <v>146</v>
      </c>
      <c r="AU231" s="21" t="s">
        <v>146</v>
      </c>
      <c r="AV231" s="22" t="s">
        <v>1764</v>
      </c>
      <c r="AW231" s="94" t="s">
        <v>1765</v>
      </c>
      <c r="AX231" s="34"/>
      <c r="BA231" s="34"/>
      <c r="BB231" s="34"/>
    </row>
    <row r="232" hidden="1">
      <c r="A232" s="25" t="s">
        <v>1766</v>
      </c>
      <c r="B232" s="26" t="s">
        <v>1767</v>
      </c>
      <c r="C232" s="27" t="s">
        <v>1752</v>
      </c>
      <c r="D232" s="27" t="s">
        <v>99</v>
      </c>
      <c r="E232" s="27" t="s">
        <v>112</v>
      </c>
      <c r="F232" s="27" t="s">
        <v>101</v>
      </c>
      <c r="G232" s="29">
        <v>499.0</v>
      </c>
      <c r="H232" s="36">
        <f t="shared" si="1"/>
        <v>474.05</v>
      </c>
      <c r="I232" s="97" t="s">
        <v>55</v>
      </c>
      <c r="J232" s="30" t="s">
        <v>102</v>
      </c>
      <c r="K232" s="30" t="s">
        <v>103</v>
      </c>
      <c r="L232" s="31" t="s">
        <v>1768</v>
      </c>
      <c r="M232" s="31" t="s">
        <v>1769</v>
      </c>
      <c r="N232" s="33">
        <v>-100.0</v>
      </c>
      <c r="O232" s="33">
        <v>100.0</v>
      </c>
      <c r="P232" s="33">
        <v>100.0</v>
      </c>
      <c r="Q232" s="33">
        <v>90.0</v>
      </c>
      <c r="R232" s="33">
        <v>98.0</v>
      </c>
      <c r="S232" s="33">
        <v>45.0</v>
      </c>
      <c r="T232" s="33">
        <v>92.0</v>
      </c>
      <c r="U232" s="33">
        <v>72.0</v>
      </c>
      <c r="V232" s="33">
        <v>68.0</v>
      </c>
      <c r="W232" s="33">
        <v>42.0</v>
      </c>
      <c r="X232" s="33">
        <v>38.0</v>
      </c>
      <c r="Y232" s="33">
        <v>95.0</v>
      </c>
      <c r="Z232" s="33">
        <v>20.0</v>
      </c>
      <c r="AA232" s="33">
        <v>35.0</v>
      </c>
      <c r="AB232" s="33">
        <v>45.0</v>
      </c>
      <c r="AC232" s="33">
        <v>68.0</v>
      </c>
      <c r="AD232" s="33">
        <v>15.0</v>
      </c>
      <c r="AE232" s="33">
        <v>90.0</v>
      </c>
      <c r="AF232" s="33">
        <v>52.0</v>
      </c>
      <c r="AG232" s="33">
        <v>38.0</v>
      </c>
      <c r="AH232" s="33">
        <v>25.0</v>
      </c>
      <c r="AI232" s="33">
        <v>82.0</v>
      </c>
      <c r="AJ232" s="33">
        <v>45.0</v>
      </c>
      <c r="AK232" s="33">
        <v>90.0</v>
      </c>
      <c r="AL232" s="33">
        <v>50.0</v>
      </c>
      <c r="AM232" s="33">
        <v>-100.0</v>
      </c>
      <c r="AN232" s="33">
        <v>100.0</v>
      </c>
      <c r="AO232" s="33">
        <v>100.0</v>
      </c>
      <c r="AP232" s="18" t="s">
        <v>1770</v>
      </c>
      <c r="AQ232" s="18" t="s">
        <v>1771</v>
      </c>
      <c r="AR232" s="20" t="s">
        <v>118</v>
      </c>
      <c r="AS232" s="20" t="s">
        <v>119</v>
      </c>
      <c r="AT232" s="20" t="s">
        <v>120</v>
      </c>
      <c r="AU232" s="21" t="s">
        <v>120</v>
      </c>
      <c r="AV232" s="22" t="s">
        <v>1772</v>
      </c>
      <c r="AW232" s="94" t="s">
        <v>1773</v>
      </c>
      <c r="AX232" s="34"/>
      <c r="BA232" s="34"/>
      <c r="BB232" s="34"/>
    </row>
    <row r="233" hidden="1">
      <c r="A233" s="25" t="s">
        <v>1774</v>
      </c>
      <c r="B233" s="26" t="s">
        <v>1775</v>
      </c>
      <c r="C233" s="27" t="s">
        <v>1776</v>
      </c>
      <c r="D233" s="27" t="s">
        <v>52</v>
      </c>
      <c r="E233" s="27" t="s">
        <v>53</v>
      </c>
      <c r="F233" s="27" t="s">
        <v>454</v>
      </c>
      <c r="G233" s="27">
        <v>199.0</v>
      </c>
      <c r="H233" s="36">
        <f t="shared" si="1"/>
        <v>189.05</v>
      </c>
      <c r="I233" s="97" t="s">
        <v>55</v>
      </c>
      <c r="J233" s="30" t="s">
        <v>253</v>
      </c>
      <c r="K233" s="30" t="s">
        <v>24</v>
      </c>
      <c r="L233" s="31" t="s">
        <v>1398</v>
      </c>
      <c r="M233" s="31" t="s">
        <v>907</v>
      </c>
      <c r="N233" s="33">
        <v>100.0</v>
      </c>
      <c r="O233" s="33">
        <v>100.0</v>
      </c>
      <c r="P233" s="33">
        <v>100.0</v>
      </c>
      <c r="Q233" s="33">
        <v>72.0</v>
      </c>
      <c r="R233" s="33">
        <v>10.0</v>
      </c>
      <c r="S233" s="33">
        <v>65.0</v>
      </c>
      <c r="T233" s="33">
        <v>78.0</v>
      </c>
      <c r="U233" s="33">
        <v>35.0</v>
      </c>
      <c r="V233" s="33">
        <v>25.0</v>
      </c>
      <c r="W233" s="33">
        <v>10.0</v>
      </c>
      <c r="X233" s="33">
        <v>62.0</v>
      </c>
      <c r="Y233" s="33">
        <v>90.0</v>
      </c>
      <c r="Z233" s="33">
        <v>15.0</v>
      </c>
      <c r="AA233" s="33">
        <v>78.0</v>
      </c>
      <c r="AB233" s="33">
        <v>72.0</v>
      </c>
      <c r="AC233" s="33">
        <v>45.0</v>
      </c>
      <c r="AD233" s="33">
        <v>5.0</v>
      </c>
      <c r="AE233" s="33">
        <v>98.0</v>
      </c>
      <c r="AF233" s="33">
        <v>90.0</v>
      </c>
      <c r="AG233" s="33">
        <v>65.0</v>
      </c>
      <c r="AH233" s="33">
        <v>60.0</v>
      </c>
      <c r="AI233" s="33">
        <v>92.0</v>
      </c>
      <c r="AJ233" s="33">
        <v>85.0</v>
      </c>
      <c r="AK233" s="33">
        <v>98.0</v>
      </c>
      <c r="AL233" s="33">
        <v>90.0</v>
      </c>
      <c r="AM233" s="33">
        <v>0.0</v>
      </c>
      <c r="AN233" s="33">
        <v>100.0</v>
      </c>
      <c r="AO233" s="33">
        <v>100.0</v>
      </c>
      <c r="AP233" s="18" t="s">
        <v>1777</v>
      </c>
      <c r="AQ233" s="18" t="s">
        <v>1778</v>
      </c>
      <c r="AR233" s="20" t="s">
        <v>62</v>
      </c>
      <c r="AS233" s="20" t="s">
        <v>63</v>
      </c>
      <c r="AT233" s="20" t="s">
        <v>64</v>
      </c>
      <c r="AU233" s="21" t="s">
        <v>64</v>
      </c>
      <c r="AV233" s="22" t="s">
        <v>1779</v>
      </c>
      <c r="AW233" s="94" t="s">
        <v>1780</v>
      </c>
      <c r="AX233" s="34"/>
      <c r="BA233" s="34"/>
      <c r="BB233" s="34"/>
    </row>
    <row r="234" hidden="1">
      <c r="A234" s="25" t="s">
        <v>1781</v>
      </c>
      <c r="B234" s="26" t="s">
        <v>1782</v>
      </c>
      <c r="C234" s="27" t="s">
        <v>1776</v>
      </c>
      <c r="D234" s="27" t="s">
        <v>52</v>
      </c>
      <c r="E234" s="35" t="s">
        <v>84</v>
      </c>
      <c r="F234" s="27" t="s">
        <v>454</v>
      </c>
      <c r="G234" s="29">
        <v>470.0</v>
      </c>
      <c r="H234" s="36">
        <f t="shared" si="1"/>
        <v>446.5</v>
      </c>
      <c r="I234" s="97" t="s">
        <v>55</v>
      </c>
      <c r="J234" s="30" t="s">
        <v>465</v>
      </c>
      <c r="K234" s="30" t="s">
        <v>202</v>
      </c>
      <c r="L234" s="31" t="s">
        <v>1783</v>
      </c>
      <c r="M234" s="31" t="s">
        <v>551</v>
      </c>
      <c r="N234" s="33">
        <v>100.0</v>
      </c>
      <c r="O234" s="33">
        <v>100.0</v>
      </c>
      <c r="P234" s="33">
        <v>100.0</v>
      </c>
      <c r="Q234" s="33">
        <v>68.0</v>
      </c>
      <c r="R234" s="33">
        <v>10.0</v>
      </c>
      <c r="S234" s="33">
        <v>90.0</v>
      </c>
      <c r="T234" s="33">
        <v>62.0</v>
      </c>
      <c r="U234" s="33">
        <v>62.0</v>
      </c>
      <c r="V234" s="33">
        <v>58.0</v>
      </c>
      <c r="W234" s="33">
        <v>35.0</v>
      </c>
      <c r="X234" s="33">
        <v>82.0</v>
      </c>
      <c r="Y234" s="33">
        <v>52.0</v>
      </c>
      <c r="Z234" s="33">
        <v>20.0</v>
      </c>
      <c r="AA234" s="33">
        <v>90.0</v>
      </c>
      <c r="AB234" s="33">
        <v>92.0</v>
      </c>
      <c r="AC234" s="33">
        <v>68.0</v>
      </c>
      <c r="AD234" s="33">
        <v>10.0</v>
      </c>
      <c r="AE234" s="33">
        <v>95.0</v>
      </c>
      <c r="AF234" s="33">
        <v>98.0</v>
      </c>
      <c r="AG234" s="33">
        <v>90.0</v>
      </c>
      <c r="AH234" s="33">
        <v>95.0</v>
      </c>
      <c r="AI234" s="33">
        <v>95.0</v>
      </c>
      <c r="AJ234" s="33">
        <v>98.0</v>
      </c>
      <c r="AK234" s="33">
        <v>98.0</v>
      </c>
      <c r="AL234" s="33">
        <v>98.0</v>
      </c>
      <c r="AM234" s="33">
        <v>0.0</v>
      </c>
      <c r="AN234" s="33">
        <v>100.0</v>
      </c>
      <c r="AO234" s="33">
        <v>100.0</v>
      </c>
      <c r="AP234" s="18" t="s">
        <v>1784</v>
      </c>
      <c r="AQ234" s="18" t="s">
        <v>1785</v>
      </c>
      <c r="AR234" s="20" t="s">
        <v>92</v>
      </c>
      <c r="AS234" s="20" t="s">
        <v>93</v>
      </c>
      <c r="AT234" s="20" t="s">
        <v>94</v>
      </c>
      <c r="AU234" s="21" t="s">
        <v>94</v>
      </c>
      <c r="AV234" s="22" t="s">
        <v>271</v>
      </c>
      <c r="AW234" s="94" t="s">
        <v>1786</v>
      </c>
      <c r="AX234" s="34"/>
      <c r="BA234" s="34"/>
      <c r="BB234" s="34"/>
    </row>
    <row r="235" hidden="1">
      <c r="A235" s="25" t="s">
        <v>1787</v>
      </c>
      <c r="B235" s="26" t="s">
        <v>1788</v>
      </c>
      <c r="C235" s="27" t="s">
        <v>1776</v>
      </c>
      <c r="D235" s="27" t="s">
        <v>52</v>
      </c>
      <c r="E235" s="35" t="s">
        <v>84</v>
      </c>
      <c r="F235" s="27" t="s">
        <v>454</v>
      </c>
      <c r="G235" s="29">
        <v>575.0</v>
      </c>
      <c r="H235" s="36">
        <f t="shared" si="1"/>
        <v>546.25</v>
      </c>
      <c r="I235" s="97" t="s">
        <v>55</v>
      </c>
      <c r="J235" s="30" t="s">
        <v>253</v>
      </c>
      <c r="K235" s="30" t="s">
        <v>27</v>
      </c>
      <c r="L235" s="31" t="s">
        <v>1783</v>
      </c>
      <c r="M235" s="31" t="s">
        <v>1789</v>
      </c>
      <c r="N235" s="33">
        <v>0.0</v>
      </c>
      <c r="O235" s="33">
        <v>100.0</v>
      </c>
      <c r="P235" s="33">
        <v>100.0</v>
      </c>
      <c r="Q235" s="33">
        <v>75.0</v>
      </c>
      <c r="R235" s="33">
        <v>10.0</v>
      </c>
      <c r="S235" s="33">
        <v>82.0</v>
      </c>
      <c r="T235" s="33">
        <v>72.0</v>
      </c>
      <c r="U235" s="33">
        <v>45.0</v>
      </c>
      <c r="V235" s="33">
        <v>35.0</v>
      </c>
      <c r="W235" s="33">
        <v>20.0</v>
      </c>
      <c r="X235" s="33">
        <v>78.0</v>
      </c>
      <c r="Y235" s="33">
        <v>75.0</v>
      </c>
      <c r="Z235" s="33">
        <v>25.0</v>
      </c>
      <c r="AA235" s="33">
        <v>72.0</v>
      </c>
      <c r="AB235" s="33">
        <v>90.0</v>
      </c>
      <c r="AC235" s="33">
        <v>62.0</v>
      </c>
      <c r="AD235" s="33">
        <v>10.0</v>
      </c>
      <c r="AE235" s="33">
        <v>95.0</v>
      </c>
      <c r="AF235" s="33">
        <v>90.0</v>
      </c>
      <c r="AG235" s="33">
        <v>82.0</v>
      </c>
      <c r="AH235" s="33">
        <v>78.0</v>
      </c>
      <c r="AI235" s="33">
        <v>92.0</v>
      </c>
      <c r="AJ235" s="33">
        <v>85.0</v>
      </c>
      <c r="AK235" s="33">
        <v>98.0</v>
      </c>
      <c r="AL235" s="33">
        <v>90.0</v>
      </c>
      <c r="AM235" s="33">
        <v>0.0</v>
      </c>
      <c r="AN235" s="33">
        <v>100.0</v>
      </c>
      <c r="AO235" s="33">
        <v>100.0</v>
      </c>
      <c r="AP235" s="18" t="s">
        <v>1790</v>
      </c>
      <c r="AQ235" s="18" t="s">
        <v>1791</v>
      </c>
      <c r="AR235" s="20" t="s">
        <v>92</v>
      </c>
      <c r="AS235" s="20" t="s">
        <v>93</v>
      </c>
      <c r="AT235" s="20" t="s">
        <v>94</v>
      </c>
      <c r="AU235" s="21" t="s">
        <v>94</v>
      </c>
      <c r="AV235" s="22" t="s">
        <v>1792</v>
      </c>
      <c r="AW235" s="94" t="s">
        <v>1793</v>
      </c>
      <c r="AX235" s="55"/>
      <c r="AY235" s="55"/>
      <c r="BA235" s="34"/>
      <c r="BB235" s="34"/>
    </row>
    <row r="236" hidden="1">
      <c r="A236" s="25" t="s">
        <v>1794</v>
      </c>
      <c r="B236" s="26" t="s">
        <v>1795</v>
      </c>
      <c r="C236" s="27" t="s">
        <v>1776</v>
      </c>
      <c r="D236" s="27" t="s">
        <v>52</v>
      </c>
      <c r="E236" s="27" t="s">
        <v>69</v>
      </c>
      <c r="F236" s="27" t="s">
        <v>70</v>
      </c>
      <c r="G236" s="29">
        <v>790.0</v>
      </c>
      <c r="H236" s="36">
        <f t="shared" si="1"/>
        <v>750.5</v>
      </c>
      <c r="I236" s="97" t="s">
        <v>55</v>
      </c>
      <c r="J236" s="30" t="s">
        <v>71</v>
      </c>
      <c r="K236" s="30" t="s">
        <v>817</v>
      </c>
      <c r="L236" s="31" t="s">
        <v>1796</v>
      </c>
      <c r="M236" s="31" t="s">
        <v>1797</v>
      </c>
      <c r="N236" s="33">
        <v>0.0</v>
      </c>
      <c r="O236" s="33">
        <v>100.0</v>
      </c>
      <c r="P236" s="33">
        <v>100.0</v>
      </c>
      <c r="Q236" s="33">
        <v>65.0</v>
      </c>
      <c r="R236" s="33">
        <v>10.0</v>
      </c>
      <c r="S236" s="33">
        <v>68.0</v>
      </c>
      <c r="T236" s="33">
        <v>52.0</v>
      </c>
      <c r="U236" s="33">
        <v>95.0</v>
      </c>
      <c r="V236" s="33">
        <v>98.0</v>
      </c>
      <c r="W236" s="33">
        <v>90.0</v>
      </c>
      <c r="X236" s="33">
        <v>65.0</v>
      </c>
      <c r="Y236" s="33">
        <v>35.0</v>
      </c>
      <c r="Z236" s="33">
        <v>30.0</v>
      </c>
      <c r="AA236" s="33">
        <v>75.0</v>
      </c>
      <c r="AB236" s="33">
        <v>72.0</v>
      </c>
      <c r="AC236" s="33">
        <v>98.0</v>
      </c>
      <c r="AD236" s="33">
        <v>20.0</v>
      </c>
      <c r="AE236" s="33">
        <v>90.0</v>
      </c>
      <c r="AF236" s="33">
        <v>82.0</v>
      </c>
      <c r="AG236" s="33">
        <v>68.0</v>
      </c>
      <c r="AH236" s="33">
        <v>62.0</v>
      </c>
      <c r="AI236" s="33">
        <v>90.0</v>
      </c>
      <c r="AJ236" s="33">
        <v>80.0</v>
      </c>
      <c r="AK236" s="33">
        <v>90.0</v>
      </c>
      <c r="AL236" s="33">
        <v>82.0</v>
      </c>
      <c r="AM236" s="33">
        <v>0.0</v>
      </c>
      <c r="AN236" s="33">
        <v>100.0</v>
      </c>
      <c r="AO236" s="33">
        <v>100.0</v>
      </c>
      <c r="AP236" s="18" t="s">
        <v>1798</v>
      </c>
      <c r="AQ236" s="18" t="s">
        <v>1799</v>
      </c>
      <c r="AR236" s="20" t="s">
        <v>166</v>
      </c>
      <c r="AS236" s="20" t="s">
        <v>167</v>
      </c>
      <c r="AT236" s="20" t="s">
        <v>168</v>
      </c>
      <c r="AU236" s="21" t="s">
        <v>168</v>
      </c>
      <c r="AV236" s="22" t="s">
        <v>731</v>
      </c>
      <c r="AW236" s="94" t="s">
        <v>1800</v>
      </c>
      <c r="BA236" s="34"/>
      <c r="BB236" s="34"/>
    </row>
    <row r="237" hidden="1">
      <c r="A237" s="25" t="s">
        <v>1801</v>
      </c>
      <c r="B237" s="26" t="s">
        <v>1802</v>
      </c>
      <c r="C237" s="27" t="s">
        <v>1776</v>
      </c>
      <c r="D237" s="27" t="s">
        <v>52</v>
      </c>
      <c r="E237" s="27" t="s">
        <v>125</v>
      </c>
      <c r="F237" s="27" t="s">
        <v>126</v>
      </c>
      <c r="G237" s="29">
        <v>440.0</v>
      </c>
      <c r="H237" s="36">
        <f t="shared" si="1"/>
        <v>418</v>
      </c>
      <c r="I237" s="97" t="s">
        <v>55</v>
      </c>
      <c r="J237" s="102" t="s">
        <v>102</v>
      </c>
      <c r="K237" s="30" t="s">
        <v>1803</v>
      </c>
      <c r="L237" s="31" t="s">
        <v>1804</v>
      </c>
      <c r="M237" s="31" t="s">
        <v>1307</v>
      </c>
      <c r="N237" s="97">
        <v>100.0</v>
      </c>
      <c r="O237" s="97">
        <v>100.0</v>
      </c>
      <c r="P237" s="97">
        <v>100.0</v>
      </c>
      <c r="Q237" s="97">
        <v>55.0</v>
      </c>
      <c r="R237" s="97">
        <v>30.0</v>
      </c>
      <c r="S237" s="97">
        <v>25.0</v>
      </c>
      <c r="T237" s="97">
        <v>80.0</v>
      </c>
      <c r="U237" s="97">
        <v>55.0</v>
      </c>
      <c r="V237" s="97">
        <v>50.0</v>
      </c>
      <c r="W237" s="97">
        <v>25.0</v>
      </c>
      <c r="X237" s="97">
        <v>90.0</v>
      </c>
      <c r="Y237" s="97">
        <v>60.0</v>
      </c>
      <c r="Z237" s="97">
        <v>15.0</v>
      </c>
      <c r="AA237" s="97">
        <v>90.0</v>
      </c>
      <c r="AB237" s="97">
        <v>45.0</v>
      </c>
      <c r="AC237" s="97">
        <v>40.0</v>
      </c>
      <c r="AD237" s="97">
        <v>15.0</v>
      </c>
      <c r="AE237" s="97">
        <v>90.0</v>
      </c>
      <c r="AF237" s="97">
        <v>75.0</v>
      </c>
      <c r="AG237" s="97">
        <v>35.0</v>
      </c>
      <c r="AH237" s="97">
        <v>30.0</v>
      </c>
      <c r="AI237" s="97">
        <v>75.0</v>
      </c>
      <c r="AJ237" s="97">
        <v>70.0</v>
      </c>
      <c r="AK237" s="97">
        <v>90.0</v>
      </c>
      <c r="AL237" s="97">
        <v>75.0</v>
      </c>
      <c r="AM237" s="33">
        <v>-100.0</v>
      </c>
      <c r="AN237" s="97">
        <v>100.0</v>
      </c>
      <c r="AO237" s="97">
        <v>100.0</v>
      </c>
      <c r="AP237" s="18" t="s">
        <v>1805</v>
      </c>
      <c r="AQ237" s="18" t="s">
        <v>1806</v>
      </c>
      <c r="AR237" s="20" t="s">
        <v>601</v>
      </c>
      <c r="AS237" s="20" t="s">
        <v>602</v>
      </c>
      <c r="AT237" s="20" t="s">
        <v>603</v>
      </c>
      <c r="AU237" s="21" t="s">
        <v>603</v>
      </c>
      <c r="AV237" s="22" t="s">
        <v>271</v>
      </c>
      <c r="AW237" s="94" t="s">
        <v>1807</v>
      </c>
      <c r="AY237" s="55"/>
      <c r="AZ237" s="55"/>
      <c r="BA237" s="34"/>
      <c r="BB237" s="34"/>
    </row>
    <row r="238" hidden="1">
      <c r="A238" s="25" t="s">
        <v>1808</v>
      </c>
      <c r="B238" s="26" t="s">
        <v>1809</v>
      </c>
      <c r="C238" s="27" t="s">
        <v>1776</v>
      </c>
      <c r="D238" s="27" t="s">
        <v>52</v>
      </c>
      <c r="E238" s="27" t="s">
        <v>252</v>
      </c>
      <c r="F238" s="27" t="s">
        <v>85</v>
      </c>
      <c r="G238" s="29">
        <v>420.0</v>
      </c>
      <c r="H238" s="36">
        <f t="shared" si="1"/>
        <v>399</v>
      </c>
      <c r="I238" s="97" t="s">
        <v>55</v>
      </c>
      <c r="J238" s="102" t="s">
        <v>224</v>
      </c>
      <c r="K238" s="102" t="s">
        <v>29</v>
      </c>
      <c r="L238" s="31" t="s">
        <v>154</v>
      </c>
      <c r="M238" s="31" t="s">
        <v>1810</v>
      </c>
      <c r="N238" s="97">
        <v>100.0</v>
      </c>
      <c r="O238" s="97">
        <v>100.0</v>
      </c>
      <c r="P238" s="97">
        <v>100.0</v>
      </c>
      <c r="Q238" s="97">
        <v>40.0</v>
      </c>
      <c r="R238" s="97">
        <v>35.0</v>
      </c>
      <c r="S238" s="97">
        <v>25.0</v>
      </c>
      <c r="T238" s="97">
        <v>35.0</v>
      </c>
      <c r="U238" s="97">
        <v>40.0</v>
      </c>
      <c r="V238" s="97">
        <v>45.0</v>
      </c>
      <c r="W238" s="97">
        <v>40.0</v>
      </c>
      <c r="X238" s="97">
        <v>20.0</v>
      </c>
      <c r="Y238" s="97">
        <v>25.0</v>
      </c>
      <c r="Z238" s="97">
        <v>70.0</v>
      </c>
      <c r="AA238" s="97">
        <v>20.0</v>
      </c>
      <c r="AB238" s="97">
        <v>25.0</v>
      </c>
      <c r="AC238" s="97">
        <v>35.0</v>
      </c>
      <c r="AD238" s="97">
        <v>95.0</v>
      </c>
      <c r="AE238" s="97">
        <v>80.0</v>
      </c>
      <c r="AF238" s="97">
        <v>65.0</v>
      </c>
      <c r="AG238" s="97">
        <v>45.0</v>
      </c>
      <c r="AH238" s="97">
        <v>40.0</v>
      </c>
      <c r="AI238" s="97">
        <v>90.0</v>
      </c>
      <c r="AJ238" s="97">
        <v>75.0</v>
      </c>
      <c r="AK238" s="97">
        <v>90.0</v>
      </c>
      <c r="AL238" s="97">
        <v>75.0</v>
      </c>
      <c r="AM238" s="33">
        <v>-100.0</v>
      </c>
      <c r="AN238" s="97">
        <v>100.0</v>
      </c>
      <c r="AO238" s="97">
        <v>100.0</v>
      </c>
      <c r="AP238" s="18" t="s">
        <v>1811</v>
      </c>
      <c r="AQ238" s="18" t="s">
        <v>1812</v>
      </c>
      <c r="AR238" s="20" t="s">
        <v>144</v>
      </c>
      <c r="AS238" s="20" t="s">
        <v>145</v>
      </c>
      <c r="AT238" s="20" t="s">
        <v>146</v>
      </c>
      <c r="AU238" s="21" t="s">
        <v>146</v>
      </c>
      <c r="AV238" s="22" t="s">
        <v>443</v>
      </c>
      <c r="AW238" s="94" t="s">
        <v>1813</v>
      </c>
      <c r="AX238" s="34"/>
      <c r="BA238" s="34"/>
      <c r="BB238" s="34"/>
    </row>
    <row r="239" hidden="1">
      <c r="A239" s="25" t="s">
        <v>1814</v>
      </c>
      <c r="B239" s="26" t="s">
        <v>1815</v>
      </c>
      <c r="C239" s="27" t="s">
        <v>1776</v>
      </c>
      <c r="D239" s="27" t="s">
        <v>52</v>
      </c>
      <c r="E239" s="35" t="s">
        <v>84</v>
      </c>
      <c r="F239" s="27" t="s">
        <v>454</v>
      </c>
      <c r="G239" s="29">
        <v>575.0</v>
      </c>
      <c r="H239" s="36">
        <f t="shared" si="1"/>
        <v>546.25</v>
      </c>
      <c r="I239" s="97" t="s">
        <v>55</v>
      </c>
      <c r="J239" s="102" t="s">
        <v>331</v>
      </c>
      <c r="K239" s="102" t="s">
        <v>57</v>
      </c>
      <c r="L239" s="31" t="s">
        <v>1816</v>
      </c>
      <c r="M239" s="31" t="s">
        <v>1817</v>
      </c>
      <c r="N239" s="97">
        <v>100.0</v>
      </c>
      <c r="O239" s="97">
        <v>100.0</v>
      </c>
      <c r="P239" s="97">
        <v>100.0</v>
      </c>
      <c r="Q239" s="97">
        <v>20.0</v>
      </c>
      <c r="R239" s="97">
        <v>15.0</v>
      </c>
      <c r="S239" s="97">
        <v>90.0</v>
      </c>
      <c r="T239" s="97">
        <v>15.0</v>
      </c>
      <c r="U239" s="97">
        <v>35.0</v>
      </c>
      <c r="V239" s="97">
        <v>30.0</v>
      </c>
      <c r="W239" s="97">
        <v>15.0</v>
      </c>
      <c r="X239" s="97">
        <v>80.0</v>
      </c>
      <c r="Y239" s="97">
        <v>15.0</v>
      </c>
      <c r="Z239" s="97">
        <v>35.0</v>
      </c>
      <c r="AA239" s="97">
        <v>55.0</v>
      </c>
      <c r="AB239" s="97">
        <v>90.0</v>
      </c>
      <c r="AC239" s="97">
        <v>50.0</v>
      </c>
      <c r="AD239" s="97">
        <v>10.0</v>
      </c>
      <c r="AE239" s="97">
        <v>20.0</v>
      </c>
      <c r="AF239" s="97">
        <v>20.0</v>
      </c>
      <c r="AG239" s="97">
        <v>90.0</v>
      </c>
      <c r="AH239" s="97">
        <v>75.0</v>
      </c>
      <c r="AI239" s="97">
        <v>80.0</v>
      </c>
      <c r="AJ239" s="97">
        <v>65.0</v>
      </c>
      <c r="AK239" s="97">
        <v>65.0</v>
      </c>
      <c r="AL239" s="97">
        <v>55.0</v>
      </c>
      <c r="AM239" s="33">
        <v>100.0</v>
      </c>
      <c r="AN239" s="97">
        <v>100.0</v>
      </c>
      <c r="AO239" s="97">
        <v>100.0</v>
      </c>
      <c r="AP239" s="18" t="s">
        <v>1818</v>
      </c>
      <c r="AQ239" s="18" t="s">
        <v>1819</v>
      </c>
      <c r="AR239" s="20" t="s">
        <v>92</v>
      </c>
      <c r="AS239" s="20" t="s">
        <v>93</v>
      </c>
      <c r="AT239" s="20" t="s">
        <v>94</v>
      </c>
      <c r="AU239" s="21" t="s">
        <v>94</v>
      </c>
      <c r="AV239" s="22" t="s">
        <v>426</v>
      </c>
      <c r="AW239" s="94" t="s">
        <v>1820</v>
      </c>
      <c r="AX239" s="34"/>
      <c r="BA239" s="34"/>
      <c r="BB239" s="34"/>
    </row>
    <row r="240" hidden="1">
      <c r="A240" s="25" t="s">
        <v>1821</v>
      </c>
      <c r="B240" s="26" t="s">
        <v>1822</v>
      </c>
      <c r="C240" s="27" t="s">
        <v>1776</v>
      </c>
      <c r="D240" s="27" t="s">
        <v>52</v>
      </c>
      <c r="E240" s="35" t="s">
        <v>84</v>
      </c>
      <c r="F240" s="27" t="s">
        <v>85</v>
      </c>
      <c r="G240" s="29">
        <v>415.0</v>
      </c>
      <c r="H240" s="36">
        <f t="shared" si="1"/>
        <v>394.25</v>
      </c>
      <c r="I240" s="97" t="s">
        <v>55</v>
      </c>
      <c r="J240" s="102" t="s">
        <v>1073</v>
      </c>
      <c r="K240" s="102" t="s">
        <v>1823</v>
      </c>
      <c r="L240" s="31" t="s">
        <v>1824</v>
      </c>
      <c r="M240" s="31" t="s">
        <v>1825</v>
      </c>
      <c r="N240" s="97">
        <v>100.0</v>
      </c>
      <c r="O240" s="97">
        <v>100.0</v>
      </c>
      <c r="P240" s="97">
        <v>100.0</v>
      </c>
      <c r="Q240" s="97">
        <v>25.0</v>
      </c>
      <c r="R240" s="97">
        <v>15.0</v>
      </c>
      <c r="S240" s="97">
        <v>65.0</v>
      </c>
      <c r="T240" s="97">
        <v>25.0</v>
      </c>
      <c r="U240" s="97">
        <v>65.0</v>
      </c>
      <c r="V240" s="97">
        <v>60.0</v>
      </c>
      <c r="W240" s="97">
        <v>35.0</v>
      </c>
      <c r="X240" s="97">
        <v>55.0</v>
      </c>
      <c r="Y240" s="97">
        <v>20.0</v>
      </c>
      <c r="Z240" s="97">
        <v>30.0</v>
      </c>
      <c r="AA240" s="97">
        <v>25.0</v>
      </c>
      <c r="AB240" s="97">
        <v>90.0</v>
      </c>
      <c r="AC240" s="97">
        <v>90.0</v>
      </c>
      <c r="AD240" s="97">
        <v>75.0</v>
      </c>
      <c r="AE240" s="97">
        <v>40.0</v>
      </c>
      <c r="AF240" s="97">
        <v>30.0</v>
      </c>
      <c r="AG240" s="97">
        <v>90.0</v>
      </c>
      <c r="AH240" s="97">
        <v>90.0</v>
      </c>
      <c r="AI240" s="97">
        <v>90.0</v>
      </c>
      <c r="AJ240" s="97">
        <v>80.0</v>
      </c>
      <c r="AK240" s="97">
        <v>65.0</v>
      </c>
      <c r="AL240" s="97">
        <v>55.0</v>
      </c>
      <c r="AM240" s="33">
        <v>0.0</v>
      </c>
      <c r="AN240" s="97">
        <v>100.0</v>
      </c>
      <c r="AO240" s="97">
        <v>100.0</v>
      </c>
      <c r="AP240" s="18" t="s">
        <v>1826</v>
      </c>
      <c r="AQ240" s="18" t="s">
        <v>1827</v>
      </c>
      <c r="AR240" s="20" t="s">
        <v>144</v>
      </c>
      <c r="AS240" s="20" t="s">
        <v>145</v>
      </c>
      <c r="AT240" s="20" t="s">
        <v>146</v>
      </c>
      <c r="AU240" s="21" t="s">
        <v>146</v>
      </c>
      <c r="AV240" s="22" t="s">
        <v>426</v>
      </c>
      <c r="AW240" s="94" t="s">
        <v>1828</v>
      </c>
      <c r="AX240" s="34"/>
      <c r="BA240" s="34"/>
      <c r="BB240" s="34"/>
    </row>
    <row r="241" hidden="1">
      <c r="A241" s="25" t="s">
        <v>1829</v>
      </c>
      <c r="B241" s="26" t="s">
        <v>1830</v>
      </c>
      <c r="C241" s="27" t="s">
        <v>1776</v>
      </c>
      <c r="D241" s="27" t="s">
        <v>52</v>
      </c>
      <c r="E241" s="27" t="s">
        <v>69</v>
      </c>
      <c r="F241" s="27" t="s">
        <v>70</v>
      </c>
      <c r="G241" s="29">
        <v>790.0</v>
      </c>
      <c r="H241" s="36">
        <f t="shared" si="1"/>
        <v>750.5</v>
      </c>
      <c r="I241" s="97" t="s">
        <v>55</v>
      </c>
      <c r="J241" s="102" t="s">
        <v>71</v>
      </c>
      <c r="K241" s="102" t="s">
        <v>25</v>
      </c>
      <c r="L241" s="31" t="s">
        <v>1831</v>
      </c>
      <c r="M241" s="31" t="s">
        <v>1832</v>
      </c>
      <c r="N241" s="97">
        <v>-100.0</v>
      </c>
      <c r="O241" s="97">
        <v>0.0</v>
      </c>
      <c r="P241" s="97">
        <v>100.0</v>
      </c>
      <c r="Q241" s="97">
        <v>60.0</v>
      </c>
      <c r="R241" s="97">
        <v>25.0</v>
      </c>
      <c r="S241" s="97">
        <v>20.0</v>
      </c>
      <c r="T241" s="97">
        <v>55.0</v>
      </c>
      <c r="U241" s="97">
        <v>60.0</v>
      </c>
      <c r="V241" s="97">
        <v>55.0</v>
      </c>
      <c r="W241" s="97">
        <v>35.0</v>
      </c>
      <c r="X241" s="97">
        <v>35.0</v>
      </c>
      <c r="Y241" s="97">
        <v>45.0</v>
      </c>
      <c r="Z241" s="97">
        <v>95.0</v>
      </c>
      <c r="AA241" s="97">
        <v>15.0</v>
      </c>
      <c r="AB241" s="97">
        <v>25.0</v>
      </c>
      <c r="AC241" s="97">
        <v>50.0</v>
      </c>
      <c r="AD241" s="97">
        <v>15.0</v>
      </c>
      <c r="AE241" s="97">
        <v>90.0</v>
      </c>
      <c r="AF241" s="97">
        <v>70.0</v>
      </c>
      <c r="AG241" s="97">
        <v>20.0</v>
      </c>
      <c r="AH241" s="97">
        <v>10.0</v>
      </c>
      <c r="AI241" s="97">
        <v>90.0</v>
      </c>
      <c r="AJ241" s="97">
        <v>85.0</v>
      </c>
      <c r="AK241" s="97">
        <v>90.0</v>
      </c>
      <c r="AL241" s="97">
        <v>80.0</v>
      </c>
      <c r="AM241" s="33">
        <v>-100.0</v>
      </c>
      <c r="AN241" s="97">
        <v>-100.0</v>
      </c>
      <c r="AO241" s="97">
        <v>-100.0</v>
      </c>
      <c r="AP241" s="18" t="s">
        <v>1833</v>
      </c>
      <c r="AQ241" s="18" t="s">
        <v>1834</v>
      </c>
      <c r="AR241" s="20" t="s">
        <v>77</v>
      </c>
      <c r="AS241" s="20" t="s">
        <v>78</v>
      </c>
      <c r="AT241" s="20" t="s">
        <v>79</v>
      </c>
      <c r="AU241" s="21" t="s">
        <v>79</v>
      </c>
      <c r="AV241" s="22" t="s">
        <v>279</v>
      </c>
      <c r="AW241" s="94" t="s">
        <v>1835</v>
      </c>
      <c r="AX241" s="34"/>
      <c r="BA241" s="34"/>
      <c r="BB241" s="34"/>
    </row>
    <row r="242" hidden="1">
      <c r="A242" s="25" t="s">
        <v>1836</v>
      </c>
      <c r="B242" s="26" t="s">
        <v>1837</v>
      </c>
      <c r="C242" s="27" t="s">
        <v>1776</v>
      </c>
      <c r="D242" s="27" t="s">
        <v>52</v>
      </c>
      <c r="E242" s="35" t="s">
        <v>84</v>
      </c>
      <c r="F242" s="27" t="s">
        <v>85</v>
      </c>
      <c r="G242" s="29">
        <v>525.0</v>
      </c>
      <c r="H242" s="36">
        <f t="shared" si="1"/>
        <v>498.75</v>
      </c>
      <c r="I242" s="97" t="s">
        <v>55</v>
      </c>
      <c r="J242" s="102" t="s">
        <v>102</v>
      </c>
      <c r="K242" s="30" t="s">
        <v>87</v>
      </c>
      <c r="L242" s="31" t="s">
        <v>114</v>
      </c>
      <c r="M242" s="31" t="s">
        <v>1307</v>
      </c>
      <c r="N242" s="97">
        <v>100.0</v>
      </c>
      <c r="O242" s="97">
        <v>100.0</v>
      </c>
      <c r="P242" s="97">
        <v>100.0</v>
      </c>
      <c r="Q242" s="97">
        <v>65.0</v>
      </c>
      <c r="R242" s="97">
        <v>35.0</v>
      </c>
      <c r="S242" s="97">
        <v>45.0</v>
      </c>
      <c r="T242" s="97">
        <v>70.0</v>
      </c>
      <c r="U242" s="97">
        <v>60.0</v>
      </c>
      <c r="V242" s="97">
        <v>55.0</v>
      </c>
      <c r="W242" s="97">
        <v>30.0</v>
      </c>
      <c r="X242" s="97">
        <v>90.0</v>
      </c>
      <c r="Y242" s="97">
        <v>65.0</v>
      </c>
      <c r="Z242" s="97">
        <v>20.0</v>
      </c>
      <c r="AA242" s="97">
        <v>90.0</v>
      </c>
      <c r="AB242" s="97">
        <v>90.0</v>
      </c>
      <c r="AC242" s="97">
        <v>45.0</v>
      </c>
      <c r="AD242" s="97">
        <v>15.0</v>
      </c>
      <c r="AE242" s="97">
        <v>90.0</v>
      </c>
      <c r="AF242" s="97">
        <v>75.0</v>
      </c>
      <c r="AG242" s="97">
        <v>55.0</v>
      </c>
      <c r="AH242" s="97">
        <v>50.0</v>
      </c>
      <c r="AI242" s="97">
        <v>80.0</v>
      </c>
      <c r="AJ242" s="97">
        <v>75.0</v>
      </c>
      <c r="AK242" s="97">
        <v>90.0</v>
      </c>
      <c r="AL242" s="97">
        <v>75.0</v>
      </c>
      <c r="AM242" s="33">
        <v>-100.0</v>
      </c>
      <c r="AN242" s="97">
        <v>100.0</v>
      </c>
      <c r="AO242" s="97">
        <v>100.0</v>
      </c>
      <c r="AP242" s="18" t="s">
        <v>1838</v>
      </c>
      <c r="AQ242" s="18" t="s">
        <v>1839</v>
      </c>
      <c r="AR242" s="20" t="s">
        <v>92</v>
      </c>
      <c r="AS242" s="20" t="s">
        <v>93</v>
      </c>
      <c r="AT242" s="20" t="s">
        <v>94</v>
      </c>
      <c r="AU242" s="21" t="s">
        <v>94</v>
      </c>
      <c r="AV242" s="22" t="s">
        <v>271</v>
      </c>
      <c r="AW242" s="94" t="s">
        <v>1840</v>
      </c>
      <c r="AX242" s="34"/>
      <c r="BA242" s="34"/>
      <c r="BB242" s="34"/>
    </row>
    <row r="243" hidden="1">
      <c r="A243" s="25" t="s">
        <v>1841</v>
      </c>
      <c r="B243" s="26" t="s">
        <v>1842</v>
      </c>
      <c r="C243" s="27" t="s">
        <v>1776</v>
      </c>
      <c r="D243" s="27" t="s">
        <v>52</v>
      </c>
      <c r="E243" s="27" t="s">
        <v>125</v>
      </c>
      <c r="F243" s="27" t="s">
        <v>54</v>
      </c>
      <c r="G243" s="29">
        <v>255.0</v>
      </c>
      <c r="H243" s="36">
        <f t="shared" si="1"/>
        <v>242.25</v>
      </c>
      <c r="I243" s="97" t="s">
        <v>55</v>
      </c>
      <c r="J243" s="102" t="s">
        <v>216</v>
      </c>
      <c r="K243" s="102" t="s">
        <v>27</v>
      </c>
      <c r="L243" s="31" t="s">
        <v>1843</v>
      </c>
      <c r="M243" s="31" t="s">
        <v>203</v>
      </c>
      <c r="N243" s="97">
        <v>100.0</v>
      </c>
      <c r="O243" s="97">
        <v>100.0</v>
      </c>
      <c r="P243" s="97">
        <v>100.0</v>
      </c>
      <c r="Q243" s="97">
        <v>15.0</v>
      </c>
      <c r="R243" s="97">
        <v>10.0</v>
      </c>
      <c r="S243" s="97">
        <v>40.0</v>
      </c>
      <c r="T243" s="97">
        <v>10.0</v>
      </c>
      <c r="U243" s="97">
        <v>15.0</v>
      </c>
      <c r="V243" s="97">
        <v>10.0</v>
      </c>
      <c r="W243" s="97">
        <v>5.0</v>
      </c>
      <c r="X243" s="97">
        <v>25.0</v>
      </c>
      <c r="Y243" s="97">
        <v>10.0</v>
      </c>
      <c r="Z243" s="97">
        <v>10.0</v>
      </c>
      <c r="AA243" s="97">
        <v>35.0</v>
      </c>
      <c r="AB243" s="97">
        <v>90.0</v>
      </c>
      <c r="AC243" s="97">
        <v>35.0</v>
      </c>
      <c r="AD243" s="97">
        <v>5.0</v>
      </c>
      <c r="AE243" s="97">
        <v>80.0</v>
      </c>
      <c r="AF243" s="97">
        <v>80.0</v>
      </c>
      <c r="AG243" s="97">
        <v>55.0</v>
      </c>
      <c r="AH243" s="97">
        <v>50.0</v>
      </c>
      <c r="AI243" s="97">
        <v>90.0</v>
      </c>
      <c r="AJ243" s="97">
        <v>85.0</v>
      </c>
      <c r="AK243" s="97">
        <v>80.0</v>
      </c>
      <c r="AL243" s="97">
        <v>70.0</v>
      </c>
      <c r="AM243" s="33">
        <v>-100.0</v>
      </c>
      <c r="AN243" s="97">
        <v>100.0</v>
      </c>
      <c r="AO243" s="97">
        <v>100.0</v>
      </c>
      <c r="AP243" s="18" t="s">
        <v>1844</v>
      </c>
      <c r="AQ243" s="18" t="s">
        <v>1845</v>
      </c>
      <c r="AR243" s="20" t="s">
        <v>601</v>
      </c>
      <c r="AS243" s="20" t="s">
        <v>602</v>
      </c>
      <c r="AT243" s="20" t="s">
        <v>603</v>
      </c>
      <c r="AU243" s="21" t="s">
        <v>603</v>
      </c>
      <c r="AV243" s="22" t="s">
        <v>95</v>
      </c>
      <c r="AW243" s="94" t="s">
        <v>1846</v>
      </c>
      <c r="AX243" s="34"/>
      <c r="BA243" s="34"/>
      <c r="BB243" s="34"/>
    </row>
    <row r="244" hidden="1">
      <c r="A244" s="25" t="s">
        <v>1847</v>
      </c>
      <c r="B244" s="26" t="s">
        <v>1848</v>
      </c>
      <c r="C244" s="27" t="s">
        <v>1849</v>
      </c>
      <c r="D244" s="27" t="s">
        <v>52</v>
      </c>
      <c r="E244" s="27" t="s">
        <v>53</v>
      </c>
      <c r="F244" s="27" t="s">
        <v>126</v>
      </c>
      <c r="G244" s="29">
        <v>450.0</v>
      </c>
      <c r="H244" s="36">
        <f t="shared" si="1"/>
        <v>427.5</v>
      </c>
      <c r="I244" s="97" t="s">
        <v>1850</v>
      </c>
      <c r="J244" s="102" t="s">
        <v>1851</v>
      </c>
      <c r="K244" s="30" t="s">
        <v>243</v>
      </c>
      <c r="L244" s="31" t="s">
        <v>1852</v>
      </c>
      <c r="M244" s="31" t="s">
        <v>1853</v>
      </c>
      <c r="N244" s="97">
        <v>100.0</v>
      </c>
      <c r="O244" s="97">
        <v>100.0</v>
      </c>
      <c r="P244" s="97">
        <v>100.0</v>
      </c>
      <c r="Q244" s="97">
        <v>20.0</v>
      </c>
      <c r="R244" s="97">
        <v>15.0</v>
      </c>
      <c r="S244" s="97">
        <v>90.0</v>
      </c>
      <c r="T244" s="97">
        <v>10.0</v>
      </c>
      <c r="U244" s="97">
        <v>5.0</v>
      </c>
      <c r="V244" s="97">
        <v>0.0</v>
      </c>
      <c r="W244" s="97">
        <v>0.0</v>
      </c>
      <c r="X244" s="97">
        <v>90.0</v>
      </c>
      <c r="Y244" s="97">
        <v>15.0</v>
      </c>
      <c r="Z244" s="97">
        <v>5.0</v>
      </c>
      <c r="AA244" s="97">
        <v>90.0</v>
      </c>
      <c r="AB244" s="97">
        <v>90.0</v>
      </c>
      <c r="AC244" s="97">
        <v>15.0</v>
      </c>
      <c r="AD244" s="97">
        <v>5.0</v>
      </c>
      <c r="AE244" s="97">
        <v>45.0</v>
      </c>
      <c r="AF244" s="97">
        <v>70.0</v>
      </c>
      <c r="AG244" s="97">
        <v>85.0</v>
      </c>
      <c r="AH244" s="97">
        <v>95.0</v>
      </c>
      <c r="AI244" s="97">
        <v>85.0</v>
      </c>
      <c r="AJ244" s="97">
        <v>95.0</v>
      </c>
      <c r="AK244" s="97">
        <v>75.0</v>
      </c>
      <c r="AL244" s="97">
        <v>90.0</v>
      </c>
      <c r="AM244" s="33">
        <v>0.0</v>
      </c>
      <c r="AN244" s="97">
        <v>100.0</v>
      </c>
      <c r="AO244" s="97">
        <v>100.0</v>
      </c>
      <c r="AP244" s="18" t="s">
        <v>1854</v>
      </c>
      <c r="AQ244" s="18" t="s">
        <v>1855</v>
      </c>
      <c r="AR244" s="20" t="s">
        <v>62</v>
      </c>
      <c r="AS244" s="20" t="s">
        <v>63</v>
      </c>
      <c r="AT244" s="20" t="s">
        <v>64</v>
      </c>
      <c r="AU244" s="21" t="s">
        <v>64</v>
      </c>
      <c r="AV244" s="22" t="s">
        <v>65</v>
      </c>
      <c r="AW244" s="94" t="s">
        <v>1856</v>
      </c>
      <c r="AX244" s="34"/>
      <c r="BA244" s="34"/>
      <c r="BB244" s="34"/>
    </row>
    <row r="245" hidden="1">
      <c r="A245" s="25" t="s">
        <v>1857</v>
      </c>
      <c r="B245" s="26" t="s">
        <v>1858</v>
      </c>
      <c r="C245" s="27" t="s">
        <v>1849</v>
      </c>
      <c r="D245" s="27" t="s">
        <v>52</v>
      </c>
      <c r="E245" s="35" t="s">
        <v>84</v>
      </c>
      <c r="F245" s="27" t="s">
        <v>152</v>
      </c>
      <c r="G245" s="29">
        <v>499.0</v>
      </c>
      <c r="H245" s="36">
        <f t="shared" si="1"/>
        <v>474.05</v>
      </c>
      <c r="I245" s="97" t="s">
        <v>1850</v>
      </c>
      <c r="J245" s="102" t="s">
        <v>1859</v>
      </c>
      <c r="K245" s="30" t="s">
        <v>243</v>
      </c>
      <c r="L245" s="31" t="s">
        <v>1860</v>
      </c>
      <c r="M245" s="31" t="s">
        <v>1861</v>
      </c>
      <c r="N245" s="97">
        <v>100.0</v>
      </c>
      <c r="O245" s="97">
        <v>100.0</v>
      </c>
      <c r="P245" s="97">
        <v>100.0</v>
      </c>
      <c r="Q245" s="97">
        <v>20.0</v>
      </c>
      <c r="R245" s="97">
        <v>10.0</v>
      </c>
      <c r="S245" s="97">
        <v>90.0</v>
      </c>
      <c r="T245" s="97">
        <v>10.0</v>
      </c>
      <c r="U245" s="97">
        <v>10.0</v>
      </c>
      <c r="V245" s="97">
        <v>5.0</v>
      </c>
      <c r="W245" s="97">
        <v>0.0</v>
      </c>
      <c r="X245" s="97">
        <v>90.0</v>
      </c>
      <c r="Y245" s="97">
        <v>15.0</v>
      </c>
      <c r="Z245" s="97">
        <v>15.0</v>
      </c>
      <c r="AA245" s="97">
        <v>90.0</v>
      </c>
      <c r="AB245" s="97">
        <v>90.0</v>
      </c>
      <c r="AC245" s="97">
        <v>20.0</v>
      </c>
      <c r="AD245" s="97">
        <v>5.0</v>
      </c>
      <c r="AE245" s="97">
        <v>55.0</v>
      </c>
      <c r="AF245" s="97">
        <v>75.0</v>
      </c>
      <c r="AG245" s="97">
        <v>85.0</v>
      </c>
      <c r="AH245" s="97">
        <v>90.0</v>
      </c>
      <c r="AI245" s="97">
        <v>90.0</v>
      </c>
      <c r="AJ245" s="97">
        <v>95.0</v>
      </c>
      <c r="AK245" s="97">
        <v>80.0</v>
      </c>
      <c r="AL245" s="97">
        <v>90.0</v>
      </c>
      <c r="AM245" s="33">
        <v>0.0</v>
      </c>
      <c r="AN245" s="97">
        <v>100.0</v>
      </c>
      <c r="AO245" s="97">
        <v>100.0</v>
      </c>
      <c r="AP245" s="18" t="s">
        <v>1862</v>
      </c>
      <c r="AQ245" s="18" t="s">
        <v>1863</v>
      </c>
      <c r="AR245" s="20" t="s">
        <v>92</v>
      </c>
      <c r="AS245" s="20" t="s">
        <v>93</v>
      </c>
      <c r="AT245" s="20" t="s">
        <v>94</v>
      </c>
      <c r="AU245" s="21" t="s">
        <v>94</v>
      </c>
      <c r="AV245" s="22" t="s">
        <v>1864</v>
      </c>
      <c r="AW245" s="94" t="s">
        <v>1865</v>
      </c>
      <c r="AX245" s="34"/>
      <c r="BA245" s="34"/>
      <c r="BB245" s="34"/>
    </row>
    <row r="246" hidden="1">
      <c r="A246" s="25" t="s">
        <v>1866</v>
      </c>
      <c r="B246" s="26" t="s">
        <v>1867</v>
      </c>
      <c r="C246" s="27" t="s">
        <v>1849</v>
      </c>
      <c r="D246" s="27" t="s">
        <v>52</v>
      </c>
      <c r="E246" s="27" t="s">
        <v>53</v>
      </c>
      <c r="F246" s="27" t="s">
        <v>101</v>
      </c>
      <c r="G246" s="29">
        <v>405.0</v>
      </c>
      <c r="H246" s="36">
        <f t="shared" si="1"/>
        <v>384.75</v>
      </c>
      <c r="I246" s="97" t="s">
        <v>1850</v>
      </c>
      <c r="J246" s="102" t="s">
        <v>1868</v>
      </c>
      <c r="K246" s="30" t="s">
        <v>87</v>
      </c>
      <c r="L246" s="31" t="s">
        <v>1869</v>
      </c>
      <c r="M246" s="31" t="s">
        <v>1870</v>
      </c>
      <c r="N246" s="97">
        <v>100.0</v>
      </c>
      <c r="O246" s="97">
        <v>100.0</v>
      </c>
      <c r="P246" s="97">
        <v>100.0</v>
      </c>
      <c r="Q246" s="97">
        <v>20.0</v>
      </c>
      <c r="R246" s="97">
        <v>15.0</v>
      </c>
      <c r="S246" s="97">
        <v>35.0</v>
      </c>
      <c r="T246" s="97">
        <v>10.0</v>
      </c>
      <c r="U246" s="97">
        <v>15.0</v>
      </c>
      <c r="V246" s="97">
        <v>10.0</v>
      </c>
      <c r="W246" s="97">
        <v>5.0</v>
      </c>
      <c r="X246" s="97">
        <v>90.0</v>
      </c>
      <c r="Y246" s="97">
        <v>15.0</v>
      </c>
      <c r="Z246" s="97">
        <v>5.0</v>
      </c>
      <c r="AA246" s="97">
        <v>90.0</v>
      </c>
      <c r="AB246" s="97">
        <v>90.0</v>
      </c>
      <c r="AC246" s="97">
        <v>20.0</v>
      </c>
      <c r="AD246" s="97">
        <v>5.0</v>
      </c>
      <c r="AE246" s="97">
        <v>85.0</v>
      </c>
      <c r="AF246" s="97">
        <v>90.0</v>
      </c>
      <c r="AG246" s="97">
        <v>55.0</v>
      </c>
      <c r="AH246" s="97">
        <v>90.0</v>
      </c>
      <c r="AI246" s="97">
        <v>90.0</v>
      </c>
      <c r="AJ246" s="97">
        <v>95.0</v>
      </c>
      <c r="AK246" s="97">
        <v>85.0</v>
      </c>
      <c r="AL246" s="97">
        <v>90.0</v>
      </c>
      <c r="AM246" s="33">
        <v>-100.0</v>
      </c>
      <c r="AN246" s="97">
        <v>100.0</v>
      </c>
      <c r="AO246" s="97">
        <v>100.0</v>
      </c>
      <c r="AP246" s="18" t="s">
        <v>1871</v>
      </c>
      <c r="AQ246" s="18" t="s">
        <v>1872</v>
      </c>
      <c r="AR246" s="20" t="s">
        <v>62</v>
      </c>
      <c r="AS246" s="20" t="s">
        <v>63</v>
      </c>
      <c r="AT246" s="20" t="s">
        <v>64</v>
      </c>
      <c r="AU246" s="21" t="s">
        <v>64</v>
      </c>
      <c r="AV246" s="22" t="s">
        <v>1034</v>
      </c>
      <c r="AW246" s="94" t="s">
        <v>1873</v>
      </c>
      <c r="AX246" s="34"/>
      <c r="BA246" s="34"/>
      <c r="BB246" s="34"/>
    </row>
    <row r="247" hidden="1">
      <c r="A247" s="25" t="s">
        <v>1874</v>
      </c>
      <c r="B247" s="26" t="s">
        <v>1875</v>
      </c>
      <c r="C247" s="27" t="s">
        <v>1849</v>
      </c>
      <c r="D247" s="27" t="s">
        <v>52</v>
      </c>
      <c r="E247" s="27" t="s">
        <v>53</v>
      </c>
      <c r="F247" s="27" t="s">
        <v>126</v>
      </c>
      <c r="G247" s="29">
        <v>450.0</v>
      </c>
      <c r="H247" s="36">
        <f t="shared" si="1"/>
        <v>427.5</v>
      </c>
      <c r="I247" s="97" t="s">
        <v>1850</v>
      </c>
      <c r="J247" s="102" t="s">
        <v>1859</v>
      </c>
      <c r="K247" s="102" t="s">
        <v>27</v>
      </c>
      <c r="L247" s="31" t="s">
        <v>1876</v>
      </c>
      <c r="M247" s="31" t="s">
        <v>1877</v>
      </c>
      <c r="N247" s="97">
        <v>100.0</v>
      </c>
      <c r="O247" s="97">
        <v>100.0</v>
      </c>
      <c r="P247" s="97">
        <v>100.0</v>
      </c>
      <c r="Q247" s="97">
        <v>20.0</v>
      </c>
      <c r="R247" s="97">
        <v>15.0</v>
      </c>
      <c r="S247" s="97">
        <v>65.0</v>
      </c>
      <c r="T247" s="97">
        <v>10.0</v>
      </c>
      <c r="U247" s="97">
        <v>5.0</v>
      </c>
      <c r="V247" s="97">
        <v>0.0</v>
      </c>
      <c r="W247" s="97">
        <v>0.0</v>
      </c>
      <c r="X247" s="97">
        <v>75.0</v>
      </c>
      <c r="Y247" s="97">
        <v>15.0</v>
      </c>
      <c r="Z247" s="97">
        <v>5.0</v>
      </c>
      <c r="AA247" s="97">
        <v>70.0</v>
      </c>
      <c r="AB247" s="97">
        <v>90.0</v>
      </c>
      <c r="AC247" s="97">
        <v>15.0</v>
      </c>
      <c r="AD247" s="97">
        <v>5.0</v>
      </c>
      <c r="AE247" s="97">
        <v>60.0</v>
      </c>
      <c r="AF247" s="97">
        <v>80.0</v>
      </c>
      <c r="AG247" s="97">
        <v>85.0</v>
      </c>
      <c r="AH247" s="97">
        <v>95.0</v>
      </c>
      <c r="AI247" s="97">
        <v>90.0</v>
      </c>
      <c r="AJ247" s="97">
        <v>95.0</v>
      </c>
      <c r="AK247" s="97">
        <v>85.0</v>
      </c>
      <c r="AL247" s="97">
        <v>95.0</v>
      </c>
      <c r="AM247" s="33">
        <v>0.0</v>
      </c>
      <c r="AN247" s="97">
        <v>100.0</v>
      </c>
      <c r="AO247" s="97">
        <v>100.0</v>
      </c>
      <c r="AP247" s="18" t="s">
        <v>1878</v>
      </c>
      <c r="AQ247" s="18" t="s">
        <v>1879</v>
      </c>
      <c r="AR247" s="20" t="s">
        <v>62</v>
      </c>
      <c r="AS247" s="20" t="s">
        <v>63</v>
      </c>
      <c r="AT247" s="20" t="s">
        <v>64</v>
      </c>
      <c r="AU247" s="21" t="s">
        <v>64</v>
      </c>
      <c r="AV247" s="22" t="s">
        <v>65</v>
      </c>
      <c r="AW247" s="94" t="s">
        <v>1880</v>
      </c>
      <c r="AX247" s="34"/>
      <c r="AY247" s="55"/>
      <c r="AZ247" s="55"/>
      <c r="BA247" s="55"/>
      <c r="BB247" s="34"/>
    </row>
    <row r="248" hidden="1">
      <c r="A248" s="25" t="s">
        <v>1881</v>
      </c>
      <c r="B248" s="26" t="s">
        <v>1882</v>
      </c>
      <c r="C248" s="27" t="s">
        <v>1849</v>
      </c>
      <c r="D248" s="27" t="s">
        <v>52</v>
      </c>
      <c r="E248" s="35" t="s">
        <v>84</v>
      </c>
      <c r="F248" s="27" t="s">
        <v>85</v>
      </c>
      <c r="G248" s="29">
        <v>449.0</v>
      </c>
      <c r="H248" s="36">
        <f t="shared" si="1"/>
        <v>426.55</v>
      </c>
      <c r="I248" s="97" t="s">
        <v>1850</v>
      </c>
      <c r="J248" s="102" t="s">
        <v>56</v>
      </c>
      <c r="K248" s="102" t="s">
        <v>27</v>
      </c>
      <c r="L248" s="31" t="s">
        <v>1876</v>
      </c>
      <c r="M248" s="31" t="s">
        <v>1105</v>
      </c>
      <c r="N248" s="97">
        <v>100.0</v>
      </c>
      <c r="O248" s="97">
        <v>100.0</v>
      </c>
      <c r="P248" s="97">
        <v>100.0</v>
      </c>
      <c r="Q248" s="97">
        <v>15.0</v>
      </c>
      <c r="R248" s="97">
        <v>10.0</v>
      </c>
      <c r="S248" s="97">
        <v>80.0</v>
      </c>
      <c r="T248" s="97">
        <v>10.0</v>
      </c>
      <c r="U248" s="97">
        <v>10.0</v>
      </c>
      <c r="V248" s="97">
        <v>5.0</v>
      </c>
      <c r="W248" s="97">
        <v>0.0</v>
      </c>
      <c r="X248" s="97">
        <v>85.0</v>
      </c>
      <c r="Y248" s="97">
        <v>10.0</v>
      </c>
      <c r="Z248" s="97">
        <v>15.0</v>
      </c>
      <c r="AA248" s="97">
        <v>75.0</v>
      </c>
      <c r="AB248" s="97">
        <v>90.0</v>
      </c>
      <c r="AC248" s="97">
        <v>20.0</v>
      </c>
      <c r="AD248" s="97">
        <v>5.0</v>
      </c>
      <c r="AE248" s="97">
        <v>65.0</v>
      </c>
      <c r="AF248" s="97">
        <v>85.0</v>
      </c>
      <c r="AG248" s="97">
        <v>90.0</v>
      </c>
      <c r="AH248" s="97">
        <v>95.0</v>
      </c>
      <c r="AI248" s="97">
        <v>95.0</v>
      </c>
      <c r="AJ248" s="97">
        <v>95.0</v>
      </c>
      <c r="AK248" s="97">
        <v>90.0</v>
      </c>
      <c r="AL248" s="97">
        <v>95.0</v>
      </c>
      <c r="AM248" s="33">
        <v>100.0</v>
      </c>
      <c r="AN248" s="97">
        <v>100.0</v>
      </c>
      <c r="AO248" s="97">
        <v>100.0</v>
      </c>
      <c r="AP248" s="18" t="s">
        <v>1883</v>
      </c>
      <c r="AQ248" s="18" t="s">
        <v>1884</v>
      </c>
      <c r="AR248" s="20" t="s">
        <v>92</v>
      </c>
      <c r="AS248" s="20" t="s">
        <v>93</v>
      </c>
      <c r="AT248" s="20" t="s">
        <v>94</v>
      </c>
      <c r="AU248" s="21" t="s">
        <v>94</v>
      </c>
      <c r="AV248" s="22" t="s">
        <v>95</v>
      </c>
      <c r="AW248" s="94" t="s">
        <v>1885</v>
      </c>
      <c r="AX248" s="34"/>
      <c r="BB248" s="34"/>
    </row>
    <row r="249" hidden="1">
      <c r="A249" s="25" t="s">
        <v>1886</v>
      </c>
      <c r="B249" s="103" t="s">
        <v>1887</v>
      </c>
      <c r="C249" s="97" t="s">
        <v>1888</v>
      </c>
      <c r="D249" s="97" t="s">
        <v>52</v>
      </c>
      <c r="E249" s="35" t="s">
        <v>84</v>
      </c>
      <c r="F249" s="29" t="s">
        <v>1336</v>
      </c>
      <c r="G249" s="29">
        <v>549.0</v>
      </c>
      <c r="H249" s="36">
        <f t="shared" si="1"/>
        <v>521.55</v>
      </c>
      <c r="I249" s="97" t="s">
        <v>1889</v>
      </c>
      <c r="J249" s="102" t="s">
        <v>1104</v>
      </c>
      <c r="K249" s="102" t="s">
        <v>243</v>
      </c>
      <c r="L249" s="104" t="s">
        <v>1890</v>
      </c>
      <c r="M249" s="104" t="s">
        <v>1891</v>
      </c>
      <c r="N249" s="105">
        <v>100.0</v>
      </c>
      <c r="O249" s="105">
        <v>100.0</v>
      </c>
      <c r="P249" s="105">
        <v>100.0</v>
      </c>
      <c r="Q249" s="105">
        <v>40.0</v>
      </c>
      <c r="R249" s="105">
        <v>40.0</v>
      </c>
      <c r="S249" s="105">
        <v>98.0</v>
      </c>
      <c r="T249" s="105">
        <v>20.0</v>
      </c>
      <c r="U249" s="105">
        <v>10.0</v>
      </c>
      <c r="V249" s="105">
        <v>10.0</v>
      </c>
      <c r="W249" s="105">
        <v>10.0</v>
      </c>
      <c r="X249" s="105">
        <v>98.0</v>
      </c>
      <c r="Y249" s="105">
        <v>30.0</v>
      </c>
      <c r="Z249" s="105">
        <v>40.0</v>
      </c>
      <c r="AA249" s="105">
        <v>98.0</v>
      </c>
      <c r="AB249" s="105">
        <v>98.0</v>
      </c>
      <c r="AC249" s="105">
        <v>20.0</v>
      </c>
      <c r="AD249" s="105">
        <v>10.0</v>
      </c>
      <c r="AE249" s="105">
        <v>20.0</v>
      </c>
      <c r="AF249" s="105">
        <v>60.0</v>
      </c>
      <c r="AG249" s="105">
        <v>98.0</v>
      </c>
      <c r="AH249" s="105">
        <v>98.0</v>
      </c>
      <c r="AI249" s="105">
        <v>80.0</v>
      </c>
      <c r="AJ249" s="105">
        <v>98.0</v>
      </c>
      <c r="AK249" s="105">
        <v>50.0</v>
      </c>
      <c r="AL249" s="105">
        <v>80.0</v>
      </c>
      <c r="AM249" s="105">
        <v>100.0</v>
      </c>
      <c r="AN249" s="105">
        <v>100.0</v>
      </c>
      <c r="AO249" s="105">
        <v>100.0</v>
      </c>
      <c r="AP249" s="18" t="s">
        <v>1892</v>
      </c>
      <c r="AQ249" s="18" t="s">
        <v>1893</v>
      </c>
      <c r="AR249" s="20" t="s">
        <v>92</v>
      </c>
      <c r="AS249" s="20" t="s">
        <v>93</v>
      </c>
      <c r="AT249" s="20" t="s">
        <v>94</v>
      </c>
      <c r="AU249" s="21" t="s">
        <v>94</v>
      </c>
      <c r="AV249" s="22" t="s">
        <v>1894</v>
      </c>
      <c r="AW249" s="94" t="s">
        <v>1895</v>
      </c>
      <c r="AX249" s="34"/>
      <c r="BB249" s="34"/>
    </row>
    <row r="250" hidden="1">
      <c r="A250" s="25" t="s">
        <v>1896</v>
      </c>
      <c r="B250" s="103" t="s">
        <v>1897</v>
      </c>
      <c r="C250" s="97" t="s">
        <v>1888</v>
      </c>
      <c r="D250" s="97" t="s">
        <v>52</v>
      </c>
      <c r="E250" s="35" t="s">
        <v>84</v>
      </c>
      <c r="F250" s="29" t="s">
        <v>101</v>
      </c>
      <c r="G250" s="29">
        <v>799.0</v>
      </c>
      <c r="H250" s="36">
        <f t="shared" si="1"/>
        <v>759.05</v>
      </c>
      <c r="I250" s="97" t="s">
        <v>1889</v>
      </c>
      <c r="J250" s="102" t="s">
        <v>1898</v>
      </c>
      <c r="K250" s="102" t="s">
        <v>1899</v>
      </c>
      <c r="L250" s="104" t="s">
        <v>154</v>
      </c>
      <c r="M250" s="104" t="s">
        <v>1900</v>
      </c>
      <c r="N250" s="105">
        <v>100.0</v>
      </c>
      <c r="O250" s="105">
        <v>100.0</v>
      </c>
      <c r="P250" s="105">
        <v>100.0</v>
      </c>
      <c r="Q250" s="105">
        <v>50.0</v>
      </c>
      <c r="R250" s="105">
        <v>50.0</v>
      </c>
      <c r="S250" s="105">
        <v>90.0</v>
      </c>
      <c r="T250" s="105">
        <v>30.0</v>
      </c>
      <c r="U250" s="105">
        <v>30.0</v>
      </c>
      <c r="V250" s="105">
        <v>20.0</v>
      </c>
      <c r="W250" s="105">
        <v>20.0</v>
      </c>
      <c r="X250" s="105">
        <v>90.0</v>
      </c>
      <c r="Y250" s="105">
        <v>40.0</v>
      </c>
      <c r="Z250" s="105">
        <v>50.0</v>
      </c>
      <c r="AA250" s="105">
        <v>80.0</v>
      </c>
      <c r="AB250" s="105">
        <v>90.0</v>
      </c>
      <c r="AC250" s="105">
        <v>40.0</v>
      </c>
      <c r="AD250" s="105">
        <v>20.0</v>
      </c>
      <c r="AE250" s="105">
        <v>30.0</v>
      </c>
      <c r="AF250" s="105">
        <v>70.0</v>
      </c>
      <c r="AG250" s="105">
        <v>90.0</v>
      </c>
      <c r="AH250" s="105">
        <v>90.0</v>
      </c>
      <c r="AI250" s="105">
        <v>90.0</v>
      </c>
      <c r="AJ250" s="105">
        <v>90.0</v>
      </c>
      <c r="AK250" s="105">
        <v>70.0</v>
      </c>
      <c r="AL250" s="105">
        <v>80.0</v>
      </c>
      <c r="AM250" s="33">
        <v>100.0</v>
      </c>
      <c r="AN250" s="105">
        <v>100.0</v>
      </c>
      <c r="AO250" s="105">
        <v>100.0</v>
      </c>
      <c r="AP250" s="18" t="s">
        <v>1901</v>
      </c>
      <c r="AQ250" s="18" t="s">
        <v>1902</v>
      </c>
      <c r="AR250" s="20" t="s">
        <v>92</v>
      </c>
      <c r="AS250" s="20" t="s">
        <v>93</v>
      </c>
      <c r="AT250" s="20" t="s">
        <v>94</v>
      </c>
      <c r="AU250" s="21" t="s">
        <v>94</v>
      </c>
      <c r="AV250" s="22" t="s">
        <v>1903</v>
      </c>
      <c r="AW250" s="94" t="s">
        <v>1904</v>
      </c>
      <c r="AX250" s="34"/>
      <c r="BB250" s="34"/>
    </row>
    <row r="251">
      <c r="A251" s="25" t="s">
        <v>1905</v>
      </c>
      <c r="B251" s="106" t="s">
        <v>1906</v>
      </c>
      <c r="C251" s="97" t="s">
        <v>1888</v>
      </c>
      <c r="D251" s="97" t="s">
        <v>52</v>
      </c>
      <c r="E251" s="35" t="s">
        <v>84</v>
      </c>
      <c r="F251" s="29" t="s">
        <v>1710</v>
      </c>
      <c r="G251" s="29">
        <v>1099.0</v>
      </c>
      <c r="H251" s="36">
        <f t="shared" si="1"/>
        <v>1044.05</v>
      </c>
      <c r="I251" s="97" t="s">
        <v>1889</v>
      </c>
      <c r="J251" s="102" t="s">
        <v>1859</v>
      </c>
      <c r="K251" s="102" t="s">
        <v>1907</v>
      </c>
      <c r="L251" s="104" t="s">
        <v>1908</v>
      </c>
      <c r="M251" s="104" t="s">
        <v>1908</v>
      </c>
      <c r="N251" s="105">
        <v>100.0</v>
      </c>
      <c r="O251" s="105">
        <v>100.0</v>
      </c>
      <c r="P251" s="105">
        <v>100.0</v>
      </c>
      <c r="Q251" s="105">
        <v>60.0</v>
      </c>
      <c r="R251" s="105">
        <v>50.0</v>
      </c>
      <c r="S251" s="105">
        <v>80.0</v>
      </c>
      <c r="T251" s="105">
        <v>40.0</v>
      </c>
      <c r="U251" s="105">
        <v>20.0</v>
      </c>
      <c r="V251" s="105">
        <v>10.0</v>
      </c>
      <c r="W251" s="105">
        <v>10.0</v>
      </c>
      <c r="X251" s="105">
        <v>90.0</v>
      </c>
      <c r="Y251" s="105">
        <v>50.0</v>
      </c>
      <c r="Z251" s="105">
        <v>40.0</v>
      </c>
      <c r="AA251" s="105">
        <v>80.0</v>
      </c>
      <c r="AB251" s="105">
        <v>90.0</v>
      </c>
      <c r="AC251" s="105">
        <v>30.0</v>
      </c>
      <c r="AD251" s="105">
        <v>10.0</v>
      </c>
      <c r="AE251" s="105">
        <v>50.0</v>
      </c>
      <c r="AF251" s="105">
        <v>80.0</v>
      </c>
      <c r="AG251" s="105">
        <v>85.0</v>
      </c>
      <c r="AH251" s="105">
        <v>90.0</v>
      </c>
      <c r="AI251" s="105">
        <v>90.0</v>
      </c>
      <c r="AJ251" s="105">
        <v>90.0</v>
      </c>
      <c r="AK251" s="105">
        <v>80.0</v>
      </c>
      <c r="AL251" s="105">
        <v>90.0</v>
      </c>
      <c r="AM251" s="33">
        <v>0.0</v>
      </c>
      <c r="AN251" s="105">
        <v>100.0</v>
      </c>
      <c r="AO251" s="105">
        <v>100.0</v>
      </c>
      <c r="AP251" s="18" t="s">
        <v>1909</v>
      </c>
      <c r="AQ251" s="18" t="s">
        <v>1910</v>
      </c>
      <c r="AR251" s="20" t="s">
        <v>92</v>
      </c>
      <c r="AS251" s="20" t="s">
        <v>93</v>
      </c>
      <c r="AT251" s="20" t="s">
        <v>94</v>
      </c>
      <c r="AU251" s="21" t="s">
        <v>94</v>
      </c>
      <c r="AV251" s="22" t="s">
        <v>1385</v>
      </c>
      <c r="AW251" s="94" t="s">
        <v>1911</v>
      </c>
      <c r="AX251" s="34"/>
      <c r="BB251" s="34"/>
    </row>
    <row r="252" hidden="1">
      <c r="A252" s="25" t="s">
        <v>1912</v>
      </c>
      <c r="B252" s="103" t="s">
        <v>1913</v>
      </c>
      <c r="C252" s="97" t="s">
        <v>1914</v>
      </c>
      <c r="D252" s="97" t="s">
        <v>52</v>
      </c>
      <c r="E252" s="35" t="s">
        <v>84</v>
      </c>
      <c r="F252" s="29" t="s">
        <v>1710</v>
      </c>
      <c r="G252" s="29">
        <v>820.0</v>
      </c>
      <c r="H252" s="36">
        <f t="shared" si="1"/>
        <v>779</v>
      </c>
      <c r="I252" s="97" t="s">
        <v>55</v>
      </c>
      <c r="J252" s="102" t="s">
        <v>1898</v>
      </c>
      <c r="K252" s="102" t="s">
        <v>243</v>
      </c>
      <c r="L252" s="104" t="s">
        <v>1852</v>
      </c>
      <c r="M252" s="104" t="s">
        <v>1915</v>
      </c>
      <c r="N252" s="105">
        <v>100.0</v>
      </c>
      <c r="O252" s="105">
        <v>100.0</v>
      </c>
      <c r="P252" s="105">
        <v>100.0</v>
      </c>
      <c r="Q252" s="105">
        <v>30.0</v>
      </c>
      <c r="R252" s="105">
        <v>40.0</v>
      </c>
      <c r="S252" s="105">
        <v>98.0</v>
      </c>
      <c r="T252" s="105">
        <v>20.0</v>
      </c>
      <c r="U252" s="105">
        <v>10.0</v>
      </c>
      <c r="V252" s="105">
        <v>10.0</v>
      </c>
      <c r="W252" s="105">
        <v>10.0</v>
      </c>
      <c r="X252" s="105">
        <v>95.0</v>
      </c>
      <c r="Y252" s="105">
        <v>30.0</v>
      </c>
      <c r="Z252" s="105">
        <v>50.0</v>
      </c>
      <c r="AA252" s="105">
        <v>90.0</v>
      </c>
      <c r="AB252" s="105">
        <v>98.0</v>
      </c>
      <c r="AC252" s="105">
        <v>30.0</v>
      </c>
      <c r="AD252" s="105">
        <v>10.0</v>
      </c>
      <c r="AE252" s="105">
        <v>20.0</v>
      </c>
      <c r="AF252" s="105">
        <v>60.0</v>
      </c>
      <c r="AG252" s="105">
        <v>98.0</v>
      </c>
      <c r="AH252" s="105">
        <v>98.0</v>
      </c>
      <c r="AI252" s="105">
        <v>90.0</v>
      </c>
      <c r="AJ252" s="105">
        <v>98.0</v>
      </c>
      <c r="AK252" s="105">
        <v>60.0</v>
      </c>
      <c r="AL252" s="105">
        <v>80.0</v>
      </c>
      <c r="AM252" s="105">
        <v>100.0</v>
      </c>
      <c r="AN252" s="105">
        <v>100.0</v>
      </c>
      <c r="AO252" s="105">
        <v>100.0</v>
      </c>
      <c r="AP252" s="18" t="s">
        <v>1916</v>
      </c>
      <c r="AQ252" s="18" t="s">
        <v>1917</v>
      </c>
      <c r="AR252" s="20" t="s">
        <v>92</v>
      </c>
      <c r="AS252" s="20" t="s">
        <v>93</v>
      </c>
      <c r="AT252" s="20" t="s">
        <v>94</v>
      </c>
      <c r="AU252" s="21" t="s">
        <v>94</v>
      </c>
      <c r="AV252" s="22" t="s">
        <v>1918</v>
      </c>
      <c r="AW252" s="107" t="s">
        <v>1919</v>
      </c>
      <c r="AX252" s="34"/>
      <c r="AZ252" s="55"/>
      <c r="BA252" s="55"/>
      <c r="BB252" s="55"/>
    </row>
    <row r="253" hidden="1">
      <c r="A253" s="25" t="s">
        <v>1920</v>
      </c>
      <c r="B253" s="103" t="s">
        <v>1921</v>
      </c>
      <c r="C253" s="97" t="s">
        <v>1922</v>
      </c>
      <c r="D253" s="97" t="s">
        <v>52</v>
      </c>
      <c r="E253" s="35" t="s">
        <v>84</v>
      </c>
      <c r="F253" s="29" t="s">
        <v>126</v>
      </c>
      <c r="G253" s="29">
        <v>739.0</v>
      </c>
      <c r="H253" s="36">
        <f t="shared" si="1"/>
        <v>702.05</v>
      </c>
      <c r="I253" s="97" t="s">
        <v>55</v>
      </c>
      <c r="J253" s="102" t="s">
        <v>1898</v>
      </c>
      <c r="K253" s="102" t="s">
        <v>57</v>
      </c>
      <c r="L253" s="104" t="s">
        <v>203</v>
      </c>
      <c r="M253" s="104" t="s">
        <v>1923</v>
      </c>
      <c r="N253" s="105">
        <v>100.0</v>
      </c>
      <c r="O253" s="105">
        <v>100.0</v>
      </c>
      <c r="P253" s="105">
        <v>100.0</v>
      </c>
      <c r="Q253" s="105">
        <v>40.0</v>
      </c>
      <c r="R253" s="105">
        <v>40.0</v>
      </c>
      <c r="S253" s="105">
        <v>90.0</v>
      </c>
      <c r="T253" s="105">
        <v>30.0</v>
      </c>
      <c r="U253" s="105">
        <v>20.0</v>
      </c>
      <c r="V253" s="105">
        <v>10.0</v>
      </c>
      <c r="W253" s="105">
        <v>10.0</v>
      </c>
      <c r="X253" s="105">
        <v>70.0</v>
      </c>
      <c r="Y253" s="105">
        <v>40.0</v>
      </c>
      <c r="Z253" s="105">
        <v>40.0</v>
      </c>
      <c r="AA253" s="105">
        <v>70.0</v>
      </c>
      <c r="AB253" s="105">
        <v>95.0</v>
      </c>
      <c r="AC253" s="105">
        <v>40.0</v>
      </c>
      <c r="AD253" s="105">
        <v>20.0</v>
      </c>
      <c r="AE253" s="105">
        <v>40.0</v>
      </c>
      <c r="AF253" s="105">
        <v>70.0</v>
      </c>
      <c r="AG253" s="105">
        <v>95.0</v>
      </c>
      <c r="AH253" s="105">
        <v>90.0</v>
      </c>
      <c r="AI253" s="105">
        <v>90.0</v>
      </c>
      <c r="AJ253" s="105">
        <v>90.0</v>
      </c>
      <c r="AK253" s="105">
        <v>70.0</v>
      </c>
      <c r="AL253" s="105">
        <v>80.0</v>
      </c>
      <c r="AM253" s="33">
        <v>100.0</v>
      </c>
      <c r="AN253" s="105">
        <v>100.0</v>
      </c>
      <c r="AO253" s="105">
        <v>100.0</v>
      </c>
      <c r="AP253" s="18" t="s">
        <v>1924</v>
      </c>
      <c r="AQ253" s="18" t="s">
        <v>1925</v>
      </c>
      <c r="AR253" s="20" t="s">
        <v>92</v>
      </c>
      <c r="AS253" s="20" t="s">
        <v>93</v>
      </c>
      <c r="AT253" s="20" t="s">
        <v>94</v>
      </c>
      <c r="AU253" s="21" t="s">
        <v>94</v>
      </c>
      <c r="AV253" s="22" t="s">
        <v>1918</v>
      </c>
      <c r="AW253" s="108" t="s">
        <v>1926</v>
      </c>
      <c r="AX253" s="34"/>
      <c r="BB253" s="109"/>
    </row>
    <row r="254">
      <c r="A254" s="25" t="s">
        <v>1927</v>
      </c>
      <c r="B254" s="103" t="s">
        <v>1928</v>
      </c>
      <c r="C254" s="97" t="s">
        <v>1929</v>
      </c>
      <c r="D254" s="97" t="s">
        <v>99</v>
      </c>
      <c r="E254" s="97" t="s">
        <v>112</v>
      </c>
      <c r="F254" s="29" t="s">
        <v>1930</v>
      </c>
      <c r="G254" s="29">
        <v>1260.0</v>
      </c>
      <c r="H254" s="36">
        <f t="shared" si="1"/>
        <v>1197</v>
      </c>
      <c r="I254" s="97" t="s">
        <v>55</v>
      </c>
      <c r="J254" s="102" t="s">
        <v>1898</v>
      </c>
      <c r="K254" s="30" t="s">
        <v>57</v>
      </c>
      <c r="L254" s="104" t="s">
        <v>1931</v>
      </c>
      <c r="M254" s="104" t="s">
        <v>1852</v>
      </c>
      <c r="N254" s="105">
        <v>100.0</v>
      </c>
      <c r="O254" s="105">
        <v>100.0</v>
      </c>
      <c r="P254" s="105">
        <v>100.0</v>
      </c>
      <c r="Q254" s="105">
        <v>30.0</v>
      </c>
      <c r="R254" s="105">
        <v>40.0</v>
      </c>
      <c r="S254" s="105">
        <v>95.0</v>
      </c>
      <c r="T254" s="105">
        <v>20.0</v>
      </c>
      <c r="U254" s="105">
        <v>10.0</v>
      </c>
      <c r="V254" s="105">
        <v>10.0</v>
      </c>
      <c r="W254" s="105">
        <v>10.0</v>
      </c>
      <c r="X254" s="105">
        <v>90.0</v>
      </c>
      <c r="Y254" s="105">
        <v>20.0</v>
      </c>
      <c r="Z254" s="105">
        <v>30.0</v>
      </c>
      <c r="AA254" s="105">
        <v>90.0</v>
      </c>
      <c r="AB254" s="105">
        <v>95.0</v>
      </c>
      <c r="AC254" s="105">
        <v>20.0</v>
      </c>
      <c r="AD254" s="105">
        <v>10.0</v>
      </c>
      <c r="AE254" s="105">
        <v>40.0</v>
      </c>
      <c r="AF254" s="105">
        <v>80.0</v>
      </c>
      <c r="AG254" s="105">
        <v>95.0</v>
      </c>
      <c r="AH254" s="105">
        <v>95.0</v>
      </c>
      <c r="AI254" s="105">
        <v>90.0</v>
      </c>
      <c r="AJ254" s="105">
        <v>95.0</v>
      </c>
      <c r="AK254" s="105">
        <v>70.0</v>
      </c>
      <c r="AL254" s="105">
        <v>85.0</v>
      </c>
      <c r="AM254" s="33">
        <v>100.0</v>
      </c>
      <c r="AN254" s="105">
        <v>100.0</v>
      </c>
      <c r="AO254" s="105">
        <v>100.0</v>
      </c>
      <c r="AP254" s="18" t="s">
        <v>1932</v>
      </c>
      <c r="AQ254" s="18" t="s">
        <v>1933</v>
      </c>
      <c r="AR254" s="20" t="s">
        <v>118</v>
      </c>
      <c r="AS254" s="20" t="s">
        <v>119</v>
      </c>
      <c r="AT254" s="20" t="s">
        <v>120</v>
      </c>
      <c r="AU254" s="21" t="s">
        <v>120</v>
      </c>
      <c r="AV254" s="22" t="s">
        <v>336</v>
      </c>
      <c r="AW254" s="94" t="s">
        <v>1934</v>
      </c>
      <c r="AX254" s="34"/>
    </row>
    <row r="255" hidden="1">
      <c r="A255" s="96" t="s">
        <v>1935</v>
      </c>
      <c r="B255" s="103" t="s">
        <v>1936</v>
      </c>
      <c r="C255" s="97" t="s">
        <v>1937</v>
      </c>
      <c r="D255" s="97" t="s">
        <v>52</v>
      </c>
      <c r="E255" s="97" t="s">
        <v>53</v>
      </c>
      <c r="F255" s="29" t="s">
        <v>126</v>
      </c>
      <c r="G255" s="29">
        <v>590.0</v>
      </c>
      <c r="H255" s="36">
        <f t="shared" si="1"/>
        <v>560.5</v>
      </c>
      <c r="I255" s="97" t="s">
        <v>1199</v>
      </c>
      <c r="J255" s="110" t="s">
        <v>71</v>
      </c>
      <c r="K255" s="111" t="s">
        <v>28</v>
      </c>
      <c r="L255" s="104" t="s">
        <v>1938</v>
      </c>
      <c r="M255" s="104" t="s">
        <v>597</v>
      </c>
      <c r="N255" s="105">
        <v>100.0</v>
      </c>
      <c r="O255" s="105">
        <v>100.0</v>
      </c>
      <c r="P255" s="105">
        <v>100.0</v>
      </c>
      <c r="Q255" s="105">
        <v>40.0</v>
      </c>
      <c r="R255" s="105">
        <v>40.0</v>
      </c>
      <c r="S255" s="105">
        <v>50.0</v>
      </c>
      <c r="T255" s="105">
        <v>30.0</v>
      </c>
      <c r="U255" s="105">
        <v>50.0</v>
      </c>
      <c r="V255" s="105">
        <v>40.0</v>
      </c>
      <c r="W255" s="105">
        <v>20.0</v>
      </c>
      <c r="X255" s="105">
        <v>40.0</v>
      </c>
      <c r="Y255" s="105">
        <v>30.0</v>
      </c>
      <c r="Z255" s="105">
        <v>20.0</v>
      </c>
      <c r="AA255" s="105">
        <v>60.0</v>
      </c>
      <c r="AB255" s="105">
        <v>60.0</v>
      </c>
      <c r="AC255" s="105">
        <v>90.0</v>
      </c>
      <c r="AD255" s="105">
        <v>40.0</v>
      </c>
      <c r="AE255" s="105">
        <v>90.0</v>
      </c>
      <c r="AF255" s="105">
        <v>70.0</v>
      </c>
      <c r="AG255" s="105">
        <v>60.0</v>
      </c>
      <c r="AH255" s="105">
        <v>70.0</v>
      </c>
      <c r="AI255" s="105">
        <v>90.0</v>
      </c>
      <c r="AJ255" s="105">
        <v>80.0</v>
      </c>
      <c r="AK255" s="105">
        <v>90.0</v>
      </c>
      <c r="AL255" s="105">
        <v>75.0</v>
      </c>
      <c r="AM255" s="33">
        <v>0.0</v>
      </c>
      <c r="AN255" s="105">
        <v>100.0</v>
      </c>
      <c r="AO255" s="105">
        <v>100.0</v>
      </c>
      <c r="AP255" s="18" t="s">
        <v>1939</v>
      </c>
      <c r="AQ255" s="18" t="s">
        <v>1940</v>
      </c>
      <c r="AR255" s="20" t="s">
        <v>62</v>
      </c>
      <c r="AS255" s="20" t="s">
        <v>63</v>
      </c>
      <c r="AT255" s="20" t="s">
        <v>64</v>
      </c>
      <c r="AU255" s="21" t="s">
        <v>64</v>
      </c>
      <c r="AV255" s="22" t="s">
        <v>310</v>
      </c>
      <c r="AW255" s="94" t="s">
        <v>1941</v>
      </c>
      <c r="AX255" s="34"/>
    </row>
    <row r="256" hidden="1">
      <c r="A256" s="96" t="s">
        <v>1942</v>
      </c>
      <c r="B256" s="103" t="s">
        <v>1943</v>
      </c>
      <c r="C256" s="112" t="s">
        <v>1944</v>
      </c>
      <c r="D256" s="97" t="s">
        <v>52</v>
      </c>
      <c r="E256" s="97" t="s">
        <v>69</v>
      </c>
      <c r="F256" s="29" t="s">
        <v>965</v>
      </c>
      <c r="G256" s="29">
        <v>425.0</v>
      </c>
      <c r="H256" s="36">
        <f t="shared" si="1"/>
        <v>403.75</v>
      </c>
      <c r="I256" s="97" t="s">
        <v>55</v>
      </c>
      <c r="J256" s="102" t="s">
        <v>71</v>
      </c>
      <c r="K256" s="102" t="s">
        <v>127</v>
      </c>
      <c r="L256" s="104" t="s">
        <v>1945</v>
      </c>
      <c r="M256" s="104" t="s">
        <v>1946</v>
      </c>
      <c r="N256" s="105">
        <v>-100.0</v>
      </c>
      <c r="O256" s="105">
        <v>100.0</v>
      </c>
      <c r="P256" s="105">
        <v>100.0</v>
      </c>
      <c r="Q256" s="105">
        <v>10.0</v>
      </c>
      <c r="R256" s="105">
        <v>10.0</v>
      </c>
      <c r="S256" s="105">
        <v>30.0</v>
      </c>
      <c r="T256" s="105">
        <v>30.0</v>
      </c>
      <c r="U256" s="105">
        <v>90.0</v>
      </c>
      <c r="V256" s="105">
        <v>90.0</v>
      </c>
      <c r="W256" s="105">
        <v>85.0</v>
      </c>
      <c r="X256" s="105">
        <v>30.0</v>
      </c>
      <c r="Y256" s="105">
        <v>20.0</v>
      </c>
      <c r="Z256" s="105">
        <v>40.0</v>
      </c>
      <c r="AA256" s="105">
        <v>40.0</v>
      </c>
      <c r="AB256" s="105">
        <v>40.0</v>
      </c>
      <c r="AC256" s="105">
        <v>80.0</v>
      </c>
      <c r="AD256" s="105">
        <v>70.0</v>
      </c>
      <c r="AE256" s="105">
        <v>90.0</v>
      </c>
      <c r="AF256" s="105">
        <v>65.0</v>
      </c>
      <c r="AG256" s="105">
        <v>40.0</v>
      </c>
      <c r="AH256" s="105">
        <v>30.0</v>
      </c>
      <c r="AI256" s="105">
        <v>90.0</v>
      </c>
      <c r="AJ256" s="105">
        <v>70.0</v>
      </c>
      <c r="AK256" s="105">
        <v>90.0</v>
      </c>
      <c r="AL256" s="105">
        <v>40.0</v>
      </c>
      <c r="AM256" s="33">
        <v>-100.0</v>
      </c>
      <c r="AN256" s="105">
        <v>0.0</v>
      </c>
      <c r="AO256" s="105">
        <v>0.0</v>
      </c>
      <c r="AP256" s="113">
        <v>0.0</v>
      </c>
      <c r="AQ256" s="18" t="s">
        <v>1947</v>
      </c>
      <c r="AR256" s="20" t="s">
        <v>166</v>
      </c>
      <c r="AS256" s="20" t="s">
        <v>167</v>
      </c>
      <c r="AT256" s="20" t="s">
        <v>168</v>
      </c>
      <c r="AU256" s="21" t="s">
        <v>168</v>
      </c>
      <c r="AV256" s="22" t="s">
        <v>1948</v>
      </c>
      <c r="AW256" s="94" t="s">
        <v>1949</v>
      </c>
      <c r="AX256" s="34"/>
      <c r="BB256" s="34"/>
    </row>
    <row r="257" hidden="1">
      <c r="A257" s="96" t="s">
        <v>1950</v>
      </c>
      <c r="B257" s="103" t="s">
        <v>1951</v>
      </c>
      <c r="C257" s="97" t="s">
        <v>1952</v>
      </c>
      <c r="D257" s="97" t="s">
        <v>52</v>
      </c>
      <c r="E257" s="97" t="s">
        <v>69</v>
      </c>
      <c r="F257" s="29" t="s">
        <v>1953</v>
      </c>
      <c r="G257" s="29">
        <v>599.0</v>
      </c>
      <c r="H257" s="36">
        <f t="shared" si="1"/>
        <v>569.05</v>
      </c>
      <c r="I257" s="97" t="s">
        <v>55</v>
      </c>
      <c r="J257" s="102" t="s">
        <v>71</v>
      </c>
      <c r="K257" s="102" t="s">
        <v>817</v>
      </c>
      <c r="L257" s="104" t="s">
        <v>1954</v>
      </c>
      <c r="M257" s="104" t="s">
        <v>1955</v>
      </c>
      <c r="N257" s="105">
        <v>-100.0</v>
      </c>
      <c r="O257" s="105">
        <v>100.0</v>
      </c>
      <c r="P257" s="105">
        <v>100.0</v>
      </c>
      <c r="Q257" s="105">
        <v>20.0</v>
      </c>
      <c r="R257" s="105">
        <v>20.0</v>
      </c>
      <c r="S257" s="105">
        <v>20.0</v>
      </c>
      <c r="T257" s="105">
        <v>40.0</v>
      </c>
      <c r="U257" s="105">
        <v>95.0</v>
      </c>
      <c r="V257" s="105">
        <v>95.0</v>
      </c>
      <c r="W257" s="105">
        <v>90.0</v>
      </c>
      <c r="X257" s="105">
        <v>30.0</v>
      </c>
      <c r="Y257" s="105">
        <v>30.0</v>
      </c>
      <c r="Z257" s="105">
        <v>60.0</v>
      </c>
      <c r="AA257" s="105">
        <v>30.0</v>
      </c>
      <c r="AB257" s="105">
        <v>30.0</v>
      </c>
      <c r="AC257" s="105">
        <v>90.0</v>
      </c>
      <c r="AD257" s="105">
        <v>80.0</v>
      </c>
      <c r="AE257" s="105">
        <v>90.0</v>
      </c>
      <c r="AF257" s="105">
        <v>60.0</v>
      </c>
      <c r="AG257" s="105">
        <v>40.0</v>
      </c>
      <c r="AH257" s="105">
        <v>30.0</v>
      </c>
      <c r="AI257" s="105">
        <v>90.0</v>
      </c>
      <c r="AJ257" s="105">
        <v>70.0</v>
      </c>
      <c r="AK257" s="105">
        <v>90.0</v>
      </c>
      <c r="AL257" s="105">
        <v>40.0</v>
      </c>
      <c r="AM257" s="33">
        <v>-100.0</v>
      </c>
      <c r="AN257" s="105">
        <v>0.0</v>
      </c>
      <c r="AO257" s="105">
        <v>0.0</v>
      </c>
      <c r="AP257" s="113">
        <v>0.0</v>
      </c>
      <c r="AQ257" s="18" t="s">
        <v>1956</v>
      </c>
      <c r="AR257" s="20" t="s">
        <v>166</v>
      </c>
      <c r="AS257" s="20" t="s">
        <v>167</v>
      </c>
      <c r="AT257" s="20" t="s">
        <v>168</v>
      </c>
      <c r="AU257" s="21" t="s">
        <v>168</v>
      </c>
      <c r="AV257" s="22" t="s">
        <v>1957</v>
      </c>
      <c r="AW257" s="94" t="s">
        <v>1958</v>
      </c>
      <c r="AX257" s="34"/>
      <c r="AY257" s="55"/>
      <c r="AZ257" s="55"/>
      <c r="BA257" s="55"/>
      <c r="BB257" s="34"/>
    </row>
    <row r="258" hidden="1">
      <c r="A258" s="96" t="s">
        <v>1959</v>
      </c>
      <c r="B258" s="103" t="s">
        <v>1960</v>
      </c>
      <c r="C258" s="114" t="s">
        <v>1961</v>
      </c>
      <c r="D258" s="97" t="s">
        <v>52</v>
      </c>
      <c r="E258" s="97" t="s">
        <v>69</v>
      </c>
      <c r="F258" s="29" t="s">
        <v>1962</v>
      </c>
      <c r="G258" s="29">
        <v>839.0</v>
      </c>
      <c r="H258" s="36">
        <f t="shared" si="1"/>
        <v>797.05</v>
      </c>
      <c r="I258" s="97" t="s">
        <v>55</v>
      </c>
      <c r="J258" s="102" t="s">
        <v>801</v>
      </c>
      <c r="K258" s="102" t="s">
        <v>21</v>
      </c>
      <c r="L258" s="104" t="s">
        <v>1694</v>
      </c>
      <c r="M258" s="104" t="s">
        <v>1963</v>
      </c>
      <c r="N258" s="105">
        <v>0.0</v>
      </c>
      <c r="O258" s="105">
        <v>100.0</v>
      </c>
      <c r="P258" s="105">
        <v>100.0</v>
      </c>
      <c r="Q258" s="105">
        <v>10.0</v>
      </c>
      <c r="R258" s="105">
        <v>10.0</v>
      </c>
      <c r="S258" s="105">
        <v>20.0</v>
      </c>
      <c r="T258" s="105">
        <v>20.0</v>
      </c>
      <c r="U258" s="105">
        <v>80.0</v>
      </c>
      <c r="V258" s="105">
        <v>90.0</v>
      </c>
      <c r="W258" s="105">
        <v>75.0</v>
      </c>
      <c r="X258" s="105">
        <v>20.0</v>
      </c>
      <c r="Y258" s="105">
        <v>20.0</v>
      </c>
      <c r="Z258" s="105">
        <v>30.0</v>
      </c>
      <c r="AA258" s="105">
        <v>30.0</v>
      </c>
      <c r="AB258" s="105">
        <v>30.0</v>
      </c>
      <c r="AC258" s="105">
        <v>70.0</v>
      </c>
      <c r="AD258" s="105">
        <v>60.0</v>
      </c>
      <c r="AE258" s="105">
        <v>85.0</v>
      </c>
      <c r="AF258" s="105">
        <v>80.0</v>
      </c>
      <c r="AG258" s="105">
        <v>50.0</v>
      </c>
      <c r="AH258" s="105">
        <v>40.0</v>
      </c>
      <c r="AI258" s="105">
        <v>90.0</v>
      </c>
      <c r="AJ258" s="105">
        <v>90.0</v>
      </c>
      <c r="AK258" s="105">
        <v>90.0</v>
      </c>
      <c r="AL258" s="105">
        <v>80.0</v>
      </c>
      <c r="AM258" s="33">
        <v>-100.0</v>
      </c>
      <c r="AN258" s="105">
        <v>0.0</v>
      </c>
      <c r="AO258" s="105">
        <v>0.0</v>
      </c>
      <c r="AP258" s="113">
        <v>0.0</v>
      </c>
      <c r="AQ258" s="18" t="s">
        <v>1964</v>
      </c>
      <c r="AR258" s="20" t="s">
        <v>166</v>
      </c>
      <c r="AS258" s="20" t="s">
        <v>167</v>
      </c>
      <c r="AT258" s="20" t="s">
        <v>168</v>
      </c>
      <c r="AU258" s="21" t="s">
        <v>168</v>
      </c>
      <c r="AV258" s="22" t="s">
        <v>1965</v>
      </c>
      <c r="AW258" s="115" t="s">
        <v>1966</v>
      </c>
      <c r="AX258" s="34"/>
      <c r="BB258" s="34"/>
    </row>
    <row r="259" hidden="1">
      <c r="A259" s="96" t="s">
        <v>1967</v>
      </c>
      <c r="B259" s="103" t="s">
        <v>1968</v>
      </c>
      <c r="C259" s="97" t="s">
        <v>1944</v>
      </c>
      <c r="D259" s="97" t="s">
        <v>52</v>
      </c>
      <c r="E259" s="97" t="s">
        <v>69</v>
      </c>
      <c r="F259" s="29" t="s">
        <v>1969</v>
      </c>
      <c r="G259" s="29">
        <v>349.0</v>
      </c>
      <c r="H259" s="36">
        <f t="shared" si="1"/>
        <v>331.55</v>
      </c>
      <c r="I259" s="97" t="s">
        <v>55</v>
      </c>
      <c r="J259" s="102" t="s">
        <v>71</v>
      </c>
      <c r="K259" s="102" t="s">
        <v>1970</v>
      </c>
      <c r="L259" s="116" t="s">
        <v>1971</v>
      </c>
      <c r="M259" s="116" t="s">
        <v>1972</v>
      </c>
      <c r="N259" s="105">
        <v>0.0</v>
      </c>
      <c r="O259" s="105">
        <v>100.0</v>
      </c>
      <c r="P259" s="105">
        <v>100.0</v>
      </c>
      <c r="Q259" s="105">
        <v>90.0</v>
      </c>
      <c r="R259" s="105">
        <v>70.0</v>
      </c>
      <c r="S259" s="105">
        <v>20.0</v>
      </c>
      <c r="T259" s="105">
        <v>50.0</v>
      </c>
      <c r="U259" s="105">
        <v>90.0</v>
      </c>
      <c r="V259" s="105">
        <v>90.0</v>
      </c>
      <c r="W259" s="105">
        <v>90.0</v>
      </c>
      <c r="X259" s="105">
        <v>40.0</v>
      </c>
      <c r="Y259" s="105">
        <v>70.0</v>
      </c>
      <c r="Z259" s="105">
        <v>50.0</v>
      </c>
      <c r="AA259" s="105">
        <v>75.0</v>
      </c>
      <c r="AB259" s="105">
        <v>40.0</v>
      </c>
      <c r="AC259" s="105">
        <v>70.0</v>
      </c>
      <c r="AD259" s="105">
        <v>60.0</v>
      </c>
      <c r="AE259" s="105">
        <v>90.0</v>
      </c>
      <c r="AF259" s="105">
        <v>85.0</v>
      </c>
      <c r="AG259" s="105">
        <v>40.0</v>
      </c>
      <c r="AH259" s="105">
        <v>50.0</v>
      </c>
      <c r="AI259" s="105">
        <v>90.0</v>
      </c>
      <c r="AJ259" s="105">
        <v>85.0</v>
      </c>
      <c r="AK259" s="105">
        <v>90.0</v>
      </c>
      <c r="AL259" s="105">
        <v>85.0</v>
      </c>
      <c r="AM259" s="33">
        <v>-100.0</v>
      </c>
      <c r="AN259" s="105">
        <v>100.0</v>
      </c>
      <c r="AO259" s="105">
        <v>100.0</v>
      </c>
      <c r="AP259" s="113">
        <v>0.0</v>
      </c>
      <c r="AQ259" s="18" t="s">
        <v>1973</v>
      </c>
      <c r="AR259" s="20" t="s">
        <v>166</v>
      </c>
      <c r="AS259" s="20" t="s">
        <v>167</v>
      </c>
      <c r="AT259" s="20" t="s">
        <v>168</v>
      </c>
      <c r="AU259" s="21" t="s">
        <v>168</v>
      </c>
      <c r="AV259" s="22" t="s">
        <v>1974</v>
      </c>
      <c r="AW259" s="94" t="s">
        <v>1975</v>
      </c>
      <c r="AX259" s="34"/>
      <c r="BB259" s="34"/>
    </row>
    <row r="260">
      <c r="A260" s="25" t="s">
        <v>1976</v>
      </c>
      <c r="B260" s="103" t="s">
        <v>1977</v>
      </c>
      <c r="C260" s="97" t="s">
        <v>1978</v>
      </c>
      <c r="D260" s="97" t="s">
        <v>52</v>
      </c>
      <c r="E260" s="97" t="s">
        <v>69</v>
      </c>
      <c r="F260" s="29" t="s">
        <v>70</v>
      </c>
      <c r="G260" s="29">
        <v>3780.0</v>
      </c>
      <c r="H260" s="36">
        <f t="shared" si="1"/>
        <v>3591</v>
      </c>
      <c r="I260" s="97" t="s">
        <v>55</v>
      </c>
      <c r="J260" s="102" t="s">
        <v>1979</v>
      </c>
      <c r="K260" s="102" t="s">
        <v>1144</v>
      </c>
      <c r="L260" s="104" t="s">
        <v>1980</v>
      </c>
      <c r="M260" s="104" t="s">
        <v>1981</v>
      </c>
      <c r="N260" s="105">
        <v>0.0</v>
      </c>
      <c r="O260" s="105">
        <v>100.0</v>
      </c>
      <c r="P260" s="105">
        <v>100.0</v>
      </c>
      <c r="Q260" s="105">
        <v>20.0</v>
      </c>
      <c r="R260" s="105">
        <v>10.0</v>
      </c>
      <c r="S260" s="105">
        <v>50.0</v>
      </c>
      <c r="T260" s="105">
        <v>20.0</v>
      </c>
      <c r="U260" s="105">
        <v>95.0</v>
      </c>
      <c r="V260" s="105">
        <v>98.0</v>
      </c>
      <c r="W260" s="105">
        <v>95.0</v>
      </c>
      <c r="X260" s="105">
        <v>60.0</v>
      </c>
      <c r="Y260" s="105">
        <v>20.0</v>
      </c>
      <c r="Z260" s="105">
        <v>50.0</v>
      </c>
      <c r="AA260" s="105">
        <v>80.0</v>
      </c>
      <c r="AB260" s="105">
        <v>70.0</v>
      </c>
      <c r="AC260" s="105">
        <v>85.0</v>
      </c>
      <c r="AD260" s="105">
        <v>80.0</v>
      </c>
      <c r="AE260" s="105">
        <v>85.0</v>
      </c>
      <c r="AF260" s="105">
        <v>90.0</v>
      </c>
      <c r="AG260" s="105">
        <v>90.0</v>
      </c>
      <c r="AH260" s="105">
        <v>90.0</v>
      </c>
      <c r="AI260" s="105">
        <v>90.0</v>
      </c>
      <c r="AJ260" s="105">
        <v>90.0</v>
      </c>
      <c r="AK260" s="105">
        <v>90.0</v>
      </c>
      <c r="AL260" s="105">
        <v>90.0</v>
      </c>
      <c r="AM260" s="33">
        <v>0.0</v>
      </c>
      <c r="AN260" s="105">
        <v>-100.0</v>
      </c>
      <c r="AO260" s="105">
        <v>-100.0</v>
      </c>
      <c r="AP260" s="18" t="s">
        <v>1982</v>
      </c>
      <c r="AQ260" s="18" t="s">
        <v>1983</v>
      </c>
      <c r="AR260" s="20" t="s">
        <v>166</v>
      </c>
      <c r="AS260" s="20" t="s">
        <v>167</v>
      </c>
      <c r="AT260" s="20" t="s">
        <v>168</v>
      </c>
      <c r="AU260" s="21" t="s">
        <v>168</v>
      </c>
      <c r="AV260" s="22" t="s">
        <v>612</v>
      </c>
      <c r="AW260" s="108" t="s">
        <v>1984</v>
      </c>
      <c r="AX260" s="34"/>
      <c r="BB260" s="34"/>
    </row>
    <row r="261" hidden="1">
      <c r="A261" s="25" t="s">
        <v>1985</v>
      </c>
      <c r="B261" s="103" t="s">
        <v>1986</v>
      </c>
      <c r="C261" s="97" t="s">
        <v>1987</v>
      </c>
      <c r="D261" s="97" t="s">
        <v>52</v>
      </c>
      <c r="E261" s="97" t="s">
        <v>69</v>
      </c>
      <c r="F261" s="29" t="s">
        <v>70</v>
      </c>
      <c r="G261" s="29">
        <v>599.0</v>
      </c>
      <c r="H261" s="36">
        <f t="shared" si="1"/>
        <v>569.05</v>
      </c>
      <c r="I261" s="97" t="s">
        <v>55</v>
      </c>
      <c r="J261" s="102" t="s">
        <v>889</v>
      </c>
      <c r="K261" s="102" t="s">
        <v>1144</v>
      </c>
      <c r="L261" s="117" t="s">
        <v>1988</v>
      </c>
      <c r="M261" s="117" t="s">
        <v>1989</v>
      </c>
      <c r="N261" s="105">
        <v>0.0</v>
      </c>
      <c r="O261" s="105">
        <v>100.0</v>
      </c>
      <c r="P261" s="105">
        <v>100.0</v>
      </c>
      <c r="Q261" s="105">
        <v>20.0</v>
      </c>
      <c r="R261" s="105">
        <v>10.0</v>
      </c>
      <c r="S261" s="105">
        <v>50.0</v>
      </c>
      <c r="T261" s="105">
        <v>20.0</v>
      </c>
      <c r="U261" s="105">
        <v>90.0</v>
      </c>
      <c r="V261" s="105">
        <v>90.0</v>
      </c>
      <c r="W261" s="105">
        <v>90.0</v>
      </c>
      <c r="X261" s="105">
        <v>70.0</v>
      </c>
      <c r="Y261" s="105">
        <v>20.0</v>
      </c>
      <c r="Z261" s="105">
        <v>40.0</v>
      </c>
      <c r="AA261" s="105">
        <v>85.0</v>
      </c>
      <c r="AB261" s="105">
        <v>70.0</v>
      </c>
      <c r="AC261" s="105">
        <v>80.0</v>
      </c>
      <c r="AD261" s="105">
        <v>75.0</v>
      </c>
      <c r="AE261" s="105">
        <v>60.0</v>
      </c>
      <c r="AF261" s="105">
        <v>75.0</v>
      </c>
      <c r="AG261" s="105">
        <v>70.0</v>
      </c>
      <c r="AH261" s="105">
        <v>75.0</v>
      </c>
      <c r="AI261" s="105">
        <v>80.0</v>
      </c>
      <c r="AJ261" s="105">
        <v>90.0</v>
      </c>
      <c r="AK261" s="105">
        <v>70.0</v>
      </c>
      <c r="AL261" s="105">
        <v>80.0</v>
      </c>
      <c r="AM261" s="33">
        <v>0.0</v>
      </c>
      <c r="AN261" s="105">
        <v>-100.0</v>
      </c>
      <c r="AO261" s="105">
        <v>-100.0</v>
      </c>
      <c r="AP261" s="18" t="s">
        <v>1990</v>
      </c>
      <c r="AQ261" s="18" t="s">
        <v>1991</v>
      </c>
      <c r="AR261" s="20" t="s">
        <v>166</v>
      </c>
      <c r="AS261" s="20" t="s">
        <v>167</v>
      </c>
      <c r="AT261" s="20" t="s">
        <v>168</v>
      </c>
      <c r="AU261" s="21" t="s">
        <v>168</v>
      </c>
      <c r="AV261" s="22" t="s">
        <v>1992</v>
      </c>
      <c r="AW261" s="94" t="s">
        <v>1993</v>
      </c>
      <c r="AX261" s="34"/>
      <c r="BB261" s="34"/>
    </row>
    <row r="262" hidden="1">
      <c r="A262" s="25" t="s">
        <v>1994</v>
      </c>
      <c r="B262" s="103" t="s">
        <v>1995</v>
      </c>
      <c r="C262" s="97" t="s">
        <v>1987</v>
      </c>
      <c r="D262" s="97" t="s">
        <v>52</v>
      </c>
      <c r="E262" s="97" t="s">
        <v>69</v>
      </c>
      <c r="F262" s="29" t="s">
        <v>70</v>
      </c>
      <c r="G262" s="29">
        <v>499.0</v>
      </c>
      <c r="H262" s="36">
        <f t="shared" si="1"/>
        <v>474.05</v>
      </c>
      <c r="I262" s="97" t="s">
        <v>55</v>
      </c>
      <c r="J262" s="110" t="s">
        <v>71</v>
      </c>
      <c r="K262" s="102" t="s">
        <v>1144</v>
      </c>
      <c r="L262" s="104" t="s">
        <v>1996</v>
      </c>
      <c r="M262" s="104" t="s">
        <v>1997</v>
      </c>
      <c r="N262" s="105">
        <v>0.0</v>
      </c>
      <c r="O262" s="105">
        <v>100.0</v>
      </c>
      <c r="P262" s="105">
        <v>100.0</v>
      </c>
      <c r="Q262" s="105">
        <v>40.0</v>
      </c>
      <c r="R262" s="105">
        <v>30.0</v>
      </c>
      <c r="S262" s="105">
        <v>30.0</v>
      </c>
      <c r="T262" s="105">
        <v>40.0</v>
      </c>
      <c r="U262" s="105">
        <v>95.0</v>
      </c>
      <c r="V262" s="105">
        <v>95.0</v>
      </c>
      <c r="W262" s="105">
        <v>90.0</v>
      </c>
      <c r="X262" s="105">
        <v>40.0</v>
      </c>
      <c r="Y262" s="105">
        <v>50.0</v>
      </c>
      <c r="Z262" s="105">
        <v>50.0</v>
      </c>
      <c r="AA262" s="105">
        <v>50.0</v>
      </c>
      <c r="AB262" s="105">
        <v>50.0</v>
      </c>
      <c r="AC262" s="105">
        <v>85.0</v>
      </c>
      <c r="AD262" s="105">
        <v>80.0</v>
      </c>
      <c r="AE262" s="105">
        <v>90.0</v>
      </c>
      <c r="AF262" s="105">
        <v>75.0</v>
      </c>
      <c r="AG262" s="105">
        <v>50.0</v>
      </c>
      <c r="AH262" s="105">
        <v>50.0</v>
      </c>
      <c r="AI262" s="105">
        <v>90.0</v>
      </c>
      <c r="AJ262" s="105">
        <v>80.0</v>
      </c>
      <c r="AK262" s="105">
        <v>90.0</v>
      </c>
      <c r="AL262" s="105">
        <v>75.0</v>
      </c>
      <c r="AM262" s="33">
        <v>-100.0</v>
      </c>
      <c r="AN262" s="105">
        <v>-100.0</v>
      </c>
      <c r="AO262" s="105">
        <v>-100.0</v>
      </c>
      <c r="AP262" s="18" t="s">
        <v>1998</v>
      </c>
      <c r="AQ262" s="18" t="s">
        <v>1999</v>
      </c>
      <c r="AR262" s="20" t="s">
        <v>166</v>
      </c>
      <c r="AS262" s="20" t="s">
        <v>167</v>
      </c>
      <c r="AT262" s="20" t="s">
        <v>168</v>
      </c>
      <c r="AU262" s="21" t="s">
        <v>168</v>
      </c>
      <c r="AV262" s="22" t="s">
        <v>2000</v>
      </c>
      <c r="AW262" s="94" t="s">
        <v>2001</v>
      </c>
      <c r="AX262" s="34"/>
      <c r="BB262" s="34"/>
    </row>
    <row r="263">
      <c r="A263" s="25" t="s">
        <v>2002</v>
      </c>
      <c r="B263" s="103" t="s">
        <v>2003</v>
      </c>
      <c r="C263" s="97" t="s">
        <v>2004</v>
      </c>
      <c r="D263" s="97" t="s">
        <v>52</v>
      </c>
      <c r="E263" s="97" t="s">
        <v>125</v>
      </c>
      <c r="F263" s="29" t="s">
        <v>54</v>
      </c>
      <c r="G263" s="29">
        <v>1590.0</v>
      </c>
      <c r="H263" s="36">
        <f t="shared" si="1"/>
        <v>1510.5</v>
      </c>
      <c r="I263" s="97" t="s">
        <v>1199</v>
      </c>
      <c r="J263" s="110" t="s">
        <v>102</v>
      </c>
      <c r="K263" s="110" t="s">
        <v>162</v>
      </c>
      <c r="L263" s="104" t="s">
        <v>2005</v>
      </c>
      <c r="M263" s="104" t="s">
        <v>2006</v>
      </c>
      <c r="N263" s="105">
        <v>0.0</v>
      </c>
      <c r="O263" s="105">
        <v>100.0</v>
      </c>
      <c r="P263" s="105">
        <v>100.0</v>
      </c>
      <c r="Q263" s="105">
        <v>90.0</v>
      </c>
      <c r="R263" s="105">
        <v>85.0</v>
      </c>
      <c r="S263" s="105">
        <v>30.0</v>
      </c>
      <c r="T263" s="105">
        <v>90.0</v>
      </c>
      <c r="U263" s="105">
        <v>40.0</v>
      </c>
      <c r="V263" s="105">
        <v>30.0</v>
      </c>
      <c r="W263" s="105">
        <v>20.0</v>
      </c>
      <c r="X263" s="105">
        <v>60.0</v>
      </c>
      <c r="Y263" s="105">
        <v>95.0</v>
      </c>
      <c r="Z263" s="105">
        <v>40.0</v>
      </c>
      <c r="AA263" s="105">
        <v>50.0</v>
      </c>
      <c r="AB263" s="105">
        <v>60.0</v>
      </c>
      <c r="AC263" s="105">
        <v>50.0</v>
      </c>
      <c r="AD263" s="105">
        <v>20.0</v>
      </c>
      <c r="AE263" s="105">
        <v>90.0</v>
      </c>
      <c r="AF263" s="105">
        <v>70.0</v>
      </c>
      <c r="AG263" s="105">
        <v>40.0</v>
      </c>
      <c r="AH263" s="105">
        <v>50.0</v>
      </c>
      <c r="AI263" s="105">
        <v>80.0</v>
      </c>
      <c r="AJ263" s="105">
        <v>70.0</v>
      </c>
      <c r="AK263" s="105">
        <v>90.0</v>
      </c>
      <c r="AL263" s="105">
        <v>70.0</v>
      </c>
      <c r="AM263" s="33">
        <v>-100.0</v>
      </c>
      <c r="AN263" s="105">
        <v>100.0</v>
      </c>
      <c r="AO263" s="105">
        <v>100.0</v>
      </c>
      <c r="AP263" s="18" t="s">
        <v>2007</v>
      </c>
      <c r="AQ263" s="18" t="s">
        <v>2008</v>
      </c>
      <c r="AR263" s="20" t="s">
        <v>132</v>
      </c>
      <c r="AS263" s="20" t="s">
        <v>63</v>
      </c>
      <c r="AT263" s="20" t="s">
        <v>133</v>
      </c>
      <c r="AU263" s="21" t="s">
        <v>133</v>
      </c>
      <c r="AV263" s="22" t="s">
        <v>2009</v>
      </c>
      <c r="AW263" s="98" t="s">
        <v>2010</v>
      </c>
      <c r="AX263" s="34"/>
      <c r="BB263" s="34"/>
    </row>
    <row r="264" hidden="1">
      <c r="A264" s="25" t="s">
        <v>2011</v>
      </c>
      <c r="B264" s="103" t="s">
        <v>2012</v>
      </c>
      <c r="C264" s="97" t="s">
        <v>1937</v>
      </c>
      <c r="D264" s="97" t="s">
        <v>52</v>
      </c>
      <c r="E264" s="97" t="s">
        <v>69</v>
      </c>
      <c r="F264" s="29" t="s">
        <v>454</v>
      </c>
      <c r="G264" s="29">
        <v>850.0</v>
      </c>
      <c r="H264" s="36">
        <f t="shared" si="1"/>
        <v>807.5</v>
      </c>
      <c r="I264" s="97" t="s">
        <v>1199</v>
      </c>
      <c r="J264" s="102" t="s">
        <v>587</v>
      </c>
      <c r="K264" s="110" t="s">
        <v>57</v>
      </c>
      <c r="L264" s="104" t="s">
        <v>2013</v>
      </c>
      <c r="M264" s="104" t="s">
        <v>2014</v>
      </c>
      <c r="N264" s="105">
        <v>100.0</v>
      </c>
      <c r="O264" s="105">
        <v>100.0</v>
      </c>
      <c r="P264" s="105">
        <v>100.0</v>
      </c>
      <c r="Q264" s="105">
        <v>20.0</v>
      </c>
      <c r="R264" s="105">
        <v>20.0</v>
      </c>
      <c r="S264" s="105">
        <v>90.0</v>
      </c>
      <c r="T264" s="105">
        <v>20.0</v>
      </c>
      <c r="U264" s="105">
        <v>10.0</v>
      </c>
      <c r="V264" s="105">
        <v>10.0</v>
      </c>
      <c r="W264" s="105">
        <v>10.0</v>
      </c>
      <c r="X264" s="105">
        <v>80.0</v>
      </c>
      <c r="Y264" s="105">
        <v>20.0</v>
      </c>
      <c r="Z264" s="105">
        <v>40.0</v>
      </c>
      <c r="AA264" s="105">
        <v>85.0</v>
      </c>
      <c r="AB264" s="105">
        <v>98.0</v>
      </c>
      <c r="AC264" s="105">
        <v>40.0</v>
      </c>
      <c r="AD264" s="105">
        <v>10.0</v>
      </c>
      <c r="AE264" s="105">
        <v>50.0</v>
      </c>
      <c r="AF264" s="105">
        <v>85.0</v>
      </c>
      <c r="AG264" s="105">
        <v>95.0</v>
      </c>
      <c r="AH264" s="105">
        <v>95.0</v>
      </c>
      <c r="AI264" s="105">
        <v>90.0</v>
      </c>
      <c r="AJ264" s="105">
        <v>95.0</v>
      </c>
      <c r="AK264" s="105">
        <v>80.0</v>
      </c>
      <c r="AL264" s="105">
        <v>90.0</v>
      </c>
      <c r="AM264" s="33">
        <v>100.0</v>
      </c>
      <c r="AN264" s="105">
        <v>100.0</v>
      </c>
      <c r="AO264" s="105">
        <v>100.0</v>
      </c>
      <c r="AP264" s="118" t="e">
        <v>#N/A</v>
      </c>
      <c r="AQ264" s="118" t="e">
        <v>#N/A</v>
      </c>
      <c r="AR264" s="20" t="s">
        <v>166</v>
      </c>
      <c r="AS264" s="20" t="s">
        <v>167</v>
      </c>
      <c r="AT264" s="20" t="s">
        <v>168</v>
      </c>
      <c r="AU264" s="21" t="s">
        <v>168</v>
      </c>
      <c r="AV264" s="22" t="s">
        <v>1204</v>
      </c>
      <c r="AW264" s="94" t="s">
        <v>2015</v>
      </c>
      <c r="AX264" s="52"/>
      <c r="BB264" s="52"/>
    </row>
    <row r="265" hidden="1">
      <c r="A265" s="25" t="s">
        <v>2016</v>
      </c>
      <c r="B265" s="103" t="s">
        <v>2017</v>
      </c>
      <c r="C265" s="97" t="s">
        <v>1937</v>
      </c>
      <c r="D265" s="97" t="s">
        <v>52</v>
      </c>
      <c r="E265" s="97" t="s">
        <v>69</v>
      </c>
      <c r="F265" s="29" t="s">
        <v>454</v>
      </c>
      <c r="G265" s="29">
        <v>850.0</v>
      </c>
      <c r="H265" s="36">
        <f t="shared" si="1"/>
        <v>807.5</v>
      </c>
      <c r="I265" s="97" t="s">
        <v>1199</v>
      </c>
      <c r="J265" s="110" t="s">
        <v>102</v>
      </c>
      <c r="K265" s="110" t="s">
        <v>1541</v>
      </c>
      <c r="L265" s="104" t="s">
        <v>2018</v>
      </c>
      <c r="M265" s="104" t="s">
        <v>2019</v>
      </c>
      <c r="N265" s="105">
        <v>0.0</v>
      </c>
      <c r="O265" s="105">
        <v>100.0</v>
      </c>
      <c r="P265" s="105">
        <v>100.0</v>
      </c>
      <c r="Q265" s="105">
        <v>85.0</v>
      </c>
      <c r="R265" s="105">
        <v>70.0</v>
      </c>
      <c r="S265" s="105">
        <v>30.0</v>
      </c>
      <c r="T265" s="105">
        <v>90.0</v>
      </c>
      <c r="U265" s="105">
        <v>70.0</v>
      </c>
      <c r="V265" s="105">
        <v>60.0</v>
      </c>
      <c r="W265" s="105">
        <v>40.0</v>
      </c>
      <c r="X265" s="105">
        <v>50.0</v>
      </c>
      <c r="Y265" s="105">
        <v>90.0</v>
      </c>
      <c r="Z265" s="105">
        <v>40.0</v>
      </c>
      <c r="AA265" s="105">
        <v>50.0</v>
      </c>
      <c r="AB265" s="105">
        <v>70.0</v>
      </c>
      <c r="AC265" s="105">
        <v>85.0</v>
      </c>
      <c r="AD265" s="105">
        <v>50.0</v>
      </c>
      <c r="AE265" s="105">
        <v>90.0</v>
      </c>
      <c r="AF265" s="105">
        <v>60.0</v>
      </c>
      <c r="AG265" s="105">
        <v>40.0</v>
      </c>
      <c r="AH265" s="105">
        <v>50.0</v>
      </c>
      <c r="AI265" s="105">
        <v>80.0</v>
      </c>
      <c r="AJ265" s="105">
        <v>60.0</v>
      </c>
      <c r="AK265" s="105">
        <v>90.0</v>
      </c>
      <c r="AL265" s="105">
        <v>70.0</v>
      </c>
      <c r="AM265" s="33">
        <v>-100.0</v>
      </c>
      <c r="AN265" s="105">
        <v>-100.0</v>
      </c>
      <c r="AO265" s="105">
        <v>-100.0</v>
      </c>
      <c r="AP265" s="18" t="s">
        <v>2020</v>
      </c>
      <c r="AQ265" s="18" t="s">
        <v>2021</v>
      </c>
      <c r="AR265" s="20" t="s">
        <v>166</v>
      </c>
      <c r="AS265" s="20" t="s">
        <v>167</v>
      </c>
      <c r="AT265" s="20" t="s">
        <v>168</v>
      </c>
      <c r="AU265" s="21" t="s">
        <v>168</v>
      </c>
      <c r="AV265" s="22" t="s">
        <v>2022</v>
      </c>
      <c r="AW265" s="94" t="s">
        <v>2023</v>
      </c>
      <c r="AX265" s="52"/>
      <c r="BB265" s="52"/>
    </row>
    <row r="266" hidden="1">
      <c r="A266" s="25" t="s">
        <v>2024</v>
      </c>
      <c r="B266" s="103" t="s">
        <v>2025</v>
      </c>
      <c r="C266" s="97" t="s">
        <v>1937</v>
      </c>
      <c r="D266" s="97" t="s">
        <v>52</v>
      </c>
      <c r="E266" s="97" t="s">
        <v>125</v>
      </c>
      <c r="F266" s="29" t="s">
        <v>182</v>
      </c>
      <c r="G266" s="29">
        <v>790.0</v>
      </c>
      <c r="H266" s="36">
        <f t="shared" si="1"/>
        <v>750.5</v>
      </c>
      <c r="I266" s="97" t="s">
        <v>1199</v>
      </c>
      <c r="J266" s="110" t="s">
        <v>102</v>
      </c>
      <c r="K266" s="110" t="s">
        <v>2026</v>
      </c>
      <c r="L266" s="104" t="s">
        <v>2018</v>
      </c>
      <c r="M266" s="104" t="s">
        <v>589</v>
      </c>
      <c r="N266" s="105">
        <v>-100.0</v>
      </c>
      <c r="O266" s="105">
        <v>100.0</v>
      </c>
      <c r="P266" s="105">
        <v>100.0</v>
      </c>
      <c r="Q266" s="105">
        <v>85.0</v>
      </c>
      <c r="R266" s="105">
        <v>60.0</v>
      </c>
      <c r="S266" s="105">
        <v>20.0</v>
      </c>
      <c r="T266" s="105">
        <v>90.0</v>
      </c>
      <c r="U266" s="105">
        <v>80.0</v>
      </c>
      <c r="V266" s="105">
        <v>70.0</v>
      </c>
      <c r="W266" s="105">
        <v>50.0</v>
      </c>
      <c r="X266" s="105">
        <v>40.0</v>
      </c>
      <c r="Y266" s="105">
        <v>90.0</v>
      </c>
      <c r="Z266" s="105">
        <v>50.0</v>
      </c>
      <c r="AA266" s="105">
        <v>40.0</v>
      </c>
      <c r="AB266" s="105">
        <v>50.0</v>
      </c>
      <c r="AC266" s="105">
        <v>90.0</v>
      </c>
      <c r="AD266" s="105">
        <v>60.0</v>
      </c>
      <c r="AE266" s="105">
        <v>90.0</v>
      </c>
      <c r="AF266" s="105">
        <v>50.0</v>
      </c>
      <c r="AG266" s="105">
        <v>30.0</v>
      </c>
      <c r="AH266" s="105">
        <v>40.0</v>
      </c>
      <c r="AI266" s="105">
        <v>75.0</v>
      </c>
      <c r="AJ266" s="105">
        <v>50.0</v>
      </c>
      <c r="AK266" s="105">
        <v>90.0</v>
      </c>
      <c r="AL266" s="105">
        <v>60.0</v>
      </c>
      <c r="AM266" s="33">
        <v>-100.0</v>
      </c>
      <c r="AN266" s="105">
        <v>-100.0</v>
      </c>
      <c r="AO266" s="105">
        <v>-100.0</v>
      </c>
      <c r="AP266" s="18" t="s">
        <v>2027</v>
      </c>
      <c r="AQ266" s="18" t="s">
        <v>2028</v>
      </c>
      <c r="AR266" s="20" t="s">
        <v>132</v>
      </c>
      <c r="AS266" s="20" t="s">
        <v>63</v>
      </c>
      <c r="AT266" s="20" t="s">
        <v>133</v>
      </c>
      <c r="AU266" s="21" t="s">
        <v>133</v>
      </c>
      <c r="AV266" s="22" t="s">
        <v>2029</v>
      </c>
      <c r="AW266" s="94" t="s">
        <v>2030</v>
      </c>
      <c r="AX266" s="52"/>
      <c r="BB266" s="52"/>
    </row>
    <row r="267" hidden="1">
      <c r="A267" s="25" t="s">
        <v>2031</v>
      </c>
      <c r="B267" s="103" t="s">
        <v>2032</v>
      </c>
      <c r="C267" s="97" t="s">
        <v>2033</v>
      </c>
      <c r="D267" s="97" t="s">
        <v>52</v>
      </c>
      <c r="E267" s="97" t="s">
        <v>53</v>
      </c>
      <c r="F267" s="29" t="s">
        <v>54</v>
      </c>
      <c r="G267" s="29">
        <v>559.0</v>
      </c>
      <c r="H267" s="36">
        <f t="shared" si="1"/>
        <v>531.05</v>
      </c>
      <c r="I267" s="97" t="s">
        <v>55</v>
      </c>
      <c r="J267" s="102" t="s">
        <v>102</v>
      </c>
      <c r="K267" s="119" t="s">
        <v>2034</v>
      </c>
      <c r="L267" s="104" t="s">
        <v>2035</v>
      </c>
      <c r="M267" s="104" t="s">
        <v>1852</v>
      </c>
      <c r="N267" s="105">
        <v>0.0</v>
      </c>
      <c r="O267" s="105">
        <v>100.0</v>
      </c>
      <c r="P267" s="105">
        <v>100.0</v>
      </c>
      <c r="Q267" s="105">
        <v>95.0</v>
      </c>
      <c r="R267" s="105">
        <v>95.0</v>
      </c>
      <c r="S267" s="105">
        <v>20.0</v>
      </c>
      <c r="T267" s="105">
        <v>60.0</v>
      </c>
      <c r="U267" s="105">
        <v>10.0</v>
      </c>
      <c r="V267" s="105">
        <v>0.0</v>
      </c>
      <c r="W267" s="105">
        <v>0.0</v>
      </c>
      <c r="X267" s="105">
        <v>30.0</v>
      </c>
      <c r="Y267" s="105">
        <v>90.0</v>
      </c>
      <c r="Z267" s="105">
        <v>10.0</v>
      </c>
      <c r="AA267" s="105">
        <v>30.0</v>
      </c>
      <c r="AB267" s="105">
        <v>40.0</v>
      </c>
      <c r="AC267" s="105">
        <v>10.0</v>
      </c>
      <c r="AD267" s="105">
        <v>0.0</v>
      </c>
      <c r="AE267" s="105">
        <v>90.0</v>
      </c>
      <c r="AF267" s="105">
        <v>50.0</v>
      </c>
      <c r="AG267" s="105">
        <v>30.0</v>
      </c>
      <c r="AH267" s="105">
        <v>40.0</v>
      </c>
      <c r="AI267" s="105">
        <v>60.0</v>
      </c>
      <c r="AJ267" s="105">
        <v>50.0</v>
      </c>
      <c r="AK267" s="105">
        <v>90.0</v>
      </c>
      <c r="AL267" s="105">
        <v>50.0</v>
      </c>
      <c r="AM267" s="33">
        <v>-100.0</v>
      </c>
      <c r="AN267" s="105">
        <v>100.0</v>
      </c>
      <c r="AO267" s="105">
        <v>100.0</v>
      </c>
      <c r="AP267" s="18" t="s">
        <v>2036</v>
      </c>
      <c r="AQ267" s="18" t="s">
        <v>2037</v>
      </c>
      <c r="AR267" s="20" t="s">
        <v>62</v>
      </c>
      <c r="AS267" s="20" t="s">
        <v>63</v>
      </c>
      <c r="AT267" s="20" t="s">
        <v>64</v>
      </c>
      <c r="AU267" s="21" t="s">
        <v>64</v>
      </c>
      <c r="AV267" s="22" t="s">
        <v>2038</v>
      </c>
      <c r="AW267" s="94" t="s">
        <v>2039</v>
      </c>
      <c r="AX267" s="55"/>
      <c r="AY267" s="55"/>
      <c r="AZ267" s="55"/>
      <c r="BA267" s="55"/>
      <c r="BB267" s="52"/>
    </row>
    <row r="268" hidden="1">
      <c r="A268" s="25" t="s">
        <v>2040</v>
      </c>
      <c r="B268" s="103" t="s">
        <v>2041</v>
      </c>
      <c r="C268" s="97" t="s">
        <v>1937</v>
      </c>
      <c r="D268" s="97" t="s">
        <v>52</v>
      </c>
      <c r="E268" s="97" t="s">
        <v>69</v>
      </c>
      <c r="F268" s="29" t="s">
        <v>454</v>
      </c>
      <c r="G268" s="29">
        <v>850.0</v>
      </c>
      <c r="H268" s="36">
        <f t="shared" si="1"/>
        <v>807.5</v>
      </c>
      <c r="I268" s="97" t="s">
        <v>1199</v>
      </c>
      <c r="J268" s="102" t="s">
        <v>2042</v>
      </c>
      <c r="K268" s="110" t="s">
        <v>25</v>
      </c>
      <c r="L268" s="104" t="s">
        <v>2043</v>
      </c>
      <c r="M268" s="104" t="s">
        <v>2044</v>
      </c>
      <c r="N268" s="105">
        <v>-100.0</v>
      </c>
      <c r="O268" s="105">
        <v>100.0</v>
      </c>
      <c r="P268" s="105">
        <v>100.0</v>
      </c>
      <c r="Q268" s="105">
        <v>40.0</v>
      </c>
      <c r="R268" s="105">
        <v>20.0</v>
      </c>
      <c r="S268" s="105">
        <v>50.0</v>
      </c>
      <c r="T268" s="105">
        <v>30.0</v>
      </c>
      <c r="U268" s="105">
        <v>60.0</v>
      </c>
      <c r="V268" s="105">
        <v>50.0</v>
      </c>
      <c r="W268" s="105">
        <v>40.0</v>
      </c>
      <c r="X268" s="105">
        <v>50.0</v>
      </c>
      <c r="Y268" s="105">
        <v>30.0</v>
      </c>
      <c r="Z268" s="105">
        <v>90.0</v>
      </c>
      <c r="AA268" s="105">
        <v>40.0</v>
      </c>
      <c r="AB268" s="105">
        <v>60.0</v>
      </c>
      <c r="AC268" s="105">
        <v>70.0</v>
      </c>
      <c r="AD268" s="105">
        <v>50.0</v>
      </c>
      <c r="AE268" s="105">
        <v>60.0</v>
      </c>
      <c r="AF268" s="105">
        <v>50.0</v>
      </c>
      <c r="AG268" s="105">
        <v>70.0</v>
      </c>
      <c r="AH268" s="105">
        <v>60.0</v>
      </c>
      <c r="AI268" s="105">
        <v>80.0</v>
      </c>
      <c r="AJ268" s="105">
        <v>60.0</v>
      </c>
      <c r="AK268" s="105">
        <v>70.0</v>
      </c>
      <c r="AL268" s="105">
        <v>60.0</v>
      </c>
      <c r="AM268" s="33">
        <v>0.0</v>
      </c>
      <c r="AN268" s="105">
        <v>-100.0</v>
      </c>
      <c r="AO268" s="105">
        <v>-100.0</v>
      </c>
      <c r="AP268" s="18" t="s">
        <v>2045</v>
      </c>
      <c r="AQ268" s="18" t="s">
        <v>2046</v>
      </c>
      <c r="AR268" s="20" t="s">
        <v>77</v>
      </c>
      <c r="AS268" s="20" t="s">
        <v>78</v>
      </c>
      <c r="AT268" s="20" t="s">
        <v>79</v>
      </c>
      <c r="AU268" s="21" t="s">
        <v>79</v>
      </c>
      <c r="AV268" s="22" t="s">
        <v>2047</v>
      </c>
      <c r="AW268" s="94" t="s">
        <v>2048</v>
      </c>
      <c r="BB268" s="52"/>
    </row>
    <row r="269" hidden="1">
      <c r="A269" s="25" t="s">
        <v>2049</v>
      </c>
      <c r="B269" s="103" t="s">
        <v>2050</v>
      </c>
      <c r="C269" s="97" t="s">
        <v>1937</v>
      </c>
      <c r="D269" s="97" t="s">
        <v>52</v>
      </c>
      <c r="E269" s="97" t="s">
        <v>502</v>
      </c>
      <c r="F269" s="29" t="s">
        <v>2051</v>
      </c>
      <c r="G269" s="29">
        <v>800.0</v>
      </c>
      <c r="H269" s="36">
        <f t="shared" si="1"/>
        <v>760</v>
      </c>
      <c r="I269" s="97" t="s">
        <v>1199</v>
      </c>
      <c r="J269" s="102" t="s">
        <v>201</v>
      </c>
      <c r="K269" s="110" t="s">
        <v>87</v>
      </c>
      <c r="L269" s="104" t="s">
        <v>2052</v>
      </c>
      <c r="M269" s="104" t="s">
        <v>2053</v>
      </c>
      <c r="N269" s="105">
        <v>100.0</v>
      </c>
      <c r="O269" s="105">
        <v>100.0</v>
      </c>
      <c r="P269" s="105">
        <v>100.0</v>
      </c>
      <c r="Q269" s="105">
        <v>30.0</v>
      </c>
      <c r="R269" s="105">
        <v>30.0</v>
      </c>
      <c r="S269" s="105">
        <v>85.0</v>
      </c>
      <c r="T269" s="105">
        <v>20.0</v>
      </c>
      <c r="U269" s="105">
        <v>20.0</v>
      </c>
      <c r="V269" s="105">
        <v>10.0</v>
      </c>
      <c r="W269" s="105">
        <v>10.0</v>
      </c>
      <c r="X269" s="105">
        <v>90.0</v>
      </c>
      <c r="Y269" s="105">
        <v>20.0</v>
      </c>
      <c r="Z269" s="105">
        <v>30.0</v>
      </c>
      <c r="AA269" s="105">
        <v>95.0</v>
      </c>
      <c r="AB269" s="105">
        <v>90.0</v>
      </c>
      <c r="AC269" s="105">
        <v>30.0</v>
      </c>
      <c r="AD269" s="105">
        <v>10.0</v>
      </c>
      <c r="AE269" s="105">
        <v>50.0</v>
      </c>
      <c r="AF269" s="105">
        <v>90.0</v>
      </c>
      <c r="AG269" s="105">
        <v>90.0</v>
      </c>
      <c r="AH269" s="105">
        <v>95.0</v>
      </c>
      <c r="AI269" s="105">
        <v>90.0</v>
      </c>
      <c r="AJ269" s="105">
        <v>95.0</v>
      </c>
      <c r="AK269" s="105">
        <v>70.0</v>
      </c>
      <c r="AL269" s="105">
        <v>90.0</v>
      </c>
      <c r="AM269" s="33">
        <v>100.0</v>
      </c>
      <c r="AN269" s="105">
        <v>100.0</v>
      </c>
      <c r="AO269" s="105">
        <v>100.0</v>
      </c>
      <c r="AP269" s="18" t="s">
        <v>2054</v>
      </c>
      <c r="AQ269" s="18" t="s">
        <v>2055</v>
      </c>
      <c r="AR269" s="20" t="s">
        <v>507</v>
      </c>
      <c r="AS269" s="20" t="s">
        <v>508</v>
      </c>
      <c r="AT269" s="20" t="s">
        <v>509</v>
      </c>
      <c r="AU269" s="21" t="s">
        <v>509</v>
      </c>
      <c r="AV269" s="22" t="s">
        <v>1748</v>
      </c>
      <c r="AW269" s="94" t="s">
        <v>2056</v>
      </c>
      <c r="BB269" s="52"/>
    </row>
    <row r="270" hidden="1">
      <c r="A270" s="25" t="s">
        <v>2057</v>
      </c>
      <c r="B270" s="103" t="s">
        <v>2058</v>
      </c>
      <c r="C270" s="97" t="s">
        <v>2059</v>
      </c>
      <c r="D270" s="97" t="s">
        <v>99</v>
      </c>
      <c r="E270" s="97" t="s">
        <v>112</v>
      </c>
      <c r="F270" s="29" t="s">
        <v>101</v>
      </c>
      <c r="G270" s="29">
        <v>449.0</v>
      </c>
      <c r="H270" s="36">
        <f t="shared" si="1"/>
        <v>426.55</v>
      </c>
      <c r="I270" s="97" t="s">
        <v>55</v>
      </c>
      <c r="J270" s="102" t="s">
        <v>56</v>
      </c>
      <c r="K270" s="120" t="s">
        <v>340</v>
      </c>
      <c r="L270" s="104" t="s">
        <v>2060</v>
      </c>
      <c r="M270" s="104" t="s">
        <v>2061</v>
      </c>
      <c r="N270" s="105">
        <v>0.0</v>
      </c>
      <c r="O270" s="105">
        <v>100.0</v>
      </c>
      <c r="P270" s="105">
        <v>100.0</v>
      </c>
      <c r="Q270" s="105">
        <v>55.0</v>
      </c>
      <c r="R270" s="105">
        <v>90.0</v>
      </c>
      <c r="S270" s="105">
        <v>90.0</v>
      </c>
      <c r="T270" s="105">
        <v>60.0</v>
      </c>
      <c r="U270" s="105">
        <v>90.0</v>
      </c>
      <c r="V270" s="105">
        <v>75.0</v>
      </c>
      <c r="W270" s="105">
        <v>30.0</v>
      </c>
      <c r="X270" s="105">
        <v>75.0</v>
      </c>
      <c r="Y270" s="105">
        <v>65.0</v>
      </c>
      <c r="Z270" s="105">
        <v>45.0</v>
      </c>
      <c r="AA270" s="105">
        <v>80.0</v>
      </c>
      <c r="AB270" s="105">
        <v>90.0</v>
      </c>
      <c r="AC270" s="105">
        <v>90.0</v>
      </c>
      <c r="AD270" s="105">
        <v>90.0</v>
      </c>
      <c r="AE270" s="105">
        <v>80.0</v>
      </c>
      <c r="AF270" s="105">
        <v>80.0</v>
      </c>
      <c r="AG270" s="105">
        <v>90.0</v>
      </c>
      <c r="AH270" s="105">
        <v>90.0</v>
      </c>
      <c r="AI270" s="105">
        <v>90.0</v>
      </c>
      <c r="AJ270" s="105">
        <v>90.0</v>
      </c>
      <c r="AK270" s="105">
        <v>90.0</v>
      </c>
      <c r="AL270" s="105">
        <v>90.0</v>
      </c>
      <c r="AM270" s="33">
        <v>100.0</v>
      </c>
      <c r="AN270" s="105">
        <v>100.0</v>
      </c>
      <c r="AO270" s="105">
        <v>100.0</v>
      </c>
      <c r="AP270" s="18" t="s">
        <v>2062</v>
      </c>
      <c r="AQ270" s="18" t="s">
        <v>2063</v>
      </c>
      <c r="AR270" s="121" t="s">
        <v>2064</v>
      </c>
      <c r="AS270" s="121" t="s">
        <v>2065</v>
      </c>
      <c r="AT270" s="121" t="s">
        <v>2066</v>
      </c>
      <c r="AU270" s="21" t="s">
        <v>2067</v>
      </c>
      <c r="AV270" s="22" t="s">
        <v>2068</v>
      </c>
      <c r="AW270" s="94" t="s">
        <v>2069</v>
      </c>
      <c r="BB270" s="52"/>
    </row>
    <row r="271" hidden="1">
      <c r="A271" s="25" t="s">
        <v>2070</v>
      </c>
      <c r="B271" s="103" t="s">
        <v>2071</v>
      </c>
      <c r="C271" s="97" t="s">
        <v>2072</v>
      </c>
      <c r="D271" s="97" t="s">
        <v>99</v>
      </c>
      <c r="E271" s="97" t="s">
        <v>112</v>
      </c>
      <c r="F271" s="29" t="s">
        <v>322</v>
      </c>
      <c r="G271" s="29">
        <v>399.0</v>
      </c>
      <c r="H271" s="36">
        <f t="shared" si="1"/>
        <v>379.05</v>
      </c>
      <c r="I271" s="97" t="s">
        <v>55</v>
      </c>
      <c r="J271" s="102" t="s">
        <v>56</v>
      </c>
      <c r="K271" s="30" t="s">
        <v>57</v>
      </c>
      <c r="L271" s="104" t="s">
        <v>2073</v>
      </c>
      <c r="M271" s="104" t="s">
        <v>342</v>
      </c>
      <c r="N271" s="105">
        <v>0.0</v>
      </c>
      <c r="O271" s="105">
        <v>100.0</v>
      </c>
      <c r="P271" s="105">
        <v>100.0</v>
      </c>
      <c r="Q271" s="105">
        <v>55.0</v>
      </c>
      <c r="R271" s="105">
        <v>80.0</v>
      </c>
      <c r="S271" s="105">
        <v>90.0</v>
      </c>
      <c r="T271" s="105">
        <v>55.0</v>
      </c>
      <c r="U271" s="105">
        <v>90.0</v>
      </c>
      <c r="V271" s="105">
        <v>80.0</v>
      </c>
      <c r="W271" s="105">
        <v>35.0</v>
      </c>
      <c r="X271" s="105">
        <v>80.0</v>
      </c>
      <c r="Y271" s="105">
        <v>60.0</v>
      </c>
      <c r="Z271" s="105">
        <v>45.0</v>
      </c>
      <c r="AA271" s="105">
        <v>75.0</v>
      </c>
      <c r="AB271" s="105">
        <v>90.0</v>
      </c>
      <c r="AC271" s="105">
        <v>90.0</v>
      </c>
      <c r="AD271" s="105">
        <v>90.0</v>
      </c>
      <c r="AE271" s="105">
        <v>75.0</v>
      </c>
      <c r="AF271" s="105">
        <v>75.0</v>
      </c>
      <c r="AG271" s="105">
        <v>95.0</v>
      </c>
      <c r="AH271" s="105">
        <v>90.0</v>
      </c>
      <c r="AI271" s="105">
        <v>90.0</v>
      </c>
      <c r="AJ271" s="105">
        <v>90.0</v>
      </c>
      <c r="AK271" s="105">
        <v>90.0</v>
      </c>
      <c r="AL271" s="105">
        <v>90.0</v>
      </c>
      <c r="AM271" s="33">
        <v>100.0</v>
      </c>
      <c r="AN271" s="105">
        <v>100.0</v>
      </c>
      <c r="AO271" s="105">
        <v>100.0</v>
      </c>
      <c r="AP271" s="18" t="s">
        <v>2074</v>
      </c>
      <c r="AQ271" s="18" t="s">
        <v>2075</v>
      </c>
      <c r="AR271" s="121" t="s">
        <v>2076</v>
      </c>
      <c r="AS271" s="121" t="s">
        <v>2077</v>
      </c>
      <c r="AT271" s="121" t="s">
        <v>2078</v>
      </c>
      <c r="AU271" s="21" t="s">
        <v>2079</v>
      </c>
      <c r="AV271" s="22" t="s">
        <v>345</v>
      </c>
      <c r="AW271" s="94" t="s">
        <v>2080</v>
      </c>
      <c r="BB271" s="52"/>
    </row>
    <row r="272" hidden="1">
      <c r="A272" s="25" t="s">
        <v>2081</v>
      </c>
      <c r="B272" s="103" t="s">
        <v>2082</v>
      </c>
      <c r="C272" s="97" t="s">
        <v>2072</v>
      </c>
      <c r="D272" s="97" t="s">
        <v>99</v>
      </c>
      <c r="E272" s="97" t="s">
        <v>112</v>
      </c>
      <c r="F272" s="29" t="s">
        <v>322</v>
      </c>
      <c r="G272" s="29">
        <v>549.0</v>
      </c>
      <c r="H272" s="36">
        <f t="shared" si="1"/>
        <v>521.55</v>
      </c>
      <c r="I272" s="97" t="s">
        <v>55</v>
      </c>
      <c r="J272" s="102" t="s">
        <v>266</v>
      </c>
      <c r="K272" s="30" t="s">
        <v>880</v>
      </c>
      <c r="L272" s="104" t="s">
        <v>2083</v>
      </c>
      <c r="M272" s="104" t="s">
        <v>2084</v>
      </c>
      <c r="N272" s="105">
        <v>100.0</v>
      </c>
      <c r="O272" s="105">
        <v>100.0</v>
      </c>
      <c r="P272" s="105">
        <v>100.0</v>
      </c>
      <c r="Q272" s="105">
        <v>40.0</v>
      </c>
      <c r="R272" s="105">
        <v>40.0</v>
      </c>
      <c r="S272" s="105">
        <v>90.0</v>
      </c>
      <c r="T272" s="105">
        <v>35.0</v>
      </c>
      <c r="U272" s="105">
        <v>90.0</v>
      </c>
      <c r="V272" s="105">
        <v>75.0</v>
      </c>
      <c r="W272" s="105">
        <v>40.0</v>
      </c>
      <c r="X272" s="105">
        <v>90.0</v>
      </c>
      <c r="Y272" s="105">
        <v>35.0</v>
      </c>
      <c r="Z272" s="105">
        <v>40.0</v>
      </c>
      <c r="AA272" s="105">
        <v>90.0</v>
      </c>
      <c r="AB272" s="105">
        <v>90.0</v>
      </c>
      <c r="AC272" s="105">
        <v>90.0</v>
      </c>
      <c r="AD272" s="105">
        <v>95.0</v>
      </c>
      <c r="AE272" s="105">
        <v>75.0</v>
      </c>
      <c r="AF272" s="105">
        <v>90.0</v>
      </c>
      <c r="AG272" s="105">
        <v>90.0</v>
      </c>
      <c r="AH272" s="105">
        <v>95.0</v>
      </c>
      <c r="AI272" s="105">
        <v>90.0</v>
      </c>
      <c r="AJ272" s="105">
        <v>95.0</v>
      </c>
      <c r="AK272" s="105">
        <v>90.0</v>
      </c>
      <c r="AL272" s="105">
        <v>90.0</v>
      </c>
      <c r="AM272" s="33">
        <v>100.0</v>
      </c>
      <c r="AN272" s="105">
        <v>100.0</v>
      </c>
      <c r="AO272" s="105">
        <v>100.0</v>
      </c>
      <c r="AP272" s="18" t="s">
        <v>2085</v>
      </c>
      <c r="AQ272" s="18" t="s">
        <v>2086</v>
      </c>
      <c r="AR272" s="121" t="s">
        <v>2087</v>
      </c>
      <c r="AS272" s="121" t="s">
        <v>2088</v>
      </c>
      <c r="AT272" s="121" t="s">
        <v>2089</v>
      </c>
      <c r="AU272" s="21" t="s">
        <v>2090</v>
      </c>
      <c r="AV272" s="22" t="s">
        <v>2091</v>
      </c>
      <c r="AW272" s="94" t="s">
        <v>2092</v>
      </c>
      <c r="BA272" s="52"/>
      <c r="BB272" s="52"/>
    </row>
    <row r="273">
      <c r="A273" s="25" t="s">
        <v>2093</v>
      </c>
      <c r="B273" s="103" t="s">
        <v>2094</v>
      </c>
      <c r="C273" s="97" t="s">
        <v>2095</v>
      </c>
      <c r="D273" s="97" t="s">
        <v>99</v>
      </c>
      <c r="E273" s="27" t="s">
        <v>100</v>
      </c>
      <c r="F273" s="29" t="s">
        <v>2096</v>
      </c>
      <c r="G273" s="29">
        <v>1250.0</v>
      </c>
      <c r="H273" s="36">
        <f t="shared" si="1"/>
        <v>1187.5</v>
      </c>
      <c r="I273" s="97" t="s">
        <v>55</v>
      </c>
      <c r="J273" s="102" t="s">
        <v>358</v>
      </c>
      <c r="K273" s="120" t="s">
        <v>323</v>
      </c>
      <c r="L273" s="104" t="s">
        <v>154</v>
      </c>
      <c r="M273" s="104" t="s">
        <v>314</v>
      </c>
      <c r="N273" s="105">
        <v>100.0</v>
      </c>
      <c r="O273" s="105">
        <v>100.0</v>
      </c>
      <c r="P273" s="105">
        <v>100.0</v>
      </c>
      <c r="Q273" s="105">
        <v>45.0</v>
      </c>
      <c r="R273" s="105">
        <v>55.0</v>
      </c>
      <c r="S273" s="105">
        <v>55.0</v>
      </c>
      <c r="T273" s="105">
        <v>35.0</v>
      </c>
      <c r="U273" s="105">
        <v>75.0</v>
      </c>
      <c r="V273" s="105">
        <v>65.0</v>
      </c>
      <c r="W273" s="105">
        <v>25.0</v>
      </c>
      <c r="X273" s="105">
        <v>55.0</v>
      </c>
      <c r="Y273" s="105">
        <v>40.0</v>
      </c>
      <c r="Z273" s="105">
        <v>20.0</v>
      </c>
      <c r="AA273" s="105">
        <v>65.0</v>
      </c>
      <c r="AB273" s="105">
        <v>55.0</v>
      </c>
      <c r="AC273" s="105">
        <v>90.0</v>
      </c>
      <c r="AD273" s="105">
        <v>70.0</v>
      </c>
      <c r="AE273" s="105">
        <v>90.0</v>
      </c>
      <c r="AF273" s="105">
        <v>90.0</v>
      </c>
      <c r="AG273" s="105">
        <v>70.0</v>
      </c>
      <c r="AH273" s="105">
        <v>75.0</v>
      </c>
      <c r="AI273" s="105">
        <v>90.0</v>
      </c>
      <c r="AJ273" s="105">
        <v>90.0</v>
      </c>
      <c r="AK273" s="105">
        <v>90.0</v>
      </c>
      <c r="AL273" s="105">
        <v>90.0</v>
      </c>
      <c r="AM273" s="33">
        <v>0.0</v>
      </c>
      <c r="AN273" s="105">
        <v>100.0</v>
      </c>
      <c r="AO273" s="105">
        <v>100.0</v>
      </c>
      <c r="AP273" s="18" t="s">
        <v>2097</v>
      </c>
      <c r="AQ273" s="18" t="s">
        <v>2098</v>
      </c>
      <c r="AR273" s="121" t="s">
        <v>2099</v>
      </c>
      <c r="AS273" s="121" t="s">
        <v>2100</v>
      </c>
      <c r="AT273" s="121" t="s">
        <v>2078</v>
      </c>
      <c r="AU273" s="21" t="s">
        <v>2101</v>
      </c>
      <c r="AV273" s="22" t="s">
        <v>532</v>
      </c>
      <c r="AW273" s="94" t="s">
        <v>2102</v>
      </c>
      <c r="BA273" s="52"/>
      <c r="BB273" s="52"/>
    </row>
    <row r="274">
      <c r="A274" s="25" t="s">
        <v>2103</v>
      </c>
      <c r="B274" s="103" t="s">
        <v>2104</v>
      </c>
      <c r="C274" s="97" t="s">
        <v>2095</v>
      </c>
      <c r="D274" s="97" t="s">
        <v>99</v>
      </c>
      <c r="E274" s="27" t="s">
        <v>100</v>
      </c>
      <c r="F274" s="29" t="s">
        <v>2096</v>
      </c>
      <c r="G274" s="29">
        <v>1250.0</v>
      </c>
      <c r="H274" s="36">
        <f t="shared" si="1"/>
        <v>1187.5</v>
      </c>
      <c r="I274" s="97" t="s">
        <v>55</v>
      </c>
      <c r="J274" s="102" t="s">
        <v>102</v>
      </c>
      <c r="K274" s="120" t="s">
        <v>17</v>
      </c>
      <c r="L274" s="104" t="s">
        <v>2105</v>
      </c>
      <c r="M274" s="104" t="s">
        <v>2106</v>
      </c>
      <c r="N274" s="105">
        <v>0.0</v>
      </c>
      <c r="O274" s="105">
        <v>100.0</v>
      </c>
      <c r="P274" s="105">
        <v>100.0</v>
      </c>
      <c r="Q274" s="105">
        <v>75.0</v>
      </c>
      <c r="R274" s="105">
        <v>90.0</v>
      </c>
      <c r="S274" s="105">
        <v>20.0</v>
      </c>
      <c r="T274" s="105">
        <v>80.0</v>
      </c>
      <c r="U274" s="105">
        <v>40.0</v>
      </c>
      <c r="V274" s="105">
        <v>25.0</v>
      </c>
      <c r="W274" s="105">
        <v>10.0</v>
      </c>
      <c r="X274" s="105">
        <v>35.0</v>
      </c>
      <c r="Y274" s="105">
        <v>90.0</v>
      </c>
      <c r="Z274" s="105">
        <v>20.0</v>
      </c>
      <c r="AA274" s="105">
        <v>40.0</v>
      </c>
      <c r="AB274" s="105">
        <v>25.0</v>
      </c>
      <c r="AC274" s="105">
        <v>45.0</v>
      </c>
      <c r="AD274" s="105">
        <v>20.0</v>
      </c>
      <c r="AE274" s="105">
        <v>95.0</v>
      </c>
      <c r="AF274" s="105">
        <v>70.0</v>
      </c>
      <c r="AG274" s="105">
        <v>30.0</v>
      </c>
      <c r="AH274" s="105">
        <v>25.0</v>
      </c>
      <c r="AI274" s="105">
        <v>75.0</v>
      </c>
      <c r="AJ274" s="105">
        <v>60.0</v>
      </c>
      <c r="AK274" s="105">
        <v>90.0</v>
      </c>
      <c r="AL274" s="105">
        <v>70.0</v>
      </c>
      <c r="AM274" s="33">
        <v>-100.0</v>
      </c>
      <c r="AN274" s="105">
        <v>100.0</v>
      </c>
      <c r="AO274" s="105">
        <v>100.0</v>
      </c>
      <c r="AP274" s="18" t="s">
        <v>2107</v>
      </c>
      <c r="AQ274" s="18" t="s">
        <v>2108</v>
      </c>
      <c r="AR274" s="121" t="s">
        <v>2099</v>
      </c>
      <c r="AS274" s="121" t="s">
        <v>2100</v>
      </c>
      <c r="AT274" s="121" t="s">
        <v>2078</v>
      </c>
      <c r="AU274" s="21" t="s">
        <v>2101</v>
      </c>
      <c r="AV274" s="22" t="s">
        <v>2109</v>
      </c>
      <c r="AW274" s="94" t="s">
        <v>2110</v>
      </c>
      <c r="BA274" s="52"/>
      <c r="BB274" s="52"/>
    </row>
    <row r="275">
      <c r="A275" s="25" t="s">
        <v>2111</v>
      </c>
      <c r="B275" s="103" t="s">
        <v>2112</v>
      </c>
      <c r="C275" s="97" t="s">
        <v>2095</v>
      </c>
      <c r="D275" s="97" t="s">
        <v>99</v>
      </c>
      <c r="E275" s="27" t="s">
        <v>100</v>
      </c>
      <c r="F275" s="29" t="s">
        <v>2096</v>
      </c>
      <c r="G275" s="29">
        <v>1200.0</v>
      </c>
      <c r="H275" s="36">
        <f t="shared" si="1"/>
        <v>1140</v>
      </c>
      <c r="I275" s="97" t="s">
        <v>55</v>
      </c>
      <c r="J275" s="102" t="s">
        <v>358</v>
      </c>
      <c r="K275" s="120" t="s">
        <v>323</v>
      </c>
      <c r="L275" s="104" t="s">
        <v>2113</v>
      </c>
      <c r="M275" s="104" t="s">
        <v>2114</v>
      </c>
      <c r="N275" s="105">
        <v>0.0</v>
      </c>
      <c r="O275" s="105">
        <v>100.0</v>
      </c>
      <c r="P275" s="105">
        <v>100.0</v>
      </c>
      <c r="Q275" s="105">
        <v>45.0</v>
      </c>
      <c r="R275" s="105">
        <v>75.0</v>
      </c>
      <c r="S275" s="105">
        <v>60.0</v>
      </c>
      <c r="T275" s="105">
        <v>50.0</v>
      </c>
      <c r="U275" s="105">
        <v>75.0</v>
      </c>
      <c r="V275" s="105">
        <v>65.0</v>
      </c>
      <c r="W275" s="105">
        <v>10.0</v>
      </c>
      <c r="X275" s="105">
        <v>65.0</v>
      </c>
      <c r="Y275" s="105">
        <v>60.0</v>
      </c>
      <c r="Z275" s="105">
        <v>20.0</v>
      </c>
      <c r="AA275" s="105">
        <v>75.0</v>
      </c>
      <c r="AB275" s="105">
        <v>55.0</v>
      </c>
      <c r="AC275" s="105">
        <v>90.0</v>
      </c>
      <c r="AD275" s="105">
        <v>90.0</v>
      </c>
      <c r="AE275" s="105">
        <v>90.0</v>
      </c>
      <c r="AF275" s="105">
        <v>90.0</v>
      </c>
      <c r="AG275" s="105">
        <v>70.0</v>
      </c>
      <c r="AH275" s="105">
        <v>75.0</v>
      </c>
      <c r="AI275" s="105">
        <v>90.0</v>
      </c>
      <c r="AJ275" s="105">
        <v>90.0</v>
      </c>
      <c r="AK275" s="105">
        <v>90.0</v>
      </c>
      <c r="AL275" s="105">
        <v>90.0</v>
      </c>
      <c r="AM275" s="33">
        <v>-100.0</v>
      </c>
      <c r="AN275" s="105">
        <v>100.0</v>
      </c>
      <c r="AO275" s="105">
        <v>100.0</v>
      </c>
      <c r="AP275" s="18" t="s">
        <v>2115</v>
      </c>
      <c r="AQ275" s="18" t="s">
        <v>2116</v>
      </c>
      <c r="AR275" s="121" t="s">
        <v>2099</v>
      </c>
      <c r="AS275" s="121" t="s">
        <v>2100</v>
      </c>
      <c r="AT275" s="121" t="s">
        <v>2078</v>
      </c>
      <c r="AU275" s="21" t="s">
        <v>2101</v>
      </c>
      <c r="AV275" s="22" t="s">
        <v>2117</v>
      </c>
      <c r="AW275" s="94" t="s">
        <v>2118</v>
      </c>
      <c r="BA275" s="52"/>
      <c r="BB275" s="52"/>
    </row>
    <row r="276">
      <c r="A276" s="25" t="s">
        <v>2119</v>
      </c>
      <c r="B276" s="103" t="s">
        <v>2120</v>
      </c>
      <c r="C276" s="97" t="s">
        <v>2095</v>
      </c>
      <c r="D276" s="97" t="s">
        <v>99</v>
      </c>
      <c r="E276" s="27" t="s">
        <v>100</v>
      </c>
      <c r="F276" s="29" t="s">
        <v>2121</v>
      </c>
      <c r="G276" s="29">
        <v>1350.0</v>
      </c>
      <c r="H276" s="36">
        <f t="shared" si="1"/>
        <v>1282.5</v>
      </c>
      <c r="I276" s="97" t="s">
        <v>55</v>
      </c>
      <c r="J276" s="102" t="s">
        <v>56</v>
      </c>
      <c r="K276" s="120" t="s">
        <v>323</v>
      </c>
      <c r="L276" s="104" t="s">
        <v>2113</v>
      </c>
      <c r="M276" s="104" t="s">
        <v>2122</v>
      </c>
      <c r="N276" s="105">
        <v>0.0</v>
      </c>
      <c r="O276" s="105">
        <v>100.0</v>
      </c>
      <c r="P276" s="105">
        <v>100.0</v>
      </c>
      <c r="Q276" s="105">
        <v>40.0</v>
      </c>
      <c r="R276" s="105">
        <v>70.0</v>
      </c>
      <c r="S276" s="105">
        <v>75.0</v>
      </c>
      <c r="T276" s="105">
        <v>45.0</v>
      </c>
      <c r="U276" s="105">
        <v>70.0</v>
      </c>
      <c r="V276" s="105">
        <v>60.0</v>
      </c>
      <c r="W276" s="105">
        <v>10.0</v>
      </c>
      <c r="X276" s="105">
        <v>75.0</v>
      </c>
      <c r="Y276" s="105">
        <v>55.0</v>
      </c>
      <c r="Z276" s="105">
        <v>25.0</v>
      </c>
      <c r="AA276" s="105">
        <v>70.0</v>
      </c>
      <c r="AB276" s="105">
        <v>75.0</v>
      </c>
      <c r="AC276" s="105">
        <v>90.0</v>
      </c>
      <c r="AD276" s="105">
        <v>90.0</v>
      </c>
      <c r="AE276" s="105">
        <v>80.0</v>
      </c>
      <c r="AF276" s="105">
        <v>80.0</v>
      </c>
      <c r="AG276" s="105">
        <v>90.0</v>
      </c>
      <c r="AH276" s="105">
        <v>90.0</v>
      </c>
      <c r="AI276" s="105">
        <v>90.0</v>
      </c>
      <c r="AJ276" s="105">
        <v>90.0</v>
      </c>
      <c r="AK276" s="105">
        <v>90.0</v>
      </c>
      <c r="AL276" s="105">
        <v>90.0</v>
      </c>
      <c r="AM276" s="33">
        <v>0.0</v>
      </c>
      <c r="AN276" s="105">
        <v>100.0</v>
      </c>
      <c r="AO276" s="105">
        <v>100.0</v>
      </c>
      <c r="AP276" s="18" t="s">
        <v>2123</v>
      </c>
      <c r="AQ276" s="18" t="s">
        <v>2116</v>
      </c>
      <c r="AR276" s="121" t="s">
        <v>2099</v>
      </c>
      <c r="AS276" s="121" t="s">
        <v>2100</v>
      </c>
      <c r="AT276" s="121" t="s">
        <v>2078</v>
      </c>
      <c r="AU276" s="21" t="s">
        <v>2101</v>
      </c>
      <c r="AV276" s="22" t="s">
        <v>2117</v>
      </c>
      <c r="AW276" s="94" t="s">
        <v>2124</v>
      </c>
      <c r="BA276" s="52"/>
      <c r="BB276" s="52"/>
    </row>
    <row r="277" hidden="1">
      <c r="A277" s="25" t="s">
        <v>2125</v>
      </c>
      <c r="B277" s="103" t="s">
        <v>2126</v>
      </c>
      <c r="C277" s="97" t="s">
        <v>2059</v>
      </c>
      <c r="D277" s="97" t="s">
        <v>99</v>
      </c>
      <c r="E277" s="27" t="s">
        <v>100</v>
      </c>
      <c r="F277" s="29" t="s">
        <v>2127</v>
      </c>
      <c r="G277" s="29">
        <v>499.0</v>
      </c>
      <c r="H277" s="36">
        <f t="shared" si="1"/>
        <v>474.05</v>
      </c>
      <c r="I277" s="97" t="s">
        <v>55</v>
      </c>
      <c r="J277" s="102" t="s">
        <v>102</v>
      </c>
      <c r="K277" s="120" t="s">
        <v>103</v>
      </c>
      <c r="L277" s="104" t="s">
        <v>2128</v>
      </c>
      <c r="M277" s="104" t="s">
        <v>2129</v>
      </c>
      <c r="N277" s="105">
        <v>0.0</v>
      </c>
      <c r="O277" s="105">
        <v>100.0</v>
      </c>
      <c r="P277" s="105">
        <v>100.0</v>
      </c>
      <c r="Q277" s="105">
        <v>80.0</v>
      </c>
      <c r="R277" s="105">
        <v>90.0</v>
      </c>
      <c r="S277" s="105">
        <v>25.0</v>
      </c>
      <c r="T277" s="105">
        <v>75.0</v>
      </c>
      <c r="U277" s="105">
        <v>35.0</v>
      </c>
      <c r="V277" s="105">
        <v>20.0</v>
      </c>
      <c r="W277" s="105">
        <v>10.0</v>
      </c>
      <c r="X277" s="105">
        <v>40.0</v>
      </c>
      <c r="Y277" s="105">
        <v>90.0</v>
      </c>
      <c r="Z277" s="105">
        <v>20.0</v>
      </c>
      <c r="AA277" s="105">
        <v>45.0</v>
      </c>
      <c r="AB277" s="105">
        <v>25.0</v>
      </c>
      <c r="AC277" s="105">
        <v>40.0</v>
      </c>
      <c r="AD277" s="105">
        <v>15.0</v>
      </c>
      <c r="AE277" s="105">
        <v>95.0</v>
      </c>
      <c r="AF277" s="105">
        <v>75.0</v>
      </c>
      <c r="AG277" s="105">
        <v>35.0</v>
      </c>
      <c r="AH277" s="105">
        <v>30.0</v>
      </c>
      <c r="AI277" s="105">
        <v>80.0</v>
      </c>
      <c r="AJ277" s="105">
        <v>70.0</v>
      </c>
      <c r="AK277" s="105">
        <v>90.0</v>
      </c>
      <c r="AL277" s="105">
        <v>75.0</v>
      </c>
      <c r="AM277" s="33">
        <v>-100.0</v>
      </c>
      <c r="AN277" s="105">
        <v>100.0</v>
      </c>
      <c r="AO277" s="105">
        <v>100.0</v>
      </c>
      <c r="AP277" s="18" t="s">
        <v>2130</v>
      </c>
      <c r="AQ277" s="18" t="s">
        <v>2131</v>
      </c>
      <c r="AR277" s="121" t="s">
        <v>2099</v>
      </c>
      <c r="AS277" s="121" t="s">
        <v>2100</v>
      </c>
      <c r="AT277" s="121" t="s">
        <v>2078</v>
      </c>
      <c r="AU277" s="21" t="s">
        <v>2101</v>
      </c>
      <c r="AV277" s="22" t="s">
        <v>2132</v>
      </c>
      <c r="AW277" s="94" t="s">
        <v>2133</v>
      </c>
      <c r="AY277" s="55"/>
      <c r="AZ277" s="55"/>
      <c r="BA277" s="55"/>
      <c r="BB277" s="52"/>
    </row>
    <row r="278" hidden="1">
      <c r="A278" s="25" t="s">
        <v>2134</v>
      </c>
      <c r="B278" s="103" t="s">
        <v>2135</v>
      </c>
      <c r="C278" s="97" t="s">
        <v>2059</v>
      </c>
      <c r="D278" s="97" t="s">
        <v>99</v>
      </c>
      <c r="E278" s="27" t="s">
        <v>100</v>
      </c>
      <c r="F278" s="29" t="s">
        <v>182</v>
      </c>
      <c r="G278" s="29">
        <v>399.0</v>
      </c>
      <c r="H278" s="36">
        <f t="shared" si="1"/>
        <v>379.05</v>
      </c>
      <c r="I278" s="97" t="s">
        <v>55</v>
      </c>
      <c r="J278" s="102" t="s">
        <v>587</v>
      </c>
      <c r="K278" s="30" t="s">
        <v>57</v>
      </c>
      <c r="L278" s="104" t="s">
        <v>2136</v>
      </c>
      <c r="M278" s="104" t="s">
        <v>2084</v>
      </c>
      <c r="N278" s="105">
        <v>100.0</v>
      </c>
      <c r="O278" s="105">
        <v>100.0</v>
      </c>
      <c r="P278" s="105">
        <v>100.0</v>
      </c>
      <c r="Q278" s="105">
        <v>25.0</v>
      </c>
      <c r="R278" s="105">
        <v>20.0</v>
      </c>
      <c r="S278" s="105">
        <v>90.0</v>
      </c>
      <c r="T278" s="105">
        <v>20.0</v>
      </c>
      <c r="U278" s="105">
        <v>10.0</v>
      </c>
      <c r="V278" s="105">
        <v>10.0</v>
      </c>
      <c r="W278" s="105">
        <v>10.0</v>
      </c>
      <c r="X278" s="105">
        <v>90.0</v>
      </c>
      <c r="Y278" s="105">
        <v>20.0</v>
      </c>
      <c r="Z278" s="105">
        <v>25.0</v>
      </c>
      <c r="AA278" s="105">
        <v>90.0</v>
      </c>
      <c r="AB278" s="105">
        <v>90.0</v>
      </c>
      <c r="AC278" s="105">
        <v>40.0</v>
      </c>
      <c r="AD278" s="105">
        <v>10.0</v>
      </c>
      <c r="AE278" s="105">
        <v>60.0</v>
      </c>
      <c r="AF278" s="105">
        <v>80.0</v>
      </c>
      <c r="AG278" s="105">
        <v>95.0</v>
      </c>
      <c r="AH278" s="105">
        <v>95.0</v>
      </c>
      <c r="AI278" s="105">
        <v>90.0</v>
      </c>
      <c r="AJ278" s="105">
        <v>95.0</v>
      </c>
      <c r="AK278" s="105">
        <v>80.0</v>
      </c>
      <c r="AL278" s="105">
        <v>90.0</v>
      </c>
      <c r="AM278" s="33">
        <v>100.0</v>
      </c>
      <c r="AN278" s="105">
        <v>100.0</v>
      </c>
      <c r="AO278" s="105">
        <v>100.0</v>
      </c>
      <c r="AP278" s="18" t="s">
        <v>2137</v>
      </c>
      <c r="AQ278" s="18" t="s">
        <v>2138</v>
      </c>
      <c r="AR278" s="121" t="s">
        <v>2099</v>
      </c>
      <c r="AS278" s="121" t="s">
        <v>2100</v>
      </c>
      <c r="AT278" s="121" t="s">
        <v>2078</v>
      </c>
      <c r="AU278" s="21" t="s">
        <v>2101</v>
      </c>
      <c r="AV278" s="22" t="s">
        <v>310</v>
      </c>
      <c r="AW278" s="94" t="s">
        <v>2139</v>
      </c>
      <c r="AX278" s="52"/>
      <c r="BB278" s="52"/>
    </row>
    <row r="279" hidden="1">
      <c r="A279" s="25" t="s">
        <v>2140</v>
      </c>
      <c r="B279" s="103" t="s">
        <v>2141</v>
      </c>
      <c r="C279" s="97" t="s">
        <v>941</v>
      </c>
      <c r="D279" s="97" t="s">
        <v>99</v>
      </c>
      <c r="E279" s="27" t="s">
        <v>100</v>
      </c>
      <c r="F279" s="29" t="s">
        <v>54</v>
      </c>
      <c r="G279" s="29">
        <v>495.0</v>
      </c>
      <c r="H279" s="36">
        <f t="shared" si="1"/>
        <v>470.25</v>
      </c>
      <c r="I279" s="97" t="s">
        <v>55</v>
      </c>
      <c r="J279" s="102" t="s">
        <v>102</v>
      </c>
      <c r="K279" s="120" t="s">
        <v>17</v>
      </c>
      <c r="L279" s="104" t="s">
        <v>2142</v>
      </c>
      <c r="M279" s="104" t="s">
        <v>2143</v>
      </c>
      <c r="N279" s="105">
        <v>0.0</v>
      </c>
      <c r="O279" s="105">
        <v>100.0</v>
      </c>
      <c r="P279" s="105">
        <v>100.0</v>
      </c>
      <c r="Q279" s="105">
        <v>90.0</v>
      </c>
      <c r="R279" s="105">
        <v>95.0</v>
      </c>
      <c r="S279" s="105">
        <v>20.0</v>
      </c>
      <c r="T279" s="105">
        <v>90.0</v>
      </c>
      <c r="U279" s="105">
        <v>55.0</v>
      </c>
      <c r="V279" s="105">
        <v>45.0</v>
      </c>
      <c r="W279" s="105">
        <v>20.0</v>
      </c>
      <c r="X279" s="105">
        <v>40.0</v>
      </c>
      <c r="Y279" s="105">
        <v>90.0</v>
      </c>
      <c r="Z279" s="105">
        <v>20.0</v>
      </c>
      <c r="AA279" s="105">
        <v>45.0</v>
      </c>
      <c r="AB279" s="105">
        <v>25.0</v>
      </c>
      <c r="AC279" s="105">
        <v>45.0</v>
      </c>
      <c r="AD279" s="105">
        <v>20.0</v>
      </c>
      <c r="AE279" s="105">
        <v>95.0</v>
      </c>
      <c r="AF279" s="105">
        <v>70.0</v>
      </c>
      <c r="AG279" s="105">
        <v>25.0</v>
      </c>
      <c r="AH279" s="105">
        <v>20.0</v>
      </c>
      <c r="AI279" s="105">
        <v>75.0</v>
      </c>
      <c r="AJ279" s="105">
        <v>60.0</v>
      </c>
      <c r="AK279" s="105">
        <v>90.0</v>
      </c>
      <c r="AL279" s="105">
        <v>70.0</v>
      </c>
      <c r="AM279" s="33">
        <v>-100.0</v>
      </c>
      <c r="AN279" s="105">
        <v>100.0</v>
      </c>
      <c r="AO279" s="105">
        <v>100.0</v>
      </c>
      <c r="AP279" s="18" t="s">
        <v>2144</v>
      </c>
      <c r="AQ279" s="18" t="s">
        <v>2145</v>
      </c>
      <c r="AR279" s="121" t="s">
        <v>2099</v>
      </c>
      <c r="AS279" s="121" t="s">
        <v>2100</v>
      </c>
      <c r="AT279" s="121" t="s">
        <v>2078</v>
      </c>
      <c r="AU279" s="21" t="s">
        <v>2101</v>
      </c>
      <c r="AV279" s="22" t="s">
        <v>2146</v>
      </c>
      <c r="AW279" s="94" t="s">
        <v>2147</v>
      </c>
      <c r="AX279" s="52"/>
      <c r="BB279" s="52"/>
    </row>
    <row r="280" hidden="1">
      <c r="A280" s="25" t="s">
        <v>2148</v>
      </c>
      <c r="B280" s="103" t="s">
        <v>2149</v>
      </c>
      <c r="C280" s="97" t="s">
        <v>2072</v>
      </c>
      <c r="D280" s="97" t="s">
        <v>99</v>
      </c>
      <c r="E280" s="27" t="s">
        <v>100</v>
      </c>
      <c r="F280" s="29" t="s">
        <v>322</v>
      </c>
      <c r="G280" s="29">
        <v>399.0</v>
      </c>
      <c r="H280" s="36">
        <f t="shared" si="1"/>
        <v>379.05</v>
      </c>
      <c r="I280" s="97" t="s">
        <v>55</v>
      </c>
      <c r="J280" s="102" t="s">
        <v>102</v>
      </c>
      <c r="K280" s="120" t="s">
        <v>17</v>
      </c>
      <c r="L280" s="104" t="s">
        <v>2150</v>
      </c>
      <c r="M280" s="104" t="s">
        <v>2129</v>
      </c>
      <c r="N280" s="105">
        <v>0.0</v>
      </c>
      <c r="O280" s="105">
        <v>100.0</v>
      </c>
      <c r="P280" s="105">
        <v>100.0</v>
      </c>
      <c r="Q280" s="105">
        <v>90.0</v>
      </c>
      <c r="R280" s="105">
        <v>95.0</v>
      </c>
      <c r="S280" s="105">
        <v>15.0</v>
      </c>
      <c r="T280" s="105">
        <v>90.0</v>
      </c>
      <c r="U280" s="105">
        <v>60.0</v>
      </c>
      <c r="V280" s="105">
        <v>45.0</v>
      </c>
      <c r="W280" s="105">
        <v>15.0</v>
      </c>
      <c r="X280" s="105">
        <v>35.0</v>
      </c>
      <c r="Y280" s="105">
        <v>90.0</v>
      </c>
      <c r="Z280" s="105">
        <v>20.0</v>
      </c>
      <c r="AA280" s="105">
        <v>40.0</v>
      </c>
      <c r="AB280" s="105">
        <v>20.0</v>
      </c>
      <c r="AC280" s="105">
        <v>50.0</v>
      </c>
      <c r="AD280" s="105">
        <v>25.0</v>
      </c>
      <c r="AE280" s="105">
        <v>95.0</v>
      </c>
      <c r="AF280" s="105">
        <v>65.0</v>
      </c>
      <c r="AG280" s="105">
        <v>20.0</v>
      </c>
      <c r="AH280" s="105">
        <v>15.0</v>
      </c>
      <c r="AI280" s="105">
        <v>70.0</v>
      </c>
      <c r="AJ280" s="105">
        <v>55.0</v>
      </c>
      <c r="AK280" s="105">
        <v>90.0</v>
      </c>
      <c r="AL280" s="105">
        <v>65.0</v>
      </c>
      <c r="AM280" s="33">
        <v>-100.0</v>
      </c>
      <c r="AN280" s="105">
        <v>100.0</v>
      </c>
      <c r="AO280" s="105">
        <v>100.0</v>
      </c>
      <c r="AP280" s="18" t="s">
        <v>2151</v>
      </c>
      <c r="AQ280" s="18" t="s">
        <v>2152</v>
      </c>
      <c r="AR280" s="121" t="s">
        <v>2099</v>
      </c>
      <c r="AS280" s="121" t="s">
        <v>2100</v>
      </c>
      <c r="AT280" s="121" t="s">
        <v>2078</v>
      </c>
      <c r="AU280" s="21" t="s">
        <v>2101</v>
      </c>
      <c r="AV280" s="22" t="s">
        <v>583</v>
      </c>
      <c r="AW280" s="94" t="s">
        <v>2153</v>
      </c>
      <c r="AX280" s="52"/>
      <c r="BB280" s="52"/>
    </row>
    <row r="281" hidden="1">
      <c r="A281" s="25" t="s">
        <v>2154</v>
      </c>
      <c r="B281" s="103" t="s">
        <v>2155</v>
      </c>
      <c r="C281" s="97" t="s">
        <v>2156</v>
      </c>
      <c r="D281" s="97" t="s">
        <v>52</v>
      </c>
      <c r="E281" s="97" t="s">
        <v>53</v>
      </c>
      <c r="F281" s="29" t="s">
        <v>322</v>
      </c>
      <c r="G281" s="29">
        <v>799.0</v>
      </c>
      <c r="H281" s="36">
        <f t="shared" si="1"/>
        <v>759.05</v>
      </c>
      <c r="I281" s="97" t="s">
        <v>2157</v>
      </c>
      <c r="J281" s="102" t="s">
        <v>587</v>
      </c>
      <c r="K281" s="110" t="s">
        <v>243</v>
      </c>
      <c r="L281" s="104" t="s">
        <v>2158</v>
      </c>
      <c r="M281" s="104" t="s">
        <v>2159</v>
      </c>
      <c r="N281" s="105">
        <v>100.0</v>
      </c>
      <c r="O281" s="105">
        <v>100.0</v>
      </c>
      <c r="P281" s="105">
        <v>100.0</v>
      </c>
      <c r="Q281" s="105">
        <v>30.0</v>
      </c>
      <c r="R281" s="105">
        <v>20.0</v>
      </c>
      <c r="S281" s="105">
        <v>90.0</v>
      </c>
      <c r="T281" s="105">
        <v>20.0</v>
      </c>
      <c r="U281" s="105">
        <v>10.0</v>
      </c>
      <c r="V281" s="105">
        <v>10.0</v>
      </c>
      <c r="W281" s="105">
        <v>10.0</v>
      </c>
      <c r="X281" s="105">
        <v>95.0</v>
      </c>
      <c r="Y281" s="105">
        <v>20.0</v>
      </c>
      <c r="Z281" s="105">
        <v>25.0</v>
      </c>
      <c r="AA281" s="105">
        <v>90.0</v>
      </c>
      <c r="AB281" s="105">
        <v>95.0</v>
      </c>
      <c r="AC281" s="105">
        <v>40.0</v>
      </c>
      <c r="AD281" s="105">
        <v>10.0</v>
      </c>
      <c r="AE281" s="105">
        <v>60.0</v>
      </c>
      <c r="AF281" s="105">
        <v>80.0</v>
      </c>
      <c r="AG281" s="105">
        <v>98.0</v>
      </c>
      <c r="AH281" s="105">
        <v>98.0</v>
      </c>
      <c r="AI281" s="105">
        <v>95.0</v>
      </c>
      <c r="AJ281" s="105">
        <v>98.0</v>
      </c>
      <c r="AK281" s="105">
        <v>80.0</v>
      </c>
      <c r="AL281" s="105">
        <v>90.0</v>
      </c>
      <c r="AM281" s="33">
        <v>100.0</v>
      </c>
      <c r="AN281" s="105">
        <v>100.0</v>
      </c>
      <c r="AO281" s="105">
        <v>100.0</v>
      </c>
      <c r="AP281" s="18" t="s">
        <v>2160</v>
      </c>
      <c r="AQ281" s="18" t="s">
        <v>2161</v>
      </c>
      <c r="AR281" s="121" t="s">
        <v>2099</v>
      </c>
      <c r="AS281" s="121" t="s">
        <v>2100</v>
      </c>
      <c r="AT281" s="121" t="s">
        <v>2078</v>
      </c>
      <c r="AU281" s="21" t="s">
        <v>2101</v>
      </c>
      <c r="AV281" s="22" t="s">
        <v>65</v>
      </c>
      <c r="AW281" s="94" t="s">
        <v>2162</v>
      </c>
      <c r="AX281" s="52"/>
      <c r="BB281" s="52"/>
    </row>
    <row r="282" hidden="1">
      <c r="A282" s="25" t="s">
        <v>2163</v>
      </c>
      <c r="B282" s="103" t="s">
        <v>2164</v>
      </c>
      <c r="C282" s="97" t="s">
        <v>2165</v>
      </c>
      <c r="D282" s="97" t="s">
        <v>52</v>
      </c>
      <c r="E282" s="97" t="s">
        <v>53</v>
      </c>
      <c r="F282" s="29" t="s">
        <v>322</v>
      </c>
      <c r="G282" s="29">
        <v>799.0</v>
      </c>
      <c r="H282" s="36">
        <f t="shared" si="1"/>
        <v>759.05</v>
      </c>
      <c r="I282" s="97" t="s">
        <v>2157</v>
      </c>
      <c r="J282" s="102" t="s">
        <v>266</v>
      </c>
      <c r="K282" s="110" t="s">
        <v>243</v>
      </c>
      <c r="L282" s="104" t="s">
        <v>154</v>
      </c>
      <c r="M282" s="104" t="s">
        <v>2166</v>
      </c>
      <c r="N282" s="105">
        <v>100.0</v>
      </c>
      <c r="O282" s="105">
        <v>100.0</v>
      </c>
      <c r="P282" s="105">
        <v>100.0</v>
      </c>
      <c r="Q282" s="105">
        <v>40.0</v>
      </c>
      <c r="R282" s="105">
        <v>20.0</v>
      </c>
      <c r="S282" s="105">
        <v>90.0</v>
      </c>
      <c r="T282" s="105">
        <v>25.0</v>
      </c>
      <c r="U282" s="105">
        <v>30.0</v>
      </c>
      <c r="V282" s="105">
        <v>20.0</v>
      </c>
      <c r="W282" s="105">
        <v>10.0</v>
      </c>
      <c r="X282" s="105">
        <v>90.0</v>
      </c>
      <c r="Y282" s="105">
        <v>25.0</v>
      </c>
      <c r="Z282" s="105">
        <v>30.0</v>
      </c>
      <c r="AA282" s="105">
        <v>95.0</v>
      </c>
      <c r="AB282" s="105">
        <v>90.0</v>
      </c>
      <c r="AC282" s="105">
        <v>50.0</v>
      </c>
      <c r="AD282" s="105">
        <v>10.0</v>
      </c>
      <c r="AE282" s="105">
        <v>70.0</v>
      </c>
      <c r="AF282" s="105">
        <v>90.0</v>
      </c>
      <c r="AG282" s="105">
        <v>95.0</v>
      </c>
      <c r="AH282" s="105">
        <v>98.0</v>
      </c>
      <c r="AI282" s="105">
        <v>95.0</v>
      </c>
      <c r="AJ282" s="105">
        <v>98.0</v>
      </c>
      <c r="AK282" s="105">
        <v>90.0</v>
      </c>
      <c r="AL282" s="105">
        <v>95.0</v>
      </c>
      <c r="AM282" s="33">
        <v>100.0</v>
      </c>
      <c r="AN282" s="105">
        <v>100.0</v>
      </c>
      <c r="AO282" s="105">
        <v>100.0</v>
      </c>
      <c r="AP282" s="18" t="s">
        <v>2167</v>
      </c>
      <c r="AQ282" s="18" t="s">
        <v>2168</v>
      </c>
      <c r="AR282" s="121" t="s">
        <v>2099</v>
      </c>
      <c r="AS282" s="121" t="s">
        <v>2100</v>
      </c>
      <c r="AT282" s="121" t="s">
        <v>2078</v>
      </c>
      <c r="AU282" s="21" t="s">
        <v>2101</v>
      </c>
      <c r="AV282" s="22" t="s">
        <v>667</v>
      </c>
      <c r="AW282" s="94" t="s">
        <v>2169</v>
      </c>
      <c r="AX282" s="52"/>
      <c r="BB282" s="52"/>
    </row>
    <row r="283">
      <c r="A283" s="25" t="s">
        <v>2170</v>
      </c>
      <c r="B283" s="103" t="s">
        <v>2171</v>
      </c>
      <c r="C283" s="97" t="s">
        <v>2165</v>
      </c>
      <c r="D283" s="97" t="s">
        <v>52</v>
      </c>
      <c r="E283" s="97" t="s">
        <v>53</v>
      </c>
      <c r="F283" s="29" t="s">
        <v>322</v>
      </c>
      <c r="G283" s="29">
        <v>1150.0</v>
      </c>
      <c r="H283" s="36">
        <f t="shared" si="1"/>
        <v>1092.5</v>
      </c>
      <c r="I283" s="97" t="s">
        <v>2157</v>
      </c>
      <c r="J283" s="102" t="s">
        <v>587</v>
      </c>
      <c r="K283" s="110" t="s">
        <v>243</v>
      </c>
      <c r="L283" s="104" t="s">
        <v>154</v>
      </c>
      <c r="M283" s="104" t="s">
        <v>1571</v>
      </c>
      <c r="N283" s="105">
        <v>100.0</v>
      </c>
      <c r="O283" s="105">
        <v>100.0</v>
      </c>
      <c r="P283" s="105">
        <v>100.0</v>
      </c>
      <c r="Q283" s="105">
        <v>40.0</v>
      </c>
      <c r="R283" s="105">
        <v>20.0</v>
      </c>
      <c r="S283" s="105">
        <v>90.0</v>
      </c>
      <c r="T283" s="105">
        <v>25.0</v>
      </c>
      <c r="U283" s="105">
        <v>30.0</v>
      </c>
      <c r="V283" s="105">
        <v>20.0</v>
      </c>
      <c r="W283" s="105">
        <v>10.0</v>
      </c>
      <c r="X283" s="105">
        <v>90.0</v>
      </c>
      <c r="Y283" s="105">
        <v>25.0</v>
      </c>
      <c r="Z283" s="105">
        <v>30.0</v>
      </c>
      <c r="AA283" s="105">
        <v>95.0</v>
      </c>
      <c r="AB283" s="105">
        <v>90.0</v>
      </c>
      <c r="AC283" s="105">
        <v>50.0</v>
      </c>
      <c r="AD283" s="105">
        <v>10.0</v>
      </c>
      <c r="AE283" s="105">
        <v>65.0</v>
      </c>
      <c r="AF283" s="105">
        <v>70.0</v>
      </c>
      <c r="AG283" s="105">
        <v>95.0</v>
      </c>
      <c r="AH283" s="105">
        <v>98.0</v>
      </c>
      <c r="AI283" s="105">
        <v>95.0</v>
      </c>
      <c r="AJ283" s="105">
        <v>98.0</v>
      </c>
      <c r="AK283" s="105">
        <v>80.0</v>
      </c>
      <c r="AL283" s="105">
        <v>90.0</v>
      </c>
      <c r="AM283" s="33">
        <v>100.0</v>
      </c>
      <c r="AN283" s="105">
        <v>100.0</v>
      </c>
      <c r="AO283" s="105">
        <v>100.0</v>
      </c>
      <c r="AP283" s="18" t="s">
        <v>2172</v>
      </c>
      <c r="AQ283" s="18" t="s">
        <v>2173</v>
      </c>
      <c r="AR283" s="121" t="s">
        <v>2099</v>
      </c>
      <c r="AS283" s="121" t="s">
        <v>2100</v>
      </c>
      <c r="AT283" s="121" t="s">
        <v>2078</v>
      </c>
      <c r="AU283" s="21" t="s">
        <v>2101</v>
      </c>
      <c r="AV283" s="22" t="s">
        <v>158</v>
      </c>
      <c r="AW283" s="94" t="s">
        <v>2174</v>
      </c>
      <c r="AX283" s="52"/>
      <c r="BB283" s="52"/>
    </row>
    <row r="284" hidden="1">
      <c r="A284" s="25" t="s">
        <v>2175</v>
      </c>
      <c r="B284" s="103" t="s">
        <v>2176</v>
      </c>
      <c r="C284" s="97" t="s">
        <v>2177</v>
      </c>
      <c r="D284" s="97" t="s">
        <v>52</v>
      </c>
      <c r="E284" s="97" t="s">
        <v>53</v>
      </c>
      <c r="F284" s="29" t="s">
        <v>126</v>
      </c>
      <c r="G284" s="29">
        <v>850.0</v>
      </c>
      <c r="H284" s="36">
        <f t="shared" si="1"/>
        <v>807.5</v>
      </c>
      <c r="I284" s="97" t="s">
        <v>1199</v>
      </c>
      <c r="J284" s="102" t="s">
        <v>71</v>
      </c>
      <c r="K284" s="110" t="s">
        <v>24</v>
      </c>
      <c r="L284" s="104" t="s">
        <v>2178</v>
      </c>
      <c r="M284" s="104" t="s">
        <v>2179</v>
      </c>
      <c r="N284" s="105">
        <v>100.0</v>
      </c>
      <c r="O284" s="105">
        <v>100.0</v>
      </c>
      <c r="P284" s="105">
        <v>100.0</v>
      </c>
      <c r="Q284" s="105">
        <v>82.0</v>
      </c>
      <c r="R284" s="105">
        <v>20.0</v>
      </c>
      <c r="S284" s="105">
        <v>28.0</v>
      </c>
      <c r="T284" s="105">
        <v>52.0</v>
      </c>
      <c r="U284" s="105">
        <v>18.0</v>
      </c>
      <c r="V284" s="105">
        <v>12.0</v>
      </c>
      <c r="W284" s="105">
        <v>6.0</v>
      </c>
      <c r="X284" s="105">
        <v>30.0</v>
      </c>
      <c r="Y284" s="105">
        <v>90.0</v>
      </c>
      <c r="Z284" s="105">
        <v>8.0</v>
      </c>
      <c r="AA284" s="105">
        <v>34.0</v>
      </c>
      <c r="AB284" s="105">
        <v>24.0</v>
      </c>
      <c r="AC284" s="105">
        <v>16.0</v>
      </c>
      <c r="AD284" s="105">
        <v>4.0</v>
      </c>
      <c r="AE284" s="105">
        <v>90.0</v>
      </c>
      <c r="AF284" s="105">
        <v>74.0</v>
      </c>
      <c r="AG284" s="105">
        <v>26.0</v>
      </c>
      <c r="AH284" s="105">
        <v>16.0</v>
      </c>
      <c r="AI284" s="105">
        <v>84.0</v>
      </c>
      <c r="AJ284" s="105">
        <v>68.0</v>
      </c>
      <c r="AK284" s="105">
        <v>92.0</v>
      </c>
      <c r="AL284" s="105">
        <v>76.0</v>
      </c>
      <c r="AM284" s="33">
        <v>-100.0</v>
      </c>
      <c r="AN284" s="105">
        <v>100.0</v>
      </c>
      <c r="AO284" s="105">
        <v>100.0</v>
      </c>
      <c r="AP284" s="18" t="s">
        <v>2180</v>
      </c>
      <c r="AQ284" s="18" t="s">
        <v>2181</v>
      </c>
      <c r="AR284" s="121" t="s">
        <v>2099</v>
      </c>
      <c r="AS284" s="121" t="s">
        <v>2100</v>
      </c>
      <c r="AT284" s="121" t="s">
        <v>2078</v>
      </c>
      <c r="AU284" s="21" t="s">
        <v>2101</v>
      </c>
      <c r="AV284" s="22" t="s">
        <v>1219</v>
      </c>
      <c r="AW284" s="94" t="s">
        <v>2182</v>
      </c>
      <c r="AX284" s="52"/>
      <c r="AY284" s="55"/>
      <c r="AZ284" s="55"/>
      <c r="BB284" s="52"/>
    </row>
    <row r="285" hidden="1">
      <c r="A285" s="25" t="s">
        <v>2183</v>
      </c>
      <c r="B285" s="103" t="s">
        <v>2184</v>
      </c>
      <c r="C285" s="97" t="s">
        <v>2177</v>
      </c>
      <c r="D285" s="97" t="s">
        <v>52</v>
      </c>
      <c r="E285" s="97" t="s">
        <v>53</v>
      </c>
      <c r="F285" s="29" t="s">
        <v>126</v>
      </c>
      <c r="G285" s="29">
        <v>850.0</v>
      </c>
      <c r="H285" s="36">
        <f t="shared" si="1"/>
        <v>807.5</v>
      </c>
      <c r="I285" s="97" t="s">
        <v>1199</v>
      </c>
      <c r="J285" s="102" t="s">
        <v>102</v>
      </c>
      <c r="K285" s="110" t="s">
        <v>162</v>
      </c>
      <c r="L285" s="104" t="s">
        <v>2185</v>
      </c>
      <c r="M285" s="104" t="s">
        <v>2186</v>
      </c>
      <c r="N285" s="105">
        <v>0.0</v>
      </c>
      <c r="O285" s="105">
        <v>100.0</v>
      </c>
      <c r="P285" s="105">
        <v>100.0</v>
      </c>
      <c r="Q285" s="105">
        <v>90.0</v>
      </c>
      <c r="R285" s="105">
        <v>70.0</v>
      </c>
      <c r="S285" s="105">
        <v>20.0</v>
      </c>
      <c r="T285" s="105">
        <v>90.0</v>
      </c>
      <c r="U285" s="105">
        <v>35.0</v>
      </c>
      <c r="V285" s="105">
        <v>20.0</v>
      </c>
      <c r="W285" s="105">
        <v>10.0</v>
      </c>
      <c r="X285" s="105">
        <v>35.0</v>
      </c>
      <c r="Y285" s="105">
        <v>90.0</v>
      </c>
      <c r="Z285" s="105">
        <v>20.0</v>
      </c>
      <c r="AA285" s="105">
        <v>40.0</v>
      </c>
      <c r="AB285" s="105">
        <v>25.0</v>
      </c>
      <c r="AC285" s="105">
        <v>45.0</v>
      </c>
      <c r="AD285" s="105">
        <v>15.0</v>
      </c>
      <c r="AE285" s="105">
        <v>95.0</v>
      </c>
      <c r="AF285" s="105">
        <v>65.0</v>
      </c>
      <c r="AG285" s="105">
        <v>25.0</v>
      </c>
      <c r="AH285" s="105">
        <v>20.0</v>
      </c>
      <c r="AI285" s="105">
        <v>75.0</v>
      </c>
      <c r="AJ285" s="105">
        <v>60.0</v>
      </c>
      <c r="AK285" s="105">
        <v>95.0</v>
      </c>
      <c r="AL285" s="105">
        <v>65.0</v>
      </c>
      <c r="AM285" s="33">
        <v>-100.0</v>
      </c>
      <c r="AN285" s="105">
        <v>100.0</v>
      </c>
      <c r="AO285" s="105">
        <v>100.0</v>
      </c>
      <c r="AP285" s="18" t="s">
        <v>2187</v>
      </c>
      <c r="AQ285" s="18" t="s">
        <v>2188</v>
      </c>
      <c r="AR285" s="121" t="s">
        <v>2099</v>
      </c>
      <c r="AS285" s="121" t="s">
        <v>2100</v>
      </c>
      <c r="AT285" s="121" t="s">
        <v>2078</v>
      </c>
      <c r="AU285" s="21" t="s">
        <v>2101</v>
      </c>
      <c r="AV285" s="22" t="s">
        <v>1219</v>
      </c>
      <c r="AW285" s="94" t="s">
        <v>2189</v>
      </c>
      <c r="BB285" s="52"/>
    </row>
    <row r="286" hidden="1">
      <c r="A286" s="25" t="s">
        <v>2190</v>
      </c>
      <c r="B286" s="103" t="s">
        <v>2191</v>
      </c>
      <c r="C286" s="97" t="s">
        <v>51</v>
      </c>
      <c r="D286" s="97" t="s">
        <v>52</v>
      </c>
      <c r="E286" s="97" t="s">
        <v>53</v>
      </c>
      <c r="F286" s="29" t="s">
        <v>54</v>
      </c>
      <c r="G286" s="29">
        <v>299.0</v>
      </c>
      <c r="H286" s="36">
        <f t="shared" si="1"/>
        <v>284.05</v>
      </c>
      <c r="I286" s="97" t="s">
        <v>55</v>
      </c>
      <c r="J286" s="102" t="s">
        <v>71</v>
      </c>
      <c r="K286" s="110" t="s">
        <v>162</v>
      </c>
      <c r="L286" s="104" t="s">
        <v>2142</v>
      </c>
      <c r="M286" s="104" t="s">
        <v>2192</v>
      </c>
      <c r="N286" s="105">
        <v>0.0</v>
      </c>
      <c r="O286" s="105">
        <v>100.0</v>
      </c>
      <c r="P286" s="105">
        <v>100.0</v>
      </c>
      <c r="Q286" s="105">
        <v>90.0</v>
      </c>
      <c r="R286" s="105">
        <v>65.0</v>
      </c>
      <c r="S286" s="105">
        <v>35.0</v>
      </c>
      <c r="T286" s="105">
        <v>90.0</v>
      </c>
      <c r="U286" s="105">
        <v>40.0</v>
      </c>
      <c r="V286" s="105">
        <v>20.0</v>
      </c>
      <c r="W286" s="105">
        <v>10.0</v>
      </c>
      <c r="X286" s="105">
        <v>50.0</v>
      </c>
      <c r="Y286" s="105">
        <v>92.0</v>
      </c>
      <c r="Z286" s="105">
        <v>20.0</v>
      </c>
      <c r="AA286" s="105">
        <v>55.0</v>
      </c>
      <c r="AB286" s="105">
        <v>40.0</v>
      </c>
      <c r="AC286" s="105">
        <v>50.0</v>
      </c>
      <c r="AD286" s="105">
        <v>15.0</v>
      </c>
      <c r="AE286" s="105">
        <v>95.0</v>
      </c>
      <c r="AF286" s="105">
        <v>80.0</v>
      </c>
      <c r="AG286" s="105">
        <v>40.0</v>
      </c>
      <c r="AH286" s="105">
        <v>35.0</v>
      </c>
      <c r="AI286" s="105">
        <v>90.0</v>
      </c>
      <c r="AJ286" s="105">
        <v>75.0</v>
      </c>
      <c r="AK286" s="105">
        <v>95.0</v>
      </c>
      <c r="AL286" s="105">
        <v>80.0</v>
      </c>
      <c r="AM286" s="33">
        <v>-100.0</v>
      </c>
      <c r="AN286" s="105">
        <v>100.0</v>
      </c>
      <c r="AO286" s="105">
        <v>100.0</v>
      </c>
      <c r="AP286" s="18" t="s">
        <v>2193</v>
      </c>
      <c r="AQ286" s="18" t="s">
        <v>2194</v>
      </c>
      <c r="AR286" s="121" t="s">
        <v>2099</v>
      </c>
      <c r="AS286" s="121" t="s">
        <v>2100</v>
      </c>
      <c r="AT286" s="121" t="s">
        <v>2078</v>
      </c>
      <c r="AU286" s="21" t="s">
        <v>2101</v>
      </c>
      <c r="AV286" s="22" t="s">
        <v>2195</v>
      </c>
      <c r="AW286" s="94" t="s">
        <v>2196</v>
      </c>
      <c r="BB286" s="52"/>
    </row>
    <row r="287" hidden="1">
      <c r="A287" s="25" t="s">
        <v>2197</v>
      </c>
      <c r="B287" s="103" t="s">
        <v>2198</v>
      </c>
      <c r="C287" s="97" t="s">
        <v>151</v>
      </c>
      <c r="D287" s="97" t="s">
        <v>52</v>
      </c>
      <c r="E287" s="97" t="s">
        <v>53</v>
      </c>
      <c r="F287" s="29" t="s">
        <v>54</v>
      </c>
      <c r="G287" s="29">
        <v>254.0</v>
      </c>
      <c r="H287" s="36">
        <f t="shared" si="1"/>
        <v>241.3</v>
      </c>
      <c r="I287" s="97" t="s">
        <v>55</v>
      </c>
      <c r="J287" s="102" t="s">
        <v>253</v>
      </c>
      <c r="K287" s="110" t="s">
        <v>162</v>
      </c>
      <c r="L287" s="104" t="s">
        <v>2142</v>
      </c>
      <c r="M287" s="104" t="s">
        <v>2199</v>
      </c>
      <c r="N287" s="105">
        <v>0.0</v>
      </c>
      <c r="O287" s="105">
        <v>100.0</v>
      </c>
      <c r="P287" s="105">
        <v>100.0</v>
      </c>
      <c r="Q287" s="105">
        <v>90.0</v>
      </c>
      <c r="R287" s="105">
        <v>65.0</v>
      </c>
      <c r="S287" s="105">
        <v>40.0</v>
      </c>
      <c r="T287" s="105">
        <v>90.0</v>
      </c>
      <c r="U287" s="105">
        <v>40.0</v>
      </c>
      <c r="V287" s="105">
        <v>20.0</v>
      </c>
      <c r="W287" s="105">
        <v>10.0</v>
      </c>
      <c r="X287" s="105">
        <v>60.0</v>
      </c>
      <c r="Y287" s="105">
        <v>90.0</v>
      </c>
      <c r="Z287" s="105">
        <v>20.0</v>
      </c>
      <c r="AA287" s="105">
        <v>65.0</v>
      </c>
      <c r="AB287" s="105">
        <v>50.0</v>
      </c>
      <c r="AC287" s="105">
        <v>50.0</v>
      </c>
      <c r="AD287" s="105">
        <v>15.0</v>
      </c>
      <c r="AE287" s="105">
        <v>95.0</v>
      </c>
      <c r="AF287" s="105">
        <v>90.0</v>
      </c>
      <c r="AG287" s="105">
        <v>45.0</v>
      </c>
      <c r="AH287" s="105">
        <v>40.0</v>
      </c>
      <c r="AI287" s="105">
        <v>90.0</v>
      </c>
      <c r="AJ287" s="105">
        <v>80.0</v>
      </c>
      <c r="AK287" s="105">
        <v>95.0</v>
      </c>
      <c r="AL287" s="105">
        <v>90.0</v>
      </c>
      <c r="AM287" s="33">
        <v>-100.0</v>
      </c>
      <c r="AN287" s="105">
        <v>100.0</v>
      </c>
      <c r="AO287" s="105">
        <v>100.0</v>
      </c>
      <c r="AP287" s="18" t="s">
        <v>2200</v>
      </c>
      <c r="AQ287" s="18" t="s">
        <v>2201</v>
      </c>
      <c r="AR287" s="121" t="s">
        <v>2099</v>
      </c>
      <c r="AS287" s="121" t="s">
        <v>2100</v>
      </c>
      <c r="AT287" s="121" t="s">
        <v>2078</v>
      </c>
      <c r="AU287" s="21" t="s">
        <v>2101</v>
      </c>
      <c r="AV287" s="22" t="s">
        <v>2202</v>
      </c>
      <c r="AW287" s="94" t="s">
        <v>2203</v>
      </c>
      <c r="AX287" s="55"/>
      <c r="AY287" s="55"/>
      <c r="AZ287" s="55"/>
      <c r="BB287" s="52"/>
    </row>
    <row r="288" hidden="1">
      <c r="A288" s="25" t="s">
        <v>2204</v>
      </c>
      <c r="B288" s="103" t="s">
        <v>2205</v>
      </c>
      <c r="C288" s="97" t="s">
        <v>2206</v>
      </c>
      <c r="D288" s="97" t="s">
        <v>52</v>
      </c>
      <c r="E288" s="97" t="s">
        <v>53</v>
      </c>
      <c r="F288" s="29" t="s">
        <v>54</v>
      </c>
      <c r="G288" s="29">
        <v>224.0</v>
      </c>
      <c r="H288" s="36">
        <f t="shared" si="1"/>
        <v>212.8</v>
      </c>
      <c r="I288" s="97" t="s">
        <v>55</v>
      </c>
      <c r="J288" s="102" t="s">
        <v>358</v>
      </c>
      <c r="K288" s="110" t="s">
        <v>162</v>
      </c>
      <c r="L288" s="104" t="s">
        <v>2142</v>
      </c>
      <c r="M288" s="104" t="s">
        <v>2207</v>
      </c>
      <c r="N288" s="105">
        <v>0.0</v>
      </c>
      <c r="O288" s="105">
        <v>100.0</v>
      </c>
      <c r="P288" s="105">
        <v>100.0</v>
      </c>
      <c r="Q288" s="105">
        <v>90.0</v>
      </c>
      <c r="R288" s="105">
        <v>60.0</v>
      </c>
      <c r="S288" s="105">
        <v>55.0</v>
      </c>
      <c r="T288" s="105">
        <v>90.0</v>
      </c>
      <c r="U288" s="105">
        <v>50.0</v>
      </c>
      <c r="V288" s="105">
        <v>30.0</v>
      </c>
      <c r="W288" s="105">
        <v>15.0</v>
      </c>
      <c r="X288" s="105">
        <v>75.0</v>
      </c>
      <c r="Y288" s="105">
        <v>90.0</v>
      </c>
      <c r="Z288" s="105">
        <v>25.0</v>
      </c>
      <c r="AA288" s="105">
        <v>80.0</v>
      </c>
      <c r="AB288" s="105">
        <v>70.0</v>
      </c>
      <c r="AC288" s="105">
        <v>60.0</v>
      </c>
      <c r="AD288" s="105">
        <v>20.0</v>
      </c>
      <c r="AE288" s="105">
        <v>95.0</v>
      </c>
      <c r="AF288" s="105">
        <v>90.0</v>
      </c>
      <c r="AG288" s="105">
        <v>60.0</v>
      </c>
      <c r="AH288" s="105">
        <v>55.0</v>
      </c>
      <c r="AI288" s="105">
        <v>90.0</v>
      </c>
      <c r="AJ288" s="105">
        <v>90.0</v>
      </c>
      <c r="AK288" s="105">
        <v>95.0</v>
      </c>
      <c r="AL288" s="105">
        <v>90.0</v>
      </c>
      <c r="AM288" s="33">
        <v>-100.0</v>
      </c>
      <c r="AN288" s="105">
        <v>100.0</v>
      </c>
      <c r="AO288" s="105">
        <v>100.0</v>
      </c>
      <c r="AP288" s="18" t="s">
        <v>2208</v>
      </c>
      <c r="AQ288" s="18" t="s">
        <v>2209</v>
      </c>
      <c r="AR288" s="121" t="s">
        <v>2099</v>
      </c>
      <c r="AS288" s="121" t="s">
        <v>2100</v>
      </c>
      <c r="AT288" s="121" t="s">
        <v>2078</v>
      </c>
      <c r="AU288" s="21" t="s">
        <v>2101</v>
      </c>
      <c r="AV288" s="22" t="s">
        <v>2210</v>
      </c>
      <c r="AW288" s="94" t="s">
        <v>2211</v>
      </c>
      <c r="BB288" s="52"/>
    </row>
    <row r="289" hidden="1">
      <c r="A289" s="25" t="s">
        <v>2212</v>
      </c>
      <c r="B289" s="103" t="s">
        <v>2213</v>
      </c>
      <c r="C289" s="97" t="s">
        <v>1849</v>
      </c>
      <c r="D289" s="97" t="s">
        <v>52</v>
      </c>
      <c r="E289" s="97" t="s">
        <v>53</v>
      </c>
      <c r="F289" s="29" t="s">
        <v>126</v>
      </c>
      <c r="G289" s="29">
        <v>315.0</v>
      </c>
      <c r="H289" s="36">
        <f t="shared" si="1"/>
        <v>299.25</v>
      </c>
      <c r="I289" s="97" t="s">
        <v>1850</v>
      </c>
      <c r="J289" s="102" t="s">
        <v>266</v>
      </c>
      <c r="K289" s="110" t="s">
        <v>408</v>
      </c>
      <c r="L289" s="104" t="s">
        <v>2214</v>
      </c>
      <c r="M289" s="104" t="s">
        <v>2215</v>
      </c>
      <c r="N289" s="105">
        <v>100.0</v>
      </c>
      <c r="O289" s="105">
        <v>100.0</v>
      </c>
      <c r="P289" s="105">
        <v>100.0</v>
      </c>
      <c r="Q289" s="105">
        <v>40.0</v>
      </c>
      <c r="R289" s="105">
        <v>20.0</v>
      </c>
      <c r="S289" s="105">
        <v>75.0</v>
      </c>
      <c r="T289" s="105">
        <v>40.0</v>
      </c>
      <c r="U289" s="105">
        <v>20.0</v>
      </c>
      <c r="V289" s="105">
        <v>10.0</v>
      </c>
      <c r="W289" s="105">
        <v>10.0</v>
      </c>
      <c r="X289" s="105">
        <v>80.0</v>
      </c>
      <c r="Y289" s="105">
        <v>35.0</v>
      </c>
      <c r="Z289" s="105">
        <v>30.0</v>
      </c>
      <c r="AA289" s="105">
        <v>90.0</v>
      </c>
      <c r="AB289" s="105">
        <v>90.0</v>
      </c>
      <c r="AC289" s="105">
        <v>60.0</v>
      </c>
      <c r="AD289" s="105">
        <v>10.0</v>
      </c>
      <c r="AE289" s="105">
        <v>75.0</v>
      </c>
      <c r="AF289" s="105">
        <v>90.0</v>
      </c>
      <c r="AG289" s="105">
        <v>90.0</v>
      </c>
      <c r="AH289" s="105">
        <v>90.0</v>
      </c>
      <c r="AI289" s="105">
        <v>90.0</v>
      </c>
      <c r="AJ289" s="105">
        <v>95.0</v>
      </c>
      <c r="AK289" s="105">
        <v>90.0</v>
      </c>
      <c r="AL289" s="105">
        <v>90.0</v>
      </c>
      <c r="AM289" s="33">
        <v>0.0</v>
      </c>
      <c r="AN289" s="105">
        <v>100.0</v>
      </c>
      <c r="AO289" s="105">
        <v>100.0</v>
      </c>
      <c r="AP289" s="18" t="s">
        <v>2216</v>
      </c>
      <c r="AQ289" s="18" t="s">
        <v>2217</v>
      </c>
      <c r="AR289" s="121" t="s">
        <v>2099</v>
      </c>
      <c r="AS289" s="121" t="s">
        <v>2100</v>
      </c>
      <c r="AT289" s="121" t="s">
        <v>2078</v>
      </c>
      <c r="AU289" s="21" t="s">
        <v>2101</v>
      </c>
      <c r="AV289" s="22" t="s">
        <v>65</v>
      </c>
      <c r="AW289" s="94" t="s">
        <v>2218</v>
      </c>
      <c r="BA289" s="52"/>
      <c r="BB289" s="52"/>
    </row>
    <row r="290" hidden="1">
      <c r="A290" s="25" t="s">
        <v>2219</v>
      </c>
      <c r="B290" s="103" t="s">
        <v>2220</v>
      </c>
      <c r="C290" s="97" t="s">
        <v>151</v>
      </c>
      <c r="D290" s="97" t="s">
        <v>52</v>
      </c>
      <c r="E290" s="97" t="s">
        <v>53</v>
      </c>
      <c r="F290" s="29" t="s">
        <v>54</v>
      </c>
      <c r="G290" s="29">
        <v>230.0</v>
      </c>
      <c r="H290" s="36">
        <f t="shared" si="1"/>
        <v>218.5</v>
      </c>
      <c r="I290" s="97" t="s">
        <v>55</v>
      </c>
      <c r="J290" s="102" t="s">
        <v>102</v>
      </c>
      <c r="K290" s="110" t="s">
        <v>162</v>
      </c>
      <c r="L290" s="104" t="s">
        <v>2128</v>
      </c>
      <c r="M290" s="104" t="s">
        <v>2221</v>
      </c>
      <c r="N290" s="105">
        <v>-100.0</v>
      </c>
      <c r="O290" s="105">
        <v>100.0</v>
      </c>
      <c r="P290" s="105">
        <v>100.0</v>
      </c>
      <c r="Q290" s="105">
        <v>92.0</v>
      </c>
      <c r="R290" s="105">
        <v>30.0</v>
      </c>
      <c r="S290" s="105">
        <v>18.0</v>
      </c>
      <c r="T290" s="105">
        <v>90.0</v>
      </c>
      <c r="U290" s="105">
        <v>20.0</v>
      </c>
      <c r="V290" s="105">
        <v>12.0</v>
      </c>
      <c r="W290" s="105">
        <v>6.0</v>
      </c>
      <c r="X290" s="105">
        <v>18.0</v>
      </c>
      <c r="Y290" s="105">
        <v>92.0</v>
      </c>
      <c r="Z290" s="105">
        <v>6.0</v>
      </c>
      <c r="AA290" s="105">
        <v>20.0</v>
      </c>
      <c r="AB290" s="105">
        <v>16.0</v>
      </c>
      <c r="AC290" s="105">
        <v>12.0</v>
      </c>
      <c r="AD290" s="105">
        <v>4.0</v>
      </c>
      <c r="AE290" s="105">
        <v>94.0</v>
      </c>
      <c r="AF290" s="105">
        <v>68.0</v>
      </c>
      <c r="AG290" s="105">
        <v>14.0</v>
      </c>
      <c r="AH290" s="105">
        <v>4.0</v>
      </c>
      <c r="AI290" s="105">
        <v>82.0</v>
      </c>
      <c r="AJ290" s="105">
        <v>58.0</v>
      </c>
      <c r="AK290" s="105">
        <v>96.0</v>
      </c>
      <c r="AL290" s="105">
        <v>72.0</v>
      </c>
      <c r="AM290" s="33">
        <v>0.0</v>
      </c>
      <c r="AN290" s="105">
        <v>-100.0</v>
      </c>
      <c r="AO290" s="105">
        <v>-100.0</v>
      </c>
      <c r="AP290" s="18" t="s">
        <v>2222</v>
      </c>
      <c r="AQ290" s="18" t="s">
        <v>2223</v>
      </c>
      <c r="AR290" s="121" t="s">
        <v>2099</v>
      </c>
      <c r="AS290" s="121" t="s">
        <v>2100</v>
      </c>
      <c r="AT290" s="121" t="s">
        <v>2078</v>
      </c>
      <c r="AU290" s="21" t="s">
        <v>2101</v>
      </c>
      <c r="AV290" s="22" t="s">
        <v>1284</v>
      </c>
      <c r="AW290" s="94" t="s">
        <v>2224</v>
      </c>
      <c r="AY290" s="55"/>
      <c r="AZ290" s="55"/>
      <c r="BA290" s="55"/>
      <c r="BB290" s="52"/>
    </row>
    <row r="291">
      <c r="A291" s="25" t="s">
        <v>2225</v>
      </c>
      <c r="B291" s="103" t="s">
        <v>2226</v>
      </c>
      <c r="C291" s="97" t="s">
        <v>2156</v>
      </c>
      <c r="D291" s="97" t="s">
        <v>52</v>
      </c>
      <c r="E291" s="97" t="s">
        <v>53</v>
      </c>
      <c r="F291" s="29" t="s">
        <v>322</v>
      </c>
      <c r="G291" s="29">
        <v>1054.0</v>
      </c>
      <c r="H291" s="36">
        <f t="shared" si="1"/>
        <v>1001.3</v>
      </c>
      <c r="I291" s="97" t="s">
        <v>2157</v>
      </c>
      <c r="J291" s="102" t="s">
        <v>358</v>
      </c>
      <c r="K291" s="110" t="s">
        <v>87</v>
      </c>
      <c r="L291" s="104" t="s">
        <v>88</v>
      </c>
      <c r="M291" s="104" t="s">
        <v>551</v>
      </c>
      <c r="N291" s="105">
        <v>100.0</v>
      </c>
      <c r="O291" s="105">
        <v>100.0</v>
      </c>
      <c r="P291" s="105">
        <v>100.0</v>
      </c>
      <c r="Q291" s="105">
        <v>60.0</v>
      </c>
      <c r="R291" s="105">
        <v>30.0</v>
      </c>
      <c r="S291" s="105">
        <v>70.0</v>
      </c>
      <c r="T291" s="105">
        <v>60.0</v>
      </c>
      <c r="U291" s="105">
        <v>35.0</v>
      </c>
      <c r="V291" s="105">
        <v>20.0</v>
      </c>
      <c r="W291" s="105">
        <v>10.0</v>
      </c>
      <c r="X291" s="105">
        <v>95.0</v>
      </c>
      <c r="Y291" s="105">
        <v>55.0</v>
      </c>
      <c r="Z291" s="105">
        <v>30.0</v>
      </c>
      <c r="AA291" s="105">
        <v>90.0</v>
      </c>
      <c r="AB291" s="105">
        <v>90.0</v>
      </c>
      <c r="AC291" s="105">
        <v>55.0</v>
      </c>
      <c r="AD291" s="105">
        <v>10.0</v>
      </c>
      <c r="AE291" s="105">
        <v>95.0</v>
      </c>
      <c r="AF291" s="105">
        <v>95.0</v>
      </c>
      <c r="AG291" s="105">
        <v>70.0</v>
      </c>
      <c r="AH291" s="105">
        <v>80.0</v>
      </c>
      <c r="AI291" s="105">
        <v>95.0</v>
      </c>
      <c r="AJ291" s="105">
        <v>98.0</v>
      </c>
      <c r="AK291" s="105">
        <v>95.0</v>
      </c>
      <c r="AL291" s="105">
        <v>98.0</v>
      </c>
      <c r="AM291" s="33">
        <v>0.0</v>
      </c>
      <c r="AN291" s="105">
        <v>100.0</v>
      </c>
      <c r="AO291" s="105">
        <v>100.0</v>
      </c>
      <c r="AP291" s="18" t="s">
        <v>2227</v>
      </c>
      <c r="AQ291" s="18" t="s">
        <v>2228</v>
      </c>
      <c r="AR291" s="121" t="s">
        <v>2099</v>
      </c>
      <c r="AS291" s="121" t="s">
        <v>2100</v>
      </c>
      <c r="AT291" s="121" t="s">
        <v>2078</v>
      </c>
      <c r="AU291" s="21" t="s">
        <v>2101</v>
      </c>
      <c r="AV291" s="22" t="s">
        <v>158</v>
      </c>
      <c r="AW291" s="94" t="s">
        <v>2229</v>
      </c>
      <c r="BB291" s="52"/>
    </row>
    <row r="292" hidden="1">
      <c r="A292" s="25" t="s">
        <v>2230</v>
      </c>
      <c r="B292" s="103" t="s">
        <v>2231</v>
      </c>
      <c r="C292" s="97" t="s">
        <v>2165</v>
      </c>
      <c r="D292" s="97" t="s">
        <v>52</v>
      </c>
      <c r="E292" s="97" t="s">
        <v>53</v>
      </c>
      <c r="F292" s="29" t="s">
        <v>2232</v>
      </c>
      <c r="G292" s="29">
        <v>749.0</v>
      </c>
      <c r="H292" s="36">
        <f t="shared" si="1"/>
        <v>711.55</v>
      </c>
      <c r="I292" s="97" t="s">
        <v>2157</v>
      </c>
      <c r="J292" s="102" t="s">
        <v>358</v>
      </c>
      <c r="K292" s="110" t="s">
        <v>87</v>
      </c>
      <c r="L292" s="104" t="s">
        <v>154</v>
      </c>
      <c r="M292" s="104" t="s">
        <v>2233</v>
      </c>
      <c r="N292" s="105">
        <v>100.0</v>
      </c>
      <c r="O292" s="105">
        <v>100.0</v>
      </c>
      <c r="P292" s="105">
        <v>100.0</v>
      </c>
      <c r="Q292" s="105">
        <v>60.0</v>
      </c>
      <c r="R292" s="105">
        <v>25.0</v>
      </c>
      <c r="S292" s="105">
        <v>65.0</v>
      </c>
      <c r="T292" s="105">
        <v>55.0</v>
      </c>
      <c r="U292" s="105">
        <v>35.0</v>
      </c>
      <c r="V292" s="105">
        <v>20.0</v>
      </c>
      <c r="W292" s="105">
        <v>10.0</v>
      </c>
      <c r="X292" s="105">
        <v>90.0</v>
      </c>
      <c r="Y292" s="105">
        <v>50.0</v>
      </c>
      <c r="Z292" s="105">
        <v>30.0</v>
      </c>
      <c r="AA292" s="105">
        <v>90.0</v>
      </c>
      <c r="AB292" s="105">
        <v>90.0</v>
      </c>
      <c r="AC292" s="105">
        <v>55.0</v>
      </c>
      <c r="AD292" s="105">
        <v>10.0</v>
      </c>
      <c r="AE292" s="105">
        <v>95.0</v>
      </c>
      <c r="AF292" s="105">
        <v>95.0</v>
      </c>
      <c r="AG292" s="105">
        <v>70.0</v>
      </c>
      <c r="AH292" s="105">
        <v>80.0</v>
      </c>
      <c r="AI292" s="105">
        <v>95.0</v>
      </c>
      <c r="AJ292" s="105">
        <v>98.0</v>
      </c>
      <c r="AK292" s="105">
        <v>95.0</v>
      </c>
      <c r="AL292" s="105">
        <v>98.0</v>
      </c>
      <c r="AM292" s="33">
        <v>0.0</v>
      </c>
      <c r="AN292" s="105">
        <v>100.0</v>
      </c>
      <c r="AO292" s="105">
        <v>100.0</v>
      </c>
      <c r="AP292" s="18" t="s">
        <v>2234</v>
      </c>
      <c r="AQ292" s="18" t="s">
        <v>2235</v>
      </c>
      <c r="AR292" s="121" t="s">
        <v>2099</v>
      </c>
      <c r="AS292" s="121" t="s">
        <v>2100</v>
      </c>
      <c r="AT292" s="121" t="s">
        <v>2078</v>
      </c>
      <c r="AU292" s="21" t="s">
        <v>2101</v>
      </c>
      <c r="AV292" s="22" t="s">
        <v>2236</v>
      </c>
      <c r="AW292" s="94" t="s">
        <v>2237</v>
      </c>
      <c r="BB292" s="52"/>
    </row>
    <row r="293" hidden="1">
      <c r="A293" s="25" t="s">
        <v>2238</v>
      </c>
      <c r="B293" s="103" t="s">
        <v>2239</v>
      </c>
      <c r="C293" s="97" t="s">
        <v>151</v>
      </c>
      <c r="D293" s="97" t="s">
        <v>52</v>
      </c>
      <c r="E293" s="97" t="s">
        <v>53</v>
      </c>
      <c r="F293" s="29" t="s">
        <v>54</v>
      </c>
      <c r="G293" s="29">
        <v>299.0</v>
      </c>
      <c r="H293" s="36">
        <f t="shared" si="1"/>
        <v>284.05</v>
      </c>
      <c r="I293" s="97" t="s">
        <v>55</v>
      </c>
      <c r="J293" s="102" t="s">
        <v>2240</v>
      </c>
      <c r="K293" s="110" t="s">
        <v>21</v>
      </c>
      <c r="L293" s="104" t="s">
        <v>2241</v>
      </c>
      <c r="M293" s="104" t="s">
        <v>1047</v>
      </c>
      <c r="N293" s="105">
        <v>-100.0</v>
      </c>
      <c r="O293" s="105">
        <v>100.0</v>
      </c>
      <c r="P293" s="105">
        <v>100.0</v>
      </c>
      <c r="Q293" s="105">
        <v>34.0</v>
      </c>
      <c r="R293" s="105">
        <v>10.0</v>
      </c>
      <c r="S293" s="105">
        <v>24.0</v>
      </c>
      <c r="T293" s="105">
        <v>16.0</v>
      </c>
      <c r="U293" s="105">
        <v>78.0</v>
      </c>
      <c r="V293" s="105">
        <v>90.0</v>
      </c>
      <c r="W293" s="105">
        <v>66.0</v>
      </c>
      <c r="X293" s="105">
        <v>24.0</v>
      </c>
      <c r="Y293" s="105">
        <v>12.0</v>
      </c>
      <c r="Z293" s="105">
        <v>8.0</v>
      </c>
      <c r="AA293" s="105">
        <v>28.0</v>
      </c>
      <c r="AB293" s="105">
        <v>20.0</v>
      </c>
      <c r="AC293" s="105">
        <v>40.0</v>
      </c>
      <c r="AD293" s="105">
        <v>8.0</v>
      </c>
      <c r="AE293" s="105">
        <v>72.0</v>
      </c>
      <c r="AF293" s="105">
        <v>56.0</v>
      </c>
      <c r="AG293" s="105">
        <v>26.0</v>
      </c>
      <c r="AH293" s="105">
        <v>16.0</v>
      </c>
      <c r="AI293" s="105">
        <v>84.0</v>
      </c>
      <c r="AJ293" s="105">
        <v>70.0</v>
      </c>
      <c r="AK293" s="105">
        <v>88.0</v>
      </c>
      <c r="AL293" s="105">
        <v>74.0</v>
      </c>
      <c r="AM293" s="33">
        <v>-100.0</v>
      </c>
      <c r="AN293" s="105">
        <v>-100.0</v>
      </c>
      <c r="AO293" s="105">
        <v>-100.0</v>
      </c>
      <c r="AP293" s="18" t="s">
        <v>2242</v>
      </c>
      <c r="AQ293" s="18" t="s">
        <v>2243</v>
      </c>
      <c r="AR293" s="121" t="s">
        <v>2099</v>
      </c>
      <c r="AS293" s="121" t="s">
        <v>2100</v>
      </c>
      <c r="AT293" s="121" t="s">
        <v>2078</v>
      </c>
      <c r="AU293" s="21" t="s">
        <v>2101</v>
      </c>
      <c r="AV293" s="22" t="s">
        <v>2244</v>
      </c>
      <c r="AW293" s="94" t="s">
        <v>2245</v>
      </c>
      <c r="BB293" s="52"/>
    </row>
    <row r="294" hidden="1">
      <c r="A294" s="25" t="s">
        <v>2246</v>
      </c>
      <c r="B294" s="103" t="s">
        <v>2247</v>
      </c>
      <c r="C294" s="97" t="s">
        <v>2206</v>
      </c>
      <c r="D294" s="97" t="s">
        <v>52</v>
      </c>
      <c r="E294" s="97" t="s">
        <v>53</v>
      </c>
      <c r="F294" s="29" t="s">
        <v>54</v>
      </c>
      <c r="G294" s="29">
        <v>349.0</v>
      </c>
      <c r="H294" s="36">
        <f t="shared" si="1"/>
        <v>331.55</v>
      </c>
      <c r="I294" s="97" t="s">
        <v>55</v>
      </c>
      <c r="J294" s="102" t="s">
        <v>266</v>
      </c>
      <c r="K294" s="110" t="s">
        <v>202</v>
      </c>
      <c r="L294" s="104" t="s">
        <v>203</v>
      </c>
      <c r="M294" s="104" t="s">
        <v>2248</v>
      </c>
      <c r="N294" s="105">
        <v>100.0</v>
      </c>
      <c r="O294" s="105">
        <v>100.0</v>
      </c>
      <c r="P294" s="105">
        <v>100.0</v>
      </c>
      <c r="Q294" s="105">
        <v>25.0</v>
      </c>
      <c r="R294" s="105">
        <v>15.0</v>
      </c>
      <c r="S294" s="105">
        <v>90.0</v>
      </c>
      <c r="T294" s="105">
        <v>20.0</v>
      </c>
      <c r="U294" s="105">
        <v>10.0</v>
      </c>
      <c r="V294" s="105">
        <v>10.0</v>
      </c>
      <c r="W294" s="105">
        <v>10.0</v>
      </c>
      <c r="X294" s="105">
        <v>80.0</v>
      </c>
      <c r="Y294" s="105">
        <v>20.0</v>
      </c>
      <c r="Z294" s="105">
        <v>30.0</v>
      </c>
      <c r="AA294" s="105">
        <v>90.0</v>
      </c>
      <c r="AB294" s="105">
        <v>95.0</v>
      </c>
      <c r="AC294" s="105">
        <v>40.0</v>
      </c>
      <c r="AD294" s="105">
        <v>10.0</v>
      </c>
      <c r="AE294" s="105">
        <v>70.0</v>
      </c>
      <c r="AF294" s="105">
        <v>90.0</v>
      </c>
      <c r="AG294" s="105">
        <v>95.0</v>
      </c>
      <c r="AH294" s="105">
        <v>95.0</v>
      </c>
      <c r="AI294" s="105">
        <v>95.0</v>
      </c>
      <c r="AJ294" s="105">
        <v>95.0</v>
      </c>
      <c r="AK294" s="105">
        <v>90.0</v>
      </c>
      <c r="AL294" s="105">
        <v>90.0</v>
      </c>
      <c r="AM294" s="33">
        <v>100.0</v>
      </c>
      <c r="AN294" s="105">
        <v>100.0</v>
      </c>
      <c r="AO294" s="105">
        <v>100.0</v>
      </c>
      <c r="AP294" s="18" t="s">
        <v>2249</v>
      </c>
      <c r="AQ294" s="18" t="s">
        <v>2250</v>
      </c>
      <c r="AR294" s="121" t="s">
        <v>2099</v>
      </c>
      <c r="AS294" s="121" t="s">
        <v>2100</v>
      </c>
      <c r="AT294" s="121" t="s">
        <v>2078</v>
      </c>
      <c r="AU294" s="21" t="s">
        <v>2101</v>
      </c>
      <c r="AV294" s="22" t="s">
        <v>2251</v>
      </c>
      <c r="AW294" s="94" t="s">
        <v>2252</v>
      </c>
      <c r="BA294" s="52"/>
      <c r="BB294" s="52"/>
    </row>
    <row r="295" hidden="1">
      <c r="A295" s="25" t="s">
        <v>2253</v>
      </c>
      <c r="B295" s="103" t="s">
        <v>2254</v>
      </c>
      <c r="C295" s="97" t="s">
        <v>51</v>
      </c>
      <c r="D295" s="97" t="s">
        <v>52</v>
      </c>
      <c r="E295" s="97" t="s">
        <v>53</v>
      </c>
      <c r="F295" s="29" t="s">
        <v>54</v>
      </c>
      <c r="G295" s="29">
        <v>299.0</v>
      </c>
      <c r="H295" s="36">
        <f t="shared" si="1"/>
        <v>284.05</v>
      </c>
      <c r="I295" s="97" t="s">
        <v>55</v>
      </c>
      <c r="J295" s="102" t="s">
        <v>266</v>
      </c>
      <c r="K295" s="110" t="s">
        <v>243</v>
      </c>
      <c r="L295" s="104" t="s">
        <v>2178</v>
      </c>
      <c r="M295" s="104" t="s">
        <v>2158</v>
      </c>
      <c r="N295" s="105">
        <v>100.0</v>
      </c>
      <c r="O295" s="105">
        <v>100.0</v>
      </c>
      <c r="P295" s="105">
        <v>100.0</v>
      </c>
      <c r="Q295" s="105">
        <v>25.0</v>
      </c>
      <c r="R295" s="105">
        <v>15.0</v>
      </c>
      <c r="S295" s="105">
        <v>90.0</v>
      </c>
      <c r="T295" s="105">
        <v>20.0</v>
      </c>
      <c r="U295" s="105">
        <v>10.0</v>
      </c>
      <c r="V295" s="105">
        <v>10.0</v>
      </c>
      <c r="W295" s="105">
        <v>10.0</v>
      </c>
      <c r="X295" s="105">
        <v>90.0</v>
      </c>
      <c r="Y295" s="105">
        <v>20.0</v>
      </c>
      <c r="Z295" s="105">
        <v>30.0</v>
      </c>
      <c r="AA295" s="105">
        <v>95.0</v>
      </c>
      <c r="AB295" s="105">
        <v>95.0</v>
      </c>
      <c r="AC295" s="105">
        <v>40.0</v>
      </c>
      <c r="AD295" s="105">
        <v>10.0</v>
      </c>
      <c r="AE295" s="105">
        <v>70.0</v>
      </c>
      <c r="AF295" s="105">
        <v>95.0</v>
      </c>
      <c r="AG295" s="105">
        <v>95.0</v>
      </c>
      <c r="AH295" s="105">
        <v>98.0</v>
      </c>
      <c r="AI295" s="105">
        <v>95.0</v>
      </c>
      <c r="AJ295" s="105">
        <v>98.0</v>
      </c>
      <c r="AK295" s="105">
        <v>90.0</v>
      </c>
      <c r="AL295" s="105">
        <v>95.0</v>
      </c>
      <c r="AM295" s="33">
        <v>100.0</v>
      </c>
      <c r="AN295" s="105">
        <v>100.0</v>
      </c>
      <c r="AO295" s="105">
        <v>100.0</v>
      </c>
      <c r="AP295" s="18" t="s">
        <v>2255</v>
      </c>
      <c r="AQ295" s="18" t="s">
        <v>2256</v>
      </c>
      <c r="AR295" s="121" t="s">
        <v>2099</v>
      </c>
      <c r="AS295" s="121" t="s">
        <v>2100</v>
      </c>
      <c r="AT295" s="121" t="s">
        <v>2078</v>
      </c>
      <c r="AU295" s="21" t="s">
        <v>2101</v>
      </c>
      <c r="AV295" s="22" t="s">
        <v>2251</v>
      </c>
      <c r="AW295" s="94" t="s">
        <v>2257</v>
      </c>
      <c r="BA295" s="52"/>
      <c r="BB295" s="52"/>
    </row>
    <row r="296" hidden="1">
      <c r="A296" s="25" t="s">
        <v>2258</v>
      </c>
      <c r="B296" s="103" t="s">
        <v>2259</v>
      </c>
      <c r="C296" s="97" t="s">
        <v>390</v>
      </c>
      <c r="D296" s="97" t="s">
        <v>52</v>
      </c>
      <c r="E296" s="97" t="s">
        <v>502</v>
      </c>
      <c r="F296" s="29" t="s">
        <v>2260</v>
      </c>
      <c r="G296" s="29">
        <v>550.0</v>
      </c>
      <c r="H296" s="36">
        <f t="shared" si="1"/>
        <v>522.5</v>
      </c>
      <c r="I296" s="97" t="s">
        <v>55</v>
      </c>
      <c r="J296" s="102" t="s">
        <v>102</v>
      </c>
      <c r="K296" s="110" t="s">
        <v>162</v>
      </c>
      <c r="L296" s="104" t="s">
        <v>2185</v>
      </c>
      <c r="M296" s="104" t="s">
        <v>2261</v>
      </c>
      <c r="N296" s="105">
        <v>0.0</v>
      </c>
      <c r="O296" s="105">
        <v>100.0</v>
      </c>
      <c r="P296" s="105">
        <v>100.0</v>
      </c>
      <c r="Q296" s="105">
        <v>90.0</v>
      </c>
      <c r="R296" s="105">
        <v>60.0</v>
      </c>
      <c r="S296" s="105">
        <v>20.0</v>
      </c>
      <c r="T296" s="105">
        <v>90.0</v>
      </c>
      <c r="U296" s="105">
        <v>40.0</v>
      </c>
      <c r="V296" s="105">
        <v>20.0</v>
      </c>
      <c r="W296" s="105">
        <v>10.0</v>
      </c>
      <c r="X296" s="105">
        <v>45.0</v>
      </c>
      <c r="Y296" s="105">
        <v>90.0</v>
      </c>
      <c r="Z296" s="105">
        <v>20.0</v>
      </c>
      <c r="AA296" s="105">
        <v>65.0</v>
      </c>
      <c r="AB296" s="105">
        <v>25.0</v>
      </c>
      <c r="AC296" s="105">
        <v>50.0</v>
      </c>
      <c r="AD296" s="105">
        <v>15.0</v>
      </c>
      <c r="AE296" s="105">
        <v>95.0</v>
      </c>
      <c r="AF296" s="105">
        <v>80.0</v>
      </c>
      <c r="AG296" s="105">
        <v>25.0</v>
      </c>
      <c r="AH296" s="105">
        <v>20.0</v>
      </c>
      <c r="AI296" s="105">
        <v>80.0</v>
      </c>
      <c r="AJ296" s="105">
        <v>70.0</v>
      </c>
      <c r="AK296" s="105">
        <v>95.0</v>
      </c>
      <c r="AL296" s="105">
        <v>80.0</v>
      </c>
      <c r="AM296" s="33">
        <v>-100.0</v>
      </c>
      <c r="AN296" s="105">
        <v>100.0</v>
      </c>
      <c r="AO296" s="105">
        <v>100.0</v>
      </c>
      <c r="AP296" s="18" t="s">
        <v>2262</v>
      </c>
      <c r="AQ296" s="18" t="s">
        <v>2263</v>
      </c>
      <c r="AR296" s="121" t="s">
        <v>2264</v>
      </c>
      <c r="AS296" s="121" t="s">
        <v>2265</v>
      </c>
      <c r="AT296" s="121" t="s">
        <v>2078</v>
      </c>
      <c r="AU296" s="21" t="s">
        <v>2266</v>
      </c>
      <c r="AV296" s="22" t="s">
        <v>395</v>
      </c>
      <c r="AW296" s="122" t="s">
        <v>2267</v>
      </c>
      <c r="AX296" s="55"/>
      <c r="AY296" s="55"/>
      <c r="AZ296" s="55"/>
      <c r="BA296" s="52"/>
      <c r="BB296" s="52"/>
    </row>
    <row r="297" hidden="1">
      <c r="A297" s="25" t="s">
        <v>2268</v>
      </c>
      <c r="B297" s="103" t="s">
        <v>2269</v>
      </c>
      <c r="C297" s="97" t="s">
        <v>390</v>
      </c>
      <c r="D297" s="97" t="s">
        <v>52</v>
      </c>
      <c r="E297" s="97" t="s">
        <v>502</v>
      </c>
      <c r="F297" s="29" t="s">
        <v>2270</v>
      </c>
      <c r="G297" s="29">
        <v>499.0</v>
      </c>
      <c r="H297" s="36">
        <f t="shared" si="1"/>
        <v>474.05</v>
      </c>
      <c r="I297" s="97" t="s">
        <v>55</v>
      </c>
      <c r="J297" s="102" t="s">
        <v>71</v>
      </c>
      <c r="K297" s="110" t="s">
        <v>2271</v>
      </c>
      <c r="L297" s="104" t="s">
        <v>1623</v>
      </c>
      <c r="M297" s="104" t="s">
        <v>2272</v>
      </c>
      <c r="N297" s="105">
        <v>0.0</v>
      </c>
      <c r="O297" s="105">
        <v>100.0</v>
      </c>
      <c r="P297" s="105">
        <v>100.0</v>
      </c>
      <c r="Q297" s="105">
        <v>35.0</v>
      </c>
      <c r="R297" s="105">
        <v>20.0</v>
      </c>
      <c r="S297" s="105">
        <v>25.0</v>
      </c>
      <c r="T297" s="105">
        <v>55.0</v>
      </c>
      <c r="U297" s="105">
        <v>90.0</v>
      </c>
      <c r="V297" s="105">
        <v>80.0</v>
      </c>
      <c r="W297" s="105">
        <v>45.0</v>
      </c>
      <c r="X297" s="105">
        <v>45.0</v>
      </c>
      <c r="Y297" s="105">
        <v>45.0</v>
      </c>
      <c r="Z297" s="105">
        <v>25.0</v>
      </c>
      <c r="AA297" s="105">
        <v>50.0</v>
      </c>
      <c r="AB297" s="105">
        <v>30.0</v>
      </c>
      <c r="AC297" s="105">
        <v>90.0</v>
      </c>
      <c r="AD297" s="105">
        <v>90.0</v>
      </c>
      <c r="AE297" s="105">
        <v>90.0</v>
      </c>
      <c r="AF297" s="105">
        <v>70.0</v>
      </c>
      <c r="AG297" s="105">
        <v>30.0</v>
      </c>
      <c r="AH297" s="105">
        <v>25.0</v>
      </c>
      <c r="AI297" s="105">
        <v>90.0</v>
      </c>
      <c r="AJ297" s="105">
        <v>70.0</v>
      </c>
      <c r="AK297" s="105">
        <v>90.0</v>
      </c>
      <c r="AL297" s="105">
        <v>70.0</v>
      </c>
      <c r="AM297" s="33">
        <v>-100.0</v>
      </c>
      <c r="AN297" s="105">
        <v>-100.0</v>
      </c>
      <c r="AO297" s="105">
        <v>-100.0</v>
      </c>
      <c r="AP297" s="18" t="s">
        <v>2273</v>
      </c>
      <c r="AQ297" s="18" t="s">
        <v>2274</v>
      </c>
      <c r="AR297" s="121" t="s">
        <v>2264</v>
      </c>
      <c r="AS297" s="121" t="s">
        <v>2265</v>
      </c>
      <c r="AT297" s="121" t="s">
        <v>2078</v>
      </c>
      <c r="AU297" s="21" t="s">
        <v>2266</v>
      </c>
      <c r="AV297" s="22" t="s">
        <v>2275</v>
      </c>
      <c r="AW297" s="123" t="s">
        <v>2276</v>
      </c>
      <c r="AY297" s="55"/>
      <c r="AZ297" s="55"/>
      <c r="BA297" s="52"/>
      <c r="BB297" s="52"/>
    </row>
    <row r="298" hidden="1">
      <c r="A298" s="25" t="s">
        <v>2277</v>
      </c>
      <c r="B298" s="103" t="s">
        <v>2278</v>
      </c>
      <c r="C298" s="97" t="s">
        <v>2279</v>
      </c>
      <c r="D298" s="97" t="s">
        <v>52</v>
      </c>
      <c r="E298" s="97" t="s">
        <v>502</v>
      </c>
      <c r="F298" s="29" t="s">
        <v>693</v>
      </c>
      <c r="G298" s="29">
        <v>269.0</v>
      </c>
      <c r="H298" s="36">
        <f t="shared" si="1"/>
        <v>255.55</v>
      </c>
      <c r="I298" s="97" t="s">
        <v>1199</v>
      </c>
      <c r="J298" s="102" t="s">
        <v>266</v>
      </c>
      <c r="K298" s="110" t="s">
        <v>243</v>
      </c>
      <c r="L298" s="104" t="s">
        <v>2280</v>
      </c>
      <c r="M298" s="104" t="s">
        <v>2281</v>
      </c>
      <c r="N298" s="105">
        <v>100.0</v>
      </c>
      <c r="O298" s="105">
        <v>100.0</v>
      </c>
      <c r="P298" s="105">
        <v>100.0</v>
      </c>
      <c r="Q298" s="105">
        <v>30.0</v>
      </c>
      <c r="R298" s="105">
        <v>15.0</v>
      </c>
      <c r="S298" s="105">
        <v>90.0</v>
      </c>
      <c r="T298" s="105">
        <v>15.0</v>
      </c>
      <c r="U298" s="105">
        <v>20.0</v>
      </c>
      <c r="V298" s="105">
        <v>10.0</v>
      </c>
      <c r="W298" s="105">
        <v>10.0</v>
      </c>
      <c r="X298" s="105">
        <v>90.0</v>
      </c>
      <c r="Y298" s="105">
        <v>15.0</v>
      </c>
      <c r="Z298" s="105">
        <v>35.0</v>
      </c>
      <c r="AA298" s="105">
        <v>95.0</v>
      </c>
      <c r="AB298" s="105">
        <v>95.0</v>
      </c>
      <c r="AC298" s="105">
        <v>45.0</v>
      </c>
      <c r="AD298" s="105">
        <v>10.0</v>
      </c>
      <c r="AE298" s="105">
        <v>75.0</v>
      </c>
      <c r="AF298" s="105">
        <v>95.0</v>
      </c>
      <c r="AG298" s="105">
        <v>95.0</v>
      </c>
      <c r="AH298" s="105">
        <v>98.0</v>
      </c>
      <c r="AI298" s="105">
        <v>95.0</v>
      </c>
      <c r="AJ298" s="105">
        <v>98.0</v>
      </c>
      <c r="AK298" s="105">
        <v>90.0</v>
      </c>
      <c r="AL298" s="105">
        <v>95.0</v>
      </c>
      <c r="AM298" s="33">
        <v>100.0</v>
      </c>
      <c r="AN298" s="105">
        <v>100.0</v>
      </c>
      <c r="AO298" s="105">
        <v>100.0</v>
      </c>
      <c r="AP298" s="18" t="s">
        <v>2282</v>
      </c>
      <c r="AQ298" s="18" t="s">
        <v>2283</v>
      </c>
      <c r="AR298" s="121" t="s">
        <v>2264</v>
      </c>
      <c r="AS298" s="121" t="s">
        <v>2265</v>
      </c>
      <c r="AT298" s="121" t="s">
        <v>2078</v>
      </c>
      <c r="AU298" s="21" t="s">
        <v>2266</v>
      </c>
      <c r="AV298" s="22" t="s">
        <v>2284</v>
      </c>
      <c r="AW298" s="94" t="s">
        <v>2285</v>
      </c>
      <c r="AX298" s="52"/>
      <c r="BA298" s="52"/>
      <c r="BB298" s="52"/>
    </row>
    <row r="299">
      <c r="A299" s="25" t="s">
        <v>2286</v>
      </c>
      <c r="B299" s="103" t="s">
        <v>2287</v>
      </c>
      <c r="C299" s="97" t="s">
        <v>2288</v>
      </c>
      <c r="D299" s="97" t="s">
        <v>52</v>
      </c>
      <c r="E299" s="97" t="s">
        <v>502</v>
      </c>
      <c r="F299" s="29" t="s">
        <v>454</v>
      </c>
      <c r="G299" s="29">
        <v>1450.0</v>
      </c>
      <c r="H299" s="36">
        <f t="shared" si="1"/>
        <v>1377.5</v>
      </c>
      <c r="I299" s="97" t="s">
        <v>2289</v>
      </c>
      <c r="J299" s="102" t="s">
        <v>102</v>
      </c>
      <c r="K299" s="110" t="s">
        <v>162</v>
      </c>
      <c r="L299" s="104" t="s">
        <v>2142</v>
      </c>
      <c r="M299" s="104" t="s">
        <v>2290</v>
      </c>
      <c r="N299" s="105">
        <v>0.0</v>
      </c>
      <c r="O299" s="105">
        <v>100.0</v>
      </c>
      <c r="P299" s="105">
        <v>100.0</v>
      </c>
      <c r="Q299" s="105">
        <v>90.0</v>
      </c>
      <c r="R299" s="105">
        <v>55.0</v>
      </c>
      <c r="S299" s="105">
        <v>15.0</v>
      </c>
      <c r="T299" s="105">
        <v>95.0</v>
      </c>
      <c r="U299" s="105">
        <v>45.0</v>
      </c>
      <c r="V299" s="105">
        <v>25.0</v>
      </c>
      <c r="W299" s="105">
        <v>10.0</v>
      </c>
      <c r="X299" s="105">
        <v>35.0</v>
      </c>
      <c r="Y299" s="105">
        <v>95.0</v>
      </c>
      <c r="Z299" s="105">
        <v>20.0</v>
      </c>
      <c r="AA299" s="105">
        <v>35.0</v>
      </c>
      <c r="AB299" s="105">
        <v>20.0</v>
      </c>
      <c r="AC299" s="105">
        <v>55.0</v>
      </c>
      <c r="AD299" s="105">
        <v>15.0</v>
      </c>
      <c r="AE299" s="105">
        <v>95.0</v>
      </c>
      <c r="AF299" s="105">
        <v>65.0</v>
      </c>
      <c r="AG299" s="105">
        <v>20.0</v>
      </c>
      <c r="AH299" s="105">
        <v>15.0</v>
      </c>
      <c r="AI299" s="105">
        <v>80.0</v>
      </c>
      <c r="AJ299" s="105">
        <v>60.0</v>
      </c>
      <c r="AK299" s="105">
        <v>95.0</v>
      </c>
      <c r="AL299" s="105">
        <v>70.0</v>
      </c>
      <c r="AM299" s="33">
        <v>-100.0</v>
      </c>
      <c r="AN299" s="105">
        <v>100.0</v>
      </c>
      <c r="AO299" s="105">
        <v>100.0</v>
      </c>
      <c r="AP299" s="18" t="s">
        <v>2291</v>
      </c>
      <c r="AQ299" s="18" t="s">
        <v>2292</v>
      </c>
      <c r="AR299" s="121" t="s">
        <v>2264</v>
      </c>
      <c r="AS299" s="121" t="s">
        <v>2265</v>
      </c>
      <c r="AT299" s="121" t="s">
        <v>2078</v>
      </c>
      <c r="AU299" s="21" t="s">
        <v>2266</v>
      </c>
      <c r="AV299" s="22" t="s">
        <v>1278</v>
      </c>
      <c r="AW299" s="94" t="s">
        <v>2293</v>
      </c>
      <c r="AX299" s="52"/>
      <c r="BA299" s="52"/>
      <c r="BB299" s="52"/>
    </row>
    <row r="300" hidden="1">
      <c r="A300" s="25" t="s">
        <v>2294</v>
      </c>
      <c r="B300" s="103" t="s">
        <v>2295</v>
      </c>
      <c r="C300" s="97" t="s">
        <v>151</v>
      </c>
      <c r="D300" s="97" t="s">
        <v>52</v>
      </c>
      <c r="E300" s="97" t="s">
        <v>502</v>
      </c>
      <c r="F300" s="29" t="s">
        <v>85</v>
      </c>
      <c r="G300" s="29">
        <v>499.0</v>
      </c>
      <c r="H300" s="36">
        <f t="shared" si="1"/>
        <v>474.05</v>
      </c>
      <c r="I300" s="97" t="s">
        <v>55</v>
      </c>
      <c r="J300" s="102" t="s">
        <v>102</v>
      </c>
      <c r="K300" s="110" t="s">
        <v>162</v>
      </c>
      <c r="L300" s="104" t="s">
        <v>2142</v>
      </c>
      <c r="M300" s="104" t="s">
        <v>2296</v>
      </c>
      <c r="N300" s="105">
        <v>0.0</v>
      </c>
      <c r="O300" s="105">
        <v>100.0</v>
      </c>
      <c r="P300" s="105">
        <v>100.0</v>
      </c>
      <c r="Q300" s="105">
        <v>90.0</v>
      </c>
      <c r="R300" s="105">
        <v>50.0</v>
      </c>
      <c r="S300" s="105">
        <v>20.0</v>
      </c>
      <c r="T300" s="105">
        <v>92.0</v>
      </c>
      <c r="U300" s="105">
        <v>40.0</v>
      </c>
      <c r="V300" s="105">
        <v>20.0</v>
      </c>
      <c r="W300" s="105">
        <v>10.0</v>
      </c>
      <c r="X300" s="105">
        <v>35.0</v>
      </c>
      <c r="Y300" s="105">
        <v>92.0</v>
      </c>
      <c r="Z300" s="105">
        <v>20.0</v>
      </c>
      <c r="AA300" s="105">
        <v>40.0</v>
      </c>
      <c r="AB300" s="105">
        <v>20.0</v>
      </c>
      <c r="AC300" s="105">
        <v>50.0</v>
      </c>
      <c r="AD300" s="105">
        <v>15.0</v>
      </c>
      <c r="AE300" s="105">
        <v>95.0</v>
      </c>
      <c r="AF300" s="105">
        <v>70.0</v>
      </c>
      <c r="AG300" s="105">
        <v>25.0</v>
      </c>
      <c r="AH300" s="105">
        <v>20.0</v>
      </c>
      <c r="AI300" s="105">
        <v>80.0</v>
      </c>
      <c r="AJ300" s="105">
        <v>65.0</v>
      </c>
      <c r="AK300" s="105">
        <v>95.0</v>
      </c>
      <c r="AL300" s="105">
        <v>75.0</v>
      </c>
      <c r="AM300" s="33">
        <v>-100.0</v>
      </c>
      <c r="AN300" s="105">
        <v>100.0</v>
      </c>
      <c r="AO300" s="105">
        <v>100.0</v>
      </c>
      <c r="AP300" s="18" t="s">
        <v>2297</v>
      </c>
      <c r="AQ300" s="18" t="s">
        <v>2298</v>
      </c>
      <c r="AR300" s="121" t="s">
        <v>2264</v>
      </c>
      <c r="AS300" s="121" t="s">
        <v>2265</v>
      </c>
      <c r="AT300" s="121" t="s">
        <v>2078</v>
      </c>
      <c r="AU300" s="21" t="s">
        <v>2266</v>
      </c>
      <c r="AV300" s="22" t="s">
        <v>2299</v>
      </c>
      <c r="AW300" s="94" t="s">
        <v>2300</v>
      </c>
      <c r="AX300" s="52"/>
      <c r="BA300" s="52"/>
      <c r="BB300" s="52"/>
    </row>
    <row r="301">
      <c r="A301" s="25" t="s">
        <v>2301</v>
      </c>
      <c r="B301" s="103" t="s">
        <v>2302</v>
      </c>
      <c r="C301" s="97" t="s">
        <v>1397</v>
      </c>
      <c r="D301" s="97" t="s">
        <v>52</v>
      </c>
      <c r="E301" s="97" t="s">
        <v>502</v>
      </c>
      <c r="F301" s="29" t="s">
        <v>54</v>
      </c>
      <c r="G301" s="29">
        <v>1100.0</v>
      </c>
      <c r="H301" s="36">
        <f t="shared" si="1"/>
        <v>1045</v>
      </c>
      <c r="I301" s="97" t="s">
        <v>1199</v>
      </c>
      <c r="J301" s="102" t="s">
        <v>102</v>
      </c>
      <c r="K301" s="110" t="s">
        <v>1541</v>
      </c>
      <c r="L301" s="104" t="s">
        <v>2303</v>
      </c>
      <c r="M301" s="104" t="s">
        <v>2304</v>
      </c>
      <c r="N301" s="105">
        <v>0.0</v>
      </c>
      <c r="O301" s="105">
        <v>100.0</v>
      </c>
      <c r="P301" s="105">
        <v>100.0</v>
      </c>
      <c r="Q301" s="105">
        <v>75.0</v>
      </c>
      <c r="R301" s="105">
        <v>40.0</v>
      </c>
      <c r="S301" s="105">
        <v>20.0</v>
      </c>
      <c r="T301" s="105">
        <v>95.0</v>
      </c>
      <c r="U301" s="105">
        <v>60.0</v>
      </c>
      <c r="V301" s="105">
        <v>35.0</v>
      </c>
      <c r="W301" s="105">
        <v>15.0</v>
      </c>
      <c r="X301" s="105">
        <v>30.0</v>
      </c>
      <c r="Y301" s="105">
        <v>90.0</v>
      </c>
      <c r="Z301" s="105">
        <v>20.0</v>
      </c>
      <c r="AA301" s="105">
        <v>35.0</v>
      </c>
      <c r="AB301" s="105">
        <v>20.0</v>
      </c>
      <c r="AC301" s="105">
        <v>70.0</v>
      </c>
      <c r="AD301" s="105">
        <v>25.0</v>
      </c>
      <c r="AE301" s="105">
        <v>95.0</v>
      </c>
      <c r="AF301" s="105">
        <v>65.0</v>
      </c>
      <c r="AG301" s="105">
        <v>20.0</v>
      </c>
      <c r="AH301" s="105">
        <v>15.0</v>
      </c>
      <c r="AI301" s="105">
        <v>80.0</v>
      </c>
      <c r="AJ301" s="105">
        <v>60.0</v>
      </c>
      <c r="AK301" s="105">
        <v>95.0</v>
      </c>
      <c r="AL301" s="105">
        <v>70.0</v>
      </c>
      <c r="AM301" s="33">
        <v>-100.0</v>
      </c>
      <c r="AN301" s="105">
        <v>100.0</v>
      </c>
      <c r="AO301" s="105">
        <v>100.0</v>
      </c>
      <c r="AP301" s="18" t="s">
        <v>2305</v>
      </c>
      <c r="AQ301" s="18" t="s">
        <v>2306</v>
      </c>
      <c r="AR301" s="121" t="s">
        <v>2264</v>
      </c>
      <c r="AS301" s="121" t="s">
        <v>2265</v>
      </c>
      <c r="AT301" s="121" t="s">
        <v>2078</v>
      </c>
      <c r="AU301" s="21" t="s">
        <v>2266</v>
      </c>
      <c r="AV301" s="22" t="s">
        <v>2307</v>
      </c>
      <c r="AW301" s="94" t="s">
        <v>2308</v>
      </c>
      <c r="AX301" s="52"/>
      <c r="BA301" s="52"/>
      <c r="BB301" s="52"/>
    </row>
    <row r="302" hidden="1">
      <c r="A302" s="25" t="s">
        <v>2309</v>
      </c>
      <c r="B302" s="103" t="s">
        <v>2310</v>
      </c>
      <c r="C302" s="97" t="s">
        <v>2279</v>
      </c>
      <c r="D302" s="97" t="s">
        <v>52</v>
      </c>
      <c r="E302" s="97" t="s">
        <v>502</v>
      </c>
      <c r="F302" s="29" t="s">
        <v>70</v>
      </c>
      <c r="G302" s="29">
        <v>799.0</v>
      </c>
      <c r="H302" s="36">
        <f t="shared" si="1"/>
        <v>759.05</v>
      </c>
      <c r="I302" s="97" t="s">
        <v>1199</v>
      </c>
      <c r="J302" s="102" t="s">
        <v>266</v>
      </c>
      <c r="K302" s="110" t="s">
        <v>243</v>
      </c>
      <c r="L302" s="104" t="s">
        <v>2311</v>
      </c>
      <c r="M302" s="104" t="s">
        <v>2312</v>
      </c>
      <c r="N302" s="105">
        <v>100.0</v>
      </c>
      <c r="O302" s="105">
        <v>100.0</v>
      </c>
      <c r="P302" s="105">
        <v>100.0</v>
      </c>
      <c r="Q302" s="105">
        <v>30.0</v>
      </c>
      <c r="R302" s="105">
        <v>15.0</v>
      </c>
      <c r="S302" s="105">
        <v>90.0</v>
      </c>
      <c r="T302" s="105">
        <v>15.0</v>
      </c>
      <c r="U302" s="105">
        <v>25.0</v>
      </c>
      <c r="V302" s="105">
        <v>15.0</v>
      </c>
      <c r="W302" s="105">
        <v>10.0</v>
      </c>
      <c r="X302" s="105">
        <v>95.0</v>
      </c>
      <c r="Y302" s="105">
        <v>15.0</v>
      </c>
      <c r="Z302" s="105">
        <v>55.0</v>
      </c>
      <c r="AA302" s="105">
        <v>95.0</v>
      </c>
      <c r="AB302" s="105">
        <v>98.0</v>
      </c>
      <c r="AC302" s="105">
        <v>60.0</v>
      </c>
      <c r="AD302" s="105">
        <v>10.0</v>
      </c>
      <c r="AE302" s="105">
        <v>75.0</v>
      </c>
      <c r="AF302" s="105">
        <v>95.0</v>
      </c>
      <c r="AG302" s="105">
        <v>95.0</v>
      </c>
      <c r="AH302" s="105">
        <v>98.0</v>
      </c>
      <c r="AI302" s="105">
        <v>95.0</v>
      </c>
      <c r="AJ302" s="105">
        <v>98.0</v>
      </c>
      <c r="AK302" s="105">
        <v>90.0</v>
      </c>
      <c r="AL302" s="105">
        <v>95.0</v>
      </c>
      <c r="AM302" s="33">
        <v>100.0</v>
      </c>
      <c r="AN302" s="105">
        <v>100.0</v>
      </c>
      <c r="AO302" s="105">
        <v>100.0</v>
      </c>
      <c r="AP302" s="18" t="s">
        <v>2313</v>
      </c>
      <c r="AQ302" s="18" t="s">
        <v>2314</v>
      </c>
      <c r="AR302" s="121" t="s">
        <v>2264</v>
      </c>
      <c r="AS302" s="121" t="s">
        <v>2265</v>
      </c>
      <c r="AT302" s="121" t="s">
        <v>2078</v>
      </c>
      <c r="AU302" s="21" t="s">
        <v>2266</v>
      </c>
      <c r="AV302" s="22" t="s">
        <v>2284</v>
      </c>
      <c r="AW302" s="94" t="s">
        <v>2315</v>
      </c>
      <c r="AX302" s="52"/>
      <c r="BA302" s="52"/>
      <c r="BB302" s="52"/>
    </row>
    <row r="303" hidden="1">
      <c r="A303" s="25" t="s">
        <v>2316</v>
      </c>
      <c r="B303" s="103" t="s">
        <v>2317</v>
      </c>
      <c r="C303" s="97" t="s">
        <v>1305</v>
      </c>
      <c r="D303" s="97" t="s">
        <v>52</v>
      </c>
      <c r="E303" s="97" t="s">
        <v>2318</v>
      </c>
      <c r="F303" s="29" t="s">
        <v>994</v>
      </c>
      <c r="G303" s="29">
        <v>100.0</v>
      </c>
      <c r="H303" s="36">
        <f t="shared" si="1"/>
        <v>95</v>
      </c>
      <c r="I303" s="97" t="s">
        <v>1199</v>
      </c>
      <c r="J303" s="102" t="s">
        <v>266</v>
      </c>
      <c r="K303" s="110" t="s">
        <v>2319</v>
      </c>
      <c r="L303" s="104" t="s">
        <v>2320</v>
      </c>
      <c r="M303" s="104" t="s">
        <v>2321</v>
      </c>
      <c r="N303" s="105">
        <v>100.0</v>
      </c>
      <c r="O303" s="105">
        <v>100.0</v>
      </c>
      <c r="P303" s="105">
        <v>100.0</v>
      </c>
      <c r="Q303" s="105">
        <v>25.0</v>
      </c>
      <c r="R303" s="105">
        <v>15.0</v>
      </c>
      <c r="S303" s="105">
        <v>90.0</v>
      </c>
      <c r="T303" s="105">
        <v>15.0</v>
      </c>
      <c r="U303" s="105">
        <v>65.0</v>
      </c>
      <c r="V303" s="105">
        <v>50.0</v>
      </c>
      <c r="W303" s="105">
        <v>20.0</v>
      </c>
      <c r="X303" s="105">
        <v>90.0</v>
      </c>
      <c r="Y303" s="105">
        <v>15.0</v>
      </c>
      <c r="Z303" s="105">
        <v>35.0</v>
      </c>
      <c r="AA303" s="105">
        <v>90.0</v>
      </c>
      <c r="AB303" s="105">
        <v>90.0</v>
      </c>
      <c r="AC303" s="105">
        <v>90.0</v>
      </c>
      <c r="AD303" s="105">
        <v>60.0</v>
      </c>
      <c r="AE303" s="105">
        <v>75.0</v>
      </c>
      <c r="AF303" s="105">
        <v>90.0</v>
      </c>
      <c r="AG303" s="105">
        <v>95.0</v>
      </c>
      <c r="AH303" s="105">
        <v>98.0</v>
      </c>
      <c r="AI303" s="105">
        <v>95.0</v>
      </c>
      <c r="AJ303" s="105">
        <v>98.0</v>
      </c>
      <c r="AK303" s="105">
        <v>90.0</v>
      </c>
      <c r="AL303" s="105">
        <v>95.0</v>
      </c>
      <c r="AM303" s="33">
        <v>100.0</v>
      </c>
      <c r="AN303" s="105">
        <v>100.0</v>
      </c>
      <c r="AO303" s="105">
        <v>100.0</v>
      </c>
      <c r="AP303" s="18" t="s">
        <v>2322</v>
      </c>
      <c r="AQ303" s="18" t="s">
        <v>2323</v>
      </c>
      <c r="AR303" s="121" t="s">
        <v>2264</v>
      </c>
      <c r="AS303" s="121" t="s">
        <v>2265</v>
      </c>
      <c r="AT303" s="121" t="s">
        <v>2078</v>
      </c>
      <c r="AU303" s="21" t="s">
        <v>2266</v>
      </c>
      <c r="AV303" s="22" t="s">
        <v>248</v>
      </c>
      <c r="AW303" s="94" t="s">
        <v>2324</v>
      </c>
      <c r="AX303" s="52"/>
      <c r="BA303" s="52"/>
      <c r="BB303" s="52"/>
    </row>
    <row r="304" hidden="1">
      <c r="A304" s="25" t="s">
        <v>2325</v>
      </c>
      <c r="B304" s="103" t="s">
        <v>2326</v>
      </c>
      <c r="C304" s="97" t="s">
        <v>2327</v>
      </c>
      <c r="D304" s="97" t="s">
        <v>52</v>
      </c>
      <c r="E304" s="97" t="s">
        <v>2318</v>
      </c>
      <c r="F304" s="29" t="s">
        <v>2328</v>
      </c>
      <c r="G304" s="29">
        <v>100.0</v>
      </c>
      <c r="H304" s="36">
        <f t="shared" si="1"/>
        <v>95</v>
      </c>
      <c r="I304" s="97" t="s">
        <v>1199</v>
      </c>
      <c r="J304" s="102" t="s">
        <v>465</v>
      </c>
      <c r="K304" s="110" t="s">
        <v>408</v>
      </c>
      <c r="L304" s="104" t="s">
        <v>2329</v>
      </c>
      <c r="M304" s="104" t="s">
        <v>2330</v>
      </c>
      <c r="N304" s="105">
        <v>100.0</v>
      </c>
      <c r="O304" s="105">
        <v>100.0</v>
      </c>
      <c r="P304" s="105">
        <v>100.0</v>
      </c>
      <c r="Q304" s="105">
        <v>35.0</v>
      </c>
      <c r="R304" s="105">
        <v>15.0</v>
      </c>
      <c r="S304" s="105">
        <v>75.0</v>
      </c>
      <c r="T304" s="105">
        <v>45.0</v>
      </c>
      <c r="U304" s="105">
        <v>60.0</v>
      </c>
      <c r="V304" s="105">
        <v>45.0</v>
      </c>
      <c r="W304" s="105">
        <v>15.0</v>
      </c>
      <c r="X304" s="105">
        <v>80.0</v>
      </c>
      <c r="Y304" s="105">
        <v>25.0</v>
      </c>
      <c r="Z304" s="105">
        <v>45.0</v>
      </c>
      <c r="AA304" s="105">
        <v>90.0</v>
      </c>
      <c r="AB304" s="105">
        <v>90.0</v>
      </c>
      <c r="AC304" s="105">
        <v>80.0</v>
      </c>
      <c r="AD304" s="105">
        <v>40.0</v>
      </c>
      <c r="AE304" s="105">
        <v>90.0</v>
      </c>
      <c r="AF304" s="105">
        <v>90.0</v>
      </c>
      <c r="AG304" s="105">
        <v>90.0</v>
      </c>
      <c r="AH304" s="105">
        <v>95.0</v>
      </c>
      <c r="AI304" s="105">
        <v>95.0</v>
      </c>
      <c r="AJ304" s="105">
        <v>95.0</v>
      </c>
      <c r="AK304" s="105">
        <v>90.0</v>
      </c>
      <c r="AL304" s="105">
        <v>95.0</v>
      </c>
      <c r="AM304" s="33">
        <v>100.0</v>
      </c>
      <c r="AN304" s="105">
        <v>100.0</v>
      </c>
      <c r="AO304" s="105">
        <v>100.0</v>
      </c>
      <c r="AP304" s="18" t="s">
        <v>2331</v>
      </c>
      <c r="AQ304" s="18" t="s">
        <v>2332</v>
      </c>
      <c r="AR304" s="121" t="s">
        <v>2264</v>
      </c>
      <c r="AS304" s="121" t="s">
        <v>2265</v>
      </c>
      <c r="AT304" s="121" t="s">
        <v>2078</v>
      </c>
      <c r="AU304" s="21" t="s">
        <v>2266</v>
      </c>
      <c r="AV304" s="22" t="s">
        <v>248</v>
      </c>
      <c r="AW304" s="94" t="s">
        <v>2333</v>
      </c>
      <c r="AX304" s="52"/>
      <c r="BA304" s="52"/>
      <c r="BB304" s="52"/>
    </row>
    <row r="305" hidden="1">
      <c r="A305" s="25" t="s">
        <v>2334</v>
      </c>
      <c r="B305" s="103" t="s">
        <v>2335</v>
      </c>
      <c r="C305" s="97" t="s">
        <v>1305</v>
      </c>
      <c r="D305" s="97" t="s">
        <v>52</v>
      </c>
      <c r="E305" s="97" t="s">
        <v>2318</v>
      </c>
      <c r="F305" s="29" t="s">
        <v>994</v>
      </c>
      <c r="G305" s="29">
        <v>100.0</v>
      </c>
      <c r="H305" s="36">
        <f t="shared" si="1"/>
        <v>95</v>
      </c>
      <c r="I305" s="97" t="s">
        <v>1199</v>
      </c>
      <c r="J305" s="102" t="s">
        <v>266</v>
      </c>
      <c r="K305" s="110" t="s">
        <v>243</v>
      </c>
      <c r="L305" s="104" t="s">
        <v>1024</v>
      </c>
      <c r="M305" s="104" t="s">
        <v>2336</v>
      </c>
      <c r="N305" s="105">
        <v>100.0</v>
      </c>
      <c r="O305" s="105">
        <v>100.0</v>
      </c>
      <c r="P305" s="105">
        <v>100.0</v>
      </c>
      <c r="Q305" s="105">
        <v>25.0</v>
      </c>
      <c r="R305" s="105">
        <v>15.0</v>
      </c>
      <c r="S305" s="105">
        <v>90.0</v>
      </c>
      <c r="T305" s="105">
        <v>15.0</v>
      </c>
      <c r="U305" s="105">
        <v>20.0</v>
      </c>
      <c r="V305" s="105">
        <v>10.0</v>
      </c>
      <c r="W305" s="105">
        <v>10.0</v>
      </c>
      <c r="X305" s="105">
        <v>90.0</v>
      </c>
      <c r="Y305" s="105">
        <v>15.0</v>
      </c>
      <c r="Z305" s="105">
        <v>35.0</v>
      </c>
      <c r="AA305" s="105">
        <v>95.0</v>
      </c>
      <c r="AB305" s="105">
        <v>95.0</v>
      </c>
      <c r="AC305" s="105">
        <v>45.0</v>
      </c>
      <c r="AD305" s="105">
        <v>10.0</v>
      </c>
      <c r="AE305" s="105">
        <v>80.0</v>
      </c>
      <c r="AF305" s="105">
        <v>95.0</v>
      </c>
      <c r="AG305" s="105">
        <v>95.0</v>
      </c>
      <c r="AH305" s="105">
        <v>98.0</v>
      </c>
      <c r="AI305" s="105">
        <v>95.0</v>
      </c>
      <c r="AJ305" s="105">
        <v>98.0</v>
      </c>
      <c r="AK305" s="105">
        <v>90.0</v>
      </c>
      <c r="AL305" s="105">
        <v>95.0</v>
      </c>
      <c r="AM305" s="33">
        <v>100.0</v>
      </c>
      <c r="AN305" s="105">
        <v>100.0</v>
      </c>
      <c r="AO305" s="105">
        <v>100.0</v>
      </c>
      <c r="AP305" s="18" t="s">
        <v>2337</v>
      </c>
      <c r="AQ305" s="18" t="s">
        <v>2338</v>
      </c>
      <c r="AR305" s="121" t="s">
        <v>2264</v>
      </c>
      <c r="AS305" s="121" t="s">
        <v>2265</v>
      </c>
      <c r="AT305" s="121" t="s">
        <v>2078</v>
      </c>
      <c r="AU305" s="21" t="s">
        <v>2266</v>
      </c>
      <c r="AV305" s="22" t="s">
        <v>248</v>
      </c>
      <c r="AW305" s="94" t="s">
        <v>2339</v>
      </c>
      <c r="AX305" s="52"/>
      <c r="BA305" s="52"/>
      <c r="BB305" s="52"/>
    </row>
    <row r="306" hidden="1">
      <c r="A306" s="25" t="s">
        <v>2340</v>
      </c>
      <c r="B306" s="103" t="s">
        <v>2341</v>
      </c>
      <c r="C306" s="97" t="s">
        <v>1305</v>
      </c>
      <c r="D306" s="97" t="s">
        <v>52</v>
      </c>
      <c r="E306" s="97" t="s">
        <v>2318</v>
      </c>
      <c r="F306" s="29" t="s">
        <v>994</v>
      </c>
      <c r="G306" s="29">
        <v>100.0</v>
      </c>
      <c r="H306" s="36">
        <f t="shared" si="1"/>
        <v>95</v>
      </c>
      <c r="I306" s="97" t="s">
        <v>1199</v>
      </c>
      <c r="J306" s="102" t="s">
        <v>266</v>
      </c>
      <c r="K306" s="110" t="s">
        <v>243</v>
      </c>
      <c r="L306" s="104" t="s">
        <v>2342</v>
      </c>
      <c r="M306" s="104" t="s">
        <v>1571</v>
      </c>
      <c r="N306" s="105">
        <v>100.0</v>
      </c>
      <c r="O306" s="105">
        <v>100.0</v>
      </c>
      <c r="P306" s="105">
        <v>100.0</v>
      </c>
      <c r="Q306" s="105">
        <v>30.0</v>
      </c>
      <c r="R306" s="105">
        <v>15.0</v>
      </c>
      <c r="S306" s="105">
        <v>90.0</v>
      </c>
      <c r="T306" s="105">
        <v>15.0</v>
      </c>
      <c r="U306" s="105">
        <v>25.0</v>
      </c>
      <c r="V306" s="105">
        <v>15.0</v>
      </c>
      <c r="W306" s="105">
        <v>10.0</v>
      </c>
      <c r="X306" s="105">
        <v>90.0</v>
      </c>
      <c r="Y306" s="105">
        <v>15.0</v>
      </c>
      <c r="Z306" s="105">
        <v>40.0</v>
      </c>
      <c r="AA306" s="105">
        <v>90.0</v>
      </c>
      <c r="AB306" s="105">
        <v>95.0</v>
      </c>
      <c r="AC306" s="105">
        <v>55.0</v>
      </c>
      <c r="AD306" s="105">
        <v>10.0</v>
      </c>
      <c r="AE306" s="105">
        <v>75.0</v>
      </c>
      <c r="AF306" s="105">
        <v>90.0</v>
      </c>
      <c r="AG306" s="105">
        <v>95.0</v>
      </c>
      <c r="AH306" s="105">
        <v>98.0</v>
      </c>
      <c r="AI306" s="105">
        <v>95.0</v>
      </c>
      <c r="AJ306" s="105">
        <v>98.0</v>
      </c>
      <c r="AK306" s="105">
        <v>90.0</v>
      </c>
      <c r="AL306" s="105">
        <v>95.0</v>
      </c>
      <c r="AM306" s="33">
        <v>100.0</v>
      </c>
      <c r="AN306" s="105">
        <v>100.0</v>
      </c>
      <c r="AO306" s="105">
        <v>100.0</v>
      </c>
      <c r="AP306" s="18" t="s">
        <v>2343</v>
      </c>
      <c r="AQ306" s="18" t="s">
        <v>2344</v>
      </c>
      <c r="AR306" s="121" t="s">
        <v>2264</v>
      </c>
      <c r="AS306" s="121" t="s">
        <v>2265</v>
      </c>
      <c r="AT306" s="121" t="s">
        <v>2078</v>
      </c>
      <c r="AU306" s="21" t="s">
        <v>2266</v>
      </c>
      <c r="AV306" s="22" t="s">
        <v>248</v>
      </c>
      <c r="AW306" s="94" t="s">
        <v>2345</v>
      </c>
      <c r="AX306" s="52"/>
      <c r="BA306" s="52"/>
      <c r="BB306" s="52"/>
    </row>
    <row r="307" hidden="1">
      <c r="A307" s="25" t="s">
        <v>2346</v>
      </c>
      <c r="B307" s="103" t="s">
        <v>2347</v>
      </c>
      <c r="C307" s="97" t="s">
        <v>1305</v>
      </c>
      <c r="D307" s="97" t="s">
        <v>52</v>
      </c>
      <c r="E307" s="97" t="s">
        <v>2318</v>
      </c>
      <c r="F307" s="29" t="s">
        <v>994</v>
      </c>
      <c r="G307" s="29">
        <v>100.0</v>
      </c>
      <c r="H307" s="36">
        <f t="shared" si="1"/>
        <v>95</v>
      </c>
      <c r="I307" s="97" t="s">
        <v>1199</v>
      </c>
      <c r="J307" s="102" t="s">
        <v>465</v>
      </c>
      <c r="K307" s="110" t="s">
        <v>243</v>
      </c>
      <c r="L307" s="104" t="s">
        <v>1783</v>
      </c>
      <c r="M307" s="104" t="s">
        <v>2348</v>
      </c>
      <c r="N307" s="105">
        <v>100.0</v>
      </c>
      <c r="O307" s="105">
        <v>100.0</v>
      </c>
      <c r="P307" s="105">
        <v>100.0</v>
      </c>
      <c r="Q307" s="105">
        <v>40.0</v>
      </c>
      <c r="R307" s="105">
        <v>15.0</v>
      </c>
      <c r="S307" s="105">
        <v>90.0</v>
      </c>
      <c r="T307" s="105">
        <v>30.0</v>
      </c>
      <c r="U307" s="105">
        <v>35.0</v>
      </c>
      <c r="V307" s="105">
        <v>20.0</v>
      </c>
      <c r="W307" s="105">
        <v>10.0</v>
      </c>
      <c r="X307" s="105">
        <v>90.0</v>
      </c>
      <c r="Y307" s="105">
        <v>25.0</v>
      </c>
      <c r="Z307" s="105">
        <v>40.0</v>
      </c>
      <c r="AA307" s="105">
        <v>95.0</v>
      </c>
      <c r="AB307" s="105">
        <v>95.0</v>
      </c>
      <c r="AC307" s="105">
        <v>60.0</v>
      </c>
      <c r="AD307" s="105">
        <v>15.0</v>
      </c>
      <c r="AE307" s="105">
        <v>90.0</v>
      </c>
      <c r="AF307" s="105">
        <v>95.0</v>
      </c>
      <c r="AG307" s="105">
        <v>90.0</v>
      </c>
      <c r="AH307" s="105">
        <v>98.0</v>
      </c>
      <c r="AI307" s="105">
        <v>95.0</v>
      </c>
      <c r="AJ307" s="105">
        <v>98.0</v>
      </c>
      <c r="AK307" s="105">
        <v>95.0</v>
      </c>
      <c r="AL307" s="105">
        <v>95.0</v>
      </c>
      <c r="AM307" s="33">
        <v>100.0</v>
      </c>
      <c r="AN307" s="105">
        <v>100.0</v>
      </c>
      <c r="AO307" s="105">
        <v>100.0</v>
      </c>
      <c r="AP307" s="18" t="s">
        <v>2349</v>
      </c>
      <c r="AQ307" s="18" t="s">
        <v>2350</v>
      </c>
      <c r="AR307" s="121" t="s">
        <v>2264</v>
      </c>
      <c r="AS307" s="121" t="s">
        <v>2265</v>
      </c>
      <c r="AT307" s="121" t="s">
        <v>2078</v>
      </c>
      <c r="AU307" s="21" t="s">
        <v>2266</v>
      </c>
      <c r="AV307" s="22" t="s">
        <v>248</v>
      </c>
      <c r="AW307" s="94" t="s">
        <v>2351</v>
      </c>
      <c r="AX307" s="52"/>
      <c r="AY307" s="55"/>
      <c r="AZ307" s="55"/>
      <c r="BA307" s="52"/>
      <c r="BB307" s="52"/>
    </row>
    <row r="308" hidden="1">
      <c r="A308" s="25" t="s">
        <v>2352</v>
      </c>
      <c r="B308" s="103" t="s">
        <v>2353</v>
      </c>
      <c r="C308" s="97" t="s">
        <v>2206</v>
      </c>
      <c r="D308" s="97" t="s">
        <v>52</v>
      </c>
      <c r="E308" s="97" t="s">
        <v>2318</v>
      </c>
      <c r="F308" s="29" t="s">
        <v>1660</v>
      </c>
      <c r="G308" s="29">
        <v>99.0</v>
      </c>
      <c r="H308" s="36">
        <f t="shared" si="1"/>
        <v>94.05</v>
      </c>
      <c r="I308" s="97" t="s">
        <v>55</v>
      </c>
      <c r="J308" s="102" t="s">
        <v>358</v>
      </c>
      <c r="K308" s="110" t="s">
        <v>2354</v>
      </c>
      <c r="L308" s="104" t="s">
        <v>314</v>
      </c>
      <c r="M308" s="104" t="s">
        <v>2355</v>
      </c>
      <c r="N308" s="105">
        <v>100.0</v>
      </c>
      <c r="O308" s="105">
        <v>100.0</v>
      </c>
      <c r="P308" s="105">
        <v>100.0</v>
      </c>
      <c r="Q308" s="105">
        <v>45.0</v>
      </c>
      <c r="R308" s="105">
        <v>15.0</v>
      </c>
      <c r="S308" s="105">
        <v>75.0</v>
      </c>
      <c r="T308" s="105">
        <v>25.0</v>
      </c>
      <c r="U308" s="105">
        <v>90.0</v>
      </c>
      <c r="V308" s="105">
        <v>80.0</v>
      </c>
      <c r="W308" s="105">
        <v>35.0</v>
      </c>
      <c r="X308" s="105">
        <v>75.0</v>
      </c>
      <c r="Y308" s="105">
        <v>20.0</v>
      </c>
      <c r="Z308" s="105">
        <v>35.0</v>
      </c>
      <c r="AA308" s="105">
        <v>80.0</v>
      </c>
      <c r="AB308" s="105">
        <v>90.0</v>
      </c>
      <c r="AC308" s="105">
        <v>90.0</v>
      </c>
      <c r="AD308" s="105">
        <v>90.0</v>
      </c>
      <c r="AE308" s="105">
        <v>90.0</v>
      </c>
      <c r="AF308" s="105">
        <v>90.0</v>
      </c>
      <c r="AG308" s="105">
        <v>80.0</v>
      </c>
      <c r="AH308" s="105">
        <v>80.0</v>
      </c>
      <c r="AI308" s="105">
        <v>95.0</v>
      </c>
      <c r="AJ308" s="105">
        <v>90.0</v>
      </c>
      <c r="AK308" s="105">
        <v>95.0</v>
      </c>
      <c r="AL308" s="105">
        <v>90.0</v>
      </c>
      <c r="AM308" s="33">
        <v>0.0</v>
      </c>
      <c r="AN308" s="105">
        <v>100.0</v>
      </c>
      <c r="AO308" s="105">
        <v>100.0</v>
      </c>
      <c r="AP308" s="18" t="s">
        <v>2356</v>
      </c>
      <c r="AQ308" s="18" t="s">
        <v>2357</v>
      </c>
      <c r="AR308" s="121" t="s">
        <v>2264</v>
      </c>
      <c r="AS308" s="121" t="s">
        <v>2265</v>
      </c>
      <c r="AT308" s="121" t="s">
        <v>2078</v>
      </c>
      <c r="AU308" s="21" t="s">
        <v>2266</v>
      </c>
      <c r="AV308" s="22" t="s">
        <v>805</v>
      </c>
      <c r="AW308" s="94" t="s">
        <v>2358</v>
      </c>
      <c r="AX308" s="52"/>
      <c r="BA308" s="52"/>
      <c r="BB308" s="52"/>
    </row>
    <row r="309" hidden="1">
      <c r="A309" s="25" t="s">
        <v>2359</v>
      </c>
      <c r="B309" s="103" t="s">
        <v>2360</v>
      </c>
      <c r="C309" s="97" t="s">
        <v>2206</v>
      </c>
      <c r="D309" s="97" t="s">
        <v>52</v>
      </c>
      <c r="E309" s="97" t="s">
        <v>2318</v>
      </c>
      <c r="F309" s="29" t="s">
        <v>2361</v>
      </c>
      <c r="G309" s="29">
        <v>99.0</v>
      </c>
      <c r="H309" s="36">
        <f t="shared" si="1"/>
        <v>94.05</v>
      </c>
      <c r="I309" s="97" t="s">
        <v>55</v>
      </c>
      <c r="J309" s="102" t="s">
        <v>56</v>
      </c>
      <c r="K309" s="110" t="s">
        <v>2362</v>
      </c>
      <c r="L309" s="104" t="s">
        <v>203</v>
      </c>
      <c r="M309" s="104" t="s">
        <v>2363</v>
      </c>
      <c r="N309" s="105">
        <v>100.0</v>
      </c>
      <c r="O309" s="105">
        <v>100.0</v>
      </c>
      <c r="P309" s="105">
        <v>100.0</v>
      </c>
      <c r="Q309" s="105">
        <v>35.0</v>
      </c>
      <c r="R309" s="105">
        <v>10.0</v>
      </c>
      <c r="S309" s="105">
        <v>90.0</v>
      </c>
      <c r="T309" s="105">
        <v>20.0</v>
      </c>
      <c r="U309" s="105">
        <v>45.0</v>
      </c>
      <c r="V309" s="105">
        <v>38.0</v>
      </c>
      <c r="W309" s="105">
        <v>20.0</v>
      </c>
      <c r="X309" s="105">
        <v>62.0</v>
      </c>
      <c r="Y309" s="105">
        <v>20.0</v>
      </c>
      <c r="Z309" s="105">
        <v>18.0</v>
      </c>
      <c r="AA309" s="105">
        <v>60.0</v>
      </c>
      <c r="AB309" s="105">
        <v>90.0</v>
      </c>
      <c r="AC309" s="105">
        <v>48.0</v>
      </c>
      <c r="AD309" s="105">
        <v>18.0</v>
      </c>
      <c r="AE309" s="105">
        <v>75.0</v>
      </c>
      <c r="AF309" s="105">
        <v>80.0</v>
      </c>
      <c r="AG309" s="105">
        <v>90.0</v>
      </c>
      <c r="AH309" s="105">
        <v>95.0</v>
      </c>
      <c r="AI309" s="105">
        <v>90.0</v>
      </c>
      <c r="AJ309" s="105">
        <v>90.0</v>
      </c>
      <c r="AK309" s="105">
        <v>90.0</v>
      </c>
      <c r="AL309" s="105">
        <v>90.0</v>
      </c>
      <c r="AM309" s="33">
        <v>100.0</v>
      </c>
      <c r="AN309" s="105">
        <v>100.0</v>
      </c>
      <c r="AO309" s="105">
        <v>100.0</v>
      </c>
      <c r="AP309" s="18" t="s">
        <v>2364</v>
      </c>
      <c r="AQ309" s="18" t="s">
        <v>2365</v>
      </c>
      <c r="AR309" s="121" t="s">
        <v>2264</v>
      </c>
      <c r="AS309" s="121" t="s">
        <v>2265</v>
      </c>
      <c r="AT309" s="121" t="s">
        <v>2078</v>
      </c>
      <c r="AU309" s="21" t="s">
        <v>2266</v>
      </c>
      <c r="AV309" s="22" t="s">
        <v>426</v>
      </c>
      <c r="AW309" s="94" t="s">
        <v>2366</v>
      </c>
      <c r="AX309" s="52"/>
      <c r="BA309" s="52"/>
      <c r="BB309" s="52"/>
    </row>
    <row r="310" hidden="1">
      <c r="A310" s="25" t="s">
        <v>2367</v>
      </c>
      <c r="B310" s="103" t="s">
        <v>2368</v>
      </c>
      <c r="C310" s="97" t="s">
        <v>2206</v>
      </c>
      <c r="D310" s="97" t="s">
        <v>52</v>
      </c>
      <c r="E310" s="97" t="s">
        <v>502</v>
      </c>
      <c r="F310" s="29" t="s">
        <v>974</v>
      </c>
      <c r="G310" s="29">
        <v>545.0</v>
      </c>
      <c r="H310" s="36">
        <f t="shared" si="1"/>
        <v>517.75</v>
      </c>
      <c r="I310" s="97" t="s">
        <v>55</v>
      </c>
      <c r="J310" s="102" t="s">
        <v>2369</v>
      </c>
      <c r="K310" s="110" t="s">
        <v>2271</v>
      </c>
      <c r="L310" s="104" t="s">
        <v>2370</v>
      </c>
      <c r="M310" s="104" t="s">
        <v>2371</v>
      </c>
      <c r="N310" s="105">
        <v>-100.0</v>
      </c>
      <c r="O310" s="105">
        <v>100.0</v>
      </c>
      <c r="P310" s="105">
        <v>100.0</v>
      </c>
      <c r="Q310" s="105">
        <v>42.0</v>
      </c>
      <c r="R310" s="105">
        <v>12.0</v>
      </c>
      <c r="S310" s="105">
        <v>16.0</v>
      </c>
      <c r="T310" s="105">
        <v>34.0</v>
      </c>
      <c r="U310" s="105">
        <v>90.0</v>
      </c>
      <c r="V310" s="105">
        <v>82.0</v>
      </c>
      <c r="W310" s="105">
        <v>44.0</v>
      </c>
      <c r="X310" s="105">
        <v>18.0</v>
      </c>
      <c r="Y310" s="105">
        <v>20.0</v>
      </c>
      <c r="Z310" s="105">
        <v>12.0</v>
      </c>
      <c r="AA310" s="105">
        <v>22.0</v>
      </c>
      <c r="AB310" s="105">
        <v>14.0</v>
      </c>
      <c r="AC310" s="105">
        <v>90.0</v>
      </c>
      <c r="AD310" s="105">
        <v>92.0</v>
      </c>
      <c r="AE310" s="105">
        <v>62.0</v>
      </c>
      <c r="AF310" s="105">
        <v>40.0</v>
      </c>
      <c r="AG310" s="105">
        <v>14.0</v>
      </c>
      <c r="AH310" s="105">
        <v>4.0</v>
      </c>
      <c r="AI310" s="105">
        <v>78.0</v>
      </c>
      <c r="AJ310" s="105">
        <v>58.0</v>
      </c>
      <c r="AK310" s="105">
        <v>90.0</v>
      </c>
      <c r="AL310" s="105">
        <v>68.0</v>
      </c>
      <c r="AM310" s="33">
        <v>0.0</v>
      </c>
      <c r="AN310" s="105">
        <v>-100.0</v>
      </c>
      <c r="AO310" s="105">
        <v>-100.0</v>
      </c>
      <c r="AP310" s="18" t="s">
        <v>2372</v>
      </c>
      <c r="AQ310" s="18" t="s">
        <v>2373</v>
      </c>
      <c r="AR310" s="121" t="s">
        <v>2264</v>
      </c>
      <c r="AS310" s="121" t="s">
        <v>2265</v>
      </c>
      <c r="AT310" s="121" t="s">
        <v>2078</v>
      </c>
      <c r="AU310" s="21" t="s">
        <v>2266</v>
      </c>
      <c r="AV310" s="22" t="s">
        <v>2374</v>
      </c>
      <c r="AW310" s="94" t="s">
        <v>2375</v>
      </c>
      <c r="AX310" s="52"/>
      <c r="AY310" s="55"/>
      <c r="AZ310" s="55"/>
      <c r="BA310" s="52"/>
      <c r="BB310" s="52"/>
    </row>
    <row r="311" hidden="1">
      <c r="A311" s="25" t="s">
        <v>2376</v>
      </c>
      <c r="B311" s="103" t="s">
        <v>2377</v>
      </c>
      <c r="C311" s="97" t="s">
        <v>2378</v>
      </c>
      <c r="D311" s="97" t="s">
        <v>52</v>
      </c>
      <c r="E311" s="97" t="s">
        <v>84</v>
      </c>
      <c r="F311" s="29" t="s">
        <v>549</v>
      </c>
      <c r="G311" s="29">
        <v>295.0</v>
      </c>
      <c r="H311" s="36">
        <f t="shared" si="1"/>
        <v>280.25</v>
      </c>
      <c r="I311" s="97" t="s">
        <v>55</v>
      </c>
      <c r="J311" s="102" t="s">
        <v>139</v>
      </c>
      <c r="K311" s="110" t="s">
        <v>1899</v>
      </c>
      <c r="L311" s="104" t="s">
        <v>88</v>
      </c>
      <c r="M311" s="104" t="s">
        <v>203</v>
      </c>
      <c r="N311" s="105">
        <v>100.0</v>
      </c>
      <c r="O311" s="105">
        <v>100.0</v>
      </c>
      <c r="P311" s="105">
        <v>100.0</v>
      </c>
      <c r="Q311" s="105">
        <v>38.0</v>
      </c>
      <c r="R311" s="105">
        <v>10.0</v>
      </c>
      <c r="S311" s="105">
        <v>90.0</v>
      </c>
      <c r="T311" s="105">
        <v>10.0</v>
      </c>
      <c r="U311" s="105">
        <v>12.0</v>
      </c>
      <c r="V311" s="105">
        <v>10.0</v>
      </c>
      <c r="W311" s="105">
        <v>5.0</v>
      </c>
      <c r="X311" s="105">
        <v>92.0</v>
      </c>
      <c r="Y311" s="105">
        <v>12.0</v>
      </c>
      <c r="Z311" s="105">
        <v>18.0</v>
      </c>
      <c r="AA311" s="105">
        <v>82.0</v>
      </c>
      <c r="AB311" s="105">
        <v>90.0</v>
      </c>
      <c r="AC311" s="105">
        <v>20.0</v>
      </c>
      <c r="AD311" s="105">
        <v>5.0</v>
      </c>
      <c r="AE311" s="105">
        <v>52.0</v>
      </c>
      <c r="AF311" s="105">
        <v>50.0</v>
      </c>
      <c r="AG311" s="105">
        <v>92.0</v>
      </c>
      <c r="AH311" s="105">
        <v>90.0</v>
      </c>
      <c r="AI311" s="105">
        <v>82.0</v>
      </c>
      <c r="AJ311" s="105">
        <v>80.0</v>
      </c>
      <c r="AK311" s="105">
        <v>76.0</v>
      </c>
      <c r="AL311" s="105">
        <v>74.0</v>
      </c>
      <c r="AM311" s="33">
        <v>100.0</v>
      </c>
      <c r="AN311" s="105">
        <v>100.0</v>
      </c>
      <c r="AO311" s="105">
        <v>100.0</v>
      </c>
      <c r="AP311" s="18" t="s">
        <v>2379</v>
      </c>
      <c r="AQ311" s="18" t="s">
        <v>2380</v>
      </c>
      <c r="AR311" s="121" t="s">
        <v>2064</v>
      </c>
      <c r="AS311" s="121" t="s">
        <v>2065</v>
      </c>
      <c r="AT311" s="121" t="s">
        <v>2066</v>
      </c>
      <c r="AU311" s="21" t="s">
        <v>2067</v>
      </c>
      <c r="AV311" s="22" t="s">
        <v>248</v>
      </c>
      <c r="AW311" s="94" t="s">
        <v>2381</v>
      </c>
      <c r="AX311" s="52"/>
      <c r="BA311" s="52"/>
      <c r="BB311" s="52"/>
    </row>
    <row r="312" hidden="1">
      <c r="A312" s="25" t="s">
        <v>2382</v>
      </c>
      <c r="B312" s="103" t="s">
        <v>2383</v>
      </c>
      <c r="C312" s="97" t="s">
        <v>2378</v>
      </c>
      <c r="D312" s="97" t="s">
        <v>52</v>
      </c>
      <c r="E312" s="97" t="s">
        <v>84</v>
      </c>
      <c r="F312" s="29" t="s">
        <v>549</v>
      </c>
      <c r="G312" s="29">
        <v>295.0</v>
      </c>
      <c r="H312" s="36">
        <f t="shared" si="1"/>
        <v>280.25</v>
      </c>
      <c r="I312" s="97" t="s">
        <v>55</v>
      </c>
      <c r="J312" s="102" t="s">
        <v>2384</v>
      </c>
      <c r="K312" s="110" t="s">
        <v>1803</v>
      </c>
      <c r="L312" s="104" t="s">
        <v>2385</v>
      </c>
      <c r="M312" s="104" t="s">
        <v>2386</v>
      </c>
      <c r="N312" s="105">
        <v>100.0</v>
      </c>
      <c r="O312" s="105">
        <v>100.0</v>
      </c>
      <c r="P312" s="105">
        <v>100.0</v>
      </c>
      <c r="Q312" s="105">
        <v>74.0</v>
      </c>
      <c r="R312" s="105">
        <v>14.0</v>
      </c>
      <c r="S312" s="105">
        <v>62.0</v>
      </c>
      <c r="T312" s="105">
        <v>28.0</v>
      </c>
      <c r="U312" s="105">
        <v>16.0</v>
      </c>
      <c r="V312" s="105">
        <v>10.0</v>
      </c>
      <c r="W312" s="105">
        <v>4.0</v>
      </c>
      <c r="X312" s="105">
        <v>90.0</v>
      </c>
      <c r="Y312" s="105">
        <v>20.0</v>
      </c>
      <c r="Z312" s="105">
        <v>10.0</v>
      </c>
      <c r="AA312" s="105">
        <v>92.0</v>
      </c>
      <c r="AB312" s="105">
        <v>78.0</v>
      </c>
      <c r="AC312" s="105">
        <v>18.0</v>
      </c>
      <c r="AD312" s="105">
        <v>4.0</v>
      </c>
      <c r="AE312" s="105">
        <v>94.0</v>
      </c>
      <c r="AF312" s="105">
        <v>92.0</v>
      </c>
      <c r="AG312" s="105">
        <v>56.0</v>
      </c>
      <c r="AH312" s="105">
        <v>62.0</v>
      </c>
      <c r="AI312" s="105">
        <v>88.0</v>
      </c>
      <c r="AJ312" s="105">
        <v>90.0</v>
      </c>
      <c r="AK312" s="105">
        <v>96.0</v>
      </c>
      <c r="AL312" s="105">
        <v>96.0</v>
      </c>
      <c r="AM312" s="33">
        <v>-100.0</v>
      </c>
      <c r="AN312" s="105">
        <v>100.0</v>
      </c>
      <c r="AO312" s="105">
        <v>100.0</v>
      </c>
      <c r="AP312" s="18" t="s">
        <v>2387</v>
      </c>
      <c r="AQ312" s="18" t="s">
        <v>2388</v>
      </c>
      <c r="AR312" s="121" t="s">
        <v>2064</v>
      </c>
      <c r="AS312" s="121" t="s">
        <v>2065</v>
      </c>
      <c r="AT312" s="121" t="s">
        <v>2066</v>
      </c>
      <c r="AU312" s="21" t="s">
        <v>2067</v>
      </c>
      <c r="AV312" s="22" t="s">
        <v>248</v>
      </c>
      <c r="AW312" s="94" t="s">
        <v>2389</v>
      </c>
      <c r="AX312" s="52"/>
      <c r="BA312" s="52"/>
      <c r="BB312" s="52"/>
    </row>
    <row r="313">
      <c r="A313" s="25" t="s">
        <v>2390</v>
      </c>
      <c r="B313" s="103" t="s">
        <v>2391</v>
      </c>
      <c r="C313" s="97" t="s">
        <v>2392</v>
      </c>
      <c r="D313" s="97" t="s">
        <v>52</v>
      </c>
      <c r="E313" s="97" t="s">
        <v>84</v>
      </c>
      <c r="F313" s="29" t="s">
        <v>965</v>
      </c>
      <c r="G313" s="29">
        <v>1200.0</v>
      </c>
      <c r="H313" s="36">
        <f t="shared" si="1"/>
        <v>1140</v>
      </c>
      <c r="I313" s="97" t="s">
        <v>2157</v>
      </c>
      <c r="J313" s="102" t="s">
        <v>331</v>
      </c>
      <c r="K313" s="110" t="s">
        <v>57</v>
      </c>
      <c r="L313" s="104" t="s">
        <v>203</v>
      </c>
      <c r="M313" s="104" t="s">
        <v>2393</v>
      </c>
      <c r="N313" s="105">
        <v>100.0</v>
      </c>
      <c r="O313" s="105">
        <v>100.0</v>
      </c>
      <c r="P313" s="105">
        <v>100.0</v>
      </c>
      <c r="Q313" s="105">
        <v>34.0</v>
      </c>
      <c r="R313" s="105">
        <v>8.0</v>
      </c>
      <c r="S313" s="105">
        <v>90.0</v>
      </c>
      <c r="T313" s="105">
        <v>12.0</v>
      </c>
      <c r="U313" s="105">
        <v>22.0</v>
      </c>
      <c r="V313" s="105">
        <v>18.0</v>
      </c>
      <c r="W313" s="105">
        <v>8.0</v>
      </c>
      <c r="X313" s="105">
        <v>74.0</v>
      </c>
      <c r="Y313" s="105">
        <v>15.0</v>
      </c>
      <c r="Z313" s="105">
        <v>24.0</v>
      </c>
      <c r="AA313" s="105">
        <v>72.0</v>
      </c>
      <c r="AB313" s="105">
        <v>92.0</v>
      </c>
      <c r="AC313" s="105">
        <v>32.0</v>
      </c>
      <c r="AD313" s="105">
        <v>10.0</v>
      </c>
      <c r="AE313" s="105">
        <v>68.0</v>
      </c>
      <c r="AF313" s="105">
        <v>62.0</v>
      </c>
      <c r="AG313" s="105">
        <v>90.0</v>
      </c>
      <c r="AH313" s="105">
        <v>82.0</v>
      </c>
      <c r="AI313" s="105">
        <v>82.0</v>
      </c>
      <c r="AJ313" s="105">
        <v>76.0</v>
      </c>
      <c r="AK313" s="105">
        <v>78.0</v>
      </c>
      <c r="AL313" s="105">
        <v>72.0</v>
      </c>
      <c r="AM313" s="33">
        <v>100.0</v>
      </c>
      <c r="AN313" s="105">
        <v>100.0</v>
      </c>
      <c r="AO313" s="105">
        <v>100.0</v>
      </c>
      <c r="AP313" s="18" t="s">
        <v>2394</v>
      </c>
      <c r="AQ313" s="18" t="s">
        <v>2395</v>
      </c>
      <c r="AR313" s="121" t="s">
        <v>2064</v>
      </c>
      <c r="AS313" s="121" t="s">
        <v>2065</v>
      </c>
      <c r="AT313" s="121" t="s">
        <v>2066</v>
      </c>
      <c r="AU313" s="21" t="s">
        <v>2067</v>
      </c>
      <c r="AV313" s="22" t="s">
        <v>228</v>
      </c>
      <c r="AW313" s="94" t="s">
        <v>2396</v>
      </c>
      <c r="AX313" s="52"/>
      <c r="BA313" s="52"/>
      <c r="BB313" s="52"/>
    </row>
    <row r="314">
      <c r="A314" s="25" t="s">
        <v>2397</v>
      </c>
      <c r="B314" s="103" t="s">
        <v>2398</v>
      </c>
      <c r="C314" s="97" t="s">
        <v>2177</v>
      </c>
      <c r="D314" s="97" t="s">
        <v>52</v>
      </c>
      <c r="E314" s="97" t="s">
        <v>84</v>
      </c>
      <c r="F314" s="29" t="s">
        <v>54</v>
      </c>
      <c r="G314" s="29">
        <v>1650.0</v>
      </c>
      <c r="H314" s="36">
        <f t="shared" si="1"/>
        <v>1567.5</v>
      </c>
      <c r="I314" s="97" t="s">
        <v>1199</v>
      </c>
      <c r="J314" s="102" t="s">
        <v>358</v>
      </c>
      <c r="K314" s="110" t="s">
        <v>26</v>
      </c>
      <c r="L314" s="104" t="s">
        <v>2399</v>
      </c>
      <c r="M314" s="104" t="s">
        <v>1571</v>
      </c>
      <c r="N314" s="105">
        <v>100.0</v>
      </c>
      <c r="O314" s="105">
        <v>100.0</v>
      </c>
      <c r="P314" s="105">
        <v>100.0</v>
      </c>
      <c r="Q314" s="105">
        <v>74.0</v>
      </c>
      <c r="R314" s="105">
        <v>14.0</v>
      </c>
      <c r="S314" s="105">
        <v>68.0</v>
      </c>
      <c r="T314" s="105">
        <v>18.0</v>
      </c>
      <c r="U314" s="105">
        <v>12.0</v>
      </c>
      <c r="V314" s="105">
        <v>8.0</v>
      </c>
      <c r="W314" s="105">
        <v>4.0</v>
      </c>
      <c r="X314" s="105">
        <v>88.0</v>
      </c>
      <c r="Y314" s="105">
        <v>16.0</v>
      </c>
      <c r="Z314" s="105">
        <v>12.0</v>
      </c>
      <c r="AA314" s="105">
        <v>90.0</v>
      </c>
      <c r="AB314" s="105">
        <v>78.0</v>
      </c>
      <c r="AC314" s="105">
        <v>18.0</v>
      </c>
      <c r="AD314" s="105">
        <v>4.0</v>
      </c>
      <c r="AE314" s="105">
        <v>92.0</v>
      </c>
      <c r="AF314" s="105">
        <v>90.0</v>
      </c>
      <c r="AG314" s="105">
        <v>66.0</v>
      </c>
      <c r="AH314" s="105">
        <v>72.0</v>
      </c>
      <c r="AI314" s="105">
        <v>90.0</v>
      </c>
      <c r="AJ314" s="105">
        <v>92.0</v>
      </c>
      <c r="AK314" s="105">
        <v>94.0</v>
      </c>
      <c r="AL314" s="105">
        <v>94.0</v>
      </c>
      <c r="AM314" s="33">
        <v>-100.0</v>
      </c>
      <c r="AN314" s="105">
        <v>100.0</v>
      </c>
      <c r="AO314" s="105">
        <v>100.0</v>
      </c>
      <c r="AP314" s="18" t="s">
        <v>2400</v>
      </c>
      <c r="AQ314" s="18" t="s">
        <v>2401</v>
      </c>
      <c r="AR314" s="121" t="s">
        <v>2064</v>
      </c>
      <c r="AS314" s="121" t="s">
        <v>2065</v>
      </c>
      <c r="AT314" s="121" t="s">
        <v>2066</v>
      </c>
      <c r="AU314" s="21" t="s">
        <v>2067</v>
      </c>
      <c r="AV314" s="22" t="s">
        <v>1348</v>
      </c>
      <c r="AW314" s="94" t="s">
        <v>2402</v>
      </c>
      <c r="AX314" s="52"/>
      <c r="BA314" s="52"/>
      <c r="BB314" s="52"/>
    </row>
    <row r="315">
      <c r="A315" s="25" t="s">
        <v>2403</v>
      </c>
      <c r="B315" s="103" t="s">
        <v>2404</v>
      </c>
      <c r="C315" s="97" t="s">
        <v>2156</v>
      </c>
      <c r="D315" s="97" t="s">
        <v>52</v>
      </c>
      <c r="E315" s="97" t="s">
        <v>84</v>
      </c>
      <c r="F315" s="29" t="s">
        <v>322</v>
      </c>
      <c r="G315" s="29">
        <v>1300.0</v>
      </c>
      <c r="H315" s="36">
        <f t="shared" si="1"/>
        <v>1235</v>
      </c>
      <c r="I315" s="97" t="s">
        <v>2157</v>
      </c>
      <c r="J315" s="102" t="s">
        <v>139</v>
      </c>
      <c r="K315" s="110" t="s">
        <v>1899</v>
      </c>
      <c r="L315" s="104" t="s">
        <v>88</v>
      </c>
      <c r="M315" s="104" t="s">
        <v>2158</v>
      </c>
      <c r="N315" s="105">
        <v>100.0</v>
      </c>
      <c r="O315" s="105">
        <v>100.0</v>
      </c>
      <c r="P315" s="105">
        <v>100.0</v>
      </c>
      <c r="Q315" s="105">
        <v>38.0</v>
      </c>
      <c r="R315" s="105">
        <v>10.0</v>
      </c>
      <c r="S315" s="105">
        <v>90.0</v>
      </c>
      <c r="T315" s="105">
        <v>10.0</v>
      </c>
      <c r="U315" s="105">
        <v>8.0</v>
      </c>
      <c r="V315" s="105">
        <v>6.0</v>
      </c>
      <c r="W315" s="105">
        <v>4.0</v>
      </c>
      <c r="X315" s="105">
        <v>94.0</v>
      </c>
      <c r="Y315" s="105">
        <v>10.0</v>
      </c>
      <c r="Z315" s="105">
        <v>16.0</v>
      </c>
      <c r="AA315" s="105">
        <v>84.0</v>
      </c>
      <c r="AB315" s="105">
        <v>90.0</v>
      </c>
      <c r="AC315" s="105">
        <v>14.0</v>
      </c>
      <c r="AD315" s="105">
        <v>4.0</v>
      </c>
      <c r="AE315" s="105">
        <v>54.0</v>
      </c>
      <c r="AF315" s="105">
        <v>52.0</v>
      </c>
      <c r="AG315" s="105">
        <v>90.0</v>
      </c>
      <c r="AH315" s="105">
        <v>90.0</v>
      </c>
      <c r="AI315" s="105">
        <v>82.0</v>
      </c>
      <c r="AJ315" s="105">
        <v>80.0</v>
      </c>
      <c r="AK315" s="105">
        <v>76.0</v>
      </c>
      <c r="AL315" s="105">
        <v>74.0</v>
      </c>
      <c r="AM315" s="33">
        <v>100.0</v>
      </c>
      <c r="AN315" s="105">
        <v>100.0</v>
      </c>
      <c r="AO315" s="105">
        <v>100.0</v>
      </c>
      <c r="AP315" s="18" t="s">
        <v>2405</v>
      </c>
      <c r="AQ315" s="18" t="s">
        <v>2406</v>
      </c>
      <c r="AR315" s="121" t="s">
        <v>2064</v>
      </c>
      <c r="AS315" s="121" t="s">
        <v>2065</v>
      </c>
      <c r="AT315" s="121" t="s">
        <v>2066</v>
      </c>
      <c r="AU315" s="21" t="s">
        <v>2067</v>
      </c>
      <c r="AV315" s="22" t="s">
        <v>354</v>
      </c>
      <c r="AW315" s="94" t="s">
        <v>2407</v>
      </c>
      <c r="AX315" s="52"/>
      <c r="BA315" s="52"/>
      <c r="BB315" s="52"/>
    </row>
    <row r="316">
      <c r="A316" s="25" t="s">
        <v>2408</v>
      </c>
      <c r="B316" s="103" t="s">
        <v>2409</v>
      </c>
      <c r="C316" s="97" t="s">
        <v>2156</v>
      </c>
      <c r="D316" s="97" t="s">
        <v>52</v>
      </c>
      <c r="E316" s="97" t="s">
        <v>84</v>
      </c>
      <c r="F316" s="29" t="s">
        <v>2410</v>
      </c>
      <c r="G316" s="29">
        <v>1200.0</v>
      </c>
      <c r="H316" s="36">
        <f t="shared" si="1"/>
        <v>1140</v>
      </c>
      <c r="I316" s="97" t="s">
        <v>2157</v>
      </c>
      <c r="J316" s="102" t="s">
        <v>139</v>
      </c>
      <c r="K316" s="110" t="s">
        <v>243</v>
      </c>
      <c r="L316" s="104" t="s">
        <v>88</v>
      </c>
      <c r="M316" s="104" t="s">
        <v>2158</v>
      </c>
      <c r="N316" s="105">
        <v>100.0</v>
      </c>
      <c r="O316" s="105">
        <v>100.0</v>
      </c>
      <c r="P316" s="105">
        <v>100.0</v>
      </c>
      <c r="Q316" s="105">
        <v>34.0</v>
      </c>
      <c r="R316" s="105">
        <v>8.0</v>
      </c>
      <c r="S316" s="105">
        <v>96.0</v>
      </c>
      <c r="T316" s="105">
        <v>8.0</v>
      </c>
      <c r="U316" s="105">
        <v>6.0</v>
      </c>
      <c r="V316" s="105">
        <v>5.0</v>
      </c>
      <c r="W316" s="105">
        <v>4.0</v>
      </c>
      <c r="X316" s="105">
        <v>98.0</v>
      </c>
      <c r="Y316" s="105">
        <v>8.0</v>
      </c>
      <c r="Z316" s="105">
        <v>16.0</v>
      </c>
      <c r="AA316" s="105">
        <v>90.0</v>
      </c>
      <c r="AB316" s="105">
        <v>92.0</v>
      </c>
      <c r="AC316" s="105">
        <v>12.0</v>
      </c>
      <c r="AD316" s="105">
        <v>4.0</v>
      </c>
      <c r="AE316" s="105">
        <v>42.0</v>
      </c>
      <c r="AF316" s="105">
        <v>40.0</v>
      </c>
      <c r="AG316" s="105">
        <v>96.0</v>
      </c>
      <c r="AH316" s="105">
        <v>94.0</v>
      </c>
      <c r="AI316" s="105">
        <v>76.0</v>
      </c>
      <c r="AJ316" s="105">
        <v>74.0</v>
      </c>
      <c r="AK316" s="105">
        <v>68.0</v>
      </c>
      <c r="AL316" s="105">
        <v>66.0</v>
      </c>
      <c r="AM316" s="33">
        <v>100.0</v>
      </c>
      <c r="AN316" s="105">
        <v>100.0</v>
      </c>
      <c r="AO316" s="105">
        <v>100.0</v>
      </c>
      <c r="AP316" s="18" t="s">
        <v>2411</v>
      </c>
      <c r="AQ316" s="18" t="s">
        <v>2406</v>
      </c>
      <c r="AR316" s="121" t="s">
        <v>2064</v>
      </c>
      <c r="AS316" s="121" t="s">
        <v>2065</v>
      </c>
      <c r="AT316" s="121" t="s">
        <v>2066</v>
      </c>
      <c r="AU316" s="21" t="s">
        <v>2067</v>
      </c>
      <c r="AV316" s="22" t="s">
        <v>354</v>
      </c>
      <c r="AW316" s="94" t="s">
        <v>2412</v>
      </c>
      <c r="AX316" s="52"/>
      <c r="BA316" s="52"/>
      <c r="BB316" s="52"/>
    </row>
    <row r="317" hidden="1">
      <c r="A317" s="25" t="s">
        <v>2413</v>
      </c>
      <c r="B317" s="103" t="s">
        <v>2414</v>
      </c>
      <c r="C317" s="97" t="s">
        <v>2165</v>
      </c>
      <c r="D317" s="97" t="s">
        <v>52</v>
      </c>
      <c r="E317" s="97" t="s">
        <v>84</v>
      </c>
      <c r="F317" s="29" t="s">
        <v>549</v>
      </c>
      <c r="G317" s="29">
        <v>899.0</v>
      </c>
      <c r="H317" s="36">
        <f t="shared" si="1"/>
        <v>854.05</v>
      </c>
      <c r="I317" s="97" t="s">
        <v>2157</v>
      </c>
      <c r="J317" s="102" t="s">
        <v>139</v>
      </c>
      <c r="K317" s="110" t="s">
        <v>243</v>
      </c>
      <c r="L317" s="104" t="s">
        <v>1852</v>
      </c>
      <c r="M317" s="104" t="s">
        <v>2415</v>
      </c>
      <c r="N317" s="105">
        <v>100.0</v>
      </c>
      <c r="O317" s="105">
        <v>100.0</v>
      </c>
      <c r="P317" s="105">
        <v>100.0</v>
      </c>
      <c r="Q317" s="105">
        <v>30.0</v>
      </c>
      <c r="R317" s="105">
        <v>8.0</v>
      </c>
      <c r="S317" s="105">
        <v>94.0</v>
      </c>
      <c r="T317" s="105">
        <v>8.0</v>
      </c>
      <c r="U317" s="105">
        <v>18.0</v>
      </c>
      <c r="V317" s="105">
        <v>15.0</v>
      </c>
      <c r="W317" s="105">
        <v>6.0</v>
      </c>
      <c r="X317" s="105">
        <v>90.0</v>
      </c>
      <c r="Y317" s="105">
        <v>8.0</v>
      </c>
      <c r="Z317" s="105">
        <v>14.0</v>
      </c>
      <c r="AA317" s="105">
        <v>90.0</v>
      </c>
      <c r="AB317" s="105">
        <v>90.0</v>
      </c>
      <c r="AC317" s="105">
        <v>18.0</v>
      </c>
      <c r="AD317" s="105">
        <v>5.0</v>
      </c>
      <c r="AE317" s="105">
        <v>38.0</v>
      </c>
      <c r="AF317" s="105">
        <v>36.0</v>
      </c>
      <c r="AG317" s="105">
        <v>94.0</v>
      </c>
      <c r="AH317" s="105">
        <v>92.0</v>
      </c>
      <c r="AI317" s="105">
        <v>74.0</v>
      </c>
      <c r="AJ317" s="105">
        <v>72.0</v>
      </c>
      <c r="AK317" s="105">
        <v>66.0</v>
      </c>
      <c r="AL317" s="105">
        <v>64.0</v>
      </c>
      <c r="AM317" s="33">
        <v>100.0</v>
      </c>
      <c r="AN317" s="105">
        <v>100.0</v>
      </c>
      <c r="AO317" s="105">
        <v>100.0</v>
      </c>
      <c r="AP317" s="18" t="s">
        <v>2416</v>
      </c>
      <c r="AQ317" s="18" t="s">
        <v>2417</v>
      </c>
      <c r="AR317" s="121" t="s">
        <v>2064</v>
      </c>
      <c r="AS317" s="121" t="s">
        <v>2065</v>
      </c>
      <c r="AT317" s="121" t="s">
        <v>2066</v>
      </c>
      <c r="AU317" s="21" t="s">
        <v>2067</v>
      </c>
      <c r="AV317" s="22" t="s">
        <v>271</v>
      </c>
      <c r="AW317" s="94" t="s">
        <v>2418</v>
      </c>
      <c r="AX317" s="52"/>
      <c r="BA317" s="52"/>
      <c r="BB317" s="52"/>
    </row>
    <row r="318" hidden="1">
      <c r="A318" s="25" t="s">
        <v>2419</v>
      </c>
      <c r="B318" s="103" t="s">
        <v>2420</v>
      </c>
      <c r="C318" s="97" t="s">
        <v>2165</v>
      </c>
      <c r="D318" s="97" t="s">
        <v>52</v>
      </c>
      <c r="E318" s="97" t="s">
        <v>84</v>
      </c>
      <c r="F318" s="29" t="s">
        <v>549</v>
      </c>
      <c r="G318" s="29">
        <v>765.0</v>
      </c>
      <c r="H318" s="36">
        <f t="shared" si="1"/>
        <v>726.75</v>
      </c>
      <c r="I318" s="97" t="s">
        <v>2157</v>
      </c>
      <c r="J318" s="102" t="s">
        <v>139</v>
      </c>
      <c r="K318" s="110" t="s">
        <v>57</v>
      </c>
      <c r="L318" s="104" t="s">
        <v>1118</v>
      </c>
      <c r="M318" s="104" t="s">
        <v>154</v>
      </c>
      <c r="N318" s="105">
        <v>100.0</v>
      </c>
      <c r="O318" s="105">
        <v>100.0</v>
      </c>
      <c r="P318" s="105">
        <v>100.0</v>
      </c>
      <c r="Q318" s="105">
        <v>34.0</v>
      </c>
      <c r="R318" s="105">
        <v>8.0</v>
      </c>
      <c r="S318" s="105">
        <v>90.0</v>
      </c>
      <c r="T318" s="105">
        <v>10.0</v>
      </c>
      <c r="U318" s="105">
        <v>20.0</v>
      </c>
      <c r="V318" s="105">
        <v>16.0</v>
      </c>
      <c r="W318" s="105">
        <v>6.0</v>
      </c>
      <c r="X318" s="105">
        <v>82.0</v>
      </c>
      <c r="Y318" s="105">
        <v>10.0</v>
      </c>
      <c r="Z318" s="105">
        <v>14.0</v>
      </c>
      <c r="AA318" s="105">
        <v>84.0</v>
      </c>
      <c r="AB318" s="105">
        <v>90.0</v>
      </c>
      <c r="AC318" s="105">
        <v>20.0</v>
      </c>
      <c r="AD318" s="105">
        <v>5.0</v>
      </c>
      <c r="AE318" s="105">
        <v>46.0</v>
      </c>
      <c r="AF318" s="105">
        <v>42.0</v>
      </c>
      <c r="AG318" s="105">
        <v>90.0</v>
      </c>
      <c r="AH318" s="105">
        <v>90.0</v>
      </c>
      <c r="AI318" s="105">
        <v>78.0</v>
      </c>
      <c r="AJ318" s="105">
        <v>74.0</v>
      </c>
      <c r="AK318" s="105">
        <v>72.0</v>
      </c>
      <c r="AL318" s="105">
        <v>68.0</v>
      </c>
      <c r="AM318" s="33">
        <v>100.0</v>
      </c>
      <c r="AN318" s="105">
        <v>100.0</v>
      </c>
      <c r="AO318" s="105">
        <v>100.0</v>
      </c>
      <c r="AP318" s="18" t="s">
        <v>2421</v>
      </c>
      <c r="AQ318" s="18" t="s">
        <v>2422</v>
      </c>
      <c r="AR318" s="121" t="s">
        <v>2064</v>
      </c>
      <c r="AS318" s="121" t="s">
        <v>2065</v>
      </c>
      <c r="AT318" s="121" t="s">
        <v>2066</v>
      </c>
      <c r="AU318" s="21" t="s">
        <v>2067</v>
      </c>
      <c r="AV318" s="22" t="s">
        <v>554</v>
      </c>
      <c r="AW318" s="94" t="s">
        <v>2423</v>
      </c>
      <c r="AX318" s="52"/>
      <c r="AY318" s="55"/>
      <c r="AZ318" s="55"/>
      <c r="BA318" s="52"/>
      <c r="BB318" s="52"/>
    </row>
    <row r="319" hidden="1">
      <c r="A319" s="25" t="s">
        <v>2424</v>
      </c>
      <c r="B319" s="103" t="s">
        <v>2425</v>
      </c>
      <c r="C319" s="97" t="s">
        <v>151</v>
      </c>
      <c r="D319" s="97" t="s">
        <v>52</v>
      </c>
      <c r="E319" s="97" t="s">
        <v>84</v>
      </c>
      <c r="F319" s="29" t="s">
        <v>85</v>
      </c>
      <c r="G319" s="29">
        <v>229.0</v>
      </c>
      <c r="H319" s="36">
        <f t="shared" si="1"/>
        <v>217.55</v>
      </c>
      <c r="I319" s="97" t="s">
        <v>55</v>
      </c>
      <c r="J319" s="102" t="s">
        <v>139</v>
      </c>
      <c r="K319" s="110" t="s">
        <v>1899</v>
      </c>
      <c r="L319" s="104" t="s">
        <v>88</v>
      </c>
      <c r="M319" s="104" t="s">
        <v>2158</v>
      </c>
      <c r="N319" s="105">
        <v>100.0</v>
      </c>
      <c r="O319" s="105">
        <v>100.0</v>
      </c>
      <c r="P319" s="105">
        <v>100.0</v>
      </c>
      <c r="Q319" s="105">
        <v>38.0</v>
      </c>
      <c r="R319" s="105">
        <v>10.0</v>
      </c>
      <c r="S319" s="105">
        <v>90.0</v>
      </c>
      <c r="T319" s="105">
        <v>10.0</v>
      </c>
      <c r="U319" s="105">
        <v>8.0</v>
      </c>
      <c r="V319" s="105">
        <v>6.0</v>
      </c>
      <c r="W319" s="105">
        <v>4.0</v>
      </c>
      <c r="X319" s="105">
        <v>92.0</v>
      </c>
      <c r="Y319" s="105">
        <v>10.0</v>
      </c>
      <c r="Z319" s="105">
        <v>16.0</v>
      </c>
      <c r="AA319" s="105">
        <v>82.0</v>
      </c>
      <c r="AB319" s="105">
        <v>90.0</v>
      </c>
      <c r="AC319" s="105">
        <v>14.0</v>
      </c>
      <c r="AD319" s="105">
        <v>4.0</v>
      </c>
      <c r="AE319" s="105">
        <v>52.0</v>
      </c>
      <c r="AF319" s="105">
        <v>50.0</v>
      </c>
      <c r="AG319" s="105">
        <v>90.0</v>
      </c>
      <c r="AH319" s="105">
        <v>90.0</v>
      </c>
      <c r="AI319" s="105">
        <v>82.0</v>
      </c>
      <c r="AJ319" s="105">
        <v>80.0</v>
      </c>
      <c r="AK319" s="105">
        <v>76.0</v>
      </c>
      <c r="AL319" s="105">
        <v>74.0</v>
      </c>
      <c r="AM319" s="33">
        <v>100.0</v>
      </c>
      <c r="AN319" s="105">
        <v>100.0</v>
      </c>
      <c r="AO319" s="105">
        <v>100.0</v>
      </c>
      <c r="AP319" s="18" t="s">
        <v>2426</v>
      </c>
      <c r="AQ319" s="18" t="s">
        <v>2427</v>
      </c>
      <c r="AR319" s="121" t="s">
        <v>2064</v>
      </c>
      <c r="AS319" s="121" t="s">
        <v>2065</v>
      </c>
      <c r="AT319" s="121" t="s">
        <v>2066</v>
      </c>
      <c r="AU319" s="21" t="s">
        <v>2067</v>
      </c>
      <c r="AV319" s="22" t="s">
        <v>1204</v>
      </c>
      <c r="AW319" s="94" t="s">
        <v>2428</v>
      </c>
      <c r="AX319" s="52"/>
      <c r="BA319" s="52"/>
      <c r="BB319" s="52"/>
    </row>
    <row r="320" hidden="1">
      <c r="A320" s="25" t="s">
        <v>2429</v>
      </c>
      <c r="B320" s="103" t="s">
        <v>2430</v>
      </c>
      <c r="C320" s="97" t="s">
        <v>2206</v>
      </c>
      <c r="D320" s="97" t="s">
        <v>52</v>
      </c>
      <c r="E320" s="97" t="s">
        <v>84</v>
      </c>
      <c r="F320" s="29" t="s">
        <v>454</v>
      </c>
      <c r="G320" s="29">
        <v>495.0</v>
      </c>
      <c r="H320" s="36">
        <f t="shared" si="1"/>
        <v>470.25</v>
      </c>
      <c r="I320" s="97" t="s">
        <v>55</v>
      </c>
      <c r="J320" s="102" t="s">
        <v>139</v>
      </c>
      <c r="K320" s="110" t="s">
        <v>1899</v>
      </c>
      <c r="L320" s="104" t="s">
        <v>88</v>
      </c>
      <c r="M320" s="104" t="s">
        <v>2431</v>
      </c>
      <c r="N320" s="105">
        <v>100.0</v>
      </c>
      <c r="O320" s="105">
        <v>100.0</v>
      </c>
      <c r="P320" s="105">
        <v>100.0</v>
      </c>
      <c r="Q320" s="105">
        <v>34.0</v>
      </c>
      <c r="R320" s="105">
        <v>8.0</v>
      </c>
      <c r="S320" s="105">
        <v>90.0</v>
      </c>
      <c r="T320" s="105">
        <v>8.0</v>
      </c>
      <c r="U320" s="105">
        <v>8.0</v>
      </c>
      <c r="V320" s="105">
        <v>6.0</v>
      </c>
      <c r="W320" s="105">
        <v>4.0</v>
      </c>
      <c r="X320" s="105">
        <v>92.0</v>
      </c>
      <c r="Y320" s="105">
        <v>8.0</v>
      </c>
      <c r="Z320" s="105">
        <v>16.0</v>
      </c>
      <c r="AA320" s="105">
        <v>84.0</v>
      </c>
      <c r="AB320" s="105">
        <v>92.0</v>
      </c>
      <c r="AC320" s="105">
        <v>14.0</v>
      </c>
      <c r="AD320" s="105">
        <v>4.0</v>
      </c>
      <c r="AE320" s="105">
        <v>46.0</v>
      </c>
      <c r="AF320" s="105">
        <v>44.0</v>
      </c>
      <c r="AG320" s="105">
        <v>92.0</v>
      </c>
      <c r="AH320" s="105">
        <v>90.0</v>
      </c>
      <c r="AI320" s="105">
        <v>78.0</v>
      </c>
      <c r="AJ320" s="105">
        <v>76.0</v>
      </c>
      <c r="AK320" s="105">
        <v>72.0</v>
      </c>
      <c r="AL320" s="105">
        <v>70.0</v>
      </c>
      <c r="AM320" s="33">
        <v>100.0</v>
      </c>
      <c r="AN320" s="105">
        <v>100.0</v>
      </c>
      <c r="AO320" s="105">
        <v>100.0</v>
      </c>
      <c r="AP320" s="18" t="s">
        <v>2432</v>
      </c>
      <c r="AQ320" s="18" t="s">
        <v>2433</v>
      </c>
      <c r="AR320" s="121" t="s">
        <v>2064</v>
      </c>
      <c r="AS320" s="121" t="s">
        <v>2065</v>
      </c>
      <c r="AT320" s="121" t="s">
        <v>2066</v>
      </c>
      <c r="AU320" s="21" t="s">
        <v>2067</v>
      </c>
      <c r="AV320" s="22" t="s">
        <v>1204</v>
      </c>
      <c r="AW320" s="94" t="s">
        <v>2434</v>
      </c>
      <c r="AX320" s="52"/>
      <c r="BA320" s="52"/>
      <c r="BB320" s="52"/>
    </row>
    <row r="321" hidden="1">
      <c r="A321" s="25" t="s">
        <v>2435</v>
      </c>
      <c r="B321" s="103" t="s">
        <v>2436</v>
      </c>
      <c r="C321" s="97" t="s">
        <v>51</v>
      </c>
      <c r="D321" s="97" t="s">
        <v>52</v>
      </c>
      <c r="E321" s="97" t="s">
        <v>84</v>
      </c>
      <c r="F321" s="29" t="s">
        <v>85</v>
      </c>
      <c r="G321" s="29">
        <v>299.0</v>
      </c>
      <c r="H321" s="36">
        <f t="shared" si="1"/>
        <v>284.05</v>
      </c>
      <c r="I321" s="97" t="s">
        <v>55</v>
      </c>
      <c r="J321" s="102" t="s">
        <v>331</v>
      </c>
      <c r="K321" s="110" t="s">
        <v>57</v>
      </c>
      <c r="L321" s="104" t="s">
        <v>2437</v>
      </c>
      <c r="M321" s="104" t="s">
        <v>2438</v>
      </c>
      <c r="N321" s="105">
        <v>100.0</v>
      </c>
      <c r="O321" s="105">
        <v>100.0</v>
      </c>
      <c r="P321" s="105">
        <v>100.0</v>
      </c>
      <c r="Q321" s="105">
        <v>28.0</v>
      </c>
      <c r="R321" s="105">
        <v>8.0</v>
      </c>
      <c r="S321" s="105">
        <v>90.0</v>
      </c>
      <c r="T321" s="105">
        <v>8.0</v>
      </c>
      <c r="U321" s="105">
        <v>10.0</v>
      </c>
      <c r="V321" s="105">
        <v>8.0</v>
      </c>
      <c r="W321" s="105">
        <v>4.0</v>
      </c>
      <c r="X321" s="105">
        <v>74.0</v>
      </c>
      <c r="Y321" s="105">
        <v>12.0</v>
      </c>
      <c r="Z321" s="105">
        <v>18.0</v>
      </c>
      <c r="AA321" s="105">
        <v>68.0</v>
      </c>
      <c r="AB321" s="105">
        <v>90.0</v>
      </c>
      <c r="AC321" s="105">
        <v>16.0</v>
      </c>
      <c r="AD321" s="105">
        <v>4.0</v>
      </c>
      <c r="AE321" s="105">
        <v>34.0</v>
      </c>
      <c r="AF321" s="105">
        <v>28.0</v>
      </c>
      <c r="AG321" s="105">
        <v>90.0</v>
      </c>
      <c r="AH321" s="105">
        <v>80.0</v>
      </c>
      <c r="AI321" s="105">
        <v>70.0</v>
      </c>
      <c r="AJ321" s="105">
        <v>64.0</v>
      </c>
      <c r="AK321" s="105">
        <v>58.0</v>
      </c>
      <c r="AL321" s="105">
        <v>52.0</v>
      </c>
      <c r="AM321" s="33">
        <v>100.0</v>
      </c>
      <c r="AN321" s="105">
        <v>100.0</v>
      </c>
      <c r="AO321" s="105">
        <v>100.0</v>
      </c>
      <c r="AP321" s="18" t="s">
        <v>2439</v>
      </c>
      <c r="AQ321" s="18" t="s">
        <v>2440</v>
      </c>
      <c r="AR321" s="121" t="s">
        <v>2064</v>
      </c>
      <c r="AS321" s="121" t="s">
        <v>2065</v>
      </c>
      <c r="AT321" s="121" t="s">
        <v>2066</v>
      </c>
      <c r="AU321" s="21" t="s">
        <v>2067</v>
      </c>
      <c r="AV321" s="22" t="s">
        <v>1204</v>
      </c>
      <c r="AW321" s="94" t="s">
        <v>2441</v>
      </c>
      <c r="AX321" s="52"/>
      <c r="BA321" s="52"/>
      <c r="BB321" s="52"/>
    </row>
    <row r="322">
      <c r="A322" s="25" t="s">
        <v>2442</v>
      </c>
      <c r="B322" s="103" t="s">
        <v>2443</v>
      </c>
      <c r="C322" s="97" t="s">
        <v>2177</v>
      </c>
      <c r="D322" s="97" t="s">
        <v>52</v>
      </c>
      <c r="E322" s="97" t="s">
        <v>84</v>
      </c>
      <c r="F322" s="29" t="s">
        <v>549</v>
      </c>
      <c r="G322" s="29">
        <v>1650.0</v>
      </c>
      <c r="H322" s="36">
        <f t="shared" si="1"/>
        <v>1567.5</v>
      </c>
      <c r="I322" s="97" t="s">
        <v>1199</v>
      </c>
      <c r="J322" s="102" t="s">
        <v>587</v>
      </c>
      <c r="K322" s="110" t="s">
        <v>23</v>
      </c>
      <c r="L322" s="104" t="s">
        <v>2444</v>
      </c>
      <c r="M322" s="104" t="s">
        <v>2158</v>
      </c>
      <c r="N322" s="105">
        <v>100.0</v>
      </c>
      <c r="O322" s="105">
        <v>100.0</v>
      </c>
      <c r="P322" s="105">
        <v>100.0</v>
      </c>
      <c r="Q322" s="105">
        <v>52.0</v>
      </c>
      <c r="R322" s="105">
        <v>12.0</v>
      </c>
      <c r="S322" s="105">
        <v>82.0</v>
      </c>
      <c r="T322" s="105">
        <v>12.0</v>
      </c>
      <c r="U322" s="105">
        <v>12.0</v>
      </c>
      <c r="V322" s="105">
        <v>8.0</v>
      </c>
      <c r="W322" s="105">
        <v>4.0</v>
      </c>
      <c r="X322" s="105">
        <v>90.0</v>
      </c>
      <c r="Y322" s="105">
        <v>14.0</v>
      </c>
      <c r="Z322" s="105">
        <v>22.0</v>
      </c>
      <c r="AA322" s="105">
        <v>88.0</v>
      </c>
      <c r="AB322" s="105">
        <v>88.0</v>
      </c>
      <c r="AC322" s="105">
        <v>22.0</v>
      </c>
      <c r="AD322" s="105">
        <v>4.0</v>
      </c>
      <c r="AE322" s="105">
        <v>76.0</v>
      </c>
      <c r="AF322" s="105">
        <v>80.0</v>
      </c>
      <c r="AG322" s="105">
        <v>90.0</v>
      </c>
      <c r="AH322" s="105">
        <v>92.0</v>
      </c>
      <c r="AI322" s="105">
        <v>90.0</v>
      </c>
      <c r="AJ322" s="105">
        <v>92.0</v>
      </c>
      <c r="AK322" s="105">
        <v>86.0</v>
      </c>
      <c r="AL322" s="105">
        <v>90.0</v>
      </c>
      <c r="AM322" s="33">
        <v>0.0</v>
      </c>
      <c r="AN322" s="105">
        <v>100.0</v>
      </c>
      <c r="AO322" s="105">
        <v>100.0</v>
      </c>
      <c r="AP322" s="18" t="s">
        <v>2445</v>
      </c>
      <c r="AQ322" s="18" t="s">
        <v>2446</v>
      </c>
      <c r="AR322" s="121" t="s">
        <v>2064</v>
      </c>
      <c r="AS322" s="121" t="s">
        <v>2065</v>
      </c>
      <c r="AT322" s="121" t="s">
        <v>2066</v>
      </c>
      <c r="AU322" s="21" t="s">
        <v>2067</v>
      </c>
      <c r="AV322" s="22" t="s">
        <v>1204</v>
      </c>
      <c r="AW322" s="94" t="s">
        <v>2447</v>
      </c>
      <c r="AX322" s="52"/>
      <c r="BA322" s="52"/>
      <c r="BB322" s="52"/>
    </row>
    <row r="323">
      <c r="A323" s="25" t="s">
        <v>2448</v>
      </c>
      <c r="B323" s="103" t="s">
        <v>2449</v>
      </c>
      <c r="C323" s="97" t="s">
        <v>1397</v>
      </c>
      <c r="D323" s="97" t="s">
        <v>52</v>
      </c>
      <c r="E323" s="97" t="s">
        <v>84</v>
      </c>
      <c r="F323" s="29" t="s">
        <v>54</v>
      </c>
      <c r="G323" s="29">
        <v>1250.0</v>
      </c>
      <c r="H323" s="36">
        <f t="shared" si="1"/>
        <v>1187.5</v>
      </c>
      <c r="I323" s="97" t="s">
        <v>1199</v>
      </c>
      <c r="J323" s="102" t="s">
        <v>216</v>
      </c>
      <c r="K323" s="110" t="s">
        <v>27</v>
      </c>
      <c r="L323" s="104" t="s">
        <v>1783</v>
      </c>
      <c r="M323" s="104" t="s">
        <v>2158</v>
      </c>
      <c r="N323" s="105">
        <v>100.0</v>
      </c>
      <c r="O323" s="105">
        <v>100.0</v>
      </c>
      <c r="P323" s="105">
        <v>100.0</v>
      </c>
      <c r="Q323" s="105">
        <v>42.0</v>
      </c>
      <c r="R323" s="105">
        <v>10.0</v>
      </c>
      <c r="S323" s="105">
        <v>76.0</v>
      </c>
      <c r="T323" s="105">
        <v>12.0</v>
      </c>
      <c r="U323" s="105">
        <v>18.0</v>
      </c>
      <c r="V323" s="105">
        <v>12.0</v>
      </c>
      <c r="W323" s="105">
        <v>6.0</v>
      </c>
      <c r="X323" s="105">
        <v>72.0</v>
      </c>
      <c r="Y323" s="105">
        <v>12.0</v>
      </c>
      <c r="Z323" s="105">
        <v>16.0</v>
      </c>
      <c r="AA323" s="105">
        <v>68.0</v>
      </c>
      <c r="AB323" s="105">
        <v>90.0</v>
      </c>
      <c r="AC323" s="105">
        <v>24.0</v>
      </c>
      <c r="AD323" s="105">
        <v>6.0</v>
      </c>
      <c r="AE323" s="105">
        <v>72.0</v>
      </c>
      <c r="AF323" s="105">
        <v>70.0</v>
      </c>
      <c r="AG323" s="105">
        <v>84.0</v>
      </c>
      <c r="AH323" s="105">
        <v>82.0</v>
      </c>
      <c r="AI323" s="105">
        <v>90.0</v>
      </c>
      <c r="AJ323" s="105">
        <v>88.0</v>
      </c>
      <c r="AK323" s="105">
        <v>86.0</v>
      </c>
      <c r="AL323" s="105">
        <v>84.0</v>
      </c>
      <c r="AM323" s="33">
        <v>0.0</v>
      </c>
      <c r="AN323" s="105">
        <v>100.0</v>
      </c>
      <c r="AO323" s="105">
        <v>100.0</v>
      </c>
      <c r="AP323" s="18" t="s">
        <v>2450</v>
      </c>
      <c r="AQ323" s="18" t="s">
        <v>2451</v>
      </c>
      <c r="AR323" s="121" t="s">
        <v>2064</v>
      </c>
      <c r="AS323" s="121" t="s">
        <v>2065</v>
      </c>
      <c r="AT323" s="121" t="s">
        <v>2066</v>
      </c>
      <c r="AU323" s="21" t="s">
        <v>2067</v>
      </c>
      <c r="AV323" s="22" t="s">
        <v>1204</v>
      </c>
      <c r="AW323" s="94" t="s">
        <v>2452</v>
      </c>
      <c r="AX323" s="52"/>
      <c r="BA323" s="52"/>
      <c r="BB323" s="52"/>
    </row>
    <row r="324">
      <c r="A324" s="25" t="s">
        <v>2453</v>
      </c>
      <c r="B324" s="103" t="s">
        <v>2454</v>
      </c>
      <c r="C324" s="97" t="s">
        <v>2455</v>
      </c>
      <c r="D324" s="97" t="s">
        <v>52</v>
      </c>
      <c r="E324" s="97" t="s">
        <v>84</v>
      </c>
      <c r="F324" s="29" t="s">
        <v>454</v>
      </c>
      <c r="G324" s="29">
        <v>2090.0</v>
      </c>
      <c r="H324" s="36">
        <f>97.5*G324%</f>
        <v>2037.75</v>
      </c>
      <c r="I324" s="97" t="s">
        <v>1199</v>
      </c>
      <c r="J324" s="102" t="s">
        <v>331</v>
      </c>
      <c r="K324" s="110" t="s">
        <v>57</v>
      </c>
      <c r="L324" s="104" t="s">
        <v>2456</v>
      </c>
      <c r="M324" s="104" t="s">
        <v>1595</v>
      </c>
      <c r="N324" s="105">
        <v>100.0</v>
      </c>
      <c r="O324" s="105">
        <v>100.0</v>
      </c>
      <c r="P324" s="105">
        <v>100.0</v>
      </c>
      <c r="Q324" s="105">
        <v>34.0</v>
      </c>
      <c r="R324" s="105">
        <v>8.0</v>
      </c>
      <c r="S324" s="105">
        <v>90.0</v>
      </c>
      <c r="T324" s="105">
        <v>10.0</v>
      </c>
      <c r="U324" s="105">
        <v>20.0</v>
      </c>
      <c r="V324" s="105">
        <v>16.0</v>
      </c>
      <c r="W324" s="105">
        <v>8.0</v>
      </c>
      <c r="X324" s="105">
        <v>74.0</v>
      </c>
      <c r="Y324" s="105">
        <v>10.0</v>
      </c>
      <c r="Z324" s="105">
        <v>22.0</v>
      </c>
      <c r="AA324" s="105">
        <v>70.0</v>
      </c>
      <c r="AB324" s="105">
        <v>90.0</v>
      </c>
      <c r="AC324" s="105">
        <v>28.0</v>
      </c>
      <c r="AD324" s="105">
        <v>6.0</v>
      </c>
      <c r="AE324" s="105">
        <v>48.0</v>
      </c>
      <c r="AF324" s="105">
        <v>42.0</v>
      </c>
      <c r="AG324" s="105">
        <v>90.0</v>
      </c>
      <c r="AH324" s="105">
        <v>82.0</v>
      </c>
      <c r="AI324" s="105">
        <v>78.0</v>
      </c>
      <c r="AJ324" s="105">
        <v>72.0</v>
      </c>
      <c r="AK324" s="105">
        <v>70.0</v>
      </c>
      <c r="AL324" s="105">
        <v>64.0</v>
      </c>
      <c r="AM324" s="33">
        <v>100.0</v>
      </c>
      <c r="AN324" s="105">
        <v>100.0</v>
      </c>
      <c r="AO324" s="105">
        <v>100.0</v>
      </c>
      <c r="AP324" s="18" t="s">
        <v>2457</v>
      </c>
      <c r="AQ324" s="18" t="s">
        <v>2458</v>
      </c>
      <c r="AR324" s="121" t="s">
        <v>2064</v>
      </c>
      <c r="AS324" s="121" t="s">
        <v>2065</v>
      </c>
      <c r="AT324" s="121" t="s">
        <v>2066</v>
      </c>
      <c r="AU324" s="21" t="s">
        <v>2067</v>
      </c>
      <c r="AV324" s="22" t="s">
        <v>2459</v>
      </c>
      <c r="AW324" s="94" t="s">
        <v>2460</v>
      </c>
      <c r="AX324" s="52"/>
      <c r="BA324" s="52"/>
      <c r="BB324" s="52"/>
    </row>
    <row r="325" hidden="1">
      <c r="A325" s="25" t="s">
        <v>2461</v>
      </c>
      <c r="B325" s="103" t="s">
        <v>2462</v>
      </c>
      <c r="C325" s="97" t="s">
        <v>2463</v>
      </c>
      <c r="D325" s="97" t="s">
        <v>52</v>
      </c>
      <c r="E325" s="97" t="s">
        <v>84</v>
      </c>
      <c r="F325" s="29" t="s">
        <v>454</v>
      </c>
      <c r="G325" s="29">
        <v>550.0</v>
      </c>
      <c r="H325" s="36">
        <f>95*G325%</f>
        <v>522.5</v>
      </c>
      <c r="I325" s="97" t="s">
        <v>1850</v>
      </c>
      <c r="J325" s="102" t="s">
        <v>2464</v>
      </c>
      <c r="K325" s="110" t="s">
        <v>26</v>
      </c>
      <c r="L325" s="104" t="s">
        <v>1571</v>
      </c>
      <c r="M325" s="104" t="s">
        <v>2465</v>
      </c>
      <c r="N325" s="105">
        <v>100.0</v>
      </c>
      <c r="O325" s="105">
        <v>100.0</v>
      </c>
      <c r="P325" s="105">
        <v>100.0</v>
      </c>
      <c r="Q325" s="105">
        <v>58.0</v>
      </c>
      <c r="R325" s="105">
        <v>14.0</v>
      </c>
      <c r="S325" s="105">
        <v>48.0</v>
      </c>
      <c r="T325" s="105">
        <v>12.0</v>
      </c>
      <c r="U325" s="105">
        <v>8.0</v>
      </c>
      <c r="V325" s="105">
        <v>6.0</v>
      </c>
      <c r="W325" s="105">
        <v>4.0</v>
      </c>
      <c r="X325" s="105">
        <v>72.0</v>
      </c>
      <c r="Y325" s="105">
        <v>18.0</v>
      </c>
      <c r="Z325" s="105">
        <v>10.0</v>
      </c>
      <c r="AA325" s="105">
        <v>90.0</v>
      </c>
      <c r="AB325" s="105">
        <v>74.0</v>
      </c>
      <c r="AC325" s="105">
        <v>10.0</v>
      </c>
      <c r="AD325" s="105">
        <v>4.0</v>
      </c>
      <c r="AE325" s="105">
        <v>90.0</v>
      </c>
      <c r="AF325" s="105">
        <v>90.0</v>
      </c>
      <c r="AG325" s="105">
        <v>42.0</v>
      </c>
      <c r="AH325" s="105">
        <v>40.0</v>
      </c>
      <c r="AI325" s="105">
        <v>78.0</v>
      </c>
      <c r="AJ325" s="105">
        <v>76.0</v>
      </c>
      <c r="AK325" s="105">
        <v>84.0</v>
      </c>
      <c r="AL325" s="105">
        <v>82.0</v>
      </c>
      <c r="AM325" s="33">
        <v>-100.0</v>
      </c>
      <c r="AN325" s="105">
        <v>100.0</v>
      </c>
      <c r="AO325" s="105">
        <v>100.0</v>
      </c>
      <c r="AP325" s="18" t="s">
        <v>2466</v>
      </c>
      <c r="AQ325" s="18" t="s">
        <v>2467</v>
      </c>
      <c r="AR325" s="121" t="s">
        <v>2064</v>
      </c>
      <c r="AS325" s="121" t="s">
        <v>2065</v>
      </c>
      <c r="AT325" s="121" t="s">
        <v>2066</v>
      </c>
      <c r="AU325" s="21" t="s">
        <v>2067</v>
      </c>
      <c r="AV325" s="22" t="s">
        <v>1204</v>
      </c>
      <c r="AW325" s="94" t="s">
        <v>2468</v>
      </c>
      <c r="AX325" s="52"/>
      <c r="BA325" s="52"/>
      <c r="BB325" s="52"/>
    </row>
    <row r="326">
      <c r="A326" s="25" t="s">
        <v>2469</v>
      </c>
      <c r="B326" s="103" t="s">
        <v>2470</v>
      </c>
      <c r="C326" s="97" t="s">
        <v>2471</v>
      </c>
      <c r="D326" s="97" t="s">
        <v>52</v>
      </c>
      <c r="E326" s="97" t="s">
        <v>69</v>
      </c>
      <c r="F326" s="29" t="s">
        <v>454</v>
      </c>
      <c r="G326" s="29">
        <v>1550.0</v>
      </c>
      <c r="H326" s="36">
        <f>97.5*G326%</f>
        <v>1511.25</v>
      </c>
      <c r="I326" s="97" t="s">
        <v>1199</v>
      </c>
      <c r="J326" s="102" t="s">
        <v>2472</v>
      </c>
      <c r="K326" s="110" t="s">
        <v>2473</v>
      </c>
      <c r="L326" s="104" t="s">
        <v>2083</v>
      </c>
      <c r="M326" s="104" t="s">
        <v>1595</v>
      </c>
      <c r="N326" s="105">
        <v>100.0</v>
      </c>
      <c r="O326" s="105">
        <v>100.0</v>
      </c>
      <c r="P326" s="105">
        <v>100.0</v>
      </c>
      <c r="Q326" s="105">
        <v>72.0</v>
      </c>
      <c r="R326" s="105">
        <v>18.0</v>
      </c>
      <c r="S326" s="105">
        <v>72.0</v>
      </c>
      <c r="T326" s="105">
        <v>68.0</v>
      </c>
      <c r="U326" s="105">
        <v>86.0</v>
      </c>
      <c r="V326" s="105">
        <v>90.0</v>
      </c>
      <c r="W326" s="105">
        <v>38.0</v>
      </c>
      <c r="X326" s="105">
        <v>82.0</v>
      </c>
      <c r="Y326" s="105">
        <v>42.0</v>
      </c>
      <c r="Z326" s="105">
        <v>18.0</v>
      </c>
      <c r="AA326" s="105">
        <v>90.0</v>
      </c>
      <c r="AB326" s="105">
        <v>76.0</v>
      </c>
      <c r="AC326" s="105">
        <v>52.0</v>
      </c>
      <c r="AD326" s="105">
        <v>8.0</v>
      </c>
      <c r="AE326" s="105">
        <v>84.0</v>
      </c>
      <c r="AF326" s="105">
        <v>90.0</v>
      </c>
      <c r="AG326" s="105">
        <v>80.0</v>
      </c>
      <c r="AH326" s="105">
        <v>90.0</v>
      </c>
      <c r="AI326" s="105">
        <v>90.0</v>
      </c>
      <c r="AJ326" s="105">
        <v>92.0</v>
      </c>
      <c r="AK326" s="105">
        <v>92.0</v>
      </c>
      <c r="AL326" s="105">
        <v>94.0</v>
      </c>
      <c r="AM326" s="33">
        <v>0.0</v>
      </c>
      <c r="AN326" s="105">
        <v>100.0</v>
      </c>
      <c r="AO326" s="105">
        <v>100.0</v>
      </c>
      <c r="AP326" s="18" t="s">
        <v>2474</v>
      </c>
      <c r="AQ326" s="18" t="s">
        <v>2475</v>
      </c>
      <c r="AR326" s="121" t="s">
        <v>2476</v>
      </c>
      <c r="AS326" s="121" t="s">
        <v>2477</v>
      </c>
      <c r="AT326" s="121" t="s">
        <v>2089</v>
      </c>
      <c r="AU326" s="21" t="s">
        <v>2478</v>
      </c>
      <c r="AV326" s="22" t="s">
        <v>2479</v>
      </c>
      <c r="AW326" s="94" t="s">
        <v>2480</v>
      </c>
      <c r="AX326" s="52"/>
      <c r="BA326" s="52"/>
      <c r="BB326" s="52"/>
    </row>
    <row r="327" hidden="1">
      <c r="A327" s="25" t="s">
        <v>2481</v>
      </c>
      <c r="B327" s="103" t="s">
        <v>2482</v>
      </c>
      <c r="C327" s="97" t="s">
        <v>2483</v>
      </c>
      <c r="D327" s="97" t="s">
        <v>52</v>
      </c>
      <c r="E327" s="97" t="s">
        <v>69</v>
      </c>
      <c r="F327" s="29" t="s">
        <v>70</v>
      </c>
      <c r="G327" s="29">
        <v>649.0</v>
      </c>
      <c r="H327" s="36">
        <f t="shared" ref="H327:H334" si="2">95*G327%</f>
        <v>616.55</v>
      </c>
      <c r="I327" s="97" t="s">
        <v>55</v>
      </c>
      <c r="J327" s="102" t="s">
        <v>455</v>
      </c>
      <c r="K327" s="110" t="s">
        <v>16</v>
      </c>
      <c r="L327" s="104" t="s">
        <v>2484</v>
      </c>
      <c r="M327" s="104" t="s">
        <v>2485</v>
      </c>
      <c r="N327" s="105">
        <v>-100.0</v>
      </c>
      <c r="O327" s="105">
        <v>100.0</v>
      </c>
      <c r="P327" s="105">
        <v>100.0</v>
      </c>
      <c r="Q327" s="105">
        <v>92.0</v>
      </c>
      <c r="R327" s="105">
        <v>70.0</v>
      </c>
      <c r="S327" s="105">
        <v>26.0</v>
      </c>
      <c r="T327" s="105">
        <v>72.0</v>
      </c>
      <c r="U327" s="105">
        <v>64.0</v>
      </c>
      <c r="V327" s="105">
        <v>72.0</v>
      </c>
      <c r="W327" s="105">
        <v>58.0</v>
      </c>
      <c r="X327" s="105">
        <v>24.0</v>
      </c>
      <c r="Y327" s="105">
        <v>82.0</v>
      </c>
      <c r="Z327" s="105">
        <v>18.0</v>
      </c>
      <c r="AA327" s="105">
        <v>38.0</v>
      </c>
      <c r="AB327" s="105">
        <v>24.0</v>
      </c>
      <c r="AC327" s="105">
        <v>42.0</v>
      </c>
      <c r="AD327" s="105">
        <v>12.0</v>
      </c>
      <c r="AE327" s="105">
        <v>90.0</v>
      </c>
      <c r="AF327" s="105">
        <v>62.0</v>
      </c>
      <c r="AG327" s="105">
        <v>18.0</v>
      </c>
      <c r="AH327" s="105">
        <v>8.0</v>
      </c>
      <c r="AI327" s="105">
        <v>62.0</v>
      </c>
      <c r="AJ327" s="105">
        <v>40.0</v>
      </c>
      <c r="AK327" s="105">
        <v>78.0</v>
      </c>
      <c r="AL327" s="105">
        <v>54.0</v>
      </c>
      <c r="AM327" s="33">
        <v>-100.0</v>
      </c>
      <c r="AN327" s="105">
        <v>100.0</v>
      </c>
      <c r="AO327" s="105">
        <v>100.0</v>
      </c>
      <c r="AP327" s="18" t="s">
        <v>2486</v>
      </c>
      <c r="AQ327" s="18" t="s">
        <v>2487</v>
      </c>
      <c r="AR327" s="121" t="s">
        <v>2476</v>
      </c>
      <c r="AS327" s="121" t="s">
        <v>2477</v>
      </c>
      <c r="AT327" s="121" t="s">
        <v>2089</v>
      </c>
      <c r="AU327" s="21" t="s">
        <v>2478</v>
      </c>
      <c r="AV327" s="22" t="s">
        <v>303</v>
      </c>
      <c r="AW327" s="94" t="s">
        <v>2488</v>
      </c>
      <c r="AX327" s="34"/>
      <c r="BA327" s="52"/>
      <c r="BB327" s="52"/>
    </row>
    <row r="328" hidden="1">
      <c r="A328" s="25" t="s">
        <v>2489</v>
      </c>
      <c r="B328" s="103" t="s">
        <v>2490</v>
      </c>
      <c r="C328" s="97" t="s">
        <v>51</v>
      </c>
      <c r="D328" s="97" t="s">
        <v>52</v>
      </c>
      <c r="E328" s="97" t="s">
        <v>69</v>
      </c>
      <c r="F328" s="29" t="s">
        <v>70</v>
      </c>
      <c r="G328" s="29">
        <v>599.0</v>
      </c>
      <c r="H328" s="36">
        <f t="shared" si="2"/>
        <v>569.05</v>
      </c>
      <c r="I328" s="97" t="s">
        <v>55</v>
      </c>
      <c r="J328" s="102" t="s">
        <v>2491</v>
      </c>
      <c r="K328" s="110" t="s">
        <v>26</v>
      </c>
      <c r="L328" s="104" t="s">
        <v>2083</v>
      </c>
      <c r="M328" s="104" t="s">
        <v>2492</v>
      </c>
      <c r="N328" s="105">
        <v>100.0</v>
      </c>
      <c r="O328" s="105">
        <v>100.0</v>
      </c>
      <c r="P328" s="105">
        <v>100.0</v>
      </c>
      <c r="Q328" s="105">
        <v>82.0</v>
      </c>
      <c r="R328" s="105">
        <v>18.0</v>
      </c>
      <c r="S328" s="105">
        <v>62.0</v>
      </c>
      <c r="T328" s="105">
        <v>78.0</v>
      </c>
      <c r="U328" s="105">
        <v>72.0</v>
      </c>
      <c r="V328" s="105">
        <v>64.0</v>
      </c>
      <c r="W328" s="105">
        <v>24.0</v>
      </c>
      <c r="X328" s="105">
        <v>82.0</v>
      </c>
      <c r="Y328" s="105">
        <v>54.0</v>
      </c>
      <c r="Z328" s="105">
        <v>14.0</v>
      </c>
      <c r="AA328" s="105">
        <v>90.0</v>
      </c>
      <c r="AB328" s="105">
        <v>72.0</v>
      </c>
      <c r="AC328" s="105">
        <v>42.0</v>
      </c>
      <c r="AD328" s="105">
        <v>6.0</v>
      </c>
      <c r="AE328" s="105">
        <v>90.0</v>
      </c>
      <c r="AF328" s="105">
        <v>92.0</v>
      </c>
      <c r="AG328" s="105">
        <v>70.0</v>
      </c>
      <c r="AH328" s="105">
        <v>78.0</v>
      </c>
      <c r="AI328" s="105">
        <v>90.0</v>
      </c>
      <c r="AJ328" s="105">
        <v>92.0</v>
      </c>
      <c r="AK328" s="105">
        <v>94.0</v>
      </c>
      <c r="AL328" s="105">
        <v>96.0</v>
      </c>
      <c r="AM328" s="33">
        <v>0.0</v>
      </c>
      <c r="AN328" s="105">
        <v>100.0</v>
      </c>
      <c r="AO328" s="105">
        <v>100.0</v>
      </c>
      <c r="AP328" s="18" t="s">
        <v>2493</v>
      </c>
      <c r="AQ328" s="18" t="s">
        <v>2494</v>
      </c>
      <c r="AR328" s="121" t="s">
        <v>2476</v>
      </c>
      <c r="AS328" s="121" t="s">
        <v>2477</v>
      </c>
      <c r="AT328" s="121" t="s">
        <v>2089</v>
      </c>
      <c r="AU328" s="21" t="s">
        <v>2478</v>
      </c>
      <c r="AV328" s="22" t="s">
        <v>271</v>
      </c>
      <c r="AW328" s="94" t="s">
        <v>2495</v>
      </c>
      <c r="AX328" s="55"/>
      <c r="AY328" s="55"/>
      <c r="BA328" s="52"/>
      <c r="BB328" s="52"/>
    </row>
    <row r="329" hidden="1">
      <c r="A329" s="25" t="s">
        <v>2496</v>
      </c>
      <c r="B329" s="103" t="s">
        <v>2497</v>
      </c>
      <c r="C329" s="97" t="s">
        <v>51</v>
      </c>
      <c r="D329" s="97" t="s">
        <v>52</v>
      </c>
      <c r="E329" s="97" t="s">
        <v>69</v>
      </c>
      <c r="F329" s="29" t="s">
        <v>70</v>
      </c>
      <c r="G329" s="29">
        <v>599.0</v>
      </c>
      <c r="H329" s="36">
        <f t="shared" si="2"/>
        <v>569.05</v>
      </c>
      <c r="I329" s="97" t="s">
        <v>55</v>
      </c>
      <c r="J329" s="102" t="s">
        <v>102</v>
      </c>
      <c r="K329" s="110" t="s">
        <v>2498</v>
      </c>
      <c r="L329" s="104" t="s">
        <v>2499</v>
      </c>
      <c r="M329" s="104" t="s">
        <v>2500</v>
      </c>
      <c r="N329" s="105">
        <v>-100.0</v>
      </c>
      <c r="O329" s="105">
        <v>100.0</v>
      </c>
      <c r="P329" s="105">
        <v>100.0</v>
      </c>
      <c r="Q329" s="105">
        <v>90.0</v>
      </c>
      <c r="R329" s="105">
        <v>18.0</v>
      </c>
      <c r="S329" s="105">
        <v>22.0</v>
      </c>
      <c r="T329" s="105">
        <v>90.0</v>
      </c>
      <c r="U329" s="105">
        <v>42.0</v>
      </c>
      <c r="V329" s="105">
        <v>46.0</v>
      </c>
      <c r="W329" s="105">
        <v>24.0</v>
      </c>
      <c r="X329" s="105">
        <v>34.0</v>
      </c>
      <c r="Y329" s="105">
        <v>76.0</v>
      </c>
      <c r="Z329" s="105">
        <v>10.0</v>
      </c>
      <c r="AA329" s="105">
        <v>44.0</v>
      </c>
      <c r="AB329" s="105">
        <v>30.0</v>
      </c>
      <c r="AC329" s="105">
        <v>24.0</v>
      </c>
      <c r="AD329" s="105">
        <v>8.0</v>
      </c>
      <c r="AE329" s="105">
        <v>96.0</v>
      </c>
      <c r="AF329" s="105">
        <v>84.0</v>
      </c>
      <c r="AG329" s="105">
        <v>20.0</v>
      </c>
      <c r="AH329" s="105">
        <v>10.0</v>
      </c>
      <c r="AI329" s="105">
        <v>78.0</v>
      </c>
      <c r="AJ329" s="105">
        <v>62.0</v>
      </c>
      <c r="AK329" s="105">
        <v>94.0</v>
      </c>
      <c r="AL329" s="105">
        <v>80.0</v>
      </c>
      <c r="AM329" s="33">
        <v>-100.0</v>
      </c>
      <c r="AN329" s="105">
        <v>-100.0</v>
      </c>
      <c r="AO329" s="105">
        <v>-100.0</v>
      </c>
      <c r="AP329" s="18" t="s">
        <v>2501</v>
      </c>
      <c r="AQ329" s="18" t="s">
        <v>2502</v>
      </c>
      <c r="AR329" s="121" t="s">
        <v>2476</v>
      </c>
      <c r="AS329" s="121" t="s">
        <v>2477</v>
      </c>
      <c r="AT329" s="121" t="s">
        <v>2089</v>
      </c>
      <c r="AU329" s="21" t="s">
        <v>2478</v>
      </c>
      <c r="AV329" s="22" t="s">
        <v>2503</v>
      </c>
      <c r="AW329" s="94" t="s">
        <v>2504</v>
      </c>
      <c r="AX329" s="34"/>
      <c r="BA329" s="52"/>
      <c r="BB329" s="52"/>
    </row>
    <row r="330" hidden="1">
      <c r="A330" s="25" t="s">
        <v>2505</v>
      </c>
      <c r="B330" s="103" t="s">
        <v>2506</v>
      </c>
      <c r="C330" s="97" t="s">
        <v>51</v>
      </c>
      <c r="D330" s="97" t="s">
        <v>52</v>
      </c>
      <c r="E330" s="97" t="s">
        <v>69</v>
      </c>
      <c r="F330" s="29" t="s">
        <v>2507</v>
      </c>
      <c r="G330" s="29">
        <v>249.0</v>
      </c>
      <c r="H330" s="36">
        <f t="shared" si="2"/>
        <v>236.55</v>
      </c>
      <c r="I330" s="97" t="s">
        <v>55</v>
      </c>
      <c r="J330" s="102" t="s">
        <v>224</v>
      </c>
      <c r="K330" s="110" t="s">
        <v>127</v>
      </c>
      <c r="L330" s="104" t="s">
        <v>2508</v>
      </c>
      <c r="M330" s="104" t="s">
        <v>2509</v>
      </c>
      <c r="N330" s="105">
        <v>-100.0</v>
      </c>
      <c r="O330" s="105">
        <v>100.0</v>
      </c>
      <c r="P330" s="105">
        <v>100.0</v>
      </c>
      <c r="Q330" s="105">
        <v>22.0</v>
      </c>
      <c r="R330" s="105">
        <v>8.0</v>
      </c>
      <c r="S330" s="105">
        <v>40.0</v>
      </c>
      <c r="T330" s="105">
        <v>14.0</v>
      </c>
      <c r="U330" s="105">
        <v>90.0</v>
      </c>
      <c r="V330" s="105">
        <v>96.0</v>
      </c>
      <c r="W330" s="105">
        <v>84.0</v>
      </c>
      <c r="X330" s="105">
        <v>30.0</v>
      </c>
      <c r="Y330" s="105">
        <v>10.0</v>
      </c>
      <c r="Z330" s="105">
        <v>14.0</v>
      </c>
      <c r="AA330" s="105">
        <v>46.0</v>
      </c>
      <c r="AB330" s="105">
        <v>44.0</v>
      </c>
      <c r="AC330" s="105">
        <v>58.0</v>
      </c>
      <c r="AD330" s="105">
        <v>12.0</v>
      </c>
      <c r="AE330" s="105">
        <v>64.0</v>
      </c>
      <c r="AF330" s="105">
        <v>58.0</v>
      </c>
      <c r="AG330" s="105">
        <v>54.0</v>
      </c>
      <c r="AH330" s="105">
        <v>48.0</v>
      </c>
      <c r="AI330" s="105">
        <v>90.0</v>
      </c>
      <c r="AJ330" s="105">
        <v>82.0</v>
      </c>
      <c r="AK330" s="105">
        <v>92.0</v>
      </c>
      <c r="AL330" s="105">
        <v>86.0</v>
      </c>
      <c r="AM330" s="33">
        <v>-100.0</v>
      </c>
      <c r="AN330" s="105">
        <v>-100.0</v>
      </c>
      <c r="AO330" s="105">
        <v>-100.0</v>
      </c>
      <c r="AP330" s="18" t="s">
        <v>2510</v>
      </c>
      <c r="AQ330" s="18" t="s">
        <v>2511</v>
      </c>
      <c r="AR330" s="121" t="s">
        <v>2476</v>
      </c>
      <c r="AS330" s="121" t="s">
        <v>2477</v>
      </c>
      <c r="AT330" s="121" t="s">
        <v>2089</v>
      </c>
      <c r="AU330" s="21" t="s">
        <v>2478</v>
      </c>
      <c r="AV330" s="22" t="s">
        <v>2512</v>
      </c>
      <c r="AW330" s="94" t="s">
        <v>2513</v>
      </c>
      <c r="BA330" s="52"/>
      <c r="BB330" s="52"/>
    </row>
    <row r="331" hidden="1">
      <c r="A331" s="25" t="s">
        <v>2514</v>
      </c>
      <c r="B331" s="103" t="s">
        <v>2515</v>
      </c>
      <c r="C331" s="97" t="s">
        <v>51</v>
      </c>
      <c r="D331" s="97" t="s">
        <v>52</v>
      </c>
      <c r="E331" s="97" t="s">
        <v>69</v>
      </c>
      <c r="F331" s="29" t="s">
        <v>2507</v>
      </c>
      <c r="G331" s="29">
        <v>249.0</v>
      </c>
      <c r="H331" s="36">
        <f t="shared" si="2"/>
        <v>236.55</v>
      </c>
      <c r="I331" s="97" t="s">
        <v>55</v>
      </c>
      <c r="J331" s="102" t="s">
        <v>102</v>
      </c>
      <c r="K331" s="110" t="s">
        <v>191</v>
      </c>
      <c r="L331" s="104" t="s">
        <v>2142</v>
      </c>
      <c r="M331" s="104" t="s">
        <v>2516</v>
      </c>
      <c r="N331" s="105">
        <v>-100.0</v>
      </c>
      <c r="O331" s="105">
        <v>100.0</v>
      </c>
      <c r="P331" s="105">
        <v>100.0</v>
      </c>
      <c r="Q331" s="105">
        <v>94.0</v>
      </c>
      <c r="R331" s="105">
        <v>78.0</v>
      </c>
      <c r="S331" s="105">
        <v>12.0</v>
      </c>
      <c r="T331" s="105">
        <v>76.0</v>
      </c>
      <c r="U331" s="105">
        <v>34.0</v>
      </c>
      <c r="V331" s="105">
        <v>28.0</v>
      </c>
      <c r="W331" s="105">
        <v>12.0</v>
      </c>
      <c r="X331" s="105">
        <v>16.0</v>
      </c>
      <c r="Y331" s="105">
        <v>96.0</v>
      </c>
      <c r="Z331" s="105">
        <v>8.0</v>
      </c>
      <c r="AA331" s="105">
        <v>24.0</v>
      </c>
      <c r="AB331" s="105">
        <v>12.0</v>
      </c>
      <c r="AC331" s="105">
        <v>14.0</v>
      </c>
      <c r="AD331" s="105">
        <v>4.0</v>
      </c>
      <c r="AE331" s="105">
        <v>94.0</v>
      </c>
      <c r="AF331" s="105">
        <v>62.0</v>
      </c>
      <c r="AG331" s="105">
        <v>6.0</v>
      </c>
      <c r="AH331" s="105">
        <v>-4.0</v>
      </c>
      <c r="AI331" s="105">
        <v>64.0</v>
      </c>
      <c r="AJ331" s="105">
        <v>38.0</v>
      </c>
      <c r="AK331" s="105">
        <v>90.0</v>
      </c>
      <c r="AL331" s="105">
        <v>56.0</v>
      </c>
      <c r="AM331" s="33">
        <v>-100.0</v>
      </c>
      <c r="AN331" s="105">
        <v>100.0</v>
      </c>
      <c r="AO331" s="105">
        <v>100.0</v>
      </c>
      <c r="AP331" s="18" t="s">
        <v>2517</v>
      </c>
      <c r="AQ331" s="18" t="s">
        <v>2518</v>
      </c>
      <c r="AR331" s="121" t="s">
        <v>2476</v>
      </c>
      <c r="AS331" s="121" t="s">
        <v>2477</v>
      </c>
      <c r="AT331" s="121" t="s">
        <v>2089</v>
      </c>
      <c r="AU331" s="21" t="s">
        <v>2478</v>
      </c>
      <c r="AV331" s="22" t="s">
        <v>2519</v>
      </c>
      <c r="AW331" s="94" t="s">
        <v>2520</v>
      </c>
      <c r="AX331" s="34"/>
      <c r="BA331" s="52"/>
      <c r="BB331" s="52"/>
    </row>
    <row r="332" hidden="1">
      <c r="A332" s="25" t="s">
        <v>2521</v>
      </c>
      <c r="B332" s="103" t="s">
        <v>2522</v>
      </c>
      <c r="C332" s="97" t="s">
        <v>51</v>
      </c>
      <c r="D332" s="97" t="s">
        <v>52</v>
      </c>
      <c r="E332" s="97" t="s">
        <v>69</v>
      </c>
      <c r="F332" s="29" t="s">
        <v>70</v>
      </c>
      <c r="G332" s="29">
        <v>649.0</v>
      </c>
      <c r="H332" s="36">
        <f t="shared" si="2"/>
        <v>616.55</v>
      </c>
      <c r="I332" s="97" t="s">
        <v>55</v>
      </c>
      <c r="J332" s="102" t="s">
        <v>2369</v>
      </c>
      <c r="K332" s="110" t="s">
        <v>2523</v>
      </c>
      <c r="L332" s="104" t="s">
        <v>2524</v>
      </c>
      <c r="M332" s="104" t="s">
        <v>2525</v>
      </c>
      <c r="N332" s="105">
        <v>-100.0</v>
      </c>
      <c r="O332" s="105">
        <v>100.0</v>
      </c>
      <c r="P332" s="105">
        <v>100.0</v>
      </c>
      <c r="Q332" s="105">
        <v>64.0</v>
      </c>
      <c r="R332" s="105">
        <v>16.0</v>
      </c>
      <c r="S332" s="105">
        <v>24.0</v>
      </c>
      <c r="T332" s="105">
        <v>26.0</v>
      </c>
      <c r="U332" s="105">
        <v>92.0</v>
      </c>
      <c r="V332" s="105">
        <v>96.0</v>
      </c>
      <c r="W332" s="105">
        <v>94.0</v>
      </c>
      <c r="X332" s="105">
        <v>24.0</v>
      </c>
      <c r="Y332" s="105">
        <v>22.0</v>
      </c>
      <c r="Z332" s="105">
        <v>14.0</v>
      </c>
      <c r="AA332" s="105">
        <v>34.0</v>
      </c>
      <c r="AB332" s="105">
        <v>24.0</v>
      </c>
      <c r="AC332" s="105">
        <v>48.0</v>
      </c>
      <c r="AD332" s="105">
        <v>10.0</v>
      </c>
      <c r="AE332" s="105">
        <v>70.0</v>
      </c>
      <c r="AF332" s="105">
        <v>54.0</v>
      </c>
      <c r="AG332" s="105">
        <v>22.0</v>
      </c>
      <c r="AH332" s="105">
        <v>12.0</v>
      </c>
      <c r="AI332" s="105">
        <v>84.0</v>
      </c>
      <c r="AJ332" s="105">
        <v>72.0</v>
      </c>
      <c r="AK332" s="105">
        <v>90.0</v>
      </c>
      <c r="AL332" s="105">
        <v>78.0</v>
      </c>
      <c r="AM332" s="33">
        <v>-100.0</v>
      </c>
      <c r="AN332" s="105">
        <v>-100.0</v>
      </c>
      <c r="AO332" s="105">
        <v>-100.0</v>
      </c>
      <c r="AP332" s="18" t="s">
        <v>2526</v>
      </c>
      <c r="AQ332" s="18" t="s">
        <v>2527</v>
      </c>
      <c r="AR332" s="121" t="s">
        <v>2476</v>
      </c>
      <c r="AS332" s="121" t="s">
        <v>2477</v>
      </c>
      <c r="AT332" s="121" t="s">
        <v>2089</v>
      </c>
      <c r="AU332" s="21" t="s">
        <v>2478</v>
      </c>
      <c r="AV332" s="22" t="s">
        <v>2528</v>
      </c>
      <c r="AW332" s="94" t="s">
        <v>2529</v>
      </c>
      <c r="AZ332" s="55"/>
      <c r="BA332" s="55"/>
      <c r="BB332" s="52"/>
    </row>
    <row r="333" hidden="1">
      <c r="A333" s="25" t="s">
        <v>2530</v>
      </c>
      <c r="B333" s="103" t="s">
        <v>2531</v>
      </c>
      <c r="C333" s="97" t="s">
        <v>51</v>
      </c>
      <c r="D333" s="97" t="s">
        <v>52</v>
      </c>
      <c r="E333" s="97" t="s">
        <v>69</v>
      </c>
      <c r="F333" s="29" t="s">
        <v>70</v>
      </c>
      <c r="G333" s="29">
        <v>599.0</v>
      </c>
      <c r="H333" s="36">
        <f t="shared" si="2"/>
        <v>569.05</v>
      </c>
      <c r="I333" s="97" t="s">
        <v>55</v>
      </c>
      <c r="J333" s="102" t="s">
        <v>224</v>
      </c>
      <c r="K333" s="110" t="s">
        <v>25</v>
      </c>
      <c r="L333" s="104" t="s">
        <v>2532</v>
      </c>
      <c r="M333" s="104" t="s">
        <v>2533</v>
      </c>
      <c r="N333" s="105">
        <v>-100.0</v>
      </c>
      <c r="O333" s="105">
        <v>100.0</v>
      </c>
      <c r="P333" s="105">
        <v>100.0</v>
      </c>
      <c r="Q333" s="105">
        <v>62.0</v>
      </c>
      <c r="R333" s="105">
        <v>16.0</v>
      </c>
      <c r="S333" s="105">
        <v>46.0</v>
      </c>
      <c r="T333" s="105">
        <v>76.0</v>
      </c>
      <c r="U333" s="105">
        <v>70.0</v>
      </c>
      <c r="V333" s="105">
        <v>64.0</v>
      </c>
      <c r="W333" s="105">
        <v>42.0</v>
      </c>
      <c r="X333" s="105">
        <v>34.0</v>
      </c>
      <c r="Y333" s="105">
        <v>64.0</v>
      </c>
      <c r="Z333" s="105">
        <v>94.0</v>
      </c>
      <c r="AA333" s="105">
        <v>22.0</v>
      </c>
      <c r="AB333" s="105">
        <v>38.0</v>
      </c>
      <c r="AC333" s="105">
        <v>42.0</v>
      </c>
      <c r="AD333" s="105">
        <v>8.0</v>
      </c>
      <c r="AE333" s="105">
        <v>64.0</v>
      </c>
      <c r="AF333" s="105">
        <v>36.0</v>
      </c>
      <c r="AG333" s="105">
        <v>52.0</v>
      </c>
      <c r="AH333" s="105">
        <v>30.0</v>
      </c>
      <c r="AI333" s="105">
        <v>90.0</v>
      </c>
      <c r="AJ333" s="105">
        <v>58.0</v>
      </c>
      <c r="AK333" s="105">
        <v>92.0</v>
      </c>
      <c r="AL333" s="105">
        <v>64.0</v>
      </c>
      <c r="AM333" s="33">
        <v>-100.0</v>
      </c>
      <c r="AN333" s="105">
        <v>-100.0</v>
      </c>
      <c r="AO333" s="105">
        <v>-100.0</v>
      </c>
      <c r="AP333" s="18" t="s">
        <v>2534</v>
      </c>
      <c r="AQ333" s="18" t="s">
        <v>2535</v>
      </c>
      <c r="AR333" s="121" t="s">
        <v>2476</v>
      </c>
      <c r="AS333" s="121" t="s">
        <v>2477</v>
      </c>
      <c r="AT333" s="121" t="s">
        <v>2089</v>
      </c>
      <c r="AU333" s="21" t="s">
        <v>2478</v>
      </c>
      <c r="AV333" s="22" t="s">
        <v>279</v>
      </c>
      <c r="AW333" s="94" t="s">
        <v>2536</v>
      </c>
      <c r="BB333" s="52"/>
    </row>
    <row r="334" hidden="1">
      <c r="A334" s="25" t="s">
        <v>2537</v>
      </c>
      <c r="B334" s="103" t="s">
        <v>2538</v>
      </c>
      <c r="C334" s="97" t="s">
        <v>1594</v>
      </c>
      <c r="D334" s="97" t="s">
        <v>52</v>
      </c>
      <c r="E334" s="97" t="s">
        <v>69</v>
      </c>
      <c r="F334" s="29" t="s">
        <v>70</v>
      </c>
      <c r="G334" s="29">
        <v>645.0</v>
      </c>
      <c r="H334" s="36">
        <f t="shared" si="2"/>
        <v>612.75</v>
      </c>
      <c r="I334" s="97" t="s">
        <v>55</v>
      </c>
      <c r="J334" s="102" t="s">
        <v>224</v>
      </c>
      <c r="K334" s="110" t="s">
        <v>173</v>
      </c>
      <c r="L334" s="104" t="s">
        <v>2539</v>
      </c>
      <c r="M334" s="104" t="s">
        <v>2540</v>
      </c>
      <c r="N334" s="105">
        <v>-100.0</v>
      </c>
      <c r="O334" s="105">
        <v>100.0</v>
      </c>
      <c r="P334" s="105">
        <v>100.0</v>
      </c>
      <c r="Q334" s="105">
        <v>28.0</v>
      </c>
      <c r="R334" s="105">
        <v>8.0</v>
      </c>
      <c r="S334" s="105">
        <v>38.0</v>
      </c>
      <c r="T334" s="105">
        <v>16.0</v>
      </c>
      <c r="U334" s="105">
        <v>90.0</v>
      </c>
      <c r="V334" s="105">
        <v>92.0</v>
      </c>
      <c r="W334" s="105">
        <v>46.0</v>
      </c>
      <c r="X334" s="105">
        <v>24.0</v>
      </c>
      <c r="Y334" s="105">
        <v>10.0</v>
      </c>
      <c r="Z334" s="105">
        <v>18.0</v>
      </c>
      <c r="AA334" s="105">
        <v>32.0</v>
      </c>
      <c r="AB334" s="105">
        <v>42.0</v>
      </c>
      <c r="AC334" s="105">
        <v>94.0</v>
      </c>
      <c r="AD334" s="105">
        <v>74.0</v>
      </c>
      <c r="AE334" s="105">
        <v>68.0</v>
      </c>
      <c r="AF334" s="105">
        <v>46.0</v>
      </c>
      <c r="AG334" s="105">
        <v>44.0</v>
      </c>
      <c r="AH334" s="105">
        <v>28.0</v>
      </c>
      <c r="AI334" s="105">
        <v>90.0</v>
      </c>
      <c r="AJ334" s="105">
        <v>72.0</v>
      </c>
      <c r="AK334" s="105">
        <v>92.0</v>
      </c>
      <c r="AL334" s="105">
        <v>76.0</v>
      </c>
      <c r="AM334" s="33">
        <v>-100.0</v>
      </c>
      <c r="AN334" s="105">
        <v>-100.0</v>
      </c>
      <c r="AO334" s="105">
        <v>-100.0</v>
      </c>
      <c r="AP334" s="18" t="s">
        <v>2541</v>
      </c>
      <c r="AQ334" s="18" t="s">
        <v>2542</v>
      </c>
      <c r="AR334" s="121" t="s">
        <v>2476</v>
      </c>
      <c r="AS334" s="121" t="s">
        <v>2477</v>
      </c>
      <c r="AT334" s="121" t="s">
        <v>2089</v>
      </c>
      <c r="AU334" s="21" t="s">
        <v>2478</v>
      </c>
      <c r="AV334" s="22" t="s">
        <v>731</v>
      </c>
      <c r="AW334" s="94" t="s">
        <v>2543</v>
      </c>
      <c r="BB334" s="52"/>
    </row>
    <row r="335">
      <c r="A335" s="25" t="s">
        <v>2544</v>
      </c>
      <c r="B335" s="103" t="s">
        <v>2545</v>
      </c>
      <c r="C335" s="97" t="s">
        <v>2546</v>
      </c>
      <c r="D335" s="97" t="s">
        <v>52</v>
      </c>
      <c r="E335" s="97" t="s">
        <v>69</v>
      </c>
      <c r="F335" s="29" t="s">
        <v>454</v>
      </c>
      <c r="G335" s="29">
        <v>1850.0</v>
      </c>
      <c r="H335" s="36">
        <f>97.5*G335%</f>
        <v>1803.75</v>
      </c>
      <c r="I335" s="97" t="s">
        <v>1199</v>
      </c>
      <c r="J335" s="102" t="s">
        <v>102</v>
      </c>
      <c r="K335" s="110" t="s">
        <v>2547</v>
      </c>
      <c r="L335" s="104" t="s">
        <v>2548</v>
      </c>
      <c r="M335" s="104" t="s">
        <v>2549</v>
      </c>
      <c r="N335" s="105">
        <v>-100.0</v>
      </c>
      <c r="O335" s="105">
        <v>100.0</v>
      </c>
      <c r="P335" s="105">
        <v>100.0</v>
      </c>
      <c r="Q335" s="105">
        <v>90.0</v>
      </c>
      <c r="R335" s="105">
        <v>44.0</v>
      </c>
      <c r="S335" s="105">
        <v>18.0</v>
      </c>
      <c r="T335" s="105">
        <v>92.0</v>
      </c>
      <c r="U335" s="105">
        <v>58.0</v>
      </c>
      <c r="V335" s="105">
        <v>50.0</v>
      </c>
      <c r="W335" s="105">
        <v>26.0</v>
      </c>
      <c r="X335" s="105">
        <v>30.0</v>
      </c>
      <c r="Y335" s="105">
        <v>90.0</v>
      </c>
      <c r="Z335" s="105">
        <v>14.0</v>
      </c>
      <c r="AA335" s="105">
        <v>42.0</v>
      </c>
      <c r="AB335" s="105">
        <v>20.0</v>
      </c>
      <c r="AC335" s="105">
        <v>34.0</v>
      </c>
      <c r="AD335" s="105">
        <v>10.0</v>
      </c>
      <c r="AE335" s="105">
        <v>90.0</v>
      </c>
      <c r="AF335" s="105">
        <v>68.0</v>
      </c>
      <c r="AG335" s="105">
        <v>14.0</v>
      </c>
      <c r="AH335" s="105">
        <v>4.0</v>
      </c>
      <c r="AI335" s="105">
        <v>70.0</v>
      </c>
      <c r="AJ335" s="105">
        <v>52.0</v>
      </c>
      <c r="AK335" s="105">
        <v>92.0</v>
      </c>
      <c r="AL335" s="105">
        <v>72.0</v>
      </c>
      <c r="AM335" s="33">
        <v>0.0</v>
      </c>
      <c r="AN335" s="105">
        <v>-100.0</v>
      </c>
      <c r="AO335" s="105">
        <v>-100.0</v>
      </c>
      <c r="AP335" s="18" t="s">
        <v>2550</v>
      </c>
      <c r="AQ335" s="18" t="s">
        <v>2551</v>
      </c>
      <c r="AR335" s="121" t="s">
        <v>2076</v>
      </c>
      <c r="AS335" s="121" t="s">
        <v>2077</v>
      </c>
      <c r="AT335" s="121" t="s">
        <v>2078</v>
      </c>
      <c r="AU335" s="21" t="s">
        <v>2079</v>
      </c>
      <c r="AV335" s="22" t="s">
        <v>2552</v>
      </c>
      <c r="AW335" s="94" t="s">
        <v>2553</v>
      </c>
      <c r="AX335" s="34"/>
      <c r="BB335" s="52"/>
    </row>
    <row r="336" hidden="1">
      <c r="A336" s="25" t="s">
        <v>2554</v>
      </c>
      <c r="B336" s="103" t="s">
        <v>2555</v>
      </c>
      <c r="C336" s="97" t="s">
        <v>151</v>
      </c>
      <c r="D336" s="97" t="s">
        <v>52</v>
      </c>
      <c r="E336" s="97" t="s">
        <v>69</v>
      </c>
      <c r="F336" s="29" t="s">
        <v>70</v>
      </c>
      <c r="G336" s="29">
        <v>499.0</v>
      </c>
      <c r="H336" s="36">
        <f t="shared" ref="H336:H337" si="3">95*G336%</f>
        <v>474.05</v>
      </c>
      <c r="I336" s="97" t="s">
        <v>55</v>
      </c>
      <c r="J336" s="102" t="s">
        <v>224</v>
      </c>
      <c r="K336" s="110" t="s">
        <v>2556</v>
      </c>
      <c r="L336" s="104" t="s">
        <v>2557</v>
      </c>
      <c r="M336" s="104" t="s">
        <v>2558</v>
      </c>
      <c r="N336" s="105">
        <v>-100.0</v>
      </c>
      <c r="O336" s="105">
        <v>100.0</v>
      </c>
      <c r="P336" s="105">
        <v>100.0</v>
      </c>
      <c r="Q336" s="105">
        <v>38.0</v>
      </c>
      <c r="R336" s="105">
        <v>10.0</v>
      </c>
      <c r="S336" s="105">
        <v>30.0</v>
      </c>
      <c r="T336" s="105">
        <v>14.0</v>
      </c>
      <c r="U336" s="105">
        <v>92.0</v>
      </c>
      <c r="V336" s="105">
        <v>96.0</v>
      </c>
      <c r="W336" s="105">
        <v>90.0</v>
      </c>
      <c r="X336" s="105">
        <v>28.0</v>
      </c>
      <c r="Y336" s="105">
        <v>10.0</v>
      </c>
      <c r="Z336" s="105">
        <v>12.0</v>
      </c>
      <c r="AA336" s="105">
        <v>38.0</v>
      </c>
      <c r="AB336" s="105">
        <v>30.0</v>
      </c>
      <c r="AC336" s="105">
        <v>58.0</v>
      </c>
      <c r="AD336" s="105">
        <v>14.0</v>
      </c>
      <c r="AE336" s="105">
        <v>72.0</v>
      </c>
      <c r="AF336" s="105">
        <v>58.0</v>
      </c>
      <c r="AG336" s="105">
        <v>36.0</v>
      </c>
      <c r="AH336" s="105">
        <v>22.0</v>
      </c>
      <c r="AI336" s="105">
        <v>90.0</v>
      </c>
      <c r="AJ336" s="105">
        <v>74.0</v>
      </c>
      <c r="AK336" s="105">
        <v>92.0</v>
      </c>
      <c r="AL336" s="105">
        <v>78.0</v>
      </c>
      <c r="AM336" s="33">
        <v>-100.0</v>
      </c>
      <c r="AN336" s="105">
        <v>-100.0</v>
      </c>
      <c r="AO336" s="105">
        <v>-100.0</v>
      </c>
      <c r="AP336" s="18" t="s">
        <v>2559</v>
      </c>
      <c r="AQ336" s="18" t="s">
        <v>2560</v>
      </c>
      <c r="AR336" s="121" t="s">
        <v>2476</v>
      </c>
      <c r="AS336" s="121" t="s">
        <v>2477</v>
      </c>
      <c r="AT336" s="121" t="s">
        <v>2089</v>
      </c>
      <c r="AU336" s="21" t="s">
        <v>2478</v>
      </c>
      <c r="AV336" s="22" t="s">
        <v>2561</v>
      </c>
      <c r="AW336" s="94" t="s">
        <v>2562</v>
      </c>
      <c r="BB336" s="52"/>
    </row>
    <row r="337" hidden="1">
      <c r="A337" s="25" t="s">
        <v>2563</v>
      </c>
      <c r="B337" s="103" t="s">
        <v>2564</v>
      </c>
      <c r="C337" s="97" t="s">
        <v>151</v>
      </c>
      <c r="D337" s="97" t="s">
        <v>52</v>
      </c>
      <c r="E337" s="97" t="s">
        <v>69</v>
      </c>
      <c r="F337" s="29" t="s">
        <v>70</v>
      </c>
      <c r="G337" s="29">
        <v>549.0</v>
      </c>
      <c r="H337" s="36">
        <f t="shared" si="3"/>
        <v>521.55</v>
      </c>
      <c r="I337" s="97" t="s">
        <v>55</v>
      </c>
      <c r="J337" s="102" t="s">
        <v>102</v>
      </c>
      <c r="K337" s="110" t="s">
        <v>191</v>
      </c>
      <c r="L337" s="104" t="s">
        <v>2142</v>
      </c>
      <c r="M337" s="104" t="s">
        <v>2565</v>
      </c>
      <c r="N337" s="105">
        <v>-100.0</v>
      </c>
      <c r="O337" s="105">
        <v>100.0</v>
      </c>
      <c r="P337" s="105">
        <v>100.0</v>
      </c>
      <c r="Q337" s="105">
        <v>92.0</v>
      </c>
      <c r="R337" s="105">
        <v>78.0</v>
      </c>
      <c r="S337" s="105">
        <v>10.0</v>
      </c>
      <c r="T337" s="105">
        <v>74.0</v>
      </c>
      <c r="U337" s="105">
        <v>28.0</v>
      </c>
      <c r="V337" s="105">
        <v>24.0</v>
      </c>
      <c r="W337" s="105">
        <v>10.0</v>
      </c>
      <c r="X337" s="105">
        <v>14.0</v>
      </c>
      <c r="Y337" s="105">
        <v>94.0</v>
      </c>
      <c r="Z337" s="105">
        <v>8.0</v>
      </c>
      <c r="AA337" s="105">
        <v>20.0</v>
      </c>
      <c r="AB337" s="105">
        <v>10.0</v>
      </c>
      <c r="AC337" s="105">
        <v>12.0</v>
      </c>
      <c r="AD337" s="105">
        <v>4.0</v>
      </c>
      <c r="AE337" s="105">
        <v>94.0</v>
      </c>
      <c r="AF337" s="105">
        <v>58.0</v>
      </c>
      <c r="AG337" s="105">
        <v>4.0</v>
      </c>
      <c r="AH337" s="105">
        <v>-8.0</v>
      </c>
      <c r="AI337" s="105">
        <v>62.0</v>
      </c>
      <c r="AJ337" s="105">
        <v>34.0</v>
      </c>
      <c r="AK337" s="105">
        <v>90.0</v>
      </c>
      <c r="AL337" s="105">
        <v>52.0</v>
      </c>
      <c r="AM337" s="33">
        <v>-100.0</v>
      </c>
      <c r="AN337" s="105">
        <v>100.0</v>
      </c>
      <c r="AO337" s="105">
        <v>100.0</v>
      </c>
      <c r="AP337" s="18" t="s">
        <v>2566</v>
      </c>
      <c r="AQ337" s="18" t="s">
        <v>2567</v>
      </c>
      <c r="AR337" s="121" t="s">
        <v>2476</v>
      </c>
      <c r="AS337" s="121" t="s">
        <v>2477</v>
      </c>
      <c r="AT337" s="121" t="s">
        <v>2089</v>
      </c>
      <c r="AU337" s="21" t="s">
        <v>2478</v>
      </c>
      <c r="AV337" s="22" t="s">
        <v>2568</v>
      </c>
      <c r="AW337" s="94" t="s">
        <v>2569</v>
      </c>
      <c r="AX337" s="34"/>
      <c r="BB337" s="52"/>
    </row>
    <row r="338" hidden="1">
      <c r="A338" s="25" t="s">
        <v>2570</v>
      </c>
      <c r="B338" s="103" t="s">
        <v>2571</v>
      </c>
      <c r="C338" s="97" t="s">
        <v>2279</v>
      </c>
      <c r="D338" s="97" t="s">
        <v>52</v>
      </c>
      <c r="E338" s="97" t="s">
        <v>69</v>
      </c>
      <c r="F338" s="29" t="s">
        <v>70</v>
      </c>
      <c r="G338" s="29">
        <v>999.0</v>
      </c>
      <c r="H338" s="36">
        <f>97.5*G338%</f>
        <v>974.025</v>
      </c>
      <c r="I338" s="97" t="s">
        <v>1199</v>
      </c>
      <c r="J338" s="102" t="s">
        <v>2572</v>
      </c>
      <c r="K338" s="110" t="s">
        <v>2573</v>
      </c>
      <c r="L338" s="104" t="s">
        <v>2280</v>
      </c>
      <c r="M338" s="104" t="s">
        <v>2574</v>
      </c>
      <c r="N338" s="105">
        <v>100.0</v>
      </c>
      <c r="O338" s="105">
        <v>100.0</v>
      </c>
      <c r="P338" s="105">
        <v>100.0</v>
      </c>
      <c r="Q338" s="105">
        <v>62.0</v>
      </c>
      <c r="R338" s="105">
        <v>16.0</v>
      </c>
      <c r="S338" s="105">
        <v>56.0</v>
      </c>
      <c r="T338" s="105">
        <v>22.0</v>
      </c>
      <c r="U338" s="105">
        <v>90.0</v>
      </c>
      <c r="V338" s="105">
        <v>94.0</v>
      </c>
      <c r="W338" s="105">
        <v>84.0</v>
      </c>
      <c r="X338" s="105">
        <v>78.0</v>
      </c>
      <c r="Y338" s="105">
        <v>18.0</v>
      </c>
      <c r="Z338" s="105">
        <v>16.0</v>
      </c>
      <c r="AA338" s="105">
        <v>92.0</v>
      </c>
      <c r="AB338" s="105">
        <v>62.0</v>
      </c>
      <c r="AC338" s="105">
        <v>54.0</v>
      </c>
      <c r="AD338" s="105">
        <v>12.0</v>
      </c>
      <c r="AE338" s="105">
        <v>82.0</v>
      </c>
      <c r="AF338" s="105">
        <v>90.0</v>
      </c>
      <c r="AG338" s="105">
        <v>66.0</v>
      </c>
      <c r="AH338" s="105">
        <v>76.0</v>
      </c>
      <c r="AI338" s="105">
        <v>90.0</v>
      </c>
      <c r="AJ338" s="105">
        <v>94.0</v>
      </c>
      <c r="AK338" s="105">
        <v>94.0</v>
      </c>
      <c r="AL338" s="105">
        <v>96.0</v>
      </c>
      <c r="AM338" s="33">
        <v>-100.0</v>
      </c>
      <c r="AN338" s="105">
        <v>100.0</v>
      </c>
      <c r="AO338" s="105">
        <v>100.0</v>
      </c>
      <c r="AP338" s="18" t="s">
        <v>2575</v>
      </c>
      <c r="AQ338" s="18" t="s">
        <v>2576</v>
      </c>
      <c r="AR338" s="121" t="s">
        <v>2476</v>
      </c>
      <c r="AS338" s="121" t="s">
        <v>2477</v>
      </c>
      <c r="AT338" s="121" t="s">
        <v>2089</v>
      </c>
      <c r="AU338" s="21" t="s">
        <v>2478</v>
      </c>
      <c r="AV338" s="22" t="s">
        <v>2577</v>
      </c>
      <c r="AW338" s="94" t="s">
        <v>2578</v>
      </c>
      <c r="BB338" s="52"/>
    </row>
    <row r="339">
      <c r="A339" s="25" t="s">
        <v>2579</v>
      </c>
      <c r="B339" s="103" t="s">
        <v>2580</v>
      </c>
      <c r="C339" s="97" t="s">
        <v>2288</v>
      </c>
      <c r="D339" s="97" t="s">
        <v>52</v>
      </c>
      <c r="E339" s="97" t="s">
        <v>69</v>
      </c>
      <c r="F339" s="29" t="s">
        <v>70</v>
      </c>
      <c r="G339" s="29">
        <v>1200.0</v>
      </c>
      <c r="H339" s="36">
        <f t="shared" ref="H339:H351" si="4">95*G339%</f>
        <v>1140</v>
      </c>
      <c r="I339" s="97" t="s">
        <v>2289</v>
      </c>
      <c r="J339" s="102" t="s">
        <v>2581</v>
      </c>
      <c r="K339" s="110" t="s">
        <v>127</v>
      </c>
      <c r="L339" s="104" t="s">
        <v>2508</v>
      </c>
      <c r="M339" s="104" t="s">
        <v>2158</v>
      </c>
      <c r="N339" s="105">
        <v>-100.0</v>
      </c>
      <c r="O339" s="105">
        <v>100.0</v>
      </c>
      <c r="P339" s="105">
        <v>100.0</v>
      </c>
      <c r="Q339" s="105">
        <v>20.0</v>
      </c>
      <c r="R339" s="105">
        <v>8.0</v>
      </c>
      <c r="S339" s="105">
        <v>44.0</v>
      </c>
      <c r="T339" s="105">
        <v>14.0</v>
      </c>
      <c r="U339" s="105">
        <v>90.0</v>
      </c>
      <c r="V339" s="105">
        <v>94.0</v>
      </c>
      <c r="W339" s="105">
        <v>82.0</v>
      </c>
      <c r="X339" s="105">
        <v>30.0</v>
      </c>
      <c r="Y339" s="105">
        <v>10.0</v>
      </c>
      <c r="Z339" s="105">
        <v>12.0</v>
      </c>
      <c r="AA339" s="105">
        <v>50.0</v>
      </c>
      <c r="AB339" s="105">
        <v>48.0</v>
      </c>
      <c r="AC339" s="105">
        <v>52.0</v>
      </c>
      <c r="AD339" s="105">
        <v>12.0</v>
      </c>
      <c r="AE339" s="105">
        <v>66.0</v>
      </c>
      <c r="AF339" s="105">
        <v>60.0</v>
      </c>
      <c r="AG339" s="105">
        <v>58.0</v>
      </c>
      <c r="AH339" s="105">
        <v>52.0</v>
      </c>
      <c r="AI339" s="105">
        <v>90.0</v>
      </c>
      <c r="AJ339" s="105">
        <v>82.0</v>
      </c>
      <c r="AK339" s="105">
        <v>92.0</v>
      </c>
      <c r="AL339" s="105">
        <v>86.0</v>
      </c>
      <c r="AM339" s="33">
        <v>-100.0</v>
      </c>
      <c r="AN339" s="105">
        <v>-100.0</v>
      </c>
      <c r="AO339" s="105">
        <v>-100.0</v>
      </c>
      <c r="AP339" s="18" t="s">
        <v>2582</v>
      </c>
      <c r="AQ339" s="18" t="s">
        <v>2583</v>
      </c>
      <c r="AR339" s="121" t="s">
        <v>2476</v>
      </c>
      <c r="AS339" s="121" t="s">
        <v>2477</v>
      </c>
      <c r="AT339" s="121" t="s">
        <v>2089</v>
      </c>
      <c r="AU339" s="21" t="s">
        <v>2478</v>
      </c>
      <c r="AV339" s="22" t="s">
        <v>2584</v>
      </c>
      <c r="AW339" s="94" t="s">
        <v>2585</v>
      </c>
      <c r="AX339" s="52"/>
      <c r="BB339" s="52"/>
    </row>
    <row r="340" hidden="1">
      <c r="A340" s="25" t="s">
        <v>2586</v>
      </c>
      <c r="B340" s="103" t="s">
        <v>2587</v>
      </c>
      <c r="C340" s="97" t="s">
        <v>2288</v>
      </c>
      <c r="D340" s="97" t="s">
        <v>52</v>
      </c>
      <c r="E340" s="97" t="s">
        <v>69</v>
      </c>
      <c r="F340" s="29" t="s">
        <v>70</v>
      </c>
      <c r="G340" s="29">
        <v>875.0</v>
      </c>
      <c r="H340" s="36">
        <f t="shared" si="4"/>
        <v>831.25</v>
      </c>
      <c r="I340" s="97" t="s">
        <v>2289</v>
      </c>
      <c r="J340" s="102" t="s">
        <v>224</v>
      </c>
      <c r="K340" s="110" t="s">
        <v>25</v>
      </c>
      <c r="L340" s="104" t="s">
        <v>2588</v>
      </c>
      <c r="M340" s="104" t="s">
        <v>2589</v>
      </c>
      <c r="N340" s="105">
        <v>-100.0</v>
      </c>
      <c r="O340" s="105">
        <v>100.0</v>
      </c>
      <c r="P340" s="105">
        <v>100.0</v>
      </c>
      <c r="Q340" s="105">
        <v>68.0</v>
      </c>
      <c r="R340" s="105">
        <v>16.0</v>
      </c>
      <c r="S340" s="105">
        <v>50.0</v>
      </c>
      <c r="T340" s="105">
        <v>82.0</v>
      </c>
      <c r="U340" s="105">
        <v>74.0</v>
      </c>
      <c r="V340" s="105">
        <v>68.0</v>
      </c>
      <c r="W340" s="105">
        <v>46.0</v>
      </c>
      <c r="X340" s="105">
        <v>30.0</v>
      </c>
      <c r="Y340" s="105">
        <v>74.0</v>
      </c>
      <c r="Z340" s="105">
        <v>96.0</v>
      </c>
      <c r="AA340" s="105">
        <v>18.0</v>
      </c>
      <c r="AB340" s="105">
        <v>38.0</v>
      </c>
      <c r="AC340" s="105">
        <v>40.0</v>
      </c>
      <c r="AD340" s="105">
        <v>8.0</v>
      </c>
      <c r="AE340" s="105">
        <v>60.0</v>
      </c>
      <c r="AF340" s="105">
        <v>32.0</v>
      </c>
      <c r="AG340" s="105">
        <v>62.0</v>
      </c>
      <c r="AH340" s="105">
        <v>34.0</v>
      </c>
      <c r="AI340" s="105">
        <v>90.0</v>
      </c>
      <c r="AJ340" s="105">
        <v>58.0</v>
      </c>
      <c r="AK340" s="105">
        <v>92.0</v>
      </c>
      <c r="AL340" s="105">
        <v>62.0</v>
      </c>
      <c r="AM340" s="33">
        <v>-100.0</v>
      </c>
      <c r="AN340" s="105">
        <v>-100.0</v>
      </c>
      <c r="AO340" s="105">
        <v>-100.0</v>
      </c>
      <c r="AP340" s="18" t="s">
        <v>2590</v>
      </c>
      <c r="AQ340" s="18" t="s">
        <v>2591</v>
      </c>
      <c r="AR340" s="121" t="s">
        <v>2476</v>
      </c>
      <c r="AS340" s="121" t="s">
        <v>2477</v>
      </c>
      <c r="AT340" s="121" t="s">
        <v>2089</v>
      </c>
      <c r="AU340" s="21" t="s">
        <v>2478</v>
      </c>
      <c r="AV340" s="22" t="s">
        <v>2592</v>
      </c>
      <c r="AW340" s="94" t="s">
        <v>2593</v>
      </c>
      <c r="AX340" s="52"/>
      <c r="AY340" s="55"/>
      <c r="AZ340" s="55"/>
      <c r="BA340" s="52"/>
      <c r="BB340" s="52"/>
    </row>
    <row r="341" hidden="1">
      <c r="A341" s="25" t="s">
        <v>2594</v>
      </c>
      <c r="B341" s="103" t="s">
        <v>2595</v>
      </c>
      <c r="C341" s="97" t="s">
        <v>2288</v>
      </c>
      <c r="D341" s="97" t="s">
        <v>52</v>
      </c>
      <c r="E341" s="97" t="s">
        <v>69</v>
      </c>
      <c r="F341" s="29" t="s">
        <v>70</v>
      </c>
      <c r="G341" s="29">
        <v>600.0</v>
      </c>
      <c r="H341" s="36">
        <f t="shared" si="4"/>
        <v>570</v>
      </c>
      <c r="I341" s="97" t="s">
        <v>2289</v>
      </c>
      <c r="J341" s="102" t="s">
        <v>102</v>
      </c>
      <c r="K341" s="110" t="s">
        <v>191</v>
      </c>
      <c r="L341" s="104" t="s">
        <v>2142</v>
      </c>
      <c r="M341" s="104" t="s">
        <v>2596</v>
      </c>
      <c r="N341" s="105">
        <v>-100.0</v>
      </c>
      <c r="O341" s="105">
        <v>100.0</v>
      </c>
      <c r="P341" s="105">
        <v>100.0</v>
      </c>
      <c r="Q341" s="105">
        <v>94.0</v>
      </c>
      <c r="R341" s="105">
        <v>82.0</v>
      </c>
      <c r="S341" s="105">
        <v>10.0</v>
      </c>
      <c r="T341" s="105">
        <v>76.0</v>
      </c>
      <c r="U341" s="105">
        <v>26.0</v>
      </c>
      <c r="V341" s="105">
        <v>22.0</v>
      </c>
      <c r="W341" s="105">
        <v>8.0</v>
      </c>
      <c r="X341" s="105">
        <v>12.0</v>
      </c>
      <c r="Y341" s="105">
        <v>96.0</v>
      </c>
      <c r="Z341" s="105">
        <v>8.0</v>
      </c>
      <c r="AA341" s="105">
        <v>18.0</v>
      </c>
      <c r="AB341" s="105">
        <v>8.0</v>
      </c>
      <c r="AC341" s="105">
        <v>10.0</v>
      </c>
      <c r="AD341" s="105">
        <v>4.0</v>
      </c>
      <c r="AE341" s="105">
        <v>96.0</v>
      </c>
      <c r="AF341" s="105">
        <v>58.0</v>
      </c>
      <c r="AG341" s="105">
        <v>2.0</v>
      </c>
      <c r="AH341" s="105">
        <v>-10.0</v>
      </c>
      <c r="AI341" s="105">
        <v>60.0</v>
      </c>
      <c r="AJ341" s="105">
        <v>32.0</v>
      </c>
      <c r="AK341" s="105">
        <v>90.0</v>
      </c>
      <c r="AL341" s="105">
        <v>50.0</v>
      </c>
      <c r="AM341" s="33">
        <v>-100.0</v>
      </c>
      <c r="AN341" s="105">
        <v>100.0</v>
      </c>
      <c r="AO341" s="105">
        <v>100.0</v>
      </c>
      <c r="AP341" s="18" t="s">
        <v>2597</v>
      </c>
      <c r="AQ341" s="18" t="s">
        <v>2598</v>
      </c>
      <c r="AR341" s="121" t="s">
        <v>2476</v>
      </c>
      <c r="AS341" s="121" t="s">
        <v>2477</v>
      </c>
      <c r="AT341" s="121" t="s">
        <v>2089</v>
      </c>
      <c r="AU341" s="21" t="s">
        <v>2478</v>
      </c>
      <c r="AV341" s="22" t="s">
        <v>2599</v>
      </c>
      <c r="AW341" s="94" t="s">
        <v>2600</v>
      </c>
      <c r="AX341" s="34"/>
      <c r="AY341" s="55"/>
      <c r="AZ341" s="55"/>
      <c r="BB341" s="52"/>
    </row>
    <row r="342" hidden="1">
      <c r="A342" s="25" t="s">
        <v>2601</v>
      </c>
      <c r="B342" s="103" t="s">
        <v>2602</v>
      </c>
      <c r="C342" s="97" t="s">
        <v>51</v>
      </c>
      <c r="D342" s="97" t="s">
        <v>52</v>
      </c>
      <c r="E342" s="97" t="s">
        <v>69</v>
      </c>
      <c r="F342" s="29" t="s">
        <v>1660</v>
      </c>
      <c r="G342" s="29">
        <v>599.0</v>
      </c>
      <c r="H342" s="36">
        <f t="shared" si="4"/>
        <v>569.05</v>
      </c>
      <c r="I342" s="97" t="s">
        <v>55</v>
      </c>
      <c r="J342" s="102" t="s">
        <v>224</v>
      </c>
      <c r="K342" s="110" t="s">
        <v>173</v>
      </c>
      <c r="L342" s="104" t="s">
        <v>2603</v>
      </c>
      <c r="M342" s="104" t="s">
        <v>2604</v>
      </c>
      <c r="N342" s="105">
        <v>-100.0</v>
      </c>
      <c r="O342" s="105">
        <v>100.0</v>
      </c>
      <c r="P342" s="105">
        <v>100.0</v>
      </c>
      <c r="Q342" s="105">
        <v>26.0</v>
      </c>
      <c r="R342" s="105">
        <v>8.0</v>
      </c>
      <c r="S342" s="105">
        <v>30.0</v>
      </c>
      <c r="T342" s="105">
        <v>12.0</v>
      </c>
      <c r="U342" s="105">
        <v>90.0</v>
      </c>
      <c r="V342" s="105">
        <v>94.0</v>
      </c>
      <c r="W342" s="105">
        <v>52.0</v>
      </c>
      <c r="X342" s="105">
        <v>22.0</v>
      </c>
      <c r="Y342" s="105">
        <v>10.0</v>
      </c>
      <c r="Z342" s="105">
        <v>18.0</v>
      </c>
      <c r="AA342" s="105">
        <v>30.0</v>
      </c>
      <c r="AB342" s="105">
        <v>32.0</v>
      </c>
      <c r="AC342" s="105">
        <v>94.0</v>
      </c>
      <c r="AD342" s="105">
        <v>82.0</v>
      </c>
      <c r="AE342" s="105">
        <v>68.0</v>
      </c>
      <c r="AF342" s="105">
        <v>48.0</v>
      </c>
      <c r="AG342" s="105">
        <v>34.0</v>
      </c>
      <c r="AH342" s="105">
        <v>20.0</v>
      </c>
      <c r="AI342" s="105">
        <v>90.0</v>
      </c>
      <c r="AJ342" s="105">
        <v>74.0</v>
      </c>
      <c r="AK342" s="105">
        <v>92.0</v>
      </c>
      <c r="AL342" s="105">
        <v>78.0</v>
      </c>
      <c r="AM342" s="33">
        <v>-100.0</v>
      </c>
      <c r="AN342" s="105">
        <v>-100.0</v>
      </c>
      <c r="AO342" s="105">
        <v>-100.0</v>
      </c>
      <c r="AP342" s="18" t="s">
        <v>2605</v>
      </c>
      <c r="AQ342" s="18" t="s">
        <v>2606</v>
      </c>
      <c r="AR342" s="121" t="s">
        <v>2476</v>
      </c>
      <c r="AS342" s="121" t="s">
        <v>2477</v>
      </c>
      <c r="AT342" s="121" t="s">
        <v>2089</v>
      </c>
      <c r="AU342" s="21" t="s">
        <v>2478</v>
      </c>
      <c r="AV342" s="22" t="s">
        <v>2607</v>
      </c>
      <c r="AW342" s="94" t="s">
        <v>2608</v>
      </c>
      <c r="AX342" s="52"/>
      <c r="BB342" s="52"/>
    </row>
    <row r="343" hidden="1">
      <c r="A343" s="25" t="s">
        <v>2609</v>
      </c>
      <c r="B343" s="103" t="s">
        <v>2610</v>
      </c>
      <c r="C343" s="97" t="s">
        <v>51</v>
      </c>
      <c r="D343" s="97" t="s">
        <v>52</v>
      </c>
      <c r="E343" s="97" t="s">
        <v>69</v>
      </c>
      <c r="F343" s="29" t="s">
        <v>70</v>
      </c>
      <c r="G343" s="29">
        <v>699.0</v>
      </c>
      <c r="H343" s="36">
        <f t="shared" si="4"/>
        <v>664.05</v>
      </c>
      <c r="I343" s="97" t="s">
        <v>55</v>
      </c>
      <c r="J343" s="102" t="s">
        <v>224</v>
      </c>
      <c r="K343" s="110" t="s">
        <v>1153</v>
      </c>
      <c r="L343" s="104" t="s">
        <v>2611</v>
      </c>
      <c r="M343" s="104" t="s">
        <v>2612</v>
      </c>
      <c r="N343" s="105">
        <v>-100.0</v>
      </c>
      <c r="O343" s="105">
        <v>100.0</v>
      </c>
      <c r="P343" s="105">
        <v>100.0</v>
      </c>
      <c r="Q343" s="105">
        <v>28.0</v>
      </c>
      <c r="R343" s="105">
        <v>8.0</v>
      </c>
      <c r="S343" s="105">
        <v>34.0</v>
      </c>
      <c r="T343" s="105">
        <v>14.0</v>
      </c>
      <c r="U343" s="105">
        <v>86.0</v>
      </c>
      <c r="V343" s="105">
        <v>90.0</v>
      </c>
      <c r="W343" s="105">
        <v>42.0</v>
      </c>
      <c r="X343" s="105">
        <v>26.0</v>
      </c>
      <c r="Y343" s="105">
        <v>10.0</v>
      </c>
      <c r="Z343" s="105">
        <v>16.0</v>
      </c>
      <c r="AA343" s="105">
        <v>38.0</v>
      </c>
      <c r="AB343" s="105">
        <v>36.0</v>
      </c>
      <c r="AC343" s="105">
        <v>90.0</v>
      </c>
      <c r="AD343" s="105">
        <v>72.0</v>
      </c>
      <c r="AE343" s="105">
        <v>72.0</v>
      </c>
      <c r="AF343" s="105">
        <v>58.0</v>
      </c>
      <c r="AG343" s="105">
        <v>40.0</v>
      </c>
      <c r="AH343" s="105">
        <v>30.0</v>
      </c>
      <c r="AI343" s="105">
        <v>90.0</v>
      </c>
      <c r="AJ343" s="105">
        <v>80.0</v>
      </c>
      <c r="AK343" s="105">
        <v>90.0</v>
      </c>
      <c r="AL343" s="105">
        <v>82.0</v>
      </c>
      <c r="AM343" s="33">
        <v>-100.0</v>
      </c>
      <c r="AN343" s="105">
        <v>-100.0</v>
      </c>
      <c r="AO343" s="105">
        <v>-100.0</v>
      </c>
      <c r="AP343" s="18" t="s">
        <v>2613</v>
      </c>
      <c r="AQ343" s="18" t="s">
        <v>2614</v>
      </c>
      <c r="AR343" s="121" t="s">
        <v>2476</v>
      </c>
      <c r="AS343" s="121" t="s">
        <v>2477</v>
      </c>
      <c r="AT343" s="121" t="s">
        <v>2089</v>
      </c>
      <c r="AU343" s="21" t="s">
        <v>2478</v>
      </c>
      <c r="AV343" s="22" t="s">
        <v>2607</v>
      </c>
      <c r="AW343" s="94" t="s">
        <v>2615</v>
      </c>
      <c r="AX343" s="52"/>
      <c r="BB343" s="52"/>
    </row>
    <row r="344" hidden="1">
      <c r="A344" s="25" t="s">
        <v>2616</v>
      </c>
      <c r="B344" s="103" t="s">
        <v>2617</v>
      </c>
      <c r="C344" s="97" t="s">
        <v>51</v>
      </c>
      <c r="D344" s="97" t="s">
        <v>52</v>
      </c>
      <c r="E344" s="97" t="s">
        <v>69</v>
      </c>
      <c r="F344" s="29" t="s">
        <v>70</v>
      </c>
      <c r="G344" s="29">
        <v>699.0</v>
      </c>
      <c r="H344" s="36">
        <f t="shared" si="4"/>
        <v>664.05</v>
      </c>
      <c r="I344" s="97" t="s">
        <v>55</v>
      </c>
      <c r="J344" s="102" t="s">
        <v>2618</v>
      </c>
      <c r="K344" s="110" t="s">
        <v>25</v>
      </c>
      <c r="L344" s="104" t="s">
        <v>2619</v>
      </c>
      <c r="M344" s="104" t="s">
        <v>2158</v>
      </c>
      <c r="N344" s="105">
        <v>100.0</v>
      </c>
      <c r="O344" s="105">
        <v>100.0</v>
      </c>
      <c r="P344" s="105">
        <v>100.0</v>
      </c>
      <c r="Q344" s="105">
        <v>24.0</v>
      </c>
      <c r="R344" s="105">
        <v>8.0</v>
      </c>
      <c r="S344" s="105">
        <v>54.0</v>
      </c>
      <c r="T344" s="105">
        <v>12.0</v>
      </c>
      <c r="U344" s="105">
        <v>16.0</v>
      </c>
      <c r="V344" s="105">
        <v>12.0</v>
      </c>
      <c r="W344" s="105">
        <v>6.0</v>
      </c>
      <c r="X344" s="105">
        <v>48.0</v>
      </c>
      <c r="Y344" s="105">
        <v>10.0</v>
      </c>
      <c r="Z344" s="105">
        <v>90.0</v>
      </c>
      <c r="AA344" s="105">
        <v>58.0</v>
      </c>
      <c r="AB344" s="105">
        <v>64.0</v>
      </c>
      <c r="AC344" s="105">
        <v>24.0</v>
      </c>
      <c r="AD344" s="105">
        <v>4.0</v>
      </c>
      <c r="AE344" s="105">
        <v>68.0</v>
      </c>
      <c r="AF344" s="105">
        <v>66.0</v>
      </c>
      <c r="AG344" s="105">
        <v>72.0</v>
      </c>
      <c r="AH344" s="105">
        <v>70.0</v>
      </c>
      <c r="AI344" s="105">
        <v>90.0</v>
      </c>
      <c r="AJ344" s="105">
        <v>90.0</v>
      </c>
      <c r="AK344" s="105">
        <v>84.0</v>
      </c>
      <c r="AL344" s="105">
        <v>82.0</v>
      </c>
      <c r="AM344" s="33">
        <v>-100.0</v>
      </c>
      <c r="AN344" s="105">
        <v>100.0</v>
      </c>
      <c r="AO344" s="105">
        <v>100.0</v>
      </c>
      <c r="AP344" s="18" t="s">
        <v>2620</v>
      </c>
      <c r="AQ344" s="18" t="s">
        <v>2621</v>
      </c>
      <c r="AR344" s="121" t="s">
        <v>2476</v>
      </c>
      <c r="AS344" s="121" t="s">
        <v>2477</v>
      </c>
      <c r="AT344" s="121" t="s">
        <v>2089</v>
      </c>
      <c r="AU344" s="21" t="s">
        <v>2478</v>
      </c>
      <c r="AV344" s="22" t="s">
        <v>1204</v>
      </c>
      <c r="AW344" s="94" t="s">
        <v>2622</v>
      </c>
      <c r="AX344" s="52"/>
      <c r="BA344" s="52"/>
      <c r="BB344" s="52"/>
    </row>
    <row r="345" hidden="1">
      <c r="A345" s="25" t="s">
        <v>2623</v>
      </c>
      <c r="B345" s="103" t="s">
        <v>2624</v>
      </c>
      <c r="C345" s="97" t="s">
        <v>51</v>
      </c>
      <c r="D345" s="97" t="s">
        <v>52</v>
      </c>
      <c r="E345" s="97" t="s">
        <v>69</v>
      </c>
      <c r="F345" s="29" t="s">
        <v>70</v>
      </c>
      <c r="G345" s="29">
        <v>599.0</v>
      </c>
      <c r="H345" s="36">
        <f t="shared" si="4"/>
        <v>569.05</v>
      </c>
      <c r="I345" s="97" t="s">
        <v>55</v>
      </c>
      <c r="J345" s="102" t="s">
        <v>2042</v>
      </c>
      <c r="K345" s="110" t="s">
        <v>2625</v>
      </c>
      <c r="L345" s="104" t="s">
        <v>2626</v>
      </c>
      <c r="M345" s="104" t="s">
        <v>2627</v>
      </c>
      <c r="N345" s="105">
        <v>100.0</v>
      </c>
      <c r="O345" s="105">
        <v>100.0</v>
      </c>
      <c r="P345" s="105">
        <v>100.0</v>
      </c>
      <c r="Q345" s="105">
        <v>34.0</v>
      </c>
      <c r="R345" s="105">
        <v>8.0</v>
      </c>
      <c r="S345" s="105">
        <v>90.0</v>
      </c>
      <c r="T345" s="105">
        <v>10.0</v>
      </c>
      <c r="U345" s="105">
        <v>10.0</v>
      </c>
      <c r="V345" s="105">
        <v>8.0</v>
      </c>
      <c r="W345" s="105">
        <v>4.0</v>
      </c>
      <c r="X345" s="105">
        <v>82.0</v>
      </c>
      <c r="Y345" s="105">
        <v>8.0</v>
      </c>
      <c r="Z345" s="105">
        <v>10.0</v>
      </c>
      <c r="AA345" s="105">
        <v>90.0</v>
      </c>
      <c r="AB345" s="105">
        <v>96.0</v>
      </c>
      <c r="AC345" s="105">
        <v>12.0</v>
      </c>
      <c r="AD345" s="105">
        <v>4.0</v>
      </c>
      <c r="AE345" s="105">
        <v>82.0</v>
      </c>
      <c r="AF345" s="105">
        <v>90.0</v>
      </c>
      <c r="AG345" s="105">
        <v>92.0</v>
      </c>
      <c r="AH345" s="105">
        <v>96.0</v>
      </c>
      <c r="AI345" s="105">
        <v>90.0</v>
      </c>
      <c r="AJ345" s="105">
        <v>94.0</v>
      </c>
      <c r="AK345" s="105">
        <v>90.0</v>
      </c>
      <c r="AL345" s="105">
        <v>94.0</v>
      </c>
      <c r="AM345" s="33">
        <v>100.0</v>
      </c>
      <c r="AN345" s="105">
        <v>100.0</v>
      </c>
      <c r="AO345" s="105">
        <v>100.0</v>
      </c>
      <c r="AP345" s="18" t="s">
        <v>2628</v>
      </c>
      <c r="AQ345" s="18" t="s">
        <v>2629</v>
      </c>
      <c r="AR345" s="121" t="s">
        <v>2476</v>
      </c>
      <c r="AS345" s="121" t="s">
        <v>2477</v>
      </c>
      <c r="AT345" s="121" t="s">
        <v>2089</v>
      </c>
      <c r="AU345" s="21" t="s">
        <v>2478</v>
      </c>
      <c r="AV345" s="22" t="s">
        <v>1204</v>
      </c>
      <c r="AW345" s="94" t="s">
        <v>2630</v>
      </c>
      <c r="AX345" s="52"/>
      <c r="BA345" s="52"/>
      <c r="BB345" s="52"/>
    </row>
    <row r="346" hidden="1">
      <c r="A346" s="25" t="s">
        <v>2631</v>
      </c>
      <c r="B346" s="103" t="s">
        <v>2632</v>
      </c>
      <c r="C346" s="97" t="s">
        <v>51</v>
      </c>
      <c r="D346" s="97" t="s">
        <v>52</v>
      </c>
      <c r="E346" s="97" t="s">
        <v>69</v>
      </c>
      <c r="F346" s="29" t="s">
        <v>70</v>
      </c>
      <c r="G346" s="29">
        <v>799.0</v>
      </c>
      <c r="H346" s="36">
        <f t="shared" si="4"/>
        <v>759.05</v>
      </c>
      <c r="I346" s="97" t="s">
        <v>55</v>
      </c>
      <c r="J346" s="102" t="s">
        <v>224</v>
      </c>
      <c r="K346" s="110" t="s">
        <v>25</v>
      </c>
      <c r="L346" s="104" t="s">
        <v>2633</v>
      </c>
      <c r="M346" s="104" t="s">
        <v>2533</v>
      </c>
      <c r="N346" s="105">
        <v>-100.0</v>
      </c>
      <c r="O346" s="105">
        <v>100.0</v>
      </c>
      <c r="P346" s="105">
        <v>100.0</v>
      </c>
      <c r="Q346" s="105">
        <v>78.0</v>
      </c>
      <c r="R346" s="105">
        <v>18.0</v>
      </c>
      <c r="S346" s="105">
        <v>42.0</v>
      </c>
      <c r="T346" s="105">
        <v>84.0</v>
      </c>
      <c r="U346" s="105">
        <v>76.0</v>
      </c>
      <c r="V346" s="105">
        <v>70.0</v>
      </c>
      <c r="W346" s="105">
        <v>48.0</v>
      </c>
      <c r="X346" s="105">
        <v>28.0</v>
      </c>
      <c r="Y346" s="105">
        <v>78.0</v>
      </c>
      <c r="Z346" s="105">
        <v>98.0</v>
      </c>
      <c r="AA346" s="105">
        <v>18.0</v>
      </c>
      <c r="AB346" s="105">
        <v>32.0</v>
      </c>
      <c r="AC346" s="105">
        <v>42.0</v>
      </c>
      <c r="AD346" s="105">
        <v>8.0</v>
      </c>
      <c r="AE346" s="105">
        <v>56.0</v>
      </c>
      <c r="AF346" s="105">
        <v>28.0</v>
      </c>
      <c r="AG346" s="105">
        <v>60.0</v>
      </c>
      <c r="AH346" s="105">
        <v>34.0</v>
      </c>
      <c r="AI346" s="105">
        <v>90.0</v>
      </c>
      <c r="AJ346" s="105">
        <v>54.0</v>
      </c>
      <c r="AK346" s="105">
        <v>90.0</v>
      </c>
      <c r="AL346" s="105">
        <v>58.0</v>
      </c>
      <c r="AM346" s="33">
        <v>-100.0</v>
      </c>
      <c r="AN346" s="105">
        <v>-100.0</v>
      </c>
      <c r="AO346" s="105">
        <v>-100.0</v>
      </c>
      <c r="AP346" s="18" t="s">
        <v>2634</v>
      </c>
      <c r="AQ346" s="18" t="s">
        <v>2635</v>
      </c>
      <c r="AR346" s="121" t="s">
        <v>2476</v>
      </c>
      <c r="AS346" s="121" t="s">
        <v>2477</v>
      </c>
      <c r="AT346" s="121" t="s">
        <v>2089</v>
      </c>
      <c r="AU346" s="21" t="s">
        <v>2478</v>
      </c>
      <c r="AV346" s="22" t="s">
        <v>2592</v>
      </c>
      <c r="AW346" s="94" t="s">
        <v>2636</v>
      </c>
      <c r="AX346" s="52"/>
      <c r="BA346" s="52"/>
      <c r="BB346" s="52"/>
    </row>
    <row r="347" hidden="1">
      <c r="A347" s="25" t="s">
        <v>2637</v>
      </c>
      <c r="B347" s="103" t="s">
        <v>2638</v>
      </c>
      <c r="C347" s="97" t="s">
        <v>51</v>
      </c>
      <c r="D347" s="97" t="s">
        <v>52</v>
      </c>
      <c r="E347" s="97" t="s">
        <v>69</v>
      </c>
      <c r="F347" s="29" t="s">
        <v>70</v>
      </c>
      <c r="G347" s="29">
        <v>699.0</v>
      </c>
      <c r="H347" s="36">
        <f t="shared" si="4"/>
        <v>664.05</v>
      </c>
      <c r="I347" s="97" t="s">
        <v>55</v>
      </c>
      <c r="J347" s="102" t="s">
        <v>224</v>
      </c>
      <c r="K347" s="110" t="s">
        <v>25</v>
      </c>
      <c r="L347" s="104" t="s">
        <v>2639</v>
      </c>
      <c r="M347" s="104" t="s">
        <v>2640</v>
      </c>
      <c r="N347" s="105">
        <v>-100.0</v>
      </c>
      <c r="O347" s="105">
        <v>100.0</v>
      </c>
      <c r="P347" s="105">
        <v>100.0</v>
      </c>
      <c r="Q347" s="105">
        <v>56.0</v>
      </c>
      <c r="R347" s="105">
        <v>14.0</v>
      </c>
      <c r="S347" s="105">
        <v>44.0</v>
      </c>
      <c r="T347" s="105">
        <v>66.0</v>
      </c>
      <c r="U347" s="105">
        <v>64.0</v>
      </c>
      <c r="V347" s="105">
        <v>58.0</v>
      </c>
      <c r="W347" s="105">
        <v>38.0</v>
      </c>
      <c r="X347" s="105">
        <v>38.0</v>
      </c>
      <c r="Y347" s="105">
        <v>52.0</v>
      </c>
      <c r="Z347" s="105">
        <v>90.0</v>
      </c>
      <c r="AA347" s="105">
        <v>30.0</v>
      </c>
      <c r="AB347" s="105">
        <v>42.0</v>
      </c>
      <c r="AC347" s="105">
        <v>36.0</v>
      </c>
      <c r="AD347" s="105">
        <v>8.0</v>
      </c>
      <c r="AE347" s="105">
        <v>72.0</v>
      </c>
      <c r="AF347" s="105">
        <v>48.0</v>
      </c>
      <c r="AG347" s="105">
        <v>56.0</v>
      </c>
      <c r="AH347" s="105">
        <v>40.0</v>
      </c>
      <c r="AI347" s="105">
        <v>90.0</v>
      </c>
      <c r="AJ347" s="105">
        <v>66.0</v>
      </c>
      <c r="AK347" s="105">
        <v>90.0</v>
      </c>
      <c r="AL347" s="105">
        <v>70.0</v>
      </c>
      <c r="AM347" s="33">
        <v>-100.0</v>
      </c>
      <c r="AN347" s="105">
        <v>-100.0</v>
      </c>
      <c r="AO347" s="105">
        <v>-100.0</v>
      </c>
      <c r="AP347" s="18" t="s">
        <v>2641</v>
      </c>
      <c r="AQ347" s="18" t="s">
        <v>2642</v>
      </c>
      <c r="AR347" s="121" t="s">
        <v>2476</v>
      </c>
      <c r="AS347" s="121" t="s">
        <v>2477</v>
      </c>
      <c r="AT347" s="121" t="s">
        <v>2089</v>
      </c>
      <c r="AU347" s="21" t="s">
        <v>2478</v>
      </c>
      <c r="AV347" s="22" t="s">
        <v>2047</v>
      </c>
      <c r="AW347" s="94" t="s">
        <v>2643</v>
      </c>
      <c r="AX347" s="52"/>
      <c r="AY347" s="55"/>
      <c r="AZ347" s="55"/>
      <c r="BA347" s="52"/>
      <c r="BB347" s="52"/>
    </row>
    <row r="348" hidden="1">
      <c r="A348" s="25" t="s">
        <v>2644</v>
      </c>
      <c r="B348" s="103" t="s">
        <v>2645</v>
      </c>
      <c r="C348" s="97" t="s">
        <v>151</v>
      </c>
      <c r="D348" s="97" t="s">
        <v>52</v>
      </c>
      <c r="E348" s="97" t="s">
        <v>69</v>
      </c>
      <c r="F348" s="29" t="s">
        <v>70</v>
      </c>
      <c r="G348" s="29">
        <v>599.0</v>
      </c>
      <c r="H348" s="36">
        <f t="shared" si="4"/>
        <v>569.05</v>
      </c>
      <c r="I348" s="97" t="s">
        <v>55</v>
      </c>
      <c r="J348" s="102" t="s">
        <v>102</v>
      </c>
      <c r="K348" s="110" t="s">
        <v>2498</v>
      </c>
      <c r="L348" s="104" t="s">
        <v>2499</v>
      </c>
      <c r="M348" s="104" t="s">
        <v>2646</v>
      </c>
      <c r="N348" s="105">
        <v>-100.0</v>
      </c>
      <c r="O348" s="105">
        <v>100.0</v>
      </c>
      <c r="P348" s="105">
        <v>100.0</v>
      </c>
      <c r="Q348" s="105">
        <v>90.0</v>
      </c>
      <c r="R348" s="105">
        <v>18.0</v>
      </c>
      <c r="S348" s="105">
        <v>22.0</v>
      </c>
      <c r="T348" s="105">
        <v>90.0</v>
      </c>
      <c r="U348" s="105">
        <v>44.0</v>
      </c>
      <c r="V348" s="105">
        <v>46.0</v>
      </c>
      <c r="W348" s="105">
        <v>24.0</v>
      </c>
      <c r="X348" s="105">
        <v>34.0</v>
      </c>
      <c r="Y348" s="105">
        <v>78.0</v>
      </c>
      <c r="Z348" s="105">
        <v>10.0</v>
      </c>
      <c r="AA348" s="105">
        <v>44.0</v>
      </c>
      <c r="AB348" s="105">
        <v>30.0</v>
      </c>
      <c r="AC348" s="105">
        <v>24.0</v>
      </c>
      <c r="AD348" s="105">
        <v>8.0</v>
      </c>
      <c r="AE348" s="105">
        <v>96.0</v>
      </c>
      <c r="AF348" s="105">
        <v>82.0</v>
      </c>
      <c r="AG348" s="105">
        <v>20.0</v>
      </c>
      <c r="AH348" s="105">
        <v>10.0</v>
      </c>
      <c r="AI348" s="105">
        <v>78.0</v>
      </c>
      <c r="AJ348" s="105">
        <v>60.0</v>
      </c>
      <c r="AK348" s="105">
        <v>94.0</v>
      </c>
      <c r="AL348" s="105">
        <v>78.0</v>
      </c>
      <c r="AM348" s="33">
        <v>-100.0</v>
      </c>
      <c r="AN348" s="105">
        <v>-100.0</v>
      </c>
      <c r="AO348" s="105">
        <v>-100.0</v>
      </c>
      <c r="AP348" s="18" t="s">
        <v>2647</v>
      </c>
      <c r="AQ348" s="18" t="s">
        <v>2648</v>
      </c>
      <c r="AR348" s="121" t="s">
        <v>2476</v>
      </c>
      <c r="AS348" s="121" t="s">
        <v>2477</v>
      </c>
      <c r="AT348" s="121" t="s">
        <v>2089</v>
      </c>
      <c r="AU348" s="21" t="s">
        <v>2478</v>
      </c>
      <c r="AV348" s="22" t="s">
        <v>2649</v>
      </c>
      <c r="AW348" s="94" t="s">
        <v>2650</v>
      </c>
      <c r="AX348" s="34"/>
      <c r="BA348" s="52"/>
      <c r="BB348" s="52"/>
    </row>
    <row r="349" hidden="1">
      <c r="A349" s="25" t="s">
        <v>2651</v>
      </c>
      <c r="B349" s="103" t="s">
        <v>2652</v>
      </c>
      <c r="C349" s="97" t="s">
        <v>151</v>
      </c>
      <c r="D349" s="97" t="s">
        <v>52</v>
      </c>
      <c r="E349" s="97" t="s">
        <v>69</v>
      </c>
      <c r="F349" s="29" t="s">
        <v>70</v>
      </c>
      <c r="G349" s="29">
        <v>699.0</v>
      </c>
      <c r="H349" s="36">
        <f t="shared" si="4"/>
        <v>664.05</v>
      </c>
      <c r="I349" s="97" t="s">
        <v>55</v>
      </c>
      <c r="J349" s="102" t="s">
        <v>224</v>
      </c>
      <c r="K349" s="110" t="s">
        <v>173</v>
      </c>
      <c r="L349" s="104" t="s">
        <v>2611</v>
      </c>
      <c r="M349" s="104" t="s">
        <v>2653</v>
      </c>
      <c r="N349" s="105">
        <v>-100.0</v>
      </c>
      <c r="O349" s="105">
        <v>100.0</v>
      </c>
      <c r="P349" s="105">
        <v>100.0</v>
      </c>
      <c r="Q349" s="105">
        <v>42.0</v>
      </c>
      <c r="R349" s="105">
        <v>10.0</v>
      </c>
      <c r="S349" s="105">
        <v>42.0</v>
      </c>
      <c r="T349" s="105">
        <v>18.0</v>
      </c>
      <c r="U349" s="105">
        <v>90.0</v>
      </c>
      <c r="V349" s="105">
        <v>92.0</v>
      </c>
      <c r="W349" s="105">
        <v>48.0</v>
      </c>
      <c r="X349" s="105">
        <v>40.0</v>
      </c>
      <c r="Y349" s="105">
        <v>12.0</v>
      </c>
      <c r="Z349" s="105">
        <v>18.0</v>
      </c>
      <c r="AA349" s="105">
        <v>54.0</v>
      </c>
      <c r="AB349" s="105">
        <v>48.0</v>
      </c>
      <c r="AC349" s="105">
        <v>92.0</v>
      </c>
      <c r="AD349" s="105">
        <v>78.0</v>
      </c>
      <c r="AE349" s="105">
        <v>78.0</v>
      </c>
      <c r="AF349" s="105">
        <v>68.0</v>
      </c>
      <c r="AG349" s="105">
        <v>50.0</v>
      </c>
      <c r="AH349" s="105">
        <v>42.0</v>
      </c>
      <c r="AI349" s="105">
        <v>90.0</v>
      </c>
      <c r="AJ349" s="105">
        <v>84.0</v>
      </c>
      <c r="AK349" s="105">
        <v>92.0</v>
      </c>
      <c r="AL349" s="105">
        <v>86.0</v>
      </c>
      <c r="AM349" s="33">
        <v>-100.0</v>
      </c>
      <c r="AN349" s="105">
        <v>-100.0</v>
      </c>
      <c r="AO349" s="105">
        <v>-100.0</v>
      </c>
      <c r="AP349" s="18" t="s">
        <v>2654</v>
      </c>
      <c r="AQ349" s="18" t="s">
        <v>2655</v>
      </c>
      <c r="AR349" s="121" t="s">
        <v>2476</v>
      </c>
      <c r="AS349" s="121" t="s">
        <v>2477</v>
      </c>
      <c r="AT349" s="121" t="s">
        <v>2089</v>
      </c>
      <c r="AU349" s="21" t="s">
        <v>2478</v>
      </c>
      <c r="AV349" s="22" t="s">
        <v>2656</v>
      </c>
      <c r="AW349" s="94" t="s">
        <v>2657</v>
      </c>
      <c r="AX349" s="52"/>
      <c r="BA349" s="52"/>
      <c r="BB349" s="52"/>
    </row>
    <row r="350" hidden="1">
      <c r="A350" s="25" t="s">
        <v>2658</v>
      </c>
      <c r="B350" s="103" t="s">
        <v>2659</v>
      </c>
      <c r="C350" s="97" t="s">
        <v>2206</v>
      </c>
      <c r="D350" s="97" t="s">
        <v>52</v>
      </c>
      <c r="E350" s="97" t="s">
        <v>69</v>
      </c>
      <c r="F350" s="29" t="s">
        <v>70</v>
      </c>
      <c r="G350" s="29">
        <v>645.0</v>
      </c>
      <c r="H350" s="36">
        <f t="shared" si="4"/>
        <v>612.75</v>
      </c>
      <c r="I350" s="97" t="s">
        <v>55</v>
      </c>
      <c r="J350" s="102" t="s">
        <v>224</v>
      </c>
      <c r="K350" s="110" t="s">
        <v>173</v>
      </c>
      <c r="L350" s="104" t="s">
        <v>2611</v>
      </c>
      <c r="M350" s="104" t="s">
        <v>2660</v>
      </c>
      <c r="N350" s="105">
        <v>-100.0</v>
      </c>
      <c r="O350" s="105">
        <v>100.0</v>
      </c>
      <c r="P350" s="105">
        <v>100.0</v>
      </c>
      <c r="Q350" s="105">
        <v>28.0</v>
      </c>
      <c r="R350" s="105">
        <v>8.0</v>
      </c>
      <c r="S350" s="105">
        <v>34.0</v>
      </c>
      <c r="T350" s="105">
        <v>14.0</v>
      </c>
      <c r="U350" s="105">
        <v>90.0</v>
      </c>
      <c r="V350" s="105">
        <v>94.0</v>
      </c>
      <c r="W350" s="105">
        <v>52.0</v>
      </c>
      <c r="X350" s="105">
        <v>22.0</v>
      </c>
      <c r="Y350" s="105">
        <v>10.0</v>
      </c>
      <c r="Z350" s="105">
        <v>16.0</v>
      </c>
      <c r="AA350" s="105">
        <v>34.0</v>
      </c>
      <c r="AB350" s="105">
        <v>34.0</v>
      </c>
      <c r="AC350" s="105">
        <v>92.0</v>
      </c>
      <c r="AD350" s="105">
        <v>82.0</v>
      </c>
      <c r="AE350" s="105">
        <v>72.0</v>
      </c>
      <c r="AF350" s="105">
        <v>56.0</v>
      </c>
      <c r="AG350" s="105">
        <v>40.0</v>
      </c>
      <c r="AH350" s="105">
        <v>30.0</v>
      </c>
      <c r="AI350" s="105">
        <v>90.0</v>
      </c>
      <c r="AJ350" s="105">
        <v>82.0</v>
      </c>
      <c r="AK350" s="105">
        <v>92.0</v>
      </c>
      <c r="AL350" s="105">
        <v>84.0</v>
      </c>
      <c r="AM350" s="33">
        <v>-100.0</v>
      </c>
      <c r="AN350" s="105">
        <v>-100.0</v>
      </c>
      <c r="AO350" s="105">
        <v>-100.0</v>
      </c>
      <c r="AP350" s="18" t="s">
        <v>2661</v>
      </c>
      <c r="AQ350" s="18" t="s">
        <v>2662</v>
      </c>
      <c r="AR350" s="121" t="s">
        <v>2476</v>
      </c>
      <c r="AS350" s="121" t="s">
        <v>2477</v>
      </c>
      <c r="AT350" s="121" t="s">
        <v>2089</v>
      </c>
      <c r="AU350" s="21" t="s">
        <v>2478</v>
      </c>
      <c r="AV350" s="22" t="s">
        <v>2663</v>
      </c>
      <c r="AW350" s="94" t="s">
        <v>2664</v>
      </c>
      <c r="AX350" s="52"/>
      <c r="BA350" s="52"/>
      <c r="BB350" s="52"/>
    </row>
    <row r="351" hidden="1">
      <c r="A351" s="25" t="s">
        <v>2665</v>
      </c>
      <c r="B351" s="103" t="s">
        <v>2666</v>
      </c>
      <c r="C351" s="97" t="s">
        <v>2206</v>
      </c>
      <c r="D351" s="97" t="s">
        <v>52</v>
      </c>
      <c r="E351" s="97" t="s">
        <v>69</v>
      </c>
      <c r="F351" s="29" t="s">
        <v>70</v>
      </c>
      <c r="G351" s="29">
        <v>645.0</v>
      </c>
      <c r="H351" s="36">
        <f t="shared" si="4"/>
        <v>612.75</v>
      </c>
      <c r="I351" s="97" t="s">
        <v>55</v>
      </c>
      <c r="J351" s="102" t="s">
        <v>102</v>
      </c>
      <c r="K351" s="110" t="s">
        <v>2498</v>
      </c>
      <c r="L351" s="104" t="s">
        <v>2667</v>
      </c>
      <c r="M351" s="104" t="s">
        <v>2668</v>
      </c>
      <c r="N351" s="105">
        <v>-100.0</v>
      </c>
      <c r="O351" s="105">
        <v>100.0</v>
      </c>
      <c r="P351" s="105">
        <v>100.0</v>
      </c>
      <c r="Q351" s="105">
        <v>90.0</v>
      </c>
      <c r="R351" s="105">
        <v>18.0</v>
      </c>
      <c r="S351" s="105">
        <v>20.0</v>
      </c>
      <c r="T351" s="105">
        <v>90.0</v>
      </c>
      <c r="U351" s="105">
        <v>48.0</v>
      </c>
      <c r="V351" s="105">
        <v>50.0</v>
      </c>
      <c r="W351" s="105">
        <v>30.0</v>
      </c>
      <c r="X351" s="105">
        <v>34.0</v>
      </c>
      <c r="Y351" s="105">
        <v>78.0</v>
      </c>
      <c r="Z351" s="105">
        <v>10.0</v>
      </c>
      <c r="AA351" s="105">
        <v>40.0</v>
      </c>
      <c r="AB351" s="105">
        <v>28.0</v>
      </c>
      <c r="AC351" s="105">
        <v>24.0</v>
      </c>
      <c r="AD351" s="105">
        <v>8.0</v>
      </c>
      <c r="AE351" s="105">
        <v>96.0</v>
      </c>
      <c r="AF351" s="105">
        <v>78.0</v>
      </c>
      <c r="AG351" s="105">
        <v>18.0</v>
      </c>
      <c r="AH351" s="105">
        <v>8.0</v>
      </c>
      <c r="AI351" s="105">
        <v>76.0</v>
      </c>
      <c r="AJ351" s="105">
        <v>56.0</v>
      </c>
      <c r="AK351" s="105">
        <v>94.0</v>
      </c>
      <c r="AL351" s="105">
        <v>74.0</v>
      </c>
      <c r="AM351" s="33">
        <v>-100.0</v>
      </c>
      <c r="AN351" s="105">
        <v>-100.0</v>
      </c>
      <c r="AO351" s="105">
        <v>-100.0</v>
      </c>
      <c r="AP351" s="18" t="s">
        <v>2669</v>
      </c>
      <c r="AQ351" s="18" t="s">
        <v>2670</v>
      </c>
      <c r="AR351" s="121" t="s">
        <v>2476</v>
      </c>
      <c r="AS351" s="121" t="s">
        <v>2477</v>
      </c>
      <c r="AT351" s="121" t="s">
        <v>2089</v>
      </c>
      <c r="AU351" s="21" t="s">
        <v>2478</v>
      </c>
      <c r="AV351" s="22" t="s">
        <v>2671</v>
      </c>
      <c r="AW351" s="94" t="s">
        <v>2672</v>
      </c>
      <c r="AX351" s="34"/>
      <c r="BA351" s="52"/>
      <c r="BB351" s="52"/>
    </row>
    <row r="352">
      <c r="A352" s="25" t="s">
        <v>2673</v>
      </c>
      <c r="B352" s="103" t="s">
        <v>2674</v>
      </c>
      <c r="C352" s="97" t="s">
        <v>2177</v>
      </c>
      <c r="D352" s="97" t="s">
        <v>52</v>
      </c>
      <c r="E352" s="97" t="s">
        <v>84</v>
      </c>
      <c r="F352" s="29" t="s">
        <v>1660</v>
      </c>
      <c r="G352" s="29">
        <v>2050.0</v>
      </c>
      <c r="H352" s="36">
        <f t="shared" ref="H352:H361" si="5">97.5*G352%</f>
        <v>1998.75</v>
      </c>
      <c r="I352" s="97" t="s">
        <v>1199</v>
      </c>
      <c r="J352" s="102" t="s">
        <v>224</v>
      </c>
      <c r="K352" s="110" t="s">
        <v>25</v>
      </c>
      <c r="L352" s="104" t="s">
        <v>2675</v>
      </c>
      <c r="M352" s="104" t="s">
        <v>1571</v>
      </c>
      <c r="N352" s="105">
        <v>-100.0</v>
      </c>
      <c r="O352" s="105">
        <v>100.0</v>
      </c>
      <c r="P352" s="105">
        <v>100.0</v>
      </c>
      <c r="Q352" s="105">
        <v>52.0</v>
      </c>
      <c r="R352" s="105">
        <v>12.0</v>
      </c>
      <c r="S352" s="105">
        <v>58.0</v>
      </c>
      <c r="T352" s="105">
        <v>58.0</v>
      </c>
      <c r="U352" s="105">
        <v>60.0</v>
      </c>
      <c r="V352" s="105">
        <v>52.0</v>
      </c>
      <c r="W352" s="105">
        <v>34.0</v>
      </c>
      <c r="X352" s="105">
        <v>54.0</v>
      </c>
      <c r="Y352" s="105">
        <v>46.0</v>
      </c>
      <c r="Z352" s="105">
        <v>92.0</v>
      </c>
      <c r="AA352" s="105">
        <v>46.0</v>
      </c>
      <c r="AB352" s="105">
        <v>52.0</v>
      </c>
      <c r="AC352" s="105">
        <v>36.0</v>
      </c>
      <c r="AD352" s="105">
        <v>8.0</v>
      </c>
      <c r="AE352" s="105">
        <v>64.0</v>
      </c>
      <c r="AF352" s="105">
        <v>44.0</v>
      </c>
      <c r="AG352" s="105">
        <v>72.0</v>
      </c>
      <c r="AH352" s="105">
        <v>58.0</v>
      </c>
      <c r="AI352" s="105">
        <v>90.0</v>
      </c>
      <c r="AJ352" s="105">
        <v>72.0</v>
      </c>
      <c r="AK352" s="105">
        <v>90.0</v>
      </c>
      <c r="AL352" s="105">
        <v>74.0</v>
      </c>
      <c r="AM352" s="33">
        <v>-100.0</v>
      </c>
      <c r="AN352" s="105">
        <v>-100.0</v>
      </c>
      <c r="AO352" s="105">
        <v>-100.0</v>
      </c>
      <c r="AP352" s="18" t="s">
        <v>2676</v>
      </c>
      <c r="AQ352" s="18" t="s">
        <v>2677</v>
      </c>
      <c r="AR352" s="121" t="s">
        <v>2064</v>
      </c>
      <c r="AS352" s="121" t="s">
        <v>2065</v>
      </c>
      <c r="AT352" s="121" t="s">
        <v>2066</v>
      </c>
      <c r="AU352" s="21" t="s">
        <v>2067</v>
      </c>
      <c r="AV352" s="22" t="s">
        <v>2047</v>
      </c>
      <c r="AW352" s="94" t="s">
        <v>2678</v>
      </c>
      <c r="AX352" s="52"/>
      <c r="BA352" s="52"/>
      <c r="BB352" s="52"/>
    </row>
    <row r="353">
      <c r="A353" s="25" t="s">
        <v>2679</v>
      </c>
      <c r="B353" s="103" t="s">
        <v>2680</v>
      </c>
      <c r="C353" s="97" t="s">
        <v>2177</v>
      </c>
      <c r="D353" s="97" t="s">
        <v>52</v>
      </c>
      <c r="E353" s="97" t="s">
        <v>69</v>
      </c>
      <c r="F353" s="29" t="s">
        <v>54</v>
      </c>
      <c r="G353" s="29">
        <v>1450.0</v>
      </c>
      <c r="H353" s="36">
        <f t="shared" si="5"/>
        <v>1413.75</v>
      </c>
      <c r="I353" s="97" t="s">
        <v>1199</v>
      </c>
      <c r="J353" s="102" t="s">
        <v>587</v>
      </c>
      <c r="K353" s="110" t="s">
        <v>1907</v>
      </c>
      <c r="L353" s="104" t="s">
        <v>2681</v>
      </c>
      <c r="M353" s="104" t="s">
        <v>2348</v>
      </c>
      <c r="N353" s="105">
        <v>100.0</v>
      </c>
      <c r="O353" s="105">
        <v>100.0</v>
      </c>
      <c r="P353" s="105">
        <v>100.0</v>
      </c>
      <c r="Q353" s="105">
        <v>46.0</v>
      </c>
      <c r="R353" s="105">
        <v>10.0</v>
      </c>
      <c r="S353" s="105">
        <v>78.0</v>
      </c>
      <c r="T353" s="105">
        <v>12.0</v>
      </c>
      <c r="U353" s="105">
        <v>12.0</v>
      </c>
      <c r="V353" s="105">
        <v>8.0</v>
      </c>
      <c r="W353" s="105">
        <v>4.0</v>
      </c>
      <c r="X353" s="105">
        <v>90.0</v>
      </c>
      <c r="Y353" s="105">
        <v>12.0</v>
      </c>
      <c r="Z353" s="105">
        <v>20.0</v>
      </c>
      <c r="AA353" s="105">
        <v>88.0</v>
      </c>
      <c r="AB353" s="105">
        <v>90.0</v>
      </c>
      <c r="AC353" s="105">
        <v>20.0</v>
      </c>
      <c r="AD353" s="105">
        <v>4.0</v>
      </c>
      <c r="AE353" s="105">
        <v>78.0</v>
      </c>
      <c r="AF353" s="105">
        <v>82.0</v>
      </c>
      <c r="AG353" s="105">
        <v>90.0</v>
      </c>
      <c r="AH353" s="105">
        <v>92.0</v>
      </c>
      <c r="AI353" s="105">
        <v>90.0</v>
      </c>
      <c r="AJ353" s="105">
        <v>92.0</v>
      </c>
      <c r="AK353" s="105">
        <v>86.0</v>
      </c>
      <c r="AL353" s="105">
        <v>90.0</v>
      </c>
      <c r="AM353" s="33">
        <v>0.0</v>
      </c>
      <c r="AN353" s="105">
        <v>100.0</v>
      </c>
      <c r="AO353" s="105">
        <v>100.0</v>
      </c>
      <c r="AP353" s="18" t="s">
        <v>2682</v>
      </c>
      <c r="AQ353" s="18" t="s">
        <v>2683</v>
      </c>
      <c r="AR353" s="121" t="s">
        <v>2476</v>
      </c>
      <c r="AS353" s="121" t="s">
        <v>2477</v>
      </c>
      <c r="AT353" s="121" t="s">
        <v>2089</v>
      </c>
      <c r="AU353" s="21" t="s">
        <v>2478</v>
      </c>
      <c r="AV353" s="22" t="s">
        <v>1204</v>
      </c>
      <c r="AW353" s="94" t="s">
        <v>2684</v>
      </c>
      <c r="AX353" s="52"/>
      <c r="BA353" s="52"/>
      <c r="BB353" s="52"/>
    </row>
    <row r="354">
      <c r="A354" s="25" t="s">
        <v>2685</v>
      </c>
      <c r="B354" s="103" t="s">
        <v>2686</v>
      </c>
      <c r="C354" s="97" t="s">
        <v>2177</v>
      </c>
      <c r="D354" s="97" t="s">
        <v>52</v>
      </c>
      <c r="E354" s="97" t="s">
        <v>69</v>
      </c>
      <c r="F354" s="29" t="s">
        <v>126</v>
      </c>
      <c r="G354" s="29">
        <v>2050.0</v>
      </c>
      <c r="H354" s="36">
        <f t="shared" si="5"/>
        <v>1998.75</v>
      </c>
      <c r="I354" s="97" t="s">
        <v>1199</v>
      </c>
      <c r="J354" s="102" t="s">
        <v>2618</v>
      </c>
      <c r="K354" s="110" t="s">
        <v>25</v>
      </c>
      <c r="L354" s="104" t="s">
        <v>2687</v>
      </c>
      <c r="M354" s="104" t="s">
        <v>2688</v>
      </c>
      <c r="N354" s="105">
        <v>100.0</v>
      </c>
      <c r="O354" s="105">
        <v>100.0</v>
      </c>
      <c r="P354" s="105">
        <v>100.0</v>
      </c>
      <c r="Q354" s="105">
        <v>38.0</v>
      </c>
      <c r="R354" s="105">
        <v>8.0</v>
      </c>
      <c r="S354" s="105">
        <v>52.0</v>
      </c>
      <c r="T354" s="105">
        <v>18.0</v>
      </c>
      <c r="U354" s="105">
        <v>20.0</v>
      </c>
      <c r="V354" s="105">
        <v>16.0</v>
      </c>
      <c r="W354" s="105">
        <v>8.0</v>
      </c>
      <c r="X354" s="105">
        <v>50.0</v>
      </c>
      <c r="Y354" s="105">
        <v>14.0</v>
      </c>
      <c r="Z354" s="105">
        <v>90.0</v>
      </c>
      <c r="AA354" s="105">
        <v>62.0</v>
      </c>
      <c r="AB354" s="105">
        <v>60.0</v>
      </c>
      <c r="AC354" s="105">
        <v>26.0</v>
      </c>
      <c r="AD354" s="105">
        <v>6.0</v>
      </c>
      <c r="AE354" s="105">
        <v>74.0</v>
      </c>
      <c r="AF354" s="105">
        <v>72.0</v>
      </c>
      <c r="AG354" s="105">
        <v>62.0</v>
      </c>
      <c r="AH354" s="105">
        <v>60.0</v>
      </c>
      <c r="AI354" s="105">
        <v>90.0</v>
      </c>
      <c r="AJ354" s="105">
        <v>90.0</v>
      </c>
      <c r="AK354" s="105">
        <v>84.0</v>
      </c>
      <c r="AL354" s="105">
        <v>82.0</v>
      </c>
      <c r="AM354" s="33">
        <v>-100.0</v>
      </c>
      <c r="AN354" s="105">
        <v>100.0</v>
      </c>
      <c r="AO354" s="105">
        <v>100.0</v>
      </c>
      <c r="AP354" s="18" t="s">
        <v>2689</v>
      </c>
      <c r="AQ354" s="18" t="s">
        <v>2690</v>
      </c>
      <c r="AR354" s="121" t="s">
        <v>2476</v>
      </c>
      <c r="AS354" s="121" t="s">
        <v>2477</v>
      </c>
      <c r="AT354" s="121" t="s">
        <v>2089</v>
      </c>
      <c r="AU354" s="21" t="s">
        <v>2478</v>
      </c>
      <c r="AV354" s="22" t="s">
        <v>1385</v>
      </c>
      <c r="AW354" s="94" t="s">
        <v>2691</v>
      </c>
      <c r="AX354" s="52"/>
      <c r="BA354" s="52"/>
      <c r="BB354" s="52"/>
    </row>
    <row r="355" hidden="1">
      <c r="A355" s="25" t="s">
        <v>2692</v>
      </c>
      <c r="B355" s="103" t="s">
        <v>2693</v>
      </c>
      <c r="C355" s="97" t="s">
        <v>2279</v>
      </c>
      <c r="D355" s="97" t="s">
        <v>52</v>
      </c>
      <c r="E355" s="97" t="s">
        <v>69</v>
      </c>
      <c r="F355" s="29" t="s">
        <v>70</v>
      </c>
      <c r="G355" s="29">
        <v>899.0</v>
      </c>
      <c r="H355" s="36">
        <f t="shared" si="5"/>
        <v>876.525</v>
      </c>
      <c r="I355" s="97" t="s">
        <v>1199</v>
      </c>
      <c r="J355" s="102" t="s">
        <v>2694</v>
      </c>
      <c r="K355" s="110" t="s">
        <v>26</v>
      </c>
      <c r="L355" s="104" t="s">
        <v>2280</v>
      </c>
      <c r="M355" s="104" t="s">
        <v>2695</v>
      </c>
      <c r="N355" s="105">
        <v>100.0</v>
      </c>
      <c r="O355" s="105">
        <v>100.0</v>
      </c>
      <c r="P355" s="105">
        <v>100.0</v>
      </c>
      <c r="Q355" s="105">
        <v>84.0</v>
      </c>
      <c r="R355" s="105">
        <v>18.0</v>
      </c>
      <c r="S355" s="105">
        <v>38.0</v>
      </c>
      <c r="T355" s="105">
        <v>28.0</v>
      </c>
      <c r="U355" s="105">
        <v>14.0</v>
      </c>
      <c r="V355" s="105">
        <v>10.0</v>
      </c>
      <c r="W355" s="105">
        <v>4.0</v>
      </c>
      <c r="X355" s="105">
        <v>62.0</v>
      </c>
      <c r="Y355" s="105">
        <v>26.0</v>
      </c>
      <c r="Z355" s="105">
        <v>10.0</v>
      </c>
      <c r="AA355" s="105">
        <v>90.0</v>
      </c>
      <c r="AB355" s="105">
        <v>42.0</v>
      </c>
      <c r="AC355" s="105">
        <v>14.0</v>
      </c>
      <c r="AD355" s="105">
        <v>4.0</v>
      </c>
      <c r="AE355" s="105">
        <v>92.0</v>
      </c>
      <c r="AF355" s="105">
        <v>90.0</v>
      </c>
      <c r="AG355" s="105">
        <v>40.0</v>
      </c>
      <c r="AH355" s="105">
        <v>34.0</v>
      </c>
      <c r="AI355" s="105">
        <v>84.0</v>
      </c>
      <c r="AJ355" s="105">
        <v>82.0</v>
      </c>
      <c r="AK355" s="105">
        <v>94.0</v>
      </c>
      <c r="AL355" s="105">
        <v>92.0</v>
      </c>
      <c r="AM355" s="33">
        <v>-100.0</v>
      </c>
      <c r="AN355" s="105">
        <v>100.0</v>
      </c>
      <c r="AO355" s="105">
        <v>100.0</v>
      </c>
      <c r="AP355" s="18" t="s">
        <v>2696</v>
      </c>
      <c r="AQ355" s="18" t="s">
        <v>2697</v>
      </c>
      <c r="AR355" s="121" t="s">
        <v>2476</v>
      </c>
      <c r="AS355" s="121" t="s">
        <v>2477</v>
      </c>
      <c r="AT355" s="121" t="s">
        <v>2089</v>
      </c>
      <c r="AU355" s="21" t="s">
        <v>2478</v>
      </c>
      <c r="AV355" s="22" t="s">
        <v>2698</v>
      </c>
      <c r="AW355" s="94" t="s">
        <v>2699</v>
      </c>
      <c r="AX355" s="52"/>
      <c r="BA355" s="52"/>
      <c r="BB355" s="52"/>
    </row>
    <row r="356" hidden="1">
      <c r="A356" s="25" t="s">
        <v>2700</v>
      </c>
      <c r="B356" s="103" t="s">
        <v>2701</v>
      </c>
      <c r="C356" s="97" t="s">
        <v>2279</v>
      </c>
      <c r="D356" s="97" t="s">
        <v>52</v>
      </c>
      <c r="E356" s="97" t="s">
        <v>69</v>
      </c>
      <c r="F356" s="29" t="s">
        <v>70</v>
      </c>
      <c r="G356" s="29">
        <v>899.0</v>
      </c>
      <c r="H356" s="36">
        <f t="shared" si="5"/>
        <v>876.525</v>
      </c>
      <c r="I356" s="97" t="s">
        <v>1199</v>
      </c>
      <c r="J356" s="102" t="s">
        <v>102</v>
      </c>
      <c r="K356" s="110" t="s">
        <v>19</v>
      </c>
      <c r="L356" s="104" t="s">
        <v>2702</v>
      </c>
      <c r="M356" s="104" t="s">
        <v>2703</v>
      </c>
      <c r="N356" s="105">
        <v>100.0</v>
      </c>
      <c r="O356" s="105">
        <v>100.0</v>
      </c>
      <c r="P356" s="105">
        <v>100.0</v>
      </c>
      <c r="Q356" s="105">
        <v>58.0</v>
      </c>
      <c r="R356" s="105">
        <v>12.0</v>
      </c>
      <c r="S356" s="105">
        <v>42.0</v>
      </c>
      <c r="T356" s="105">
        <v>90.0</v>
      </c>
      <c r="U356" s="105">
        <v>18.0</v>
      </c>
      <c r="V356" s="105">
        <v>12.0</v>
      </c>
      <c r="W356" s="105">
        <v>6.0</v>
      </c>
      <c r="X356" s="105">
        <v>44.0</v>
      </c>
      <c r="Y356" s="105">
        <v>48.0</v>
      </c>
      <c r="Z356" s="105">
        <v>20.0</v>
      </c>
      <c r="AA356" s="105">
        <v>54.0</v>
      </c>
      <c r="AB356" s="105">
        <v>46.0</v>
      </c>
      <c r="AC356" s="105">
        <v>18.0</v>
      </c>
      <c r="AD356" s="105">
        <v>4.0</v>
      </c>
      <c r="AE356" s="105">
        <v>92.0</v>
      </c>
      <c r="AF356" s="105">
        <v>82.0</v>
      </c>
      <c r="AG356" s="105">
        <v>44.0</v>
      </c>
      <c r="AH356" s="105">
        <v>36.0</v>
      </c>
      <c r="AI356" s="105">
        <v>88.0</v>
      </c>
      <c r="AJ356" s="105">
        <v>80.0</v>
      </c>
      <c r="AK356" s="105">
        <v>94.0</v>
      </c>
      <c r="AL356" s="105">
        <v>86.0</v>
      </c>
      <c r="AM356" s="33">
        <v>-100.0</v>
      </c>
      <c r="AN356" s="105">
        <v>100.0</v>
      </c>
      <c r="AO356" s="105">
        <v>100.0</v>
      </c>
      <c r="AP356" s="18" t="s">
        <v>2704</v>
      </c>
      <c r="AQ356" s="18" t="s">
        <v>2705</v>
      </c>
      <c r="AR356" s="121" t="s">
        <v>2476</v>
      </c>
      <c r="AS356" s="121" t="s">
        <v>2477</v>
      </c>
      <c r="AT356" s="121" t="s">
        <v>2089</v>
      </c>
      <c r="AU356" s="21" t="s">
        <v>2478</v>
      </c>
      <c r="AV356" s="22" t="s">
        <v>2706</v>
      </c>
      <c r="AW356" s="94" t="s">
        <v>2707</v>
      </c>
      <c r="AX356" s="52"/>
      <c r="BA356" s="52"/>
      <c r="BB356" s="52"/>
    </row>
    <row r="357">
      <c r="A357" s="25" t="s">
        <v>2708</v>
      </c>
      <c r="B357" s="103" t="s">
        <v>2709</v>
      </c>
      <c r="C357" s="97" t="s">
        <v>2455</v>
      </c>
      <c r="D357" s="97" t="s">
        <v>52</v>
      </c>
      <c r="E357" s="97" t="s">
        <v>69</v>
      </c>
      <c r="F357" s="29" t="s">
        <v>70</v>
      </c>
      <c r="G357" s="29">
        <v>1480.0</v>
      </c>
      <c r="H357" s="36">
        <f t="shared" si="5"/>
        <v>1443</v>
      </c>
      <c r="I357" s="97" t="s">
        <v>1199</v>
      </c>
      <c r="J357" s="102" t="s">
        <v>2710</v>
      </c>
      <c r="K357" s="110" t="s">
        <v>127</v>
      </c>
      <c r="L357" s="104" t="s">
        <v>2508</v>
      </c>
      <c r="M357" s="104" t="s">
        <v>2711</v>
      </c>
      <c r="N357" s="105">
        <v>-100.0</v>
      </c>
      <c r="O357" s="105">
        <v>100.0</v>
      </c>
      <c r="P357" s="105">
        <v>100.0</v>
      </c>
      <c r="Q357" s="105">
        <v>42.0</v>
      </c>
      <c r="R357" s="105">
        <v>10.0</v>
      </c>
      <c r="S357" s="105">
        <v>48.0</v>
      </c>
      <c r="T357" s="105">
        <v>18.0</v>
      </c>
      <c r="U357" s="105">
        <v>90.0</v>
      </c>
      <c r="V357" s="105">
        <v>94.0</v>
      </c>
      <c r="W357" s="105">
        <v>80.0</v>
      </c>
      <c r="X357" s="105">
        <v>48.0</v>
      </c>
      <c r="Y357" s="105">
        <v>12.0</v>
      </c>
      <c r="Z357" s="105">
        <v>16.0</v>
      </c>
      <c r="AA357" s="105">
        <v>64.0</v>
      </c>
      <c r="AB357" s="105">
        <v>54.0</v>
      </c>
      <c r="AC357" s="105">
        <v>58.0</v>
      </c>
      <c r="AD357" s="105">
        <v>12.0</v>
      </c>
      <c r="AE357" s="105">
        <v>74.0</v>
      </c>
      <c r="AF357" s="105">
        <v>70.0</v>
      </c>
      <c r="AG357" s="105">
        <v>60.0</v>
      </c>
      <c r="AH357" s="105">
        <v>58.0</v>
      </c>
      <c r="AI357" s="105">
        <v>90.0</v>
      </c>
      <c r="AJ357" s="105">
        <v>90.0</v>
      </c>
      <c r="AK357" s="105">
        <v>92.0</v>
      </c>
      <c r="AL357" s="105">
        <v>90.0</v>
      </c>
      <c r="AM357" s="33">
        <v>-100.0</v>
      </c>
      <c r="AN357" s="105">
        <v>-100.0</v>
      </c>
      <c r="AO357" s="105">
        <v>-100.0</v>
      </c>
      <c r="AP357" s="18" t="s">
        <v>2712</v>
      </c>
      <c r="AQ357" s="18" t="s">
        <v>2713</v>
      </c>
      <c r="AR357" s="121" t="s">
        <v>2476</v>
      </c>
      <c r="AS357" s="121" t="s">
        <v>2477</v>
      </c>
      <c r="AT357" s="121" t="s">
        <v>2089</v>
      </c>
      <c r="AU357" s="21" t="s">
        <v>2478</v>
      </c>
      <c r="AV357" s="22" t="s">
        <v>2714</v>
      </c>
      <c r="AW357" s="94" t="s">
        <v>2715</v>
      </c>
      <c r="AX357" s="52"/>
      <c r="AY357" s="55"/>
      <c r="AZ357" s="55"/>
      <c r="BA357" s="52"/>
      <c r="BB357" s="52"/>
    </row>
    <row r="358">
      <c r="A358" s="25" t="s">
        <v>2716</v>
      </c>
      <c r="B358" s="103" t="s">
        <v>2717</v>
      </c>
      <c r="C358" s="97" t="s">
        <v>2455</v>
      </c>
      <c r="D358" s="97" t="s">
        <v>52</v>
      </c>
      <c r="E358" s="97" t="s">
        <v>69</v>
      </c>
      <c r="F358" s="29" t="s">
        <v>70</v>
      </c>
      <c r="G358" s="29">
        <v>1490.0</v>
      </c>
      <c r="H358" s="36">
        <f t="shared" si="5"/>
        <v>1452.75</v>
      </c>
      <c r="I358" s="97" t="s">
        <v>1199</v>
      </c>
      <c r="J358" s="102" t="s">
        <v>2718</v>
      </c>
      <c r="K358" s="110" t="s">
        <v>26</v>
      </c>
      <c r="L358" s="104" t="s">
        <v>2719</v>
      </c>
      <c r="M358" s="104" t="s">
        <v>154</v>
      </c>
      <c r="N358" s="105">
        <v>100.0</v>
      </c>
      <c r="O358" s="105">
        <v>100.0</v>
      </c>
      <c r="P358" s="105">
        <v>100.0</v>
      </c>
      <c r="Q358" s="105">
        <v>78.0</v>
      </c>
      <c r="R358" s="105">
        <v>14.0</v>
      </c>
      <c r="S358" s="105">
        <v>58.0</v>
      </c>
      <c r="T358" s="105">
        <v>34.0</v>
      </c>
      <c r="U358" s="105">
        <v>22.0</v>
      </c>
      <c r="V358" s="105">
        <v>16.0</v>
      </c>
      <c r="W358" s="105">
        <v>8.0</v>
      </c>
      <c r="X358" s="105">
        <v>72.0</v>
      </c>
      <c r="Y358" s="105">
        <v>24.0</v>
      </c>
      <c r="Z358" s="105">
        <v>14.0</v>
      </c>
      <c r="AA358" s="105">
        <v>90.0</v>
      </c>
      <c r="AB358" s="105">
        <v>66.0</v>
      </c>
      <c r="AC358" s="105">
        <v>24.0</v>
      </c>
      <c r="AD358" s="105">
        <v>4.0</v>
      </c>
      <c r="AE358" s="105">
        <v>82.0</v>
      </c>
      <c r="AF358" s="105">
        <v>90.0</v>
      </c>
      <c r="AG358" s="105">
        <v>68.0</v>
      </c>
      <c r="AH358" s="105">
        <v>76.0</v>
      </c>
      <c r="AI358" s="105">
        <v>90.0</v>
      </c>
      <c r="AJ358" s="105">
        <v>94.0</v>
      </c>
      <c r="AK358" s="105">
        <v>88.0</v>
      </c>
      <c r="AL358" s="105">
        <v>92.0</v>
      </c>
      <c r="AM358" s="33">
        <v>-100.0</v>
      </c>
      <c r="AN358" s="105">
        <v>100.0</v>
      </c>
      <c r="AO358" s="105">
        <v>100.0</v>
      </c>
      <c r="AP358" s="18" t="s">
        <v>2720</v>
      </c>
      <c r="AQ358" s="18" t="s">
        <v>2721</v>
      </c>
      <c r="AR358" s="121" t="s">
        <v>2476</v>
      </c>
      <c r="AS358" s="121" t="s">
        <v>2477</v>
      </c>
      <c r="AT358" s="121" t="s">
        <v>2089</v>
      </c>
      <c r="AU358" s="21" t="s">
        <v>2478</v>
      </c>
      <c r="AV358" s="22" t="s">
        <v>2722</v>
      </c>
      <c r="AW358" s="94" t="s">
        <v>2723</v>
      </c>
      <c r="AX358" s="52"/>
      <c r="BA358" s="52"/>
      <c r="BB358" s="52"/>
    </row>
    <row r="359">
      <c r="A359" s="25" t="s">
        <v>2724</v>
      </c>
      <c r="B359" s="103" t="s">
        <v>2725</v>
      </c>
      <c r="C359" s="97" t="s">
        <v>2455</v>
      </c>
      <c r="D359" s="97" t="s">
        <v>52</v>
      </c>
      <c r="E359" s="97" t="s">
        <v>69</v>
      </c>
      <c r="F359" s="29" t="s">
        <v>70</v>
      </c>
      <c r="G359" s="29">
        <v>1480.0</v>
      </c>
      <c r="H359" s="36">
        <f t="shared" si="5"/>
        <v>1443</v>
      </c>
      <c r="I359" s="97" t="s">
        <v>1199</v>
      </c>
      <c r="J359" s="102" t="s">
        <v>1898</v>
      </c>
      <c r="K359" s="110" t="s">
        <v>23</v>
      </c>
      <c r="L359" s="104" t="s">
        <v>2726</v>
      </c>
      <c r="M359" s="104" t="s">
        <v>2207</v>
      </c>
      <c r="N359" s="105">
        <v>100.0</v>
      </c>
      <c r="O359" s="105">
        <v>100.0</v>
      </c>
      <c r="P359" s="105">
        <v>100.0</v>
      </c>
      <c r="Q359" s="105">
        <v>56.0</v>
      </c>
      <c r="R359" s="105">
        <v>12.0</v>
      </c>
      <c r="S359" s="105">
        <v>72.0</v>
      </c>
      <c r="T359" s="105">
        <v>18.0</v>
      </c>
      <c r="U359" s="105">
        <v>20.0</v>
      </c>
      <c r="V359" s="105">
        <v>16.0</v>
      </c>
      <c r="W359" s="105">
        <v>8.0</v>
      </c>
      <c r="X359" s="105">
        <v>90.0</v>
      </c>
      <c r="Y359" s="105">
        <v>16.0</v>
      </c>
      <c r="Z359" s="105">
        <v>44.0</v>
      </c>
      <c r="AA359" s="105">
        <v>82.0</v>
      </c>
      <c r="AB359" s="105">
        <v>82.0</v>
      </c>
      <c r="AC359" s="105">
        <v>28.0</v>
      </c>
      <c r="AD359" s="105">
        <v>4.0</v>
      </c>
      <c r="AE359" s="105">
        <v>74.0</v>
      </c>
      <c r="AF359" s="105">
        <v>78.0</v>
      </c>
      <c r="AG359" s="105">
        <v>90.0</v>
      </c>
      <c r="AH359" s="105">
        <v>92.0</v>
      </c>
      <c r="AI359" s="105">
        <v>90.0</v>
      </c>
      <c r="AJ359" s="105">
        <v>92.0</v>
      </c>
      <c r="AK359" s="105">
        <v>84.0</v>
      </c>
      <c r="AL359" s="105">
        <v>88.0</v>
      </c>
      <c r="AM359" s="33">
        <v>0.0</v>
      </c>
      <c r="AN359" s="105">
        <v>100.0</v>
      </c>
      <c r="AO359" s="105">
        <v>100.0</v>
      </c>
      <c r="AP359" s="18" t="s">
        <v>2727</v>
      </c>
      <c r="AQ359" s="18" t="s">
        <v>2728</v>
      </c>
      <c r="AR359" s="121" t="s">
        <v>2476</v>
      </c>
      <c r="AS359" s="121" t="s">
        <v>2477</v>
      </c>
      <c r="AT359" s="121" t="s">
        <v>2089</v>
      </c>
      <c r="AU359" s="21" t="s">
        <v>2478</v>
      </c>
      <c r="AV359" s="22" t="s">
        <v>1385</v>
      </c>
      <c r="AW359" s="94" t="s">
        <v>2729</v>
      </c>
      <c r="AX359" s="52"/>
      <c r="BA359" s="52"/>
      <c r="BB359" s="52"/>
    </row>
    <row r="360" hidden="1">
      <c r="A360" s="25" t="s">
        <v>2730</v>
      </c>
      <c r="B360" s="103" t="s">
        <v>2731</v>
      </c>
      <c r="C360" s="97" t="s">
        <v>1397</v>
      </c>
      <c r="D360" s="97" t="s">
        <v>52</v>
      </c>
      <c r="E360" s="97" t="s">
        <v>69</v>
      </c>
      <c r="F360" s="29" t="s">
        <v>70</v>
      </c>
      <c r="G360" s="29">
        <v>850.0</v>
      </c>
      <c r="H360" s="36">
        <f t="shared" si="5"/>
        <v>828.75</v>
      </c>
      <c r="I360" s="97" t="s">
        <v>1199</v>
      </c>
      <c r="J360" s="102" t="s">
        <v>2732</v>
      </c>
      <c r="K360" s="110" t="s">
        <v>27</v>
      </c>
      <c r="L360" s="104" t="s">
        <v>2733</v>
      </c>
      <c r="M360" s="104" t="s">
        <v>551</v>
      </c>
      <c r="N360" s="105">
        <v>100.0</v>
      </c>
      <c r="O360" s="105">
        <v>100.0</v>
      </c>
      <c r="P360" s="105">
        <v>100.0</v>
      </c>
      <c r="Q360" s="105">
        <v>56.0</v>
      </c>
      <c r="R360" s="105">
        <v>12.0</v>
      </c>
      <c r="S360" s="105">
        <v>74.0</v>
      </c>
      <c r="T360" s="105">
        <v>18.0</v>
      </c>
      <c r="U360" s="105">
        <v>22.0</v>
      </c>
      <c r="V360" s="105">
        <v>18.0</v>
      </c>
      <c r="W360" s="105">
        <v>8.0</v>
      </c>
      <c r="X360" s="105">
        <v>78.0</v>
      </c>
      <c r="Y360" s="105">
        <v>18.0</v>
      </c>
      <c r="Z360" s="105">
        <v>16.0</v>
      </c>
      <c r="AA360" s="105">
        <v>74.0</v>
      </c>
      <c r="AB360" s="105">
        <v>90.0</v>
      </c>
      <c r="AC360" s="105">
        <v>28.0</v>
      </c>
      <c r="AD360" s="105">
        <v>4.0</v>
      </c>
      <c r="AE360" s="105">
        <v>78.0</v>
      </c>
      <c r="AF360" s="105">
        <v>80.0</v>
      </c>
      <c r="AG360" s="105">
        <v>88.0</v>
      </c>
      <c r="AH360" s="105">
        <v>90.0</v>
      </c>
      <c r="AI360" s="105">
        <v>90.0</v>
      </c>
      <c r="AJ360" s="105">
        <v>92.0</v>
      </c>
      <c r="AK360" s="105">
        <v>86.0</v>
      </c>
      <c r="AL360" s="105">
        <v>88.0</v>
      </c>
      <c r="AM360" s="33">
        <v>0.0</v>
      </c>
      <c r="AN360" s="105">
        <v>100.0</v>
      </c>
      <c r="AO360" s="105">
        <v>100.0</v>
      </c>
      <c r="AP360" s="18" t="s">
        <v>2734</v>
      </c>
      <c r="AQ360" s="18" t="s">
        <v>2735</v>
      </c>
      <c r="AR360" s="121" t="s">
        <v>2476</v>
      </c>
      <c r="AS360" s="121" t="s">
        <v>2477</v>
      </c>
      <c r="AT360" s="121" t="s">
        <v>2089</v>
      </c>
      <c r="AU360" s="21" t="s">
        <v>2478</v>
      </c>
      <c r="AV360" s="22" t="s">
        <v>1385</v>
      </c>
      <c r="AW360" s="94" t="s">
        <v>2736</v>
      </c>
      <c r="AX360" s="52"/>
      <c r="BA360" s="52"/>
      <c r="BB360" s="52"/>
    </row>
    <row r="361">
      <c r="A361" s="25" t="s">
        <v>2737</v>
      </c>
      <c r="B361" s="103" t="s">
        <v>2738</v>
      </c>
      <c r="C361" s="97" t="s">
        <v>2455</v>
      </c>
      <c r="D361" s="97" t="s">
        <v>52</v>
      </c>
      <c r="E361" s="97" t="s">
        <v>252</v>
      </c>
      <c r="F361" s="29" t="s">
        <v>454</v>
      </c>
      <c r="G361" s="29">
        <v>1570.0</v>
      </c>
      <c r="H361" s="36">
        <f t="shared" si="5"/>
        <v>1530.75</v>
      </c>
      <c r="I361" s="97" t="s">
        <v>1199</v>
      </c>
      <c r="J361" s="102" t="s">
        <v>2718</v>
      </c>
      <c r="K361" s="110" t="s">
        <v>29</v>
      </c>
      <c r="L361" s="104" t="s">
        <v>2320</v>
      </c>
      <c r="M361" s="104" t="s">
        <v>2739</v>
      </c>
      <c r="N361" s="105">
        <v>100.0</v>
      </c>
      <c r="O361" s="105">
        <v>100.0</v>
      </c>
      <c r="P361" s="105">
        <v>100.0</v>
      </c>
      <c r="Q361" s="105">
        <v>46.0</v>
      </c>
      <c r="R361" s="105">
        <v>12.0</v>
      </c>
      <c r="S361" s="105">
        <v>58.0</v>
      </c>
      <c r="T361" s="105">
        <v>14.0</v>
      </c>
      <c r="U361" s="105">
        <v>24.0</v>
      </c>
      <c r="V361" s="105">
        <v>26.0</v>
      </c>
      <c r="W361" s="105">
        <v>16.0</v>
      </c>
      <c r="X361" s="105">
        <v>54.0</v>
      </c>
      <c r="Y361" s="105">
        <v>10.0</v>
      </c>
      <c r="Z361" s="105">
        <v>12.0</v>
      </c>
      <c r="AA361" s="105">
        <v>84.0</v>
      </c>
      <c r="AB361" s="105">
        <v>60.0</v>
      </c>
      <c r="AC361" s="105">
        <v>22.0</v>
      </c>
      <c r="AD361" s="105">
        <v>98.0</v>
      </c>
      <c r="AE361" s="105">
        <v>82.0</v>
      </c>
      <c r="AF361" s="105">
        <v>90.0</v>
      </c>
      <c r="AG361" s="105">
        <v>64.0</v>
      </c>
      <c r="AH361" s="105">
        <v>74.0</v>
      </c>
      <c r="AI361" s="105">
        <v>90.0</v>
      </c>
      <c r="AJ361" s="105">
        <v>94.0</v>
      </c>
      <c r="AK361" s="105">
        <v>88.0</v>
      </c>
      <c r="AL361" s="105">
        <v>92.0</v>
      </c>
      <c r="AM361" s="33">
        <v>-100.0</v>
      </c>
      <c r="AN361" s="105">
        <v>100.0</v>
      </c>
      <c r="AO361" s="105">
        <v>100.0</v>
      </c>
      <c r="AP361" s="18" t="s">
        <v>2740</v>
      </c>
      <c r="AQ361" s="18" t="s">
        <v>2741</v>
      </c>
      <c r="AR361" s="121" t="s">
        <v>2087</v>
      </c>
      <c r="AS361" s="121" t="s">
        <v>2088</v>
      </c>
      <c r="AT361" s="121" t="s">
        <v>2089</v>
      </c>
      <c r="AU361" s="21" t="s">
        <v>2090</v>
      </c>
      <c r="AV361" s="22" t="s">
        <v>2742</v>
      </c>
      <c r="AW361" s="94" t="s">
        <v>2743</v>
      </c>
      <c r="AX361" s="52"/>
      <c r="BA361" s="52"/>
      <c r="BB361" s="52"/>
    </row>
    <row r="362" hidden="1">
      <c r="A362" s="25" t="s">
        <v>2744</v>
      </c>
      <c r="B362" s="103" t="s">
        <v>2745</v>
      </c>
      <c r="C362" s="97" t="s">
        <v>2746</v>
      </c>
      <c r="D362" s="97" t="s">
        <v>52</v>
      </c>
      <c r="E362" s="97" t="s">
        <v>252</v>
      </c>
      <c r="F362" s="29" t="s">
        <v>85</v>
      </c>
      <c r="G362" s="29">
        <v>845.0</v>
      </c>
      <c r="H362" s="36">
        <f t="shared" ref="H362:H365" si="6">95*G362%</f>
        <v>802.75</v>
      </c>
      <c r="I362" s="97" t="s">
        <v>55</v>
      </c>
      <c r="J362" s="102" t="s">
        <v>102</v>
      </c>
      <c r="K362" s="110" t="s">
        <v>29</v>
      </c>
      <c r="L362" s="104" t="s">
        <v>2747</v>
      </c>
      <c r="M362" s="104" t="s">
        <v>2748</v>
      </c>
      <c r="N362" s="105">
        <v>100.0</v>
      </c>
      <c r="O362" s="105">
        <v>100.0</v>
      </c>
      <c r="P362" s="105">
        <v>100.0</v>
      </c>
      <c r="Q362" s="105">
        <v>42.0</v>
      </c>
      <c r="R362" s="105">
        <v>12.0</v>
      </c>
      <c r="S362" s="105">
        <v>34.0</v>
      </c>
      <c r="T362" s="105">
        <v>16.0</v>
      </c>
      <c r="U362" s="105">
        <v>18.0</v>
      </c>
      <c r="V362" s="105">
        <v>20.0</v>
      </c>
      <c r="W362" s="105">
        <v>12.0</v>
      </c>
      <c r="X362" s="105">
        <v>28.0</v>
      </c>
      <c r="Y362" s="105">
        <v>10.0</v>
      </c>
      <c r="Z362" s="105">
        <v>10.0</v>
      </c>
      <c r="AA362" s="105">
        <v>52.0</v>
      </c>
      <c r="AB362" s="105">
        <v>34.0</v>
      </c>
      <c r="AC362" s="105">
        <v>18.0</v>
      </c>
      <c r="AD362" s="105">
        <v>98.0</v>
      </c>
      <c r="AE362" s="105">
        <v>90.0</v>
      </c>
      <c r="AF362" s="105">
        <v>80.0</v>
      </c>
      <c r="AG362" s="105">
        <v>30.0</v>
      </c>
      <c r="AH362" s="105">
        <v>20.0</v>
      </c>
      <c r="AI362" s="105">
        <v>88.0</v>
      </c>
      <c r="AJ362" s="105">
        <v>76.0</v>
      </c>
      <c r="AK362" s="105">
        <v>92.0</v>
      </c>
      <c r="AL362" s="105">
        <v>82.0</v>
      </c>
      <c r="AM362" s="33">
        <v>-100.0</v>
      </c>
      <c r="AN362" s="105">
        <v>100.0</v>
      </c>
      <c r="AO362" s="105">
        <v>100.0</v>
      </c>
      <c r="AP362" s="18" t="s">
        <v>2749</v>
      </c>
      <c r="AQ362" s="18" t="s">
        <v>2750</v>
      </c>
      <c r="AR362" s="121" t="s">
        <v>2087</v>
      </c>
      <c r="AS362" s="121" t="s">
        <v>2088</v>
      </c>
      <c r="AT362" s="121" t="s">
        <v>2089</v>
      </c>
      <c r="AU362" s="21" t="s">
        <v>2090</v>
      </c>
      <c r="AV362" s="22" t="s">
        <v>612</v>
      </c>
      <c r="AW362" s="107" t="s">
        <v>2751</v>
      </c>
      <c r="AX362" s="52"/>
      <c r="BA362" s="52"/>
      <c r="BB362" s="52"/>
    </row>
    <row r="363">
      <c r="A363" s="25" t="s">
        <v>2752</v>
      </c>
      <c r="B363" s="103" t="s">
        <v>2753</v>
      </c>
      <c r="C363" s="97" t="s">
        <v>2754</v>
      </c>
      <c r="D363" s="97" t="s">
        <v>52</v>
      </c>
      <c r="E363" s="97" t="s">
        <v>252</v>
      </c>
      <c r="F363" s="29" t="s">
        <v>454</v>
      </c>
      <c r="G363" s="29">
        <v>1400.0</v>
      </c>
      <c r="H363" s="36">
        <f t="shared" si="6"/>
        <v>1330</v>
      </c>
      <c r="I363" s="97" t="s">
        <v>1889</v>
      </c>
      <c r="J363" s="102" t="s">
        <v>2755</v>
      </c>
      <c r="K363" s="110" t="s">
        <v>2756</v>
      </c>
      <c r="L363" s="104" t="s">
        <v>2757</v>
      </c>
      <c r="M363" s="104" t="s">
        <v>2758</v>
      </c>
      <c r="N363" s="105">
        <v>100.0</v>
      </c>
      <c r="O363" s="105">
        <v>100.0</v>
      </c>
      <c r="P363" s="105">
        <v>100.0</v>
      </c>
      <c r="Q363" s="105">
        <v>42.0</v>
      </c>
      <c r="R363" s="105">
        <v>12.0</v>
      </c>
      <c r="S363" s="105">
        <v>44.0</v>
      </c>
      <c r="T363" s="105">
        <v>12.0</v>
      </c>
      <c r="U363" s="105">
        <v>18.0</v>
      </c>
      <c r="V363" s="105">
        <v>20.0</v>
      </c>
      <c r="W363" s="105">
        <v>12.0</v>
      </c>
      <c r="X363" s="105">
        <v>42.0</v>
      </c>
      <c r="Y363" s="105">
        <v>10.0</v>
      </c>
      <c r="Z363" s="105">
        <v>10.0</v>
      </c>
      <c r="AA363" s="105">
        <v>90.0</v>
      </c>
      <c r="AB363" s="105">
        <v>42.0</v>
      </c>
      <c r="AC363" s="105">
        <v>18.0</v>
      </c>
      <c r="AD363" s="105">
        <v>98.0</v>
      </c>
      <c r="AE363" s="105">
        <v>80.0</v>
      </c>
      <c r="AF363" s="105">
        <v>92.0</v>
      </c>
      <c r="AG363" s="105">
        <v>48.0</v>
      </c>
      <c r="AH363" s="105">
        <v>60.0</v>
      </c>
      <c r="AI363" s="105">
        <v>88.0</v>
      </c>
      <c r="AJ363" s="105">
        <v>94.0</v>
      </c>
      <c r="AK363" s="105">
        <v>86.0</v>
      </c>
      <c r="AL363" s="105">
        <v>94.0</v>
      </c>
      <c r="AM363" s="33">
        <v>-100.0</v>
      </c>
      <c r="AN363" s="105">
        <v>100.0</v>
      </c>
      <c r="AO363" s="105">
        <v>100.0</v>
      </c>
      <c r="AP363" s="18" t="s">
        <v>2759</v>
      </c>
      <c r="AQ363" s="18" t="s">
        <v>2760</v>
      </c>
      <c r="AR363" s="121" t="s">
        <v>2087</v>
      </c>
      <c r="AS363" s="121" t="s">
        <v>2088</v>
      </c>
      <c r="AT363" s="121" t="s">
        <v>2089</v>
      </c>
      <c r="AU363" s="21" t="s">
        <v>2090</v>
      </c>
      <c r="AV363" s="22" t="s">
        <v>2761</v>
      </c>
      <c r="AW363" s="124" t="s">
        <v>2762</v>
      </c>
      <c r="AX363" s="52"/>
      <c r="BA363" s="52"/>
      <c r="BB363" s="52"/>
    </row>
    <row r="364" hidden="1">
      <c r="A364" s="25" t="s">
        <v>2763</v>
      </c>
      <c r="B364" s="103" t="s">
        <v>2764</v>
      </c>
      <c r="C364" s="97" t="s">
        <v>51</v>
      </c>
      <c r="D364" s="97" t="s">
        <v>52</v>
      </c>
      <c r="E364" s="97" t="s">
        <v>252</v>
      </c>
      <c r="F364" s="29" t="s">
        <v>85</v>
      </c>
      <c r="G364" s="29">
        <v>399.0</v>
      </c>
      <c r="H364" s="36">
        <f t="shared" si="6"/>
        <v>379.05</v>
      </c>
      <c r="I364" s="97" t="s">
        <v>55</v>
      </c>
      <c r="J364" s="102" t="s">
        <v>2765</v>
      </c>
      <c r="K364" s="110" t="s">
        <v>29</v>
      </c>
      <c r="L364" s="104" t="s">
        <v>154</v>
      </c>
      <c r="M364" s="104" t="s">
        <v>2766</v>
      </c>
      <c r="N364" s="105">
        <v>100.0</v>
      </c>
      <c r="O364" s="105">
        <v>100.0</v>
      </c>
      <c r="P364" s="105">
        <v>100.0</v>
      </c>
      <c r="Q364" s="105">
        <v>56.0</v>
      </c>
      <c r="R364" s="105">
        <v>14.0</v>
      </c>
      <c r="S364" s="105">
        <v>42.0</v>
      </c>
      <c r="T364" s="105">
        <v>22.0</v>
      </c>
      <c r="U364" s="105">
        <v>26.0</v>
      </c>
      <c r="V364" s="105">
        <v>28.0</v>
      </c>
      <c r="W364" s="105">
        <v>16.0</v>
      </c>
      <c r="X364" s="105">
        <v>34.0</v>
      </c>
      <c r="Y364" s="105">
        <v>16.0</v>
      </c>
      <c r="Z364" s="105">
        <v>12.0</v>
      </c>
      <c r="AA364" s="105">
        <v>58.0</v>
      </c>
      <c r="AB364" s="105">
        <v>40.0</v>
      </c>
      <c r="AC364" s="105">
        <v>24.0</v>
      </c>
      <c r="AD364" s="105">
        <v>98.0</v>
      </c>
      <c r="AE364" s="105">
        <v>90.0</v>
      </c>
      <c r="AF364" s="105">
        <v>84.0</v>
      </c>
      <c r="AG364" s="105">
        <v>44.0</v>
      </c>
      <c r="AH364" s="105">
        <v>36.0</v>
      </c>
      <c r="AI364" s="105">
        <v>90.0</v>
      </c>
      <c r="AJ364" s="105">
        <v>84.0</v>
      </c>
      <c r="AK364" s="105">
        <v>94.0</v>
      </c>
      <c r="AL364" s="105">
        <v>90.0</v>
      </c>
      <c r="AM364" s="33">
        <v>-100.0</v>
      </c>
      <c r="AN364" s="105">
        <v>100.0</v>
      </c>
      <c r="AO364" s="105">
        <v>100.0</v>
      </c>
      <c r="AP364" s="18" t="s">
        <v>2767</v>
      </c>
      <c r="AQ364" s="18" t="s">
        <v>2768</v>
      </c>
      <c r="AR364" s="121" t="s">
        <v>2087</v>
      </c>
      <c r="AS364" s="121" t="s">
        <v>2088</v>
      </c>
      <c r="AT364" s="121" t="s">
        <v>2089</v>
      </c>
      <c r="AU364" s="21" t="s">
        <v>2090</v>
      </c>
      <c r="AV364" s="22" t="s">
        <v>443</v>
      </c>
      <c r="AW364" s="94" t="s">
        <v>2769</v>
      </c>
      <c r="AX364" s="52"/>
      <c r="BA364" s="52"/>
      <c r="BB364" s="52"/>
    </row>
    <row r="365" hidden="1">
      <c r="A365" s="25" t="s">
        <v>2770</v>
      </c>
      <c r="B365" s="103" t="s">
        <v>2771</v>
      </c>
      <c r="C365" s="97" t="s">
        <v>2378</v>
      </c>
      <c r="D365" s="97" t="s">
        <v>52</v>
      </c>
      <c r="E365" s="97" t="s">
        <v>252</v>
      </c>
      <c r="F365" s="29" t="s">
        <v>85</v>
      </c>
      <c r="G365" s="29">
        <v>645.0</v>
      </c>
      <c r="H365" s="36">
        <f t="shared" si="6"/>
        <v>612.75</v>
      </c>
      <c r="I365" s="97" t="s">
        <v>55</v>
      </c>
      <c r="J365" s="102" t="s">
        <v>455</v>
      </c>
      <c r="K365" s="110" t="s">
        <v>29</v>
      </c>
      <c r="L365" s="104" t="s">
        <v>2747</v>
      </c>
      <c r="M365" s="104" t="s">
        <v>2772</v>
      </c>
      <c r="N365" s="105">
        <v>100.0</v>
      </c>
      <c r="O365" s="105">
        <v>100.0</v>
      </c>
      <c r="P365" s="105">
        <v>100.0</v>
      </c>
      <c r="Q365" s="105">
        <v>52.0</v>
      </c>
      <c r="R365" s="105">
        <v>10.0</v>
      </c>
      <c r="S365" s="105">
        <v>18.0</v>
      </c>
      <c r="T365" s="105">
        <v>12.0</v>
      </c>
      <c r="U365" s="105">
        <v>12.0</v>
      </c>
      <c r="V365" s="105">
        <v>10.0</v>
      </c>
      <c r="W365" s="105">
        <v>6.0</v>
      </c>
      <c r="X365" s="105">
        <v>16.0</v>
      </c>
      <c r="Y365" s="105">
        <v>14.0</v>
      </c>
      <c r="Z365" s="105">
        <v>10.0</v>
      </c>
      <c r="AA365" s="105">
        <v>42.0</v>
      </c>
      <c r="AB365" s="105">
        <v>18.0</v>
      </c>
      <c r="AC365" s="105">
        <v>12.0</v>
      </c>
      <c r="AD365" s="105">
        <v>98.0</v>
      </c>
      <c r="AE365" s="105">
        <v>92.0</v>
      </c>
      <c r="AF365" s="105">
        <v>70.0</v>
      </c>
      <c r="AG365" s="105">
        <v>12.0</v>
      </c>
      <c r="AH365" s="105">
        <v>2.0</v>
      </c>
      <c r="AI365" s="105">
        <v>60.0</v>
      </c>
      <c r="AJ365" s="105">
        <v>46.0</v>
      </c>
      <c r="AK365" s="105">
        <v>82.0</v>
      </c>
      <c r="AL365" s="105">
        <v>62.0</v>
      </c>
      <c r="AM365" s="33">
        <v>0.0</v>
      </c>
      <c r="AN365" s="105">
        <v>100.0</v>
      </c>
      <c r="AO365" s="105">
        <v>100.0</v>
      </c>
      <c r="AP365" s="18" t="s">
        <v>2773</v>
      </c>
      <c r="AQ365" s="18" t="s">
        <v>2774</v>
      </c>
      <c r="AR365" s="121" t="s">
        <v>2087</v>
      </c>
      <c r="AS365" s="121" t="s">
        <v>2088</v>
      </c>
      <c r="AT365" s="121" t="s">
        <v>2089</v>
      </c>
      <c r="AU365" s="21" t="s">
        <v>2090</v>
      </c>
      <c r="AV365" s="22" t="s">
        <v>2775</v>
      </c>
      <c r="AW365" s="94" t="s">
        <v>2776</v>
      </c>
      <c r="AX365" s="52"/>
      <c r="BA365" s="52"/>
      <c r="BB365" s="52"/>
    </row>
    <row r="366" hidden="1">
      <c r="A366" s="25" t="s">
        <v>2777</v>
      </c>
      <c r="B366" s="103" t="s">
        <v>2778</v>
      </c>
      <c r="C366" s="97" t="s">
        <v>2279</v>
      </c>
      <c r="D366" s="97" t="s">
        <v>52</v>
      </c>
      <c r="E366" s="97" t="s">
        <v>252</v>
      </c>
      <c r="F366" s="29" t="s">
        <v>965</v>
      </c>
      <c r="G366" s="29">
        <v>985.0</v>
      </c>
      <c r="H366" s="36">
        <f>97.5*G366%</f>
        <v>960.375</v>
      </c>
      <c r="I366" s="97" t="s">
        <v>1199</v>
      </c>
      <c r="J366" s="102" t="s">
        <v>2572</v>
      </c>
      <c r="K366" s="110" t="s">
        <v>2756</v>
      </c>
      <c r="L366" s="104" t="s">
        <v>2280</v>
      </c>
      <c r="M366" s="104" t="s">
        <v>2779</v>
      </c>
      <c r="N366" s="105">
        <v>100.0</v>
      </c>
      <c r="O366" s="105">
        <v>100.0</v>
      </c>
      <c r="P366" s="105">
        <v>100.0</v>
      </c>
      <c r="Q366" s="105">
        <v>48.0</v>
      </c>
      <c r="R366" s="105">
        <v>12.0</v>
      </c>
      <c r="S366" s="105">
        <v>58.0</v>
      </c>
      <c r="T366" s="105">
        <v>16.0</v>
      </c>
      <c r="U366" s="105">
        <v>24.0</v>
      </c>
      <c r="V366" s="105">
        <v>24.0</v>
      </c>
      <c r="W366" s="105">
        <v>14.0</v>
      </c>
      <c r="X366" s="105">
        <v>58.0</v>
      </c>
      <c r="Y366" s="105">
        <v>12.0</v>
      </c>
      <c r="Z366" s="105">
        <v>12.0</v>
      </c>
      <c r="AA366" s="105">
        <v>90.0</v>
      </c>
      <c r="AB366" s="105">
        <v>62.0</v>
      </c>
      <c r="AC366" s="105">
        <v>22.0</v>
      </c>
      <c r="AD366" s="105">
        <v>98.0</v>
      </c>
      <c r="AE366" s="105">
        <v>82.0</v>
      </c>
      <c r="AF366" s="105">
        <v>90.0</v>
      </c>
      <c r="AG366" s="105">
        <v>64.0</v>
      </c>
      <c r="AH366" s="105">
        <v>74.0</v>
      </c>
      <c r="AI366" s="105">
        <v>90.0</v>
      </c>
      <c r="AJ366" s="105">
        <v>96.0</v>
      </c>
      <c r="AK366" s="105">
        <v>90.0</v>
      </c>
      <c r="AL366" s="105">
        <v>94.0</v>
      </c>
      <c r="AM366" s="33">
        <v>-100.0</v>
      </c>
      <c r="AN366" s="105">
        <v>100.0</v>
      </c>
      <c r="AO366" s="105">
        <v>100.0</v>
      </c>
      <c r="AP366" s="18" t="s">
        <v>2780</v>
      </c>
      <c r="AQ366" s="18" t="s">
        <v>2781</v>
      </c>
      <c r="AR366" s="121" t="s">
        <v>2087</v>
      </c>
      <c r="AS366" s="121" t="s">
        <v>2088</v>
      </c>
      <c r="AT366" s="121" t="s">
        <v>2089</v>
      </c>
      <c r="AU366" s="21" t="s">
        <v>2090</v>
      </c>
      <c r="AV366" s="22" t="s">
        <v>295</v>
      </c>
      <c r="AW366" s="94" t="s">
        <v>2782</v>
      </c>
      <c r="AX366" s="52"/>
      <c r="BA366" s="52"/>
      <c r="BB366" s="52"/>
    </row>
    <row r="367" hidden="1">
      <c r="A367" s="25" t="s">
        <v>2783</v>
      </c>
      <c r="B367" s="103" t="s">
        <v>2784</v>
      </c>
      <c r="C367" s="97" t="s">
        <v>151</v>
      </c>
      <c r="D367" s="97" t="s">
        <v>52</v>
      </c>
      <c r="E367" s="97" t="s">
        <v>252</v>
      </c>
      <c r="F367" s="29" t="s">
        <v>85</v>
      </c>
      <c r="G367" s="29">
        <v>499.0</v>
      </c>
      <c r="H367" s="36">
        <f t="shared" ref="H367:H368" si="7">95*G367%</f>
        <v>474.05</v>
      </c>
      <c r="I367" s="97" t="s">
        <v>55</v>
      </c>
      <c r="J367" s="102" t="s">
        <v>2785</v>
      </c>
      <c r="K367" s="110" t="s">
        <v>29</v>
      </c>
      <c r="L367" s="104" t="s">
        <v>2136</v>
      </c>
      <c r="M367" s="104" t="s">
        <v>2786</v>
      </c>
      <c r="N367" s="105">
        <v>100.0</v>
      </c>
      <c r="O367" s="105">
        <v>100.0</v>
      </c>
      <c r="P367" s="105">
        <v>100.0</v>
      </c>
      <c r="Q367" s="105">
        <v>54.0</v>
      </c>
      <c r="R367" s="105">
        <v>14.0</v>
      </c>
      <c r="S367" s="105">
        <v>46.0</v>
      </c>
      <c r="T367" s="105">
        <v>18.0</v>
      </c>
      <c r="U367" s="105">
        <v>24.0</v>
      </c>
      <c r="V367" s="105">
        <v>24.0</v>
      </c>
      <c r="W367" s="105">
        <v>14.0</v>
      </c>
      <c r="X367" s="105">
        <v>40.0</v>
      </c>
      <c r="Y367" s="105">
        <v>14.0</v>
      </c>
      <c r="Z367" s="105">
        <v>12.0</v>
      </c>
      <c r="AA367" s="105">
        <v>56.0</v>
      </c>
      <c r="AB367" s="105">
        <v>48.0</v>
      </c>
      <c r="AC367" s="105">
        <v>22.0</v>
      </c>
      <c r="AD367" s="105">
        <v>98.0</v>
      </c>
      <c r="AE367" s="105">
        <v>92.0</v>
      </c>
      <c r="AF367" s="105">
        <v>82.0</v>
      </c>
      <c r="AG367" s="105">
        <v>42.0</v>
      </c>
      <c r="AH367" s="105">
        <v>32.0</v>
      </c>
      <c r="AI367" s="105">
        <v>90.0</v>
      </c>
      <c r="AJ367" s="105">
        <v>78.0</v>
      </c>
      <c r="AK367" s="105">
        <v>94.0</v>
      </c>
      <c r="AL367" s="105">
        <v>84.0</v>
      </c>
      <c r="AM367" s="33">
        <v>-100.0</v>
      </c>
      <c r="AN367" s="105">
        <v>100.0</v>
      </c>
      <c r="AO367" s="105">
        <v>100.0</v>
      </c>
      <c r="AP367" s="18" t="s">
        <v>2787</v>
      </c>
      <c r="AQ367" s="18" t="s">
        <v>2788</v>
      </c>
      <c r="AR367" s="121" t="s">
        <v>2087</v>
      </c>
      <c r="AS367" s="121" t="s">
        <v>2088</v>
      </c>
      <c r="AT367" s="121" t="s">
        <v>2089</v>
      </c>
      <c r="AU367" s="21" t="s">
        <v>2090</v>
      </c>
      <c r="AV367" s="22" t="s">
        <v>295</v>
      </c>
      <c r="AW367" s="94" t="s">
        <v>2789</v>
      </c>
      <c r="AX367" s="55"/>
      <c r="AY367" s="55"/>
      <c r="BA367" s="52"/>
      <c r="BB367" s="52"/>
    </row>
    <row r="368" hidden="1">
      <c r="A368" s="25" t="s">
        <v>2790</v>
      </c>
      <c r="B368" s="103" t="s">
        <v>2791</v>
      </c>
      <c r="C368" s="97" t="s">
        <v>2206</v>
      </c>
      <c r="D368" s="97" t="s">
        <v>52</v>
      </c>
      <c r="E368" s="97" t="s">
        <v>252</v>
      </c>
      <c r="F368" s="29" t="s">
        <v>454</v>
      </c>
      <c r="G368" s="29">
        <v>495.0</v>
      </c>
      <c r="H368" s="36">
        <f t="shared" si="7"/>
        <v>470.25</v>
      </c>
      <c r="I368" s="97" t="s">
        <v>55</v>
      </c>
      <c r="J368" s="102" t="s">
        <v>216</v>
      </c>
      <c r="K368" s="110" t="s">
        <v>29</v>
      </c>
      <c r="L368" s="104" t="s">
        <v>2747</v>
      </c>
      <c r="M368" s="104" t="s">
        <v>154</v>
      </c>
      <c r="N368" s="105">
        <v>100.0</v>
      </c>
      <c r="O368" s="105">
        <v>100.0</v>
      </c>
      <c r="P368" s="105">
        <v>100.0</v>
      </c>
      <c r="Q368" s="105">
        <v>50.0</v>
      </c>
      <c r="R368" s="105">
        <v>12.0</v>
      </c>
      <c r="S368" s="105">
        <v>50.0</v>
      </c>
      <c r="T368" s="105">
        <v>18.0</v>
      </c>
      <c r="U368" s="105">
        <v>26.0</v>
      </c>
      <c r="V368" s="105">
        <v>28.0</v>
      </c>
      <c r="W368" s="105">
        <v>16.0</v>
      </c>
      <c r="X368" s="105">
        <v>42.0</v>
      </c>
      <c r="Y368" s="105">
        <v>12.0</v>
      </c>
      <c r="Z368" s="105">
        <v>12.0</v>
      </c>
      <c r="AA368" s="105">
        <v>58.0</v>
      </c>
      <c r="AB368" s="105">
        <v>48.0</v>
      </c>
      <c r="AC368" s="105">
        <v>24.0</v>
      </c>
      <c r="AD368" s="105">
        <v>98.0</v>
      </c>
      <c r="AE368" s="105">
        <v>84.0</v>
      </c>
      <c r="AF368" s="105">
        <v>78.0</v>
      </c>
      <c r="AG368" s="105">
        <v>54.0</v>
      </c>
      <c r="AH368" s="105">
        <v>48.0</v>
      </c>
      <c r="AI368" s="105">
        <v>90.0</v>
      </c>
      <c r="AJ368" s="105">
        <v>86.0</v>
      </c>
      <c r="AK368" s="105">
        <v>88.0</v>
      </c>
      <c r="AL368" s="105">
        <v>84.0</v>
      </c>
      <c r="AM368" s="33">
        <v>-100.0</v>
      </c>
      <c r="AN368" s="105">
        <v>100.0</v>
      </c>
      <c r="AO368" s="105">
        <v>100.0</v>
      </c>
      <c r="AP368" s="18" t="s">
        <v>2792</v>
      </c>
      <c r="AQ368" s="18" t="s">
        <v>2793</v>
      </c>
      <c r="AR368" s="121" t="s">
        <v>2087</v>
      </c>
      <c r="AS368" s="121" t="s">
        <v>2088</v>
      </c>
      <c r="AT368" s="121" t="s">
        <v>2089</v>
      </c>
      <c r="AU368" s="21" t="s">
        <v>2090</v>
      </c>
      <c r="AV368" s="22" t="s">
        <v>295</v>
      </c>
      <c r="AW368" s="94" t="s">
        <v>2794</v>
      </c>
      <c r="AZ368" s="52"/>
      <c r="BA368" s="52"/>
      <c r="BB368" s="52"/>
    </row>
    <row r="369">
      <c r="A369" s="25" t="s">
        <v>2795</v>
      </c>
      <c r="B369" s="103" t="s">
        <v>2796</v>
      </c>
      <c r="C369" s="97" t="s">
        <v>2165</v>
      </c>
      <c r="D369" s="97" t="s">
        <v>52</v>
      </c>
      <c r="E369" s="97" t="s">
        <v>252</v>
      </c>
      <c r="F369" s="29" t="s">
        <v>454</v>
      </c>
      <c r="G369" s="29">
        <v>1299.0</v>
      </c>
      <c r="H369" s="36">
        <f t="shared" ref="H369:H370" si="8">97.5*G369%</f>
        <v>1266.525</v>
      </c>
      <c r="I369" s="97" t="s">
        <v>2157</v>
      </c>
      <c r="J369" s="102" t="s">
        <v>1851</v>
      </c>
      <c r="K369" s="110" t="s">
        <v>2756</v>
      </c>
      <c r="L369" s="104" t="s">
        <v>1557</v>
      </c>
      <c r="M369" s="104" t="s">
        <v>2797</v>
      </c>
      <c r="N369" s="105">
        <v>100.0</v>
      </c>
      <c r="O369" s="105">
        <v>100.0</v>
      </c>
      <c r="P369" s="105">
        <v>100.0</v>
      </c>
      <c r="Q369" s="105">
        <v>36.0</v>
      </c>
      <c r="R369" s="105">
        <v>10.0</v>
      </c>
      <c r="S369" s="105">
        <v>58.0</v>
      </c>
      <c r="T369" s="105">
        <v>10.0</v>
      </c>
      <c r="U369" s="105">
        <v>18.0</v>
      </c>
      <c r="V369" s="105">
        <v>20.0</v>
      </c>
      <c r="W369" s="105">
        <v>12.0</v>
      </c>
      <c r="X369" s="105">
        <v>54.0</v>
      </c>
      <c r="Y369" s="105">
        <v>8.0</v>
      </c>
      <c r="Z369" s="105">
        <v>10.0</v>
      </c>
      <c r="AA369" s="105">
        <v>90.0</v>
      </c>
      <c r="AB369" s="105">
        <v>56.0</v>
      </c>
      <c r="AC369" s="105">
        <v>18.0</v>
      </c>
      <c r="AD369" s="105">
        <v>98.0</v>
      </c>
      <c r="AE369" s="105">
        <v>62.0</v>
      </c>
      <c r="AF369" s="105">
        <v>84.0</v>
      </c>
      <c r="AG369" s="105">
        <v>68.0</v>
      </c>
      <c r="AH369" s="105">
        <v>90.0</v>
      </c>
      <c r="AI369" s="105">
        <v>82.0</v>
      </c>
      <c r="AJ369" s="105">
        <v>94.0</v>
      </c>
      <c r="AK369" s="105">
        <v>74.0</v>
      </c>
      <c r="AL369" s="105">
        <v>92.0</v>
      </c>
      <c r="AM369" s="33">
        <v>-100.0</v>
      </c>
      <c r="AN369" s="105">
        <v>100.0</v>
      </c>
      <c r="AO369" s="105">
        <v>100.0</v>
      </c>
      <c r="AP369" s="18" t="s">
        <v>2798</v>
      </c>
      <c r="AQ369" s="18" t="s">
        <v>2799</v>
      </c>
      <c r="AR369" s="121" t="s">
        <v>2087</v>
      </c>
      <c r="AS369" s="121" t="s">
        <v>2088</v>
      </c>
      <c r="AT369" s="121" t="s">
        <v>2089</v>
      </c>
      <c r="AU369" s="21" t="s">
        <v>2090</v>
      </c>
      <c r="AV369" s="22" t="s">
        <v>2761</v>
      </c>
      <c r="AW369" s="94" t="s">
        <v>2800</v>
      </c>
      <c r="AZ369" s="52"/>
      <c r="BA369" s="52"/>
      <c r="BB369" s="52"/>
    </row>
    <row r="370">
      <c r="A370" s="25" t="s">
        <v>2801</v>
      </c>
      <c r="B370" s="103" t="s">
        <v>2802</v>
      </c>
      <c r="C370" s="97" t="s">
        <v>2455</v>
      </c>
      <c r="D370" s="97" t="s">
        <v>52</v>
      </c>
      <c r="E370" s="97" t="s">
        <v>252</v>
      </c>
      <c r="F370" s="29" t="s">
        <v>454</v>
      </c>
      <c r="G370" s="29">
        <v>1570.0</v>
      </c>
      <c r="H370" s="36">
        <f t="shared" si="8"/>
        <v>1530.75</v>
      </c>
      <c r="I370" s="97" t="s">
        <v>1199</v>
      </c>
      <c r="J370" s="102" t="s">
        <v>2718</v>
      </c>
      <c r="K370" s="110" t="s">
        <v>29</v>
      </c>
      <c r="L370" s="104" t="s">
        <v>2320</v>
      </c>
      <c r="M370" s="104" t="s">
        <v>2803</v>
      </c>
      <c r="N370" s="105">
        <v>100.0</v>
      </c>
      <c r="O370" s="105">
        <v>100.0</v>
      </c>
      <c r="P370" s="105">
        <v>100.0</v>
      </c>
      <c r="Q370" s="105">
        <v>48.0</v>
      </c>
      <c r="R370" s="105">
        <v>12.0</v>
      </c>
      <c r="S370" s="105">
        <v>60.0</v>
      </c>
      <c r="T370" s="105">
        <v>14.0</v>
      </c>
      <c r="U370" s="105">
        <v>24.0</v>
      </c>
      <c r="V370" s="105">
        <v>26.0</v>
      </c>
      <c r="W370" s="105">
        <v>16.0</v>
      </c>
      <c r="X370" s="105">
        <v>58.0</v>
      </c>
      <c r="Y370" s="105">
        <v>10.0</v>
      </c>
      <c r="Z370" s="105">
        <v>12.0</v>
      </c>
      <c r="AA370" s="105">
        <v>86.0</v>
      </c>
      <c r="AB370" s="105">
        <v>64.0</v>
      </c>
      <c r="AC370" s="105">
        <v>22.0</v>
      </c>
      <c r="AD370" s="105">
        <v>98.0</v>
      </c>
      <c r="AE370" s="105">
        <v>80.0</v>
      </c>
      <c r="AF370" s="105">
        <v>90.0</v>
      </c>
      <c r="AG370" s="105">
        <v>66.0</v>
      </c>
      <c r="AH370" s="105">
        <v>76.0</v>
      </c>
      <c r="AI370" s="105">
        <v>90.0</v>
      </c>
      <c r="AJ370" s="105">
        <v>94.0</v>
      </c>
      <c r="AK370" s="105">
        <v>88.0</v>
      </c>
      <c r="AL370" s="105">
        <v>92.0</v>
      </c>
      <c r="AM370" s="33">
        <v>-100.0</v>
      </c>
      <c r="AN370" s="105">
        <v>100.0</v>
      </c>
      <c r="AO370" s="105">
        <v>100.0</v>
      </c>
      <c r="AP370" s="18" t="s">
        <v>2804</v>
      </c>
      <c r="AQ370" s="18" t="s">
        <v>2805</v>
      </c>
      <c r="AR370" s="121" t="s">
        <v>2087</v>
      </c>
      <c r="AS370" s="121" t="s">
        <v>2088</v>
      </c>
      <c r="AT370" s="121" t="s">
        <v>2089</v>
      </c>
      <c r="AU370" s="21" t="s">
        <v>2090</v>
      </c>
      <c r="AV370" s="22" t="s">
        <v>295</v>
      </c>
      <c r="AW370" s="94" t="s">
        <v>2806</v>
      </c>
      <c r="AZ370" s="52"/>
      <c r="BA370" s="52"/>
      <c r="BB370" s="52"/>
    </row>
    <row r="371" hidden="1">
      <c r="A371" s="25" t="s">
        <v>2807</v>
      </c>
      <c r="B371" s="103" t="s">
        <v>2808</v>
      </c>
      <c r="C371" s="97" t="s">
        <v>151</v>
      </c>
      <c r="D371" s="97" t="s">
        <v>52</v>
      </c>
      <c r="E371" s="97" t="s">
        <v>252</v>
      </c>
      <c r="F371" s="29" t="s">
        <v>85</v>
      </c>
      <c r="G371" s="29">
        <v>699.0</v>
      </c>
      <c r="H371" s="36">
        <f t="shared" ref="H371:H373" si="9">95*G371%</f>
        <v>664.05</v>
      </c>
      <c r="I371" s="97" t="s">
        <v>55</v>
      </c>
      <c r="J371" s="102" t="s">
        <v>224</v>
      </c>
      <c r="K371" s="110" t="s">
        <v>29</v>
      </c>
      <c r="L371" s="104" t="s">
        <v>2136</v>
      </c>
      <c r="M371" s="104" t="s">
        <v>2809</v>
      </c>
      <c r="N371" s="105">
        <v>100.0</v>
      </c>
      <c r="O371" s="105">
        <v>100.0</v>
      </c>
      <c r="P371" s="105">
        <v>100.0</v>
      </c>
      <c r="Q371" s="105">
        <v>44.0</v>
      </c>
      <c r="R371" s="105">
        <v>12.0</v>
      </c>
      <c r="S371" s="105">
        <v>48.0</v>
      </c>
      <c r="T371" s="105">
        <v>16.0</v>
      </c>
      <c r="U371" s="105">
        <v>26.0</v>
      </c>
      <c r="V371" s="105">
        <v>28.0</v>
      </c>
      <c r="W371" s="105">
        <v>16.0</v>
      </c>
      <c r="X371" s="105">
        <v>38.0</v>
      </c>
      <c r="Y371" s="105">
        <v>12.0</v>
      </c>
      <c r="Z371" s="105">
        <v>12.0</v>
      </c>
      <c r="AA371" s="105">
        <v>52.0</v>
      </c>
      <c r="AB371" s="105">
        <v>46.0</v>
      </c>
      <c r="AC371" s="105">
        <v>22.0</v>
      </c>
      <c r="AD371" s="105">
        <v>98.0</v>
      </c>
      <c r="AE371" s="105">
        <v>80.0</v>
      </c>
      <c r="AF371" s="105">
        <v>72.0</v>
      </c>
      <c r="AG371" s="105">
        <v>48.0</v>
      </c>
      <c r="AH371" s="105">
        <v>42.0</v>
      </c>
      <c r="AI371" s="105">
        <v>90.0</v>
      </c>
      <c r="AJ371" s="105">
        <v>82.0</v>
      </c>
      <c r="AK371" s="105">
        <v>90.0</v>
      </c>
      <c r="AL371" s="105">
        <v>84.0</v>
      </c>
      <c r="AM371" s="33">
        <v>-100.0</v>
      </c>
      <c r="AN371" s="105">
        <v>100.0</v>
      </c>
      <c r="AO371" s="105">
        <v>100.0</v>
      </c>
      <c r="AP371" s="18" t="s">
        <v>2810</v>
      </c>
      <c r="AQ371" s="18" t="s">
        <v>2811</v>
      </c>
      <c r="AR371" s="121" t="s">
        <v>2087</v>
      </c>
      <c r="AS371" s="121" t="s">
        <v>2088</v>
      </c>
      <c r="AT371" s="121" t="s">
        <v>2089</v>
      </c>
      <c r="AU371" s="21" t="s">
        <v>2090</v>
      </c>
      <c r="AV371" s="22" t="s">
        <v>2761</v>
      </c>
      <c r="AW371" s="94" t="s">
        <v>2812</v>
      </c>
      <c r="AZ371" s="52"/>
      <c r="BA371" s="52"/>
      <c r="BB371" s="52"/>
    </row>
    <row r="372" hidden="1">
      <c r="A372" s="25" t="s">
        <v>2813</v>
      </c>
      <c r="B372" s="103" t="s">
        <v>2814</v>
      </c>
      <c r="C372" s="97" t="s">
        <v>51</v>
      </c>
      <c r="D372" s="97" t="s">
        <v>52</v>
      </c>
      <c r="E372" s="97" t="s">
        <v>252</v>
      </c>
      <c r="F372" s="29" t="s">
        <v>454</v>
      </c>
      <c r="G372" s="29">
        <v>499.0</v>
      </c>
      <c r="H372" s="36">
        <f t="shared" si="9"/>
        <v>474.05</v>
      </c>
      <c r="I372" s="97" t="s">
        <v>55</v>
      </c>
      <c r="J372" s="102" t="s">
        <v>102</v>
      </c>
      <c r="K372" s="110" t="s">
        <v>29</v>
      </c>
      <c r="L372" s="104" t="s">
        <v>2747</v>
      </c>
      <c r="M372" s="104" t="s">
        <v>2803</v>
      </c>
      <c r="N372" s="105">
        <v>100.0</v>
      </c>
      <c r="O372" s="105">
        <v>100.0</v>
      </c>
      <c r="P372" s="105">
        <v>100.0</v>
      </c>
      <c r="Q372" s="105">
        <v>52.0</v>
      </c>
      <c r="R372" s="105">
        <v>12.0</v>
      </c>
      <c r="S372" s="105">
        <v>46.0</v>
      </c>
      <c r="T372" s="105">
        <v>16.0</v>
      </c>
      <c r="U372" s="105">
        <v>22.0</v>
      </c>
      <c r="V372" s="105">
        <v>24.0</v>
      </c>
      <c r="W372" s="105">
        <v>14.0</v>
      </c>
      <c r="X372" s="105">
        <v>44.0</v>
      </c>
      <c r="Y372" s="105">
        <v>12.0</v>
      </c>
      <c r="Z372" s="105">
        <v>12.0</v>
      </c>
      <c r="AA372" s="105">
        <v>62.0</v>
      </c>
      <c r="AB372" s="105">
        <v>48.0</v>
      </c>
      <c r="AC372" s="105">
        <v>20.0</v>
      </c>
      <c r="AD372" s="105">
        <v>98.0</v>
      </c>
      <c r="AE372" s="105">
        <v>90.0</v>
      </c>
      <c r="AF372" s="105">
        <v>86.0</v>
      </c>
      <c r="AG372" s="105">
        <v>46.0</v>
      </c>
      <c r="AH372" s="105">
        <v>38.0</v>
      </c>
      <c r="AI372" s="105">
        <v>88.0</v>
      </c>
      <c r="AJ372" s="105">
        <v>82.0</v>
      </c>
      <c r="AK372" s="105">
        <v>92.0</v>
      </c>
      <c r="AL372" s="105">
        <v>86.0</v>
      </c>
      <c r="AM372" s="33">
        <v>-100.0</v>
      </c>
      <c r="AN372" s="105">
        <v>100.0</v>
      </c>
      <c r="AO372" s="105">
        <v>100.0</v>
      </c>
      <c r="AP372" s="18" t="s">
        <v>2815</v>
      </c>
      <c r="AQ372" s="18" t="s">
        <v>2816</v>
      </c>
      <c r="AR372" s="121" t="s">
        <v>2087</v>
      </c>
      <c r="AS372" s="121" t="s">
        <v>2088</v>
      </c>
      <c r="AT372" s="121" t="s">
        <v>2089</v>
      </c>
      <c r="AU372" s="21" t="s">
        <v>2090</v>
      </c>
      <c r="AV372" s="22" t="s">
        <v>295</v>
      </c>
      <c r="AW372" s="94" t="s">
        <v>2817</v>
      </c>
      <c r="AZ372" s="52"/>
      <c r="BA372" s="52"/>
      <c r="BB372" s="52"/>
    </row>
    <row r="373" hidden="1">
      <c r="A373" s="25" t="s">
        <v>2818</v>
      </c>
      <c r="B373" s="103" t="s">
        <v>2819</v>
      </c>
      <c r="C373" s="97" t="s">
        <v>607</v>
      </c>
      <c r="D373" s="97" t="s">
        <v>52</v>
      </c>
      <c r="E373" s="97" t="s">
        <v>252</v>
      </c>
      <c r="F373" s="29" t="s">
        <v>85</v>
      </c>
      <c r="G373" s="29">
        <v>449.0</v>
      </c>
      <c r="H373" s="36">
        <f t="shared" si="9"/>
        <v>426.55</v>
      </c>
      <c r="I373" s="97" t="s">
        <v>55</v>
      </c>
      <c r="J373" s="102" t="s">
        <v>216</v>
      </c>
      <c r="K373" s="110" t="s">
        <v>29</v>
      </c>
      <c r="L373" s="104" t="s">
        <v>2820</v>
      </c>
      <c r="M373" s="104" t="s">
        <v>2821</v>
      </c>
      <c r="N373" s="105">
        <v>100.0</v>
      </c>
      <c r="O373" s="105">
        <v>100.0</v>
      </c>
      <c r="P373" s="105">
        <v>100.0</v>
      </c>
      <c r="Q373" s="105">
        <v>42.0</v>
      </c>
      <c r="R373" s="105">
        <v>10.0</v>
      </c>
      <c r="S373" s="105">
        <v>58.0</v>
      </c>
      <c r="T373" s="105">
        <v>12.0</v>
      </c>
      <c r="U373" s="105">
        <v>30.0</v>
      </c>
      <c r="V373" s="105">
        <v>34.0</v>
      </c>
      <c r="W373" s="105">
        <v>18.0</v>
      </c>
      <c r="X373" s="105">
        <v>44.0</v>
      </c>
      <c r="Y373" s="105">
        <v>8.0</v>
      </c>
      <c r="Z373" s="105">
        <v>12.0</v>
      </c>
      <c r="AA373" s="105">
        <v>56.0</v>
      </c>
      <c r="AB373" s="105">
        <v>58.0</v>
      </c>
      <c r="AC373" s="105">
        <v>34.0</v>
      </c>
      <c r="AD373" s="105">
        <v>98.0</v>
      </c>
      <c r="AE373" s="105">
        <v>70.0</v>
      </c>
      <c r="AF373" s="105">
        <v>66.0</v>
      </c>
      <c r="AG373" s="105">
        <v>62.0</v>
      </c>
      <c r="AH373" s="105">
        <v>56.0</v>
      </c>
      <c r="AI373" s="105">
        <v>90.0</v>
      </c>
      <c r="AJ373" s="105">
        <v>86.0</v>
      </c>
      <c r="AK373" s="105">
        <v>84.0</v>
      </c>
      <c r="AL373" s="105">
        <v>80.0</v>
      </c>
      <c r="AM373" s="33">
        <v>-100.0</v>
      </c>
      <c r="AN373" s="105">
        <v>100.0</v>
      </c>
      <c r="AO373" s="105">
        <v>100.0</v>
      </c>
      <c r="AP373" s="18" t="s">
        <v>2822</v>
      </c>
      <c r="AQ373" s="18" t="s">
        <v>2823</v>
      </c>
      <c r="AR373" s="121" t="s">
        <v>2087</v>
      </c>
      <c r="AS373" s="121" t="s">
        <v>2088</v>
      </c>
      <c r="AT373" s="121" t="s">
        <v>2089</v>
      </c>
      <c r="AU373" s="21" t="s">
        <v>2090</v>
      </c>
      <c r="AV373" s="22" t="s">
        <v>1358</v>
      </c>
      <c r="AW373" s="94" t="s">
        <v>2824</v>
      </c>
      <c r="AZ373" s="52"/>
      <c r="BA373" s="52"/>
      <c r="BB373" s="52"/>
    </row>
    <row r="374" hidden="1">
      <c r="A374" s="25" t="s">
        <v>2825</v>
      </c>
      <c r="B374" s="103" t="s">
        <v>2826</v>
      </c>
      <c r="C374" s="97" t="s">
        <v>2827</v>
      </c>
      <c r="D374" s="97" t="s">
        <v>52</v>
      </c>
      <c r="E374" s="97" t="s">
        <v>252</v>
      </c>
      <c r="F374" s="29" t="s">
        <v>831</v>
      </c>
      <c r="G374" s="29">
        <v>299.0</v>
      </c>
      <c r="H374" s="36">
        <f>97.5*G374%</f>
        <v>291.525</v>
      </c>
      <c r="I374" s="97" t="s">
        <v>2157</v>
      </c>
      <c r="J374" s="102" t="s">
        <v>455</v>
      </c>
      <c r="K374" s="110" t="s">
        <v>29</v>
      </c>
      <c r="L374" s="104" t="s">
        <v>2828</v>
      </c>
      <c r="M374" s="104" t="s">
        <v>2829</v>
      </c>
      <c r="N374" s="105">
        <v>100.0</v>
      </c>
      <c r="O374" s="105">
        <v>100.0</v>
      </c>
      <c r="P374" s="105">
        <v>100.0</v>
      </c>
      <c r="Q374" s="105">
        <v>50.0</v>
      </c>
      <c r="R374" s="105">
        <v>10.0</v>
      </c>
      <c r="S374" s="105">
        <v>16.0</v>
      </c>
      <c r="T374" s="105">
        <v>12.0</v>
      </c>
      <c r="U374" s="105">
        <v>10.0</v>
      </c>
      <c r="V374" s="105">
        <v>8.0</v>
      </c>
      <c r="W374" s="105">
        <v>4.0</v>
      </c>
      <c r="X374" s="105">
        <v>14.0</v>
      </c>
      <c r="Y374" s="105">
        <v>14.0</v>
      </c>
      <c r="Z374" s="105">
        <v>10.0</v>
      </c>
      <c r="AA374" s="105">
        <v>34.0</v>
      </c>
      <c r="AB374" s="105">
        <v>16.0</v>
      </c>
      <c r="AC374" s="105">
        <v>10.0</v>
      </c>
      <c r="AD374" s="105">
        <v>98.0</v>
      </c>
      <c r="AE374" s="105">
        <v>90.0</v>
      </c>
      <c r="AF374" s="105">
        <v>62.0</v>
      </c>
      <c r="AG374" s="105">
        <v>10.0</v>
      </c>
      <c r="AH374" s="105">
        <v>0.0</v>
      </c>
      <c r="AI374" s="105">
        <v>58.0</v>
      </c>
      <c r="AJ374" s="105">
        <v>40.0</v>
      </c>
      <c r="AK374" s="105">
        <v>78.0</v>
      </c>
      <c r="AL374" s="105">
        <v>54.0</v>
      </c>
      <c r="AM374" s="33">
        <v>-100.0</v>
      </c>
      <c r="AN374" s="105">
        <v>100.0</v>
      </c>
      <c r="AO374" s="105">
        <v>100.0</v>
      </c>
      <c r="AP374" s="18" t="s">
        <v>2830</v>
      </c>
      <c r="AQ374" s="18" t="s">
        <v>2831</v>
      </c>
      <c r="AR374" s="121" t="s">
        <v>2087</v>
      </c>
      <c r="AS374" s="121" t="s">
        <v>2088</v>
      </c>
      <c r="AT374" s="121" t="s">
        <v>2089</v>
      </c>
      <c r="AU374" s="21" t="s">
        <v>2090</v>
      </c>
      <c r="AV374" s="22" t="s">
        <v>980</v>
      </c>
      <c r="AW374" s="94" t="s">
        <v>2832</v>
      </c>
      <c r="AZ374" s="52"/>
      <c r="BA374" s="52"/>
      <c r="BB374" s="52"/>
    </row>
    <row r="375" hidden="1">
      <c r="A375" s="25" t="s">
        <v>2833</v>
      </c>
      <c r="B375" s="103" t="s">
        <v>2834</v>
      </c>
      <c r="C375" s="97" t="s">
        <v>607</v>
      </c>
      <c r="D375" s="97" t="s">
        <v>52</v>
      </c>
      <c r="E375" s="97" t="s">
        <v>252</v>
      </c>
      <c r="F375" s="29" t="s">
        <v>85</v>
      </c>
      <c r="G375" s="29">
        <v>449.0</v>
      </c>
      <c r="H375" s="36">
        <f t="shared" ref="H375:H377" si="10">95*G375%</f>
        <v>426.55</v>
      </c>
      <c r="I375" s="97" t="s">
        <v>55</v>
      </c>
      <c r="J375" s="102" t="s">
        <v>224</v>
      </c>
      <c r="K375" s="110" t="s">
        <v>29</v>
      </c>
      <c r="L375" s="104" t="s">
        <v>154</v>
      </c>
      <c r="M375" s="104" t="s">
        <v>2158</v>
      </c>
      <c r="N375" s="105">
        <v>100.0</v>
      </c>
      <c r="O375" s="105">
        <v>100.0</v>
      </c>
      <c r="P375" s="105">
        <v>100.0</v>
      </c>
      <c r="Q375" s="105">
        <v>52.0</v>
      </c>
      <c r="R375" s="105">
        <v>12.0</v>
      </c>
      <c r="S375" s="105">
        <v>52.0</v>
      </c>
      <c r="T375" s="105">
        <v>18.0</v>
      </c>
      <c r="U375" s="105">
        <v>28.0</v>
      </c>
      <c r="V375" s="105">
        <v>30.0</v>
      </c>
      <c r="W375" s="105">
        <v>16.0</v>
      </c>
      <c r="X375" s="105">
        <v>40.0</v>
      </c>
      <c r="Y375" s="105">
        <v>14.0</v>
      </c>
      <c r="Z375" s="105">
        <v>12.0</v>
      </c>
      <c r="AA375" s="105">
        <v>54.0</v>
      </c>
      <c r="AB375" s="105">
        <v>50.0</v>
      </c>
      <c r="AC375" s="105">
        <v>26.0</v>
      </c>
      <c r="AD375" s="105">
        <v>98.0</v>
      </c>
      <c r="AE375" s="105">
        <v>78.0</v>
      </c>
      <c r="AF375" s="105">
        <v>72.0</v>
      </c>
      <c r="AG375" s="105">
        <v>56.0</v>
      </c>
      <c r="AH375" s="105">
        <v>50.0</v>
      </c>
      <c r="AI375" s="105">
        <v>90.0</v>
      </c>
      <c r="AJ375" s="105">
        <v>84.0</v>
      </c>
      <c r="AK375" s="105">
        <v>90.0</v>
      </c>
      <c r="AL375" s="105">
        <v>82.0</v>
      </c>
      <c r="AM375" s="33">
        <v>-100.0</v>
      </c>
      <c r="AN375" s="105">
        <v>100.0</v>
      </c>
      <c r="AO375" s="105">
        <v>100.0</v>
      </c>
      <c r="AP375" s="18" t="s">
        <v>2835</v>
      </c>
      <c r="AQ375" s="18" t="s">
        <v>2836</v>
      </c>
      <c r="AR375" s="121" t="s">
        <v>2087</v>
      </c>
      <c r="AS375" s="121" t="s">
        <v>2088</v>
      </c>
      <c r="AT375" s="121" t="s">
        <v>2089</v>
      </c>
      <c r="AU375" s="21" t="s">
        <v>2090</v>
      </c>
      <c r="AV375" s="22" t="s">
        <v>443</v>
      </c>
      <c r="AW375" s="94" t="s">
        <v>2837</v>
      </c>
      <c r="AZ375" s="52"/>
      <c r="BA375" s="52"/>
      <c r="BB375" s="52"/>
    </row>
    <row r="376" hidden="1">
      <c r="A376" s="25" t="s">
        <v>2838</v>
      </c>
      <c r="B376" s="103" t="s">
        <v>2839</v>
      </c>
      <c r="C376" s="97" t="s">
        <v>941</v>
      </c>
      <c r="D376" s="97" t="s">
        <v>52</v>
      </c>
      <c r="E376" s="97" t="s">
        <v>252</v>
      </c>
      <c r="F376" s="29" t="s">
        <v>292</v>
      </c>
      <c r="G376" s="29">
        <v>725.0</v>
      </c>
      <c r="H376" s="36">
        <f t="shared" si="10"/>
        <v>688.75</v>
      </c>
      <c r="I376" s="97" t="s">
        <v>55</v>
      </c>
      <c r="J376" s="102" t="s">
        <v>102</v>
      </c>
      <c r="K376" s="110" t="s">
        <v>29</v>
      </c>
      <c r="L376" s="104" t="s">
        <v>2766</v>
      </c>
      <c r="M376" s="104" t="s">
        <v>2840</v>
      </c>
      <c r="N376" s="105">
        <v>100.0</v>
      </c>
      <c r="O376" s="105">
        <v>100.0</v>
      </c>
      <c r="P376" s="105">
        <v>100.0</v>
      </c>
      <c r="Q376" s="105">
        <v>48.0</v>
      </c>
      <c r="R376" s="105">
        <v>12.0</v>
      </c>
      <c r="S376" s="105">
        <v>40.0</v>
      </c>
      <c r="T376" s="105">
        <v>14.0</v>
      </c>
      <c r="U376" s="105">
        <v>18.0</v>
      </c>
      <c r="V376" s="105">
        <v>20.0</v>
      </c>
      <c r="W376" s="105">
        <v>12.0</v>
      </c>
      <c r="X376" s="105">
        <v>42.0</v>
      </c>
      <c r="Y376" s="105">
        <v>10.0</v>
      </c>
      <c r="Z376" s="105">
        <v>10.0</v>
      </c>
      <c r="AA376" s="105">
        <v>64.0</v>
      </c>
      <c r="AB376" s="105">
        <v>42.0</v>
      </c>
      <c r="AC376" s="105">
        <v>18.0</v>
      </c>
      <c r="AD376" s="105">
        <v>98.0</v>
      </c>
      <c r="AE376" s="105">
        <v>90.0</v>
      </c>
      <c r="AF376" s="105">
        <v>84.0</v>
      </c>
      <c r="AG376" s="105">
        <v>38.0</v>
      </c>
      <c r="AH376" s="105">
        <v>30.0</v>
      </c>
      <c r="AI376" s="105">
        <v>86.0</v>
      </c>
      <c r="AJ376" s="105">
        <v>80.0</v>
      </c>
      <c r="AK376" s="105">
        <v>92.0</v>
      </c>
      <c r="AL376" s="105">
        <v>86.0</v>
      </c>
      <c r="AM376" s="33">
        <v>-100.0</v>
      </c>
      <c r="AN376" s="105">
        <v>100.0</v>
      </c>
      <c r="AO376" s="105">
        <v>100.0</v>
      </c>
      <c r="AP376" s="18" t="s">
        <v>2841</v>
      </c>
      <c r="AQ376" s="18" t="s">
        <v>2842</v>
      </c>
      <c r="AR376" s="121" t="s">
        <v>2087</v>
      </c>
      <c r="AS376" s="121" t="s">
        <v>2088</v>
      </c>
      <c r="AT376" s="121" t="s">
        <v>2089</v>
      </c>
      <c r="AU376" s="21" t="s">
        <v>2090</v>
      </c>
      <c r="AV376" s="22" t="s">
        <v>612</v>
      </c>
      <c r="AW376" s="94" t="s">
        <v>2843</v>
      </c>
      <c r="AZ376" s="52"/>
      <c r="BA376" s="52"/>
      <c r="BB376" s="52"/>
    </row>
    <row r="377" hidden="1">
      <c r="A377" s="25" t="s">
        <v>2844</v>
      </c>
      <c r="B377" s="103" t="s">
        <v>2845</v>
      </c>
      <c r="C377" s="97" t="s">
        <v>2206</v>
      </c>
      <c r="D377" s="97" t="s">
        <v>52</v>
      </c>
      <c r="E377" s="97" t="s">
        <v>125</v>
      </c>
      <c r="F377" s="29" t="s">
        <v>2846</v>
      </c>
      <c r="G377" s="29">
        <v>395.0</v>
      </c>
      <c r="H377" s="36">
        <f t="shared" si="10"/>
        <v>375.25</v>
      </c>
      <c r="I377" s="97" t="s">
        <v>55</v>
      </c>
      <c r="J377" s="102" t="s">
        <v>224</v>
      </c>
      <c r="K377" s="110" t="s">
        <v>487</v>
      </c>
      <c r="L377" s="104" t="s">
        <v>2060</v>
      </c>
      <c r="M377" s="104" t="s">
        <v>154</v>
      </c>
      <c r="N377" s="105">
        <v>-100.0</v>
      </c>
      <c r="O377" s="105">
        <v>100.0</v>
      </c>
      <c r="P377" s="105">
        <v>100.0</v>
      </c>
      <c r="Q377" s="105">
        <v>64.0</v>
      </c>
      <c r="R377" s="105">
        <v>14.0</v>
      </c>
      <c r="S377" s="105">
        <v>22.0</v>
      </c>
      <c r="T377" s="105">
        <v>58.0</v>
      </c>
      <c r="U377" s="105">
        <v>90.0</v>
      </c>
      <c r="V377" s="105">
        <v>84.0</v>
      </c>
      <c r="W377" s="105">
        <v>46.0</v>
      </c>
      <c r="X377" s="105">
        <v>24.0</v>
      </c>
      <c r="Y377" s="105">
        <v>42.0</v>
      </c>
      <c r="Z377" s="105">
        <v>14.0</v>
      </c>
      <c r="AA377" s="105">
        <v>32.0</v>
      </c>
      <c r="AB377" s="105">
        <v>20.0</v>
      </c>
      <c r="AC377" s="105">
        <v>90.0</v>
      </c>
      <c r="AD377" s="105">
        <v>18.0</v>
      </c>
      <c r="AE377" s="105">
        <v>80.0</v>
      </c>
      <c r="AF377" s="105">
        <v>64.0</v>
      </c>
      <c r="AG377" s="105">
        <v>18.0</v>
      </c>
      <c r="AH377" s="105">
        <v>8.0</v>
      </c>
      <c r="AI377" s="105">
        <v>90.0</v>
      </c>
      <c r="AJ377" s="105">
        <v>74.0</v>
      </c>
      <c r="AK377" s="105">
        <v>92.0</v>
      </c>
      <c r="AL377" s="105">
        <v>78.0</v>
      </c>
      <c r="AM377" s="33">
        <v>-100.0</v>
      </c>
      <c r="AN377" s="105">
        <v>-100.0</v>
      </c>
      <c r="AO377" s="105">
        <v>-100.0</v>
      </c>
      <c r="AP377" s="18" t="s">
        <v>2847</v>
      </c>
      <c r="AQ377" s="18" t="s">
        <v>2848</v>
      </c>
      <c r="AR377" s="121" t="s">
        <v>2076</v>
      </c>
      <c r="AS377" s="121" t="s">
        <v>2077</v>
      </c>
      <c r="AT377" s="121" t="s">
        <v>2078</v>
      </c>
      <c r="AU377" s="21" t="s">
        <v>2079</v>
      </c>
      <c r="AV377" s="22" t="s">
        <v>2849</v>
      </c>
      <c r="AW377" s="94" t="s">
        <v>2850</v>
      </c>
      <c r="AX377" s="55"/>
      <c r="AY377" s="55"/>
      <c r="AZ377" s="52"/>
      <c r="BA377" s="52"/>
      <c r="BB377" s="52"/>
    </row>
    <row r="378">
      <c r="A378" s="25" t="s">
        <v>2851</v>
      </c>
      <c r="B378" s="103" t="s">
        <v>2852</v>
      </c>
      <c r="C378" s="97" t="s">
        <v>2279</v>
      </c>
      <c r="D378" s="97" t="s">
        <v>52</v>
      </c>
      <c r="E378" s="97" t="s">
        <v>125</v>
      </c>
      <c r="F378" s="29" t="s">
        <v>2853</v>
      </c>
      <c r="G378" s="29">
        <v>1599.0</v>
      </c>
      <c r="H378" s="36">
        <f>97.5*G378%</f>
        <v>1559.025</v>
      </c>
      <c r="I378" s="97" t="s">
        <v>1199</v>
      </c>
      <c r="J378" s="102" t="s">
        <v>2854</v>
      </c>
      <c r="K378" s="110" t="s">
        <v>26</v>
      </c>
      <c r="L378" s="104" t="s">
        <v>2280</v>
      </c>
      <c r="M378" s="104" t="s">
        <v>2855</v>
      </c>
      <c r="N378" s="105">
        <v>100.0</v>
      </c>
      <c r="O378" s="105">
        <v>100.0</v>
      </c>
      <c r="P378" s="105">
        <v>100.0</v>
      </c>
      <c r="Q378" s="105">
        <v>58.0</v>
      </c>
      <c r="R378" s="105">
        <v>14.0</v>
      </c>
      <c r="S378" s="105">
        <v>52.0</v>
      </c>
      <c r="T378" s="105">
        <v>36.0</v>
      </c>
      <c r="U378" s="105">
        <v>44.0</v>
      </c>
      <c r="V378" s="105">
        <v>38.0</v>
      </c>
      <c r="W378" s="105">
        <v>18.0</v>
      </c>
      <c r="X378" s="105">
        <v>62.0</v>
      </c>
      <c r="Y378" s="105">
        <v>28.0</v>
      </c>
      <c r="Z378" s="105">
        <v>14.0</v>
      </c>
      <c r="AA378" s="105">
        <v>90.0</v>
      </c>
      <c r="AB378" s="105">
        <v>64.0</v>
      </c>
      <c r="AC378" s="105">
        <v>32.0</v>
      </c>
      <c r="AD378" s="105">
        <v>8.0</v>
      </c>
      <c r="AE378" s="105">
        <v>84.0</v>
      </c>
      <c r="AF378" s="105">
        <v>90.0</v>
      </c>
      <c r="AG378" s="105">
        <v>58.0</v>
      </c>
      <c r="AH378" s="105">
        <v>68.0</v>
      </c>
      <c r="AI378" s="105">
        <v>88.0</v>
      </c>
      <c r="AJ378" s="105">
        <v>92.0</v>
      </c>
      <c r="AK378" s="105">
        <v>90.0</v>
      </c>
      <c r="AL378" s="105">
        <v>94.0</v>
      </c>
      <c r="AM378" s="33">
        <v>-100.0</v>
      </c>
      <c r="AN378" s="105">
        <v>100.0</v>
      </c>
      <c r="AO378" s="105">
        <v>100.0</v>
      </c>
      <c r="AP378" s="18" t="s">
        <v>2856</v>
      </c>
      <c r="AQ378" s="18" t="s">
        <v>2857</v>
      </c>
      <c r="AR378" s="121" t="s">
        <v>2858</v>
      </c>
      <c r="AS378" s="121" t="s">
        <v>2859</v>
      </c>
      <c r="AT378" s="121" t="s">
        <v>2089</v>
      </c>
      <c r="AU378" s="21" t="s">
        <v>2860</v>
      </c>
      <c r="AV378" s="22" t="s">
        <v>2861</v>
      </c>
      <c r="AW378" s="94" t="s">
        <v>2862</v>
      </c>
      <c r="AZ378" s="52"/>
      <c r="BA378" s="52"/>
      <c r="BB378" s="52"/>
    </row>
    <row r="379" hidden="1">
      <c r="A379" s="25" t="s">
        <v>2863</v>
      </c>
      <c r="B379" s="103" t="s">
        <v>2864</v>
      </c>
      <c r="C379" s="97" t="s">
        <v>151</v>
      </c>
      <c r="D379" s="97" t="s">
        <v>52</v>
      </c>
      <c r="E379" s="97" t="s">
        <v>125</v>
      </c>
      <c r="F379" s="29" t="s">
        <v>2846</v>
      </c>
      <c r="G379" s="29">
        <v>499.0</v>
      </c>
      <c r="H379" s="36">
        <f>95*G379%</f>
        <v>474.05</v>
      </c>
      <c r="I379" s="97" t="s">
        <v>55</v>
      </c>
      <c r="J379" s="102" t="s">
        <v>455</v>
      </c>
      <c r="K379" s="110" t="s">
        <v>16</v>
      </c>
      <c r="L379" s="104" t="s">
        <v>2142</v>
      </c>
      <c r="M379" s="104" t="s">
        <v>2865</v>
      </c>
      <c r="N379" s="105">
        <v>-100.0</v>
      </c>
      <c r="O379" s="105">
        <v>100.0</v>
      </c>
      <c r="P379" s="105">
        <v>100.0</v>
      </c>
      <c r="Q379" s="105">
        <v>90.0</v>
      </c>
      <c r="R379" s="105">
        <v>54.0</v>
      </c>
      <c r="S379" s="105">
        <v>22.0</v>
      </c>
      <c r="T379" s="105">
        <v>66.0</v>
      </c>
      <c r="U379" s="105">
        <v>30.0</v>
      </c>
      <c r="V379" s="105">
        <v>24.0</v>
      </c>
      <c r="W379" s="105">
        <v>10.0</v>
      </c>
      <c r="X379" s="105">
        <v>34.0</v>
      </c>
      <c r="Y379" s="105">
        <v>82.0</v>
      </c>
      <c r="Z379" s="105">
        <v>10.0</v>
      </c>
      <c r="AA379" s="105">
        <v>40.0</v>
      </c>
      <c r="AB379" s="105">
        <v>26.0</v>
      </c>
      <c r="AC379" s="105">
        <v>16.0</v>
      </c>
      <c r="AD379" s="105">
        <v>4.0</v>
      </c>
      <c r="AE379" s="105">
        <v>90.0</v>
      </c>
      <c r="AF379" s="105">
        <v>64.0</v>
      </c>
      <c r="AG379" s="105">
        <v>18.0</v>
      </c>
      <c r="AH379" s="105">
        <v>6.0</v>
      </c>
      <c r="AI379" s="105">
        <v>66.0</v>
      </c>
      <c r="AJ379" s="105">
        <v>44.0</v>
      </c>
      <c r="AK379" s="105">
        <v>82.0</v>
      </c>
      <c r="AL379" s="105">
        <v>58.0</v>
      </c>
      <c r="AM379" s="33">
        <v>0.0</v>
      </c>
      <c r="AN379" s="105">
        <v>100.0</v>
      </c>
      <c r="AO379" s="105">
        <v>100.0</v>
      </c>
      <c r="AP379" s="18" t="s">
        <v>2866</v>
      </c>
      <c r="AQ379" s="18" t="s">
        <v>2867</v>
      </c>
      <c r="AR379" s="121" t="s">
        <v>2076</v>
      </c>
      <c r="AS379" s="121" t="s">
        <v>2077</v>
      </c>
      <c r="AT379" s="121" t="s">
        <v>2078</v>
      </c>
      <c r="AU379" s="21" t="s">
        <v>2079</v>
      </c>
      <c r="AV379" s="22" t="s">
        <v>2868</v>
      </c>
      <c r="AW379" s="94" t="s">
        <v>2869</v>
      </c>
      <c r="AZ379" s="52"/>
      <c r="BA379" s="52"/>
      <c r="BB379" s="52"/>
    </row>
    <row r="380">
      <c r="A380" s="25" t="s">
        <v>2870</v>
      </c>
      <c r="B380" s="103" t="s">
        <v>2871</v>
      </c>
      <c r="C380" s="97" t="s">
        <v>2872</v>
      </c>
      <c r="D380" s="97" t="s">
        <v>52</v>
      </c>
      <c r="E380" s="97" t="s">
        <v>125</v>
      </c>
      <c r="F380" s="29" t="s">
        <v>70</v>
      </c>
      <c r="G380" s="29">
        <v>1200.0</v>
      </c>
      <c r="H380" s="36">
        <f t="shared" ref="H380:H382" si="11">97.5*G380%</f>
        <v>1170</v>
      </c>
      <c r="I380" s="97" t="s">
        <v>2157</v>
      </c>
      <c r="J380" s="102" t="s">
        <v>102</v>
      </c>
      <c r="K380" s="110" t="s">
        <v>191</v>
      </c>
      <c r="L380" s="104" t="s">
        <v>2142</v>
      </c>
      <c r="M380" s="104" t="s">
        <v>2873</v>
      </c>
      <c r="N380" s="105">
        <v>-100.0</v>
      </c>
      <c r="O380" s="105">
        <v>100.0</v>
      </c>
      <c r="P380" s="105">
        <v>100.0</v>
      </c>
      <c r="Q380" s="105">
        <v>92.0</v>
      </c>
      <c r="R380" s="105">
        <v>68.0</v>
      </c>
      <c r="S380" s="105">
        <v>14.0</v>
      </c>
      <c r="T380" s="105">
        <v>74.0</v>
      </c>
      <c r="U380" s="105">
        <v>34.0</v>
      </c>
      <c r="V380" s="105">
        <v>26.0</v>
      </c>
      <c r="W380" s="105">
        <v>10.0</v>
      </c>
      <c r="X380" s="105">
        <v>24.0</v>
      </c>
      <c r="Y380" s="105">
        <v>92.0</v>
      </c>
      <c r="Z380" s="105">
        <v>10.0</v>
      </c>
      <c r="AA380" s="105">
        <v>34.0</v>
      </c>
      <c r="AB380" s="105">
        <v>16.0</v>
      </c>
      <c r="AC380" s="105">
        <v>14.0</v>
      </c>
      <c r="AD380" s="105">
        <v>4.0</v>
      </c>
      <c r="AE380" s="105">
        <v>94.0</v>
      </c>
      <c r="AF380" s="105">
        <v>62.0</v>
      </c>
      <c r="AG380" s="105">
        <v>8.0</v>
      </c>
      <c r="AH380" s="105">
        <v>-2.0</v>
      </c>
      <c r="AI380" s="105">
        <v>64.0</v>
      </c>
      <c r="AJ380" s="105">
        <v>38.0</v>
      </c>
      <c r="AK380" s="105">
        <v>90.0</v>
      </c>
      <c r="AL380" s="105">
        <v>56.0</v>
      </c>
      <c r="AM380" s="33">
        <v>-100.0</v>
      </c>
      <c r="AN380" s="105">
        <v>100.0</v>
      </c>
      <c r="AO380" s="105">
        <v>100.0</v>
      </c>
      <c r="AP380" s="18" t="s">
        <v>2874</v>
      </c>
      <c r="AQ380" s="18" t="s">
        <v>2875</v>
      </c>
      <c r="AR380" s="121" t="s">
        <v>2076</v>
      </c>
      <c r="AS380" s="121" t="s">
        <v>2077</v>
      </c>
      <c r="AT380" s="121" t="s">
        <v>2078</v>
      </c>
      <c r="AU380" s="21" t="s">
        <v>2079</v>
      </c>
      <c r="AV380" s="22" t="s">
        <v>2599</v>
      </c>
      <c r="AW380" s="94" t="s">
        <v>2876</v>
      </c>
      <c r="AZ380" s="52"/>
      <c r="BA380" s="52"/>
      <c r="BB380" s="52"/>
    </row>
    <row r="381">
      <c r="A381" s="25" t="s">
        <v>2877</v>
      </c>
      <c r="B381" s="103" t="s">
        <v>2878</v>
      </c>
      <c r="C381" s="97" t="s">
        <v>2455</v>
      </c>
      <c r="D381" s="97" t="s">
        <v>52</v>
      </c>
      <c r="E381" s="97" t="s">
        <v>125</v>
      </c>
      <c r="F381" s="29" t="s">
        <v>126</v>
      </c>
      <c r="G381" s="29">
        <v>1570.0</v>
      </c>
      <c r="H381" s="36">
        <f t="shared" si="11"/>
        <v>1530.75</v>
      </c>
      <c r="I381" s="97" t="s">
        <v>1199</v>
      </c>
      <c r="J381" s="102" t="s">
        <v>1898</v>
      </c>
      <c r="K381" s="110" t="s">
        <v>1907</v>
      </c>
      <c r="L381" s="104" t="s">
        <v>2320</v>
      </c>
      <c r="M381" s="104" t="s">
        <v>2879</v>
      </c>
      <c r="N381" s="105">
        <v>100.0</v>
      </c>
      <c r="O381" s="105">
        <v>100.0</v>
      </c>
      <c r="P381" s="105">
        <v>100.0</v>
      </c>
      <c r="Q381" s="105">
        <v>38.0</v>
      </c>
      <c r="R381" s="105">
        <v>8.0</v>
      </c>
      <c r="S381" s="105">
        <v>74.0</v>
      </c>
      <c r="T381" s="105">
        <v>10.0</v>
      </c>
      <c r="U381" s="105">
        <v>18.0</v>
      </c>
      <c r="V381" s="105">
        <v>14.0</v>
      </c>
      <c r="W381" s="105">
        <v>6.0</v>
      </c>
      <c r="X381" s="105">
        <v>90.0</v>
      </c>
      <c r="Y381" s="105">
        <v>10.0</v>
      </c>
      <c r="Z381" s="105">
        <v>12.0</v>
      </c>
      <c r="AA381" s="105">
        <v>84.0</v>
      </c>
      <c r="AB381" s="105">
        <v>90.0</v>
      </c>
      <c r="AC381" s="105">
        <v>24.0</v>
      </c>
      <c r="AD381" s="105">
        <v>6.0</v>
      </c>
      <c r="AE381" s="105">
        <v>66.0</v>
      </c>
      <c r="AF381" s="105">
        <v>72.0</v>
      </c>
      <c r="AG381" s="105">
        <v>90.0</v>
      </c>
      <c r="AH381" s="105">
        <v>94.0</v>
      </c>
      <c r="AI381" s="105">
        <v>90.0</v>
      </c>
      <c r="AJ381" s="105">
        <v>94.0</v>
      </c>
      <c r="AK381" s="105">
        <v>72.0</v>
      </c>
      <c r="AL381" s="105">
        <v>78.0</v>
      </c>
      <c r="AM381" s="33">
        <v>0.0</v>
      </c>
      <c r="AN381" s="105">
        <v>100.0</v>
      </c>
      <c r="AO381" s="105">
        <v>100.0</v>
      </c>
      <c r="AP381" s="18" t="s">
        <v>2880</v>
      </c>
      <c r="AQ381" s="18" t="s">
        <v>2881</v>
      </c>
      <c r="AR381" s="121" t="s">
        <v>2858</v>
      </c>
      <c r="AS381" s="121" t="s">
        <v>2859</v>
      </c>
      <c r="AT381" s="121" t="s">
        <v>2089</v>
      </c>
      <c r="AU381" s="21" t="s">
        <v>2860</v>
      </c>
      <c r="AV381" s="22" t="s">
        <v>2706</v>
      </c>
      <c r="AW381" s="94" t="s">
        <v>2882</v>
      </c>
      <c r="AZ381" s="52"/>
      <c r="BA381" s="52"/>
      <c r="BB381" s="52"/>
    </row>
    <row r="382" hidden="1">
      <c r="A382" s="25" t="s">
        <v>2883</v>
      </c>
      <c r="B382" s="103" t="s">
        <v>2884</v>
      </c>
      <c r="C382" s="97" t="s">
        <v>1397</v>
      </c>
      <c r="D382" s="97" t="s">
        <v>52</v>
      </c>
      <c r="E382" s="97" t="s">
        <v>125</v>
      </c>
      <c r="F382" s="29" t="s">
        <v>1435</v>
      </c>
      <c r="G382" s="29">
        <v>900.0</v>
      </c>
      <c r="H382" s="36">
        <f t="shared" si="11"/>
        <v>877.5</v>
      </c>
      <c r="I382" s="97" t="s">
        <v>1199</v>
      </c>
      <c r="J382" s="102" t="s">
        <v>216</v>
      </c>
      <c r="K382" s="110" t="s">
        <v>27</v>
      </c>
      <c r="L382" s="104" t="s">
        <v>1783</v>
      </c>
      <c r="M382" s="104" t="s">
        <v>2885</v>
      </c>
      <c r="N382" s="105">
        <v>100.0</v>
      </c>
      <c r="O382" s="105">
        <v>100.0</v>
      </c>
      <c r="P382" s="105">
        <v>100.0</v>
      </c>
      <c r="Q382" s="105">
        <v>40.0</v>
      </c>
      <c r="R382" s="105">
        <v>8.0</v>
      </c>
      <c r="S382" s="105">
        <v>74.0</v>
      </c>
      <c r="T382" s="105">
        <v>10.0</v>
      </c>
      <c r="U382" s="105">
        <v>18.0</v>
      </c>
      <c r="V382" s="105">
        <v>14.0</v>
      </c>
      <c r="W382" s="105">
        <v>6.0</v>
      </c>
      <c r="X382" s="105">
        <v>76.0</v>
      </c>
      <c r="Y382" s="105">
        <v>10.0</v>
      </c>
      <c r="Z382" s="105">
        <v>12.0</v>
      </c>
      <c r="AA382" s="105">
        <v>72.0</v>
      </c>
      <c r="AB382" s="105">
        <v>90.0</v>
      </c>
      <c r="AC382" s="105">
        <v>24.0</v>
      </c>
      <c r="AD382" s="105">
        <v>6.0</v>
      </c>
      <c r="AE382" s="105">
        <v>70.0</v>
      </c>
      <c r="AF382" s="105">
        <v>72.0</v>
      </c>
      <c r="AG382" s="105">
        <v>86.0</v>
      </c>
      <c r="AH382" s="105">
        <v>84.0</v>
      </c>
      <c r="AI382" s="105">
        <v>90.0</v>
      </c>
      <c r="AJ382" s="105">
        <v>88.0</v>
      </c>
      <c r="AK382" s="105">
        <v>84.0</v>
      </c>
      <c r="AL382" s="105">
        <v>82.0</v>
      </c>
      <c r="AM382" s="33">
        <v>0.0</v>
      </c>
      <c r="AN382" s="105">
        <v>100.0</v>
      </c>
      <c r="AO382" s="105">
        <v>100.0</v>
      </c>
      <c r="AP382" s="18" t="s">
        <v>2886</v>
      </c>
      <c r="AQ382" s="18" t="s">
        <v>2451</v>
      </c>
      <c r="AR382" s="121" t="s">
        <v>2858</v>
      </c>
      <c r="AS382" s="121" t="s">
        <v>2859</v>
      </c>
      <c r="AT382" s="121" t="s">
        <v>2089</v>
      </c>
      <c r="AU382" s="21" t="s">
        <v>2860</v>
      </c>
      <c r="AV382" s="22" t="s">
        <v>1204</v>
      </c>
      <c r="AW382" s="94" t="s">
        <v>2887</v>
      </c>
      <c r="AZ382" s="52"/>
      <c r="BA382" s="52"/>
      <c r="BB382" s="52"/>
    </row>
    <row r="383" hidden="1">
      <c r="A383" s="25" t="s">
        <v>2888</v>
      </c>
      <c r="B383" s="103" t="s">
        <v>2889</v>
      </c>
      <c r="C383" s="97" t="s">
        <v>151</v>
      </c>
      <c r="D383" s="97" t="s">
        <v>52</v>
      </c>
      <c r="E383" s="97" t="s">
        <v>69</v>
      </c>
      <c r="F383" s="29" t="s">
        <v>70</v>
      </c>
      <c r="G383" s="29">
        <v>649.0</v>
      </c>
      <c r="H383" s="36">
        <f t="shared" ref="H383:H385" si="12">95*G383%</f>
        <v>616.55</v>
      </c>
      <c r="I383" s="97" t="s">
        <v>55</v>
      </c>
      <c r="J383" s="102" t="s">
        <v>2369</v>
      </c>
      <c r="K383" s="110" t="s">
        <v>2890</v>
      </c>
      <c r="L383" s="104" t="s">
        <v>2484</v>
      </c>
      <c r="M383" s="104" t="s">
        <v>2891</v>
      </c>
      <c r="N383" s="105">
        <v>-100.0</v>
      </c>
      <c r="O383" s="105">
        <v>100.0</v>
      </c>
      <c r="P383" s="105">
        <v>100.0</v>
      </c>
      <c r="Q383" s="105">
        <v>76.0</v>
      </c>
      <c r="R383" s="105">
        <v>18.0</v>
      </c>
      <c r="S383" s="105">
        <v>24.0</v>
      </c>
      <c r="T383" s="105">
        <v>28.0</v>
      </c>
      <c r="U383" s="105">
        <v>92.0</v>
      </c>
      <c r="V383" s="105">
        <v>96.0</v>
      </c>
      <c r="W383" s="105">
        <v>94.0</v>
      </c>
      <c r="X383" s="105">
        <v>24.0</v>
      </c>
      <c r="Y383" s="105">
        <v>26.0</v>
      </c>
      <c r="Z383" s="105">
        <v>14.0</v>
      </c>
      <c r="AA383" s="105">
        <v>44.0</v>
      </c>
      <c r="AB383" s="105">
        <v>24.0</v>
      </c>
      <c r="AC383" s="105">
        <v>48.0</v>
      </c>
      <c r="AD383" s="105">
        <v>10.0</v>
      </c>
      <c r="AE383" s="105">
        <v>72.0</v>
      </c>
      <c r="AF383" s="105">
        <v>58.0</v>
      </c>
      <c r="AG383" s="105">
        <v>24.0</v>
      </c>
      <c r="AH383" s="105">
        <v>12.0</v>
      </c>
      <c r="AI383" s="105">
        <v>86.0</v>
      </c>
      <c r="AJ383" s="105">
        <v>74.0</v>
      </c>
      <c r="AK383" s="105">
        <v>90.0</v>
      </c>
      <c r="AL383" s="105">
        <v>78.0</v>
      </c>
      <c r="AM383" s="33">
        <v>-100.0</v>
      </c>
      <c r="AN383" s="105">
        <v>-100.0</v>
      </c>
      <c r="AO383" s="105">
        <v>-100.0</v>
      </c>
      <c r="AP383" s="18" t="s">
        <v>2892</v>
      </c>
      <c r="AQ383" s="18" t="s">
        <v>2893</v>
      </c>
      <c r="AR383" s="121" t="s">
        <v>2476</v>
      </c>
      <c r="AS383" s="121" t="s">
        <v>2477</v>
      </c>
      <c r="AT383" s="121" t="s">
        <v>2089</v>
      </c>
      <c r="AU383" s="21" t="s">
        <v>2478</v>
      </c>
      <c r="AV383" s="22" t="s">
        <v>2894</v>
      </c>
      <c r="AW383" s="94" t="s">
        <v>2895</v>
      </c>
      <c r="AZ383" s="52"/>
      <c r="BA383" s="52"/>
      <c r="BB383" s="52"/>
    </row>
    <row r="384" hidden="1">
      <c r="A384" s="25" t="s">
        <v>2896</v>
      </c>
      <c r="B384" s="103" t="s">
        <v>2897</v>
      </c>
      <c r="C384" s="97" t="s">
        <v>151</v>
      </c>
      <c r="D384" s="97" t="s">
        <v>52</v>
      </c>
      <c r="E384" s="97" t="s">
        <v>69</v>
      </c>
      <c r="F384" s="29" t="s">
        <v>70</v>
      </c>
      <c r="G384" s="29">
        <v>649.0</v>
      </c>
      <c r="H384" s="36">
        <f t="shared" si="12"/>
        <v>616.55</v>
      </c>
      <c r="I384" s="97" t="s">
        <v>55</v>
      </c>
      <c r="J384" s="102" t="s">
        <v>102</v>
      </c>
      <c r="K384" s="110" t="s">
        <v>2498</v>
      </c>
      <c r="L384" s="104" t="s">
        <v>2499</v>
      </c>
      <c r="M384" s="104" t="s">
        <v>2898</v>
      </c>
      <c r="N384" s="105">
        <v>-100.0</v>
      </c>
      <c r="O384" s="105">
        <v>100.0</v>
      </c>
      <c r="P384" s="105">
        <v>100.0</v>
      </c>
      <c r="Q384" s="105">
        <v>90.0</v>
      </c>
      <c r="R384" s="105">
        <v>18.0</v>
      </c>
      <c r="S384" s="105">
        <v>20.0</v>
      </c>
      <c r="T384" s="105">
        <v>90.0</v>
      </c>
      <c r="U384" s="105">
        <v>56.0</v>
      </c>
      <c r="V384" s="105">
        <v>58.0</v>
      </c>
      <c r="W384" s="105">
        <v>34.0</v>
      </c>
      <c r="X384" s="105">
        <v>34.0</v>
      </c>
      <c r="Y384" s="105">
        <v>78.0</v>
      </c>
      <c r="Z384" s="105">
        <v>10.0</v>
      </c>
      <c r="AA384" s="105">
        <v>46.0</v>
      </c>
      <c r="AB384" s="105">
        <v>28.0</v>
      </c>
      <c r="AC384" s="105">
        <v>26.0</v>
      </c>
      <c r="AD384" s="105">
        <v>8.0</v>
      </c>
      <c r="AE384" s="105">
        <v>96.0</v>
      </c>
      <c r="AF384" s="105">
        <v>82.0</v>
      </c>
      <c r="AG384" s="105">
        <v>18.0</v>
      </c>
      <c r="AH384" s="105">
        <v>8.0</v>
      </c>
      <c r="AI384" s="105">
        <v>78.0</v>
      </c>
      <c r="AJ384" s="105">
        <v>60.0</v>
      </c>
      <c r="AK384" s="105">
        <v>94.0</v>
      </c>
      <c r="AL384" s="105">
        <v>80.0</v>
      </c>
      <c r="AM384" s="33">
        <v>-100.0</v>
      </c>
      <c r="AN384" s="105">
        <v>-100.0</v>
      </c>
      <c r="AO384" s="105">
        <v>-100.0</v>
      </c>
      <c r="AP384" s="18" t="s">
        <v>2899</v>
      </c>
      <c r="AQ384" s="18" t="s">
        <v>2900</v>
      </c>
      <c r="AR384" s="121" t="s">
        <v>2476</v>
      </c>
      <c r="AS384" s="121" t="s">
        <v>2477</v>
      </c>
      <c r="AT384" s="121" t="s">
        <v>2089</v>
      </c>
      <c r="AU384" s="21" t="s">
        <v>2478</v>
      </c>
      <c r="AV384" s="22" t="s">
        <v>2901</v>
      </c>
      <c r="AW384" s="94" t="s">
        <v>2902</v>
      </c>
      <c r="AX384" s="34"/>
      <c r="AZ384" s="52"/>
      <c r="BA384" s="52"/>
      <c r="BB384" s="52"/>
    </row>
    <row r="385" hidden="1">
      <c r="A385" s="25" t="s">
        <v>2903</v>
      </c>
      <c r="B385" s="103" t="s">
        <v>2904</v>
      </c>
      <c r="C385" s="97" t="s">
        <v>941</v>
      </c>
      <c r="D385" s="97" t="s">
        <v>52</v>
      </c>
      <c r="E385" s="97" t="s">
        <v>69</v>
      </c>
      <c r="F385" s="29" t="s">
        <v>70</v>
      </c>
      <c r="G385" s="29">
        <v>745.0</v>
      </c>
      <c r="H385" s="36">
        <f t="shared" si="12"/>
        <v>707.75</v>
      </c>
      <c r="I385" s="97" t="s">
        <v>55</v>
      </c>
      <c r="J385" s="102" t="s">
        <v>2369</v>
      </c>
      <c r="K385" s="110" t="s">
        <v>1144</v>
      </c>
      <c r="L385" s="104" t="s">
        <v>2905</v>
      </c>
      <c r="M385" s="104" t="s">
        <v>2906</v>
      </c>
      <c r="N385" s="105">
        <v>-100.0</v>
      </c>
      <c r="O385" s="105">
        <v>100.0</v>
      </c>
      <c r="P385" s="105">
        <v>100.0</v>
      </c>
      <c r="Q385" s="105">
        <v>28.0</v>
      </c>
      <c r="R385" s="105">
        <v>8.0</v>
      </c>
      <c r="S385" s="105">
        <v>14.0</v>
      </c>
      <c r="T385" s="105">
        <v>10.0</v>
      </c>
      <c r="U385" s="105">
        <v>94.0</v>
      </c>
      <c r="V385" s="105">
        <v>98.0</v>
      </c>
      <c r="W385" s="105">
        <v>96.0</v>
      </c>
      <c r="X385" s="105">
        <v>12.0</v>
      </c>
      <c r="Y385" s="105">
        <v>8.0</v>
      </c>
      <c r="Z385" s="105">
        <v>10.0</v>
      </c>
      <c r="AA385" s="105">
        <v>20.0</v>
      </c>
      <c r="AB385" s="105">
        <v>14.0</v>
      </c>
      <c r="AC385" s="105">
        <v>40.0</v>
      </c>
      <c r="AD385" s="105">
        <v>10.0</v>
      </c>
      <c r="AE385" s="105">
        <v>58.0</v>
      </c>
      <c r="AF385" s="105">
        <v>40.0</v>
      </c>
      <c r="AG385" s="105">
        <v>14.0</v>
      </c>
      <c r="AH385" s="105">
        <v>2.0</v>
      </c>
      <c r="AI385" s="105">
        <v>82.0</v>
      </c>
      <c r="AJ385" s="105">
        <v>66.0</v>
      </c>
      <c r="AK385" s="105">
        <v>90.0</v>
      </c>
      <c r="AL385" s="105">
        <v>70.0</v>
      </c>
      <c r="AM385" s="33">
        <v>0.0</v>
      </c>
      <c r="AN385" s="105">
        <v>-100.0</v>
      </c>
      <c r="AO385" s="105">
        <v>-100.0</v>
      </c>
      <c r="AP385" s="18" t="s">
        <v>2907</v>
      </c>
      <c r="AQ385" s="18" t="s">
        <v>2908</v>
      </c>
      <c r="AR385" s="121" t="s">
        <v>2476</v>
      </c>
      <c r="AS385" s="121" t="s">
        <v>2477</v>
      </c>
      <c r="AT385" s="121" t="s">
        <v>2089</v>
      </c>
      <c r="AU385" s="21" t="s">
        <v>2478</v>
      </c>
      <c r="AV385" s="22" t="s">
        <v>2909</v>
      </c>
      <c r="AW385" s="94" t="s">
        <v>2910</v>
      </c>
      <c r="AZ385" s="52"/>
      <c r="BA385" s="52"/>
      <c r="BB385" s="52"/>
    </row>
    <row r="386" hidden="1">
      <c r="A386" s="25" t="s">
        <v>2911</v>
      </c>
      <c r="B386" s="125"/>
      <c r="C386" s="97"/>
      <c r="D386" s="97"/>
      <c r="E386" s="97"/>
      <c r="F386" s="29"/>
      <c r="G386" s="29"/>
      <c r="H386" s="36"/>
      <c r="I386" s="97"/>
      <c r="J386" s="102"/>
      <c r="K386" s="110"/>
      <c r="L386" s="104"/>
      <c r="M386" s="104"/>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33"/>
      <c r="AN386" s="105"/>
      <c r="AO386" s="105"/>
      <c r="AP386" s="18"/>
      <c r="AQ386" s="18"/>
      <c r="AR386" s="126"/>
      <c r="AS386" s="126"/>
      <c r="AT386" s="126"/>
      <c r="AU386" s="127"/>
      <c r="AV386" s="128"/>
      <c r="AW386" s="52"/>
      <c r="AX386" s="52"/>
      <c r="AY386" s="52"/>
      <c r="AZ386" s="52"/>
      <c r="BA386" s="52"/>
      <c r="BB386" s="52"/>
    </row>
    <row r="387" hidden="1">
      <c r="A387" s="25" t="s">
        <v>2912</v>
      </c>
      <c r="B387" s="125"/>
      <c r="C387" s="97"/>
      <c r="D387" s="97"/>
      <c r="E387" s="97"/>
      <c r="F387" s="29"/>
      <c r="G387" s="29"/>
      <c r="H387" s="36"/>
      <c r="I387" s="97"/>
      <c r="J387" s="102"/>
      <c r="K387" s="110"/>
      <c r="L387" s="104"/>
      <c r="M387" s="104"/>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33"/>
      <c r="AN387" s="105"/>
      <c r="AO387" s="105"/>
      <c r="AP387" s="18"/>
      <c r="AQ387" s="18"/>
      <c r="AR387" s="126"/>
      <c r="AS387" s="126"/>
      <c r="AT387" s="126"/>
      <c r="AU387" s="127"/>
      <c r="AV387" s="128"/>
      <c r="AW387" s="52"/>
      <c r="AX387" s="52"/>
      <c r="AY387" s="52"/>
      <c r="AZ387" s="52"/>
      <c r="BA387" s="52"/>
      <c r="BB387" s="52"/>
    </row>
    <row r="388" hidden="1">
      <c r="A388" s="25" t="s">
        <v>2913</v>
      </c>
      <c r="B388" s="125"/>
      <c r="C388" s="97"/>
      <c r="D388" s="97"/>
      <c r="E388" s="97"/>
      <c r="F388" s="29"/>
      <c r="G388" s="29"/>
      <c r="H388" s="36"/>
      <c r="I388" s="97"/>
      <c r="J388" s="102"/>
      <c r="K388" s="110"/>
      <c r="L388" s="104"/>
      <c r="M388" s="104"/>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33"/>
      <c r="AN388" s="105"/>
      <c r="AO388" s="105"/>
      <c r="AP388" s="18"/>
      <c r="AQ388" s="18"/>
      <c r="AR388" s="126"/>
      <c r="AS388" s="126"/>
      <c r="AT388" s="126"/>
      <c r="AU388" s="127"/>
      <c r="AV388" s="128"/>
      <c r="AW388" s="52"/>
      <c r="AX388" s="52"/>
      <c r="AY388" s="52"/>
      <c r="AZ388" s="52"/>
      <c r="BA388" s="52"/>
      <c r="BB388" s="52"/>
    </row>
    <row r="389" hidden="1">
      <c r="A389" s="25" t="s">
        <v>2914</v>
      </c>
      <c r="B389" s="129"/>
      <c r="C389" s="97"/>
      <c r="D389" s="97"/>
      <c r="E389" s="97"/>
      <c r="F389" s="29"/>
      <c r="G389" s="29"/>
      <c r="H389" s="36"/>
      <c r="I389" s="97"/>
      <c r="J389" s="102"/>
      <c r="K389" s="110"/>
      <c r="L389" s="104"/>
      <c r="M389" s="104"/>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33"/>
      <c r="AN389" s="105"/>
      <c r="AO389" s="105"/>
      <c r="AP389" s="18"/>
      <c r="AQ389" s="18"/>
      <c r="AR389" s="126"/>
      <c r="AS389" s="126"/>
      <c r="AT389" s="126"/>
      <c r="AU389" s="127"/>
      <c r="AV389" s="128"/>
      <c r="AW389" s="52"/>
      <c r="AX389" s="52"/>
      <c r="AY389" s="52"/>
      <c r="AZ389" s="52"/>
      <c r="BA389" s="52"/>
      <c r="BB389" s="52"/>
    </row>
    <row r="390" hidden="1">
      <c r="A390" s="25" t="s">
        <v>2915</v>
      </c>
      <c r="B390" s="103"/>
      <c r="C390" s="97"/>
      <c r="D390" s="97"/>
      <c r="E390" s="97"/>
      <c r="F390" s="29"/>
      <c r="G390" s="29"/>
      <c r="H390" s="36"/>
      <c r="I390" s="97"/>
      <c r="J390" s="102"/>
      <c r="K390" s="110"/>
      <c r="L390" s="104"/>
      <c r="M390" s="104"/>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33"/>
      <c r="AN390" s="105"/>
      <c r="AO390" s="105"/>
      <c r="AP390" s="18"/>
      <c r="AQ390" s="18"/>
      <c r="AR390" s="126"/>
      <c r="AS390" s="126"/>
      <c r="AT390" s="126"/>
      <c r="AU390" s="127"/>
      <c r="AV390" s="128"/>
      <c r="AW390" s="52"/>
      <c r="AX390" s="52"/>
      <c r="AY390" s="52"/>
      <c r="AZ390" s="52"/>
      <c r="BA390" s="52"/>
      <c r="BB390" s="52"/>
    </row>
    <row r="391" hidden="1">
      <c r="A391" s="25" t="s">
        <v>2916</v>
      </c>
      <c r="B391" s="103"/>
      <c r="C391" s="97"/>
      <c r="D391" s="97"/>
      <c r="E391" s="97"/>
      <c r="F391" s="29"/>
      <c r="G391" s="29"/>
      <c r="H391" s="36"/>
      <c r="I391" s="97"/>
      <c r="J391" s="102"/>
      <c r="K391" s="110"/>
      <c r="L391" s="104"/>
      <c r="M391" s="104"/>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33"/>
      <c r="AN391" s="105"/>
      <c r="AO391" s="105"/>
      <c r="AP391" s="18"/>
      <c r="AQ391" s="18"/>
      <c r="AR391" s="126"/>
      <c r="AS391" s="126"/>
      <c r="AT391" s="126"/>
      <c r="AU391" s="127"/>
      <c r="AV391" s="128"/>
      <c r="AW391" s="52"/>
      <c r="AX391" s="52"/>
      <c r="AY391" s="52"/>
      <c r="AZ391" s="52"/>
      <c r="BA391" s="52"/>
      <c r="BB391" s="52"/>
    </row>
    <row r="392" hidden="1">
      <c r="A392" s="25" t="s">
        <v>2917</v>
      </c>
      <c r="B392" s="103"/>
      <c r="C392" s="97"/>
      <c r="D392" s="97"/>
      <c r="E392" s="97"/>
      <c r="F392" s="29"/>
      <c r="G392" s="29"/>
      <c r="H392" s="36"/>
      <c r="I392" s="97"/>
      <c r="J392" s="102"/>
      <c r="K392" s="110"/>
      <c r="L392" s="104"/>
      <c r="M392" s="104"/>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33"/>
      <c r="AN392" s="105"/>
      <c r="AO392" s="105"/>
      <c r="AP392" s="18"/>
      <c r="AQ392" s="18"/>
      <c r="AR392" s="126"/>
      <c r="AS392" s="126"/>
      <c r="AT392" s="126"/>
      <c r="AU392" s="127"/>
      <c r="AV392" s="128"/>
      <c r="AW392" s="52"/>
      <c r="AX392" s="52"/>
      <c r="AY392" s="52"/>
      <c r="AZ392" s="52"/>
      <c r="BA392" s="52"/>
      <c r="BB392" s="52"/>
    </row>
    <row r="393" hidden="1">
      <c r="A393" s="25" t="s">
        <v>2918</v>
      </c>
      <c r="B393" s="103"/>
      <c r="C393" s="97"/>
      <c r="D393" s="97"/>
      <c r="E393" s="97"/>
      <c r="F393" s="29"/>
      <c r="G393" s="29"/>
      <c r="H393" s="36"/>
      <c r="I393" s="97"/>
      <c r="J393" s="102"/>
      <c r="K393" s="110"/>
      <c r="L393" s="104"/>
      <c r="M393" s="104"/>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33"/>
      <c r="AN393" s="105"/>
      <c r="AO393" s="105"/>
      <c r="AP393" s="18"/>
      <c r="AQ393" s="18"/>
      <c r="AR393" s="126"/>
      <c r="AS393" s="126"/>
      <c r="AT393" s="126"/>
      <c r="AU393" s="127"/>
      <c r="AV393" s="128"/>
      <c r="AW393" s="52"/>
      <c r="AX393" s="52"/>
      <c r="AY393" s="52"/>
      <c r="AZ393" s="52"/>
      <c r="BA393" s="52"/>
      <c r="BB393" s="52"/>
    </row>
    <row r="394" hidden="1">
      <c r="A394" s="25" t="s">
        <v>2919</v>
      </c>
      <c r="B394" s="130"/>
      <c r="C394" s="97"/>
      <c r="D394" s="97"/>
      <c r="E394" s="97"/>
      <c r="F394" s="29"/>
      <c r="G394" s="29"/>
      <c r="H394" s="36"/>
      <c r="I394" s="97"/>
      <c r="J394" s="102"/>
      <c r="K394" s="110"/>
      <c r="L394" s="104"/>
      <c r="M394" s="104"/>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33"/>
      <c r="AN394" s="105"/>
      <c r="AO394" s="105"/>
      <c r="AP394" s="18"/>
      <c r="AQ394" s="18"/>
      <c r="AR394" s="126"/>
      <c r="AS394" s="126"/>
      <c r="AT394" s="126"/>
      <c r="AU394" s="127"/>
      <c r="AV394" s="128"/>
      <c r="AW394" s="52"/>
      <c r="AX394" s="52"/>
      <c r="AY394" s="52"/>
      <c r="AZ394" s="52"/>
      <c r="BA394" s="52"/>
      <c r="BB394" s="52"/>
    </row>
    <row r="395" hidden="1">
      <c r="A395" s="25" t="s">
        <v>2920</v>
      </c>
      <c r="B395" s="131"/>
      <c r="C395" s="97"/>
      <c r="D395" s="97"/>
      <c r="E395" s="97"/>
      <c r="F395" s="29"/>
      <c r="G395" s="29"/>
      <c r="H395" s="36"/>
      <c r="I395" s="97"/>
      <c r="J395" s="102"/>
      <c r="K395" s="110"/>
      <c r="L395" s="104"/>
      <c r="M395" s="104"/>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33"/>
      <c r="AN395" s="105"/>
      <c r="AO395" s="105"/>
      <c r="AP395" s="18"/>
      <c r="AQ395" s="18"/>
      <c r="AR395" s="126"/>
      <c r="AS395" s="126"/>
      <c r="AT395" s="126"/>
      <c r="AU395" s="127"/>
      <c r="AV395" s="128"/>
      <c r="AW395" s="22"/>
      <c r="AX395" s="52"/>
      <c r="AY395" s="52"/>
      <c r="AZ395" s="52"/>
      <c r="BA395" s="52"/>
      <c r="BB395" s="52"/>
    </row>
    <row r="396" hidden="1">
      <c r="A396" s="25" t="s">
        <v>2921</v>
      </c>
      <c r="B396" s="132"/>
      <c r="C396" s="97"/>
      <c r="D396" s="97"/>
      <c r="E396" s="97"/>
      <c r="F396" s="29"/>
      <c r="G396" s="29"/>
      <c r="H396" s="36"/>
      <c r="I396" s="97"/>
      <c r="J396" s="102"/>
      <c r="K396" s="110"/>
      <c r="L396" s="104"/>
      <c r="M396" s="104"/>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33"/>
      <c r="AN396" s="105"/>
      <c r="AO396" s="105"/>
      <c r="AP396" s="18"/>
      <c r="AQ396" s="18"/>
      <c r="AR396" s="126"/>
      <c r="AS396" s="126"/>
      <c r="AT396" s="126"/>
      <c r="AU396" s="127"/>
      <c r="AV396" s="128"/>
      <c r="AW396" s="22"/>
      <c r="AX396" s="52"/>
      <c r="AY396" s="52"/>
      <c r="AZ396" s="52"/>
      <c r="BA396" s="52"/>
      <c r="BB396" s="52"/>
    </row>
    <row r="397">
      <c r="A397" s="25"/>
      <c r="B397" s="103"/>
      <c r="C397" s="97"/>
      <c r="D397" s="97"/>
      <c r="E397" s="97"/>
      <c r="F397" s="29"/>
      <c r="G397" s="29"/>
      <c r="H397" s="36"/>
      <c r="I397" s="97"/>
      <c r="J397" s="102"/>
      <c r="K397" s="110"/>
      <c r="L397" s="104"/>
      <c r="M397" s="104"/>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33"/>
      <c r="AN397" s="105"/>
      <c r="AO397" s="105"/>
      <c r="AP397" s="18"/>
      <c r="AQ397" s="18"/>
      <c r="AR397" s="126"/>
      <c r="AS397" s="126"/>
      <c r="AT397" s="126"/>
      <c r="AU397" s="127"/>
      <c r="AV397" s="128"/>
      <c r="AW397" s="22"/>
      <c r="AX397" s="52"/>
      <c r="AY397" s="52"/>
      <c r="AZ397" s="52"/>
      <c r="BA397" s="52"/>
      <c r="BB397" s="52"/>
    </row>
    <row r="398">
      <c r="A398" s="25"/>
      <c r="B398" s="103"/>
      <c r="C398" s="97"/>
      <c r="D398" s="97"/>
      <c r="E398" s="97"/>
      <c r="F398" s="29"/>
      <c r="G398" s="29"/>
      <c r="H398" s="36"/>
      <c r="I398" s="97"/>
      <c r="J398" s="102"/>
      <c r="K398" s="110"/>
      <c r="L398" s="104"/>
      <c r="M398" s="104"/>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33"/>
      <c r="AN398" s="105"/>
      <c r="AO398" s="105"/>
      <c r="AP398" s="18"/>
      <c r="AQ398" s="18"/>
      <c r="AR398" s="126"/>
      <c r="AS398" s="126"/>
      <c r="AT398" s="126"/>
      <c r="AU398" s="127"/>
      <c r="AV398" s="128"/>
      <c r="AW398" s="22"/>
      <c r="AX398" s="52"/>
      <c r="AY398" s="52"/>
      <c r="AZ398" s="52"/>
      <c r="BA398" s="52"/>
      <c r="BB398" s="52"/>
    </row>
    <row r="399">
      <c r="A399" s="25"/>
      <c r="B399" s="103"/>
      <c r="C399" s="97"/>
      <c r="D399" s="97"/>
      <c r="E399" s="97"/>
      <c r="F399" s="29"/>
      <c r="G399" s="29"/>
      <c r="H399" s="36"/>
      <c r="I399" s="97"/>
      <c r="J399" s="102"/>
      <c r="K399" s="110"/>
      <c r="L399" s="104"/>
      <c r="M399" s="104"/>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33"/>
      <c r="AN399" s="105"/>
      <c r="AO399" s="105"/>
      <c r="AP399" s="18"/>
      <c r="AQ399" s="18"/>
      <c r="AR399" s="126"/>
      <c r="AS399" s="126"/>
      <c r="AT399" s="126"/>
      <c r="AU399" s="127"/>
      <c r="AV399" s="128"/>
      <c r="AW399" s="22"/>
      <c r="AX399" s="52"/>
      <c r="AY399" s="52"/>
      <c r="AZ399" s="52"/>
      <c r="BA399" s="52"/>
      <c r="BB399" s="52"/>
    </row>
    <row r="400">
      <c r="A400" s="25"/>
      <c r="B400" s="103"/>
      <c r="C400" s="97"/>
      <c r="D400" s="97"/>
      <c r="E400" s="97"/>
      <c r="F400" s="29"/>
      <c r="G400" s="29"/>
      <c r="H400" s="36"/>
      <c r="I400" s="97"/>
      <c r="J400" s="102"/>
      <c r="K400" s="110"/>
      <c r="L400" s="104"/>
      <c r="M400" s="104"/>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33"/>
      <c r="AN400" s="105"/>
      <c r="AO400" s="105"/>
      <c r="AP400" s="18"/>
      <c r="AQ400" s="18"/>
      <c r="AR400" s="126"/>
      <c r="AS400" s="126"/>
      <c r="AT400" s="126"/>
      <c r="AU400" s="127"/>
      <c r="AV400" s="128"/>
      <c r="AW400" s="22"/>
      <c r="AX400" s="52"/>
      <c r="AY400" s="52"/>
      <c r="AZ400" s="52"/>
      <c r="BA400" s="52"/>
      <c r="BB400" s="52"/>
    </row>
    <row r="401">
      <c r="A401" s="25"/>
      <c r="B401" s="103"/>
      <c r="C401" s="97"/>
      <c r="D401" s="97"/>
      <c r="E401" s="97"/>
      <c r="F401" s="29"/>
      <c r="G401" s="29"/>
      <c r="H401" s="36"/>
      <c r="I401" s="97"/>
      <c r="J401" s="102"/>
      <c r="K401" s="110"/>
      <c r="L401" s="104"/>
      <c r="M401" s="104"/>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33"/>
      <c r="AN401" s="105"/>
      <c r="AO401" s="105"/>
      <c r="AP401" s="18"/>
      <c r="AQ401" s="18"/>
      <c r="AR401" s="126"/>
      <c r="AS401" s="126"/>
      <c r="AT401" s="126"/>
      <c r="AU401" s="127"/>
      <c r="AV401" s="128"/>
      <c r="AW401" s="22"/>
      <c r="AX401" s="52"/>
      <c r="AY401" s="52"/>
      <c r="AZ401" s="52"/>
      <c r="BA401" s="52"/>
      <c r="BB401" s="52"/>
    </row>
    <row r="402">
      <c r="A402" s="25"/>
      <c r="B402" s="103"/>
      <c r="C402" s="97"/>
      <c r="D402" s="97"/>
      <c r="E402" s="97"/>
      <c r="F402" s="29"/>
      <c r="G402" s="29"/>
      <c r="H402" s="36"/>
      <c r="I402" s="97"/>
      <c r="J402" s="102"/>
      <c r="K402" s="110"/>
      <c r="L402" s="104"/>
      <c r="M402" s="104"/>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33"/>
      <c r="AN402" s="105"/>
      <c r="AO402" s="105"/>
      <c r="AP402" s="18"/>
      <c r="AQ402" s="18"/>
      <c r="AR402" s="126"/>
      <c r="AS402" s="126"/>
      <c r="AT402" s="126"/>
      <c r="AU402" s="127"/>
      <c r="AV402" s="128"/>
      <c r="AW402" s="22"/>
      <c r="AX402" s="52"/>
      <c r="AY402" s="52"/>
      <c r="AZ402" s="52"/>
      <c r="BA402" s="52"/>
      <c r="BB402" s="52"/>
    </row>
    <row r="403">
      <c r="A403" s="25"/>
      <c r="B403" s="103"/>
      <c r="C403" s="97"/>
      <c r="D403" s="97"/>
      <c r="E403" s="97"/>
      <c r="F403" s="29"/>
      <c r="G403" s="29"/>
      <c r="H403" s="36"/>
      <c r="I403" s="97"/>
      <c r="J403" s="102"/>
      <c r="K403" s="110"/>
      <c r="L403" s="104"/>
      <c r="M403" s="104"/>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33"/>
      <c r="AN403" s="105"/>
      <c r="AO403" s="105"/>
      <c r="AP403" s="18"/>
      <c r="AQ403" s="18"/>
      <c r="AR403" s="126"/>
      <c r="AS403" s="126"/>
      <c r="AT403" s="126"/>
      <c r="AU403" s="127"/>
      <c r="AV403" s="128"/>
      <c r="AW403" s="22"/>
      <c r="AX403" s="52"/>
      <c r="AY403" s="52"/>
      <c r="AZ403" s="52"/>
      <c r="BA403" s="52"/>
      <c r="BB403" s="52"/>
    </row>
    <row r="404">
      <c r="A404" s="25"/>
      <c r="B404" s="103"/>
      <c r="C404" s="97"/>
      <c r="D404" s="97"/>
      <c r="E404" s="97"/>
      <c r="F404" s="29"/>
      <c r="G404" s="29"/>
      <c r="H404" s="36"/>
      <c r="I404" s="97"/>
      <c r="J404" s="102"/>
      <c r="K404" s="110"/>
      <c r="L404" s="104"/>
      <c r="M404" s="104"/>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33"/>
      <c r="AN404" s="105"/>
      <c r="AO404" s="105"/>
      <c r="AP404" s="18"/>
      <c r="AQ404" s="18"/>
      <c r="AR404" s="126"/>
      <c r="AS404" s="126"/>
      <c r="AT404" s="126"/>
      <c r="AU404" s="127"/>
      <c r="AV404" s="128"/>
      <c r="AW404" s="22"/>
      <c r="AX404" s="52"/>
      <c r="AY404" s="52"/>
      <c r="AZ404" s="52"/>
      <c r="BA404" s="52"/>
      <c r="BB404" s="52"/>
    </row>
    <row r="405">
      <c r="A405" s="25"/>
      <c r="B405" s="103"/>
      <c r="C405" s="97"/>
      <c r="D405" s="97"/>
      <c r="E405" s="97"/>
      <c r="F405" s="29"/>
      <c r="G405" s="29"/>
      <c r="H405" s="36"/>
      <c r="I405" s="97"/>
      <c r="J405" s="102"/>
      <c r="K405" s="110"/>
      <c r="L405" s="104"/>
      <c r="M405" s="104"/>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33"/>
      <c r="AN405" s="105"/>
      <c r="AO405" s="105"/>
      <c r="AP405" s="18"/>
      <c r="AQ405" s="18"/>
      <c r="AR405" s="126"/>
      <c r="AS405" s="126"/>
      <c r="AT405" s="126"/>
      <c r="AU405" s="127"/>
      <c r="AV405" s="128"/>
      <c r="AW405" s="22"/>
      <c r="AX405" s="52"/>
      <c r="AY405" s="52"/>
      <c r="AZ405" s="52"/>
      <c r="BA405" s="52"/>
      <c r="BB405" s="52"/>
    </row>
    <row r="406">
      <c r="A406" s="25"/>
      <c r="B406" s="103"/>
      <c r="C406" s="97"/>
      <c r="D406" s="97"/>
      <c r="E406" s="97"/>
      <c r="F406" s="29"/>
      <c r="G406" s="29"/>
      <c r="H406" s="36"/>
      <c r="I406" s="97"/>
      <c r="J406" s="102"/>
      <c r="K406" s="110"/>
      <c r="L406" s="104"/>
      <c r="M406" s="104"/>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33"/>
      <c r="AN406" s="105"/>
      <c r="AO406" s="105"/>
      <c r="AP406" s="18"/>
      <c r="AQ406" s="18"/>
      <c r="AR406" s="126"/>
      <c r="AS406" s="126"/>
      <c r="AT406" s="126"/>
      <c r="AU406" s="127"/>
      <c r="AV406" s="128"/>
      <c r="AW406" s="22"/>
      <c r="AX406" s="52"/>
      <c r="AY406" s="52"/>
      <c r="AZ406" s="52"/>
      <c r="BA406" s="52"/>
      <c r="BB406" s="52"/>
    </row>
    <row r="407">
      <c r="A407" s="25"/>
      <c r="B407" s="103"/>
      <c r="C407" s="97"/>
      <c r="D407" s="97"/>
      <c r="E407" s="97"/>
      <c r="F407" s="29"/>
      <c r="G407" s="29"/>
      <c r="H407" s="36"/>
      <c r="I407" s="97"/>
      <c r="J407" s="102"/>
      <c r="K407" s="110"/>
      <c r="L407" s="104"/>
      <c r="M407" s="104"/>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33"/>
      <c r="AN407" s="105"/>
      <c r="AO407" s="105"/>
      <c r="AP407" s="18"/>
      <c r="AQ407" s="18"/>
      <c r="AR407" s="126"/>
      <c r="AS407" s="126"/>
      <c r="AT407" s="126"/>
      <c r="AU407" s="127"/>
      <c r="AV407" s="128"/>
      <c r="AW407" s="22"/>
      <c r="AX407" s="52"/>
      <c r="AY407" s="52"/>
      <c r="AZ407" s="52"/>
      <c r="BA407" s="52"/>
      <c r="BB407" s="52"/>
    </row>
    <row r="408">
      <c r="A408" s="25"/>
      <c r="B408" s="103"/>
      <c r="C408" s="97"/>
      <c r="D408" s="97"/>
      <c r="E408" s="97"/>
      <c r="F408" s="29"/>
      <c r="G408" s="29"/>
      <c r="H408" s="36"/>
      <c r="I408" s="97"/>
      <c r="J408" s="102"/>
      <c r="K408" s="110"/>
      <c r="L408" s="104"/>
      <c r="M408" s="104"/>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33"/>
      <c r="AN408" s="105"/>
      <c r="AO408" s="105"/>
      <c r="AP408" s="18"/>
      <c r="AQ408" s="18"/>
      <c r="AR408" s="126"/>
      <c r="AS408" s="126"/>
      <c r="AT408" s="126"/>
      <c r="AU408" s="127"/>
      <c r="AV408" s="128"/>
      <c r="AW408" s="22"/>
      <c r="AX408" s="52"/>
      <c r="AY408" s="52"/>
      <c r="AZ408" s="52"/>
      <c r="BA408" s="52"/>
      <c r="BB408" s="52"/>
    </row>
    <row r="409">
      <c r="A409" s="25"/>
      <c r="B409" s="103"/>
      <c r="C409" s="97"/>
      <c r="D409" s="97"/>
      <c r="E409" s="97"/>
      <c r="F409" s="29"/>
      <c r="G409" s="29"/>
      <c r="H409" s="36"/>
      <c r="I409" s="97"/>
      <c r="J409" s="102"/>
      <c r="K409" s="110"/>
      <c r="L409" s="104"/>
      <c r="M409" s="104"/>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33"/>
      <c r="AN409" s="105"/>
      <c r="AO409" s="105"/>
      <c r="AP409" s="18"/>
      <c r="AQ409" s="18"/>
      <c r="AR409" s="126"/>
      <c r="AS409" s="126"/>
      <c r="AT409" s="126"/>
      <c r="AU409" s="127"/>
      <c r="AV409" s="128"/>
      <c r="AW409" s="22"/>
      <c r="AX409" s="52"/>
      <c r="AY409" s="52"/>
      <c r="AZ409" s="52"/>
      <c r="BA409" s="52"/>
      <c r="BB409" s="52"/>
    </row>
    <row r="410">
      <c r="A410" s="25"/>
      <c r="B410" s="103"/>
      <c r="C410" s="97"/>
      <c r="D410" s="97"/>
      <c r="E410" s="97"/>
      <c r="F410" s="29"/>
      <c r="G410" s="29"/>
      <c r="H410" s="36"/>
      <c r="I410" s="97"/>
      <c r="J410" s="102"/>
      <c r="K410" s="110"/>
      <c r="L410" s="104"/>
      <c r="M410" s="104"/>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33"/>
      <c r="AN410" s="105"/>
      <c r="AO410" s="105"/>
      <c r="AP410" s="18"/>
      <c r="AQ410" s="18"/>
      <c r="AR410" s="126"/>
      <c r="AS410" s="126"/>
      <c r="AT410" s="126"/>
      <c r="AU410" s="127"/>
      <c r="AV410" s="128"/>
      <c r="AW410" s="22"/>
      <c r="AX410" s="52"/>
      <c r="AY410" s="52"/>
      <c r="AZ410" s="52"/>
      <c r="BA410" s="52"/>
      <c r="BB410" s="52"/>
    </row>
    <row r="411">
      <c r="A411" s="25"/>
      <c r="B411" s="103"/>
      <c r="C411" s="97"/>
      <c r="D411" s="97"/>
      <c r="E411" s="97"/>
      <c r="F411" s="29"/>
      <c r="G411" s="29"/>
      <c r="H411" s="36"/>
      <c r="I411" s="97"/>
      <c r="J411" s="102"/>
      <c r="K411" s="110"/>
      <c r="L411" s="104"/>
      <c r="M411" s="104"/>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33"/>
      <c r="AN411" s="105"/>
      <c r="AO411" s="105"/>
      <c r="AP411" s="18"/>
      <c r="AQ411" s="18"/>
      <c r="AR411" s="126"/>
      <c r="AS411" s="126"/>
      <c r="AT411" s="126"/>
      <c r="AU411" s="127"/>
      <c r="AV411" s="128"/>
      <c r="AW411" s="22"/>
      <c r="AX411" s="52"/>
      <c r="AY411" s="52"/>
      <c r="AZ411" s="52"/>
      <c r="BA411" s="52"/>
      <c r="BB411" s="52"/>
    </row>
    <row r="412">
      <c r="A412" s="25"/>
      <c r="B412" s="103"/>
      <c r="C412" s="97"/>
      <c r="D412" s="97"/>
      <c r="E412" s="97"/>
      <c r="F412" s="29"/>
      <c r="G412" s="29"/>
      <c r="H412" s="36"/>
      <c r="I412" s="97"/>
      <c r="J412" s="102"/>
      <c r="K412" s="110"/>
      <c r="L412" s="104"/>
      <c r="M412" s="104"/>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33"/>
      <c r="AN412" s="105"/>
      <c r="AO412" s="105"/>
      <c r="AP412" s="18"/>
      <c r="AQ412" s="18"/>
      <c r="AR412" s="126"/>
      <c r="AS412" s="126"/>
      <c r="AT412" s="126"/>
      <c r="AU412" s="127"/>
      <c r="AV412" s="128"/>
      <c r="AW412" s="22"/>
      <c r="AX412" s="52"/>
      <c r="AY412" s="52"/>
      <c r="AZ412" s="52"/>
      <c r="BA412" s="52"/>
      <c r="BB412" s="52"/>
    </row>
    <row r="413">
      <c r="A413" s="25"/>
      <c r="B413" s="103"/>
      <c r="C413" s="97"/>
      <c r="D413" s="97"/>
      <c r="E413" s="97"/>
      <c r="F413" s="29"/>
      <c r="G413" s="29"/>
      <c r="H413" s="36"/>
      <c r="I413" s="97"/>
      <c r="J413" s="102"/>
      <c r="K413" s="110"/>
      <c r="L413" s="104"/>
      <c r="M413" s="104"/>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33"/>
      <c r="AN413" s="105"/>
      <c r="AO413" s="105"/>
      <c r="AP413" s="18"/>
      <c r="AQ413" s="18"/>
      <c r="AR413" s="126"/>
      <c r="AS413" s="126"/>
      <c r="AT413" s="126"/>
      <c r="AU413" s="127"/>
      <c r="AV413" s="128"/>
      <c r="AW413" s="22"/>
      <c r="AX413" s="52"/>
      <c r="AY413" s="52"/>
      <c r="AZ413" s="52"/>
      <c r="BA413" s="52"/>
      <c r="BB413" s="52"/>
    </row>
    <row r="414">
      <c r="A414" s="25"/>
      <c r="B414" s="103"/>
      <c r="C414" s="97"/>
      <c r="D414" s="97"/>
      <c r="E414" s="97"/>
      <c r="F414" s="29"/>
      <c r="G414" s="29"/>
      <c r="H414" s="36"/>
      <c r="I414" s="97"/>
      <c r="J414" s="102"/>
      <c r="K414" s="110"/>
      <c r="L414" s="104"/>
      <c r="M414" s="104"/>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33"/>
      <c r="AN414" s="105"/>
      <c r="AO414" s="105"/>
      <c r="AP414" s="18"/>
      <c r="AQ414" s="18"/>
      <c r="AR414" s="126"/>
      <c r="AS414" s="126"/>
      <c r="AT414" s="126"/>
      <c r="AU414" s="127"/>
      <c r="AV414" s="128"/>
      <c r="AW414" s="22"/>
      <c r="AX414" s="52"/>
      <c r="AY414" s="52"/>
      <c r="AZ414" s="52"/>
      <c r="BA414" s="52"/>
      <c r="BB414" s="52"/>
    </row>
    <row r="415">
      <c r="A415" s="25"/>
      <c r="B415" s="103"/>
      <c r="C415" s="97"/>
      <c r="D415" s="97"/>
      <c r="E415" s="97"/>
      <c r="F415" s="29"/>
      <c r="G415" s="29"/>
      <c r="H415" s="36"/>
      <c r="I415" s="97"/>
      <c r="J415" s="102"/>
      <c r="K415" s="110"/>
      <c r="L415" s="104"/>
      <c r="M415" s="104"/>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33"/>
      <c r="AN415" s="105"/>
      <c r="AO415" s="105"/>
      <c r="AP415" s="18"/>
      <c r="AQ415" s="18"/>
      <c r="AR415" s="126"/>
      <c r="AS415" s="126"/>
      <c r="AT415" s="126"/>
      <c r="AU415" s="127"/>
      <c r="AV415" s="128"/>
      <c r="AW415" s="22"/>
      <c r="AX415" s="52"/>
      <c r="AY415" s="52"/>
      <c r="AZ415" s="52"/>
      <c r="BA415" s="52"/>
      <c r="BB415" s="52"/>
    </row>
    <row r="416">
      <c r="A416" s="25"/>
      <c r="B416" s="103"/>
      <c r="C416" s="97"/>
      <c r="D416" s="97"/>
      <c r="E416" s="97"/>
      <c r="F416" s="29"/>
      <c r="G416" s="29"/>
      <c r="H416" s="36"/>
      <c r="I416" s="97"/>
      <c r="J416" s="102"/>
      <c r="K416" s="110"/>
      <c r="L416" s="104"/>
      <c r="M416" s="104"/>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33"/>
      <c r="AN416" s="105"/>
      <c r="AO416" s="105"/>
      <c r="AP416" s="18"/>
      <c r="AQ416" s="18"/>
      <c r="AR416" s="126"/>
      <c r="AS416" s="126"/>
      <c r="AT416" s="126"/>
      <c r="AU416" s="127"/>
      <c r="AV416" s="128"/>
      <c r="AW416" s="22"/>
      <c r="AX416" s="52"/>
      <c r="AY416" s="52"/>
      <c r="AZ416" s="52"/>
      <c r="BA416" s="52"/>
      <c r="BB416" s="52"/>
    </row>
    <row r="417">
      <c r="A417" s="25"/>
      <c r="B417" s="103"/>
      <c r="C417" s="97"/>
      <c r="D417" s="97"/>
      <c r="E417" s="97"/>
      <c r="F417" s="29"/>
      <c r="G417" s="29"/>
      <c r="H417" s="36"/>
      <c r="I417" s="97"/>
      <c r="J417" s="102"/>
      <c r="K417" s="110"/>
      <c r="L417" s="104"/>
      <c r="M417" s="104"/>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33"/>
      <c r="AN417" s="105"/>
      <c r="AO417" s="105"/>
      <c r="AP417" s="18"/>
      <c r="AQ417" s="18"/>
      <c r="AR417" s="126"/>
      <c r="AS417" s="126"/>
      <c r="AT417" s="126"/>
      <c r="AU417" s="127"/>
      <c r="AV417" s="128"/>
      <c r="AW417" s="22"/>
      <c r="AX417" s="52"/>
      <c r="AY417" s="52"/>
      <c r="AZ417" s="52"/>
      <c r="BA417" s="52"/>
      <c r="BB417" s="52"/>
    </row>
    <row r="418">
      <c r="A418" s="25"/>
      <c r="B418" s="103"/>
      <c r="C418" s="97"/>
      <c r="D418" s="97"/>
      <c r="E418" s="97"/>
      <c r="F418" s="29"/>
      <c r="G418" s="29"/>
      <c r="H418" s="36"/>
      <c r="I418" s="97"/>
      <c r="J418" s="102"/>
      <c r="K418" s="110"/>
      <c r="L418" s="104"/>
      <c r="M418" s="104"/>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33"/>
      <c r="AN418" s="105"/>
      <c r="AO418" s="105"/>
      <c r="AP418" s="18"/>
      <c r="AQ418" s="18"/>
      <c r="AR418" s="126"/>
      <c r="AS418" s="126"/>
      <c r="AT418" s="126"/>
      <c r="AU418" s="127"/>
      <c r="AV418" s="128"/>
      <c r="AW418" s="22"/>
      <c r="AX418" s="52"/>
      <c r="AY418" s="52"/>
      <c r="AZ418" s="52"/>
      <c r="BA418" s="52"/>
      <c r="BB418" s="52"/>
    </row>
    <row r="419">
      <c r="A419" s="25"/>
      <c r="B419" s="103"/>
      <c r="C419" s="97"/>
      <c r="D419" s="97"/>
      <c r="E419" s="97"/>
      <c r="F419" s="29"/>
      <c r="G419" s="29"/>
      <c r="H419" s="36"/>
      <c r="I419" s="97"/>
      <c r="J419" s="102"/>
      <c r="K419" s="110"/>
      <c r="L419" s="104"/>
      <c r="M419" s="104"/>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33"/>
      <c r="AN419" s="105"/>
      <c r="AO419" s="105"/>
      <c r="AP419" s="18"/>
      <c r="AQ419" s="18"/>
      <c r="AR419" s="126"/>
      <c r="AS419" s="126"/>
      <c r="AT419" s="126"/>
      <c r="AU419" s="127"/>
      <c r="AV419" s="128"/>
      <c r="AW419" s="22"/>
      <c r="AX419" s="52"/>
      <c r="AY419" s="52"/>
      <c r="AZ419" s="52"/>
      <c r="BA419" s="52"/>
      <c r="BB419" s="52"/>
    </row>
    <row r="420">
      <c r="A420" s="25"/>
      <c r="B420" s="103"/>
      <c r="C420" s="97"/>
      <c r="D420" s="97"/>
      <c r="E420" s="97"/>
      <c r="F420" s="29"/>
      <c r="G420" s="29"/>
      <c r="H420" s="36"/>
      <c r="I420" s="97"/>
      <c r="J420" s="102"/>
      <c r="K420" s="110"/>
      <c r="L420" s="104"/>
      <c r="M420" s="104"/>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33"/>
      <c r="AN420" s="105"/>
      <c r="AO420" s="105"/>
      <c r="AP420" s="18"/>
      <c r="AQ420" s="18"/>
      <c r="AR420" s="126"/>
      <c r="AS420" s="126"/>
      <c r="AT420" s="126"/>
      <c r="AU420" s="127"/>
      <c r="AV420" s="128"/>
      <c r="AW420" s="22"/>
      <c r="AX420" s="52"/>
      <c r="AY420" s="52"/>
      <c r="AZ420" s="52"/>
      <c r="BA420" s="52"/>
      <c r="BB420" s="52"/>
    </row>
    <row r="421">
      <c r="A421" s="25"/>
      <c r="B421" s="103"/>
      <c r="C421" s="97"/>
      <c r="D421" s="97"/>
      <c r="E421" s="97"/>
      <c r="F421" s="29"/>
      <c r="G421" s="29"/>
      <c r="H421" s="36"/>
      <c r="I421" s="97"/>
      <c r="J421" s="102"/>
      <c r="K421" s="110"/>
      <c r="L421" s="104"/>
      <c r="M421" s="104"/>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33"/>
      <c r="AN421" s="105"/>
      <c r="AO421" s="105"/>
      <c r="AP421" s="18"/>
      <c r="AQ421" s="18"/>
      <c r="AR421" s="126"/>
      <c r="AS421" s="126"/>
      <c r="AT421" s="126"/>
      <c r="AU421" s="127"/>
      <c r="AV421" s="128"/>
      <c r="AW421" s="22"/>
      <c r="AX421" s="52"/>
      <c r="AY421" s="52"/>
      <c r="AZ421" s="52"/>
      <c r="BA421" s="52"/>
      <c r="BB421" s="52"/>
    </row>
    <row r="422">
      <c r="A422" s="25"/>
      <c r="B422" s="103"/>
      <c r="C422" s="97"/>
      <c r="D422" s="97"/>
      <c r="E422" s="97"/>
      <c r="F422" s="29"/>
      <c r="G422" s="29"/>
      <c r="H422" s="36"/>
      <c r="I422" s="97"/>
      <c r="J422" s="102"/>
      <c r="K422" s="110"/>
      <c r="L422" s="104"/>
      <c r="M422" s="104"/>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33"/>
      <c r="AN422" s="105"/>
      <c r="AO422" s="105"/>
      <c r="AP422" s="18"/>
      <c r="AQ422" s="18"/>
      <c r="AR422" s="126"/>
      <c r="AS422" s="126"/>
      <c r="AT422" s="126"/>
      <c r="AU422" s="127"/>
      <c r="AV422" s="128"/>
      <c r="AW422" s="22"/>
      <c r="AX422" s="52"/>
      <c r="AY422" s="52"/>
      <c r="AZ422" s="52"/>
      <c r="BA422" s="52"/>
      <c r="BB422" s="52"/>
    </row>
    <row r="423">
      <c r="A423" s="25"/>
      <c r="B423" s="103"/>
      <c r="C423" s="97"/>
      <c r="D423" s="97"/>
      <c r="E423" s="97"/>
      <c r="F423" s="29"/>
      <c r="G423" s="29"/>
      <c r="H423" s="36"/>
      <c r="I423" s="97"/>
      <c r="J423" s="102"/>
      <c r="K423" s="110"/>
      <c r="L423" s="104"/>
      <c r="M423" s="104"/>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33"/>
      <c r="AN423" s="105"/>
      <c r="AO423" s="105"/>
      <c r="AP423" s="18"/>
      <c r="AQ423" s="18"/>
      <c r="AR423" s="126"/>
      <c r="AS423" s="126"/>
      <c r="AT423" s="126"/>
      <c r="AU423" s="127"/>
      <c r="AV423" s="128"/>
      <c r="AW423" s="22"/>
      <c r="AX423" s="52"/>
      <c r="AY423" s="52"/>
      <c r="AZ423" s="52"/>
      <c r="BA423" s="52"/>
      <c r="BB423" s="52"/>
    </row>
    <row r="424">
      <c r="A424" s="25"/>
      <c r="B424" s="103"/>
      <c r="C424" s="97"/>
      <c r="D424" s="97"/>
      <c r="E424" s="97"/>
      <c r="F424" s="29"/>
      <c r="G424" s="29"/>
      <c r="H424" s="36"/>
      <c r="I424" s="97"/>
      <c r="J424" s="102"/>
      <c r="K424" s="110"/>
      <c r="L424" s="104"/>
      <c r="M424" s="104"/>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33"/>
      <c r="AN424" s="105"/>
      <c r="AO424" s="105"/>
      <c r="AP424" s="18"/>
      <c r="AQ424" s="18"/>
      <c r="AR424" s="126"/>
      <c r="AS424" s="126"/>
      <c r="AT424" s="126"/>
      <c r="AU424" s="127"/>
      <c r="AV424" s="128"/>
      <c r="AW424" s="22"/>
      <c r="AX424" s="52"/>
      <c r="AY424" s="52"/>
      <c r="AZ424" s="52"/>
      <c r="BA424" s="52"/>
      <c r="BB424" s="52"/>
    </row>
    <row r="425">
      <c r="A425" s="25"/>
      <c r="B425" s="103"/>
      <c r="C425" s="97"/>
      <c r="D425" s="97"/>
      <c r="E425" s="97"/>
      <c r="F425" s="29"/>
      <c r="G425" s="29"/>
      <c r="H425" s="36"/>
      <c r="I425" s="97"/>
      <c r="J425" s="102"/>
      <c r="K425" s="110"/>
      <c r="L425" s="104"/>
      <c r="M425" s="104"/>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33"/>
      <c r="AN425" s="105"/>
      <c r="AO425" s="105"/>
      <c r="AP425" s="18"/>
      <c r="AQ425" s="18"/>
      <c r="AR425" s="126"/>
      <c r="AS425" s="126"/>
      <c r="AT425" s="126"/>
      <c r="AU425" s="127"/>
      <c r="AV425" s="128"/>
      <c r="AW425" s="22"/>
      <c r="AX425" s="52"/>
      <c r="AY425" s="52"/>
      <c r="AZ425" s="52"/>
      <c r="BA425" s="52"/>
      <c r="BB425" s="52"/>
    </row>
    <row r="426">
      <c r="A426" s="25"/>
      <c r="B426" s="103"/>
      <c r="C426" s="97"/>
      <c r="D426" s="97"/>
      <c r="E426" s="97"/>
      <c r="F426" s="29"/>
      <c r="G426" s="29"/>
      <c r="H426" s="36"/>
      <c r="I426" s="97"/>
      <c r="J426" s="102"/>
      <c r="K426" s="110"/>
      <c r="L426" s="104"/>
      <c r="M426" s="104"/>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33"/>
      <c r="AN426" s="105"/>
      <c r="AO426" s="105"/>
      <c r="AP426" s="18"/>
      <c r="AQ426" s="18"/>
      <c r="AR426" s="126"/>
      <c r="AS426" s="126"/>
      <c r="AT426" s="126"/>
      <c r="AU426" s="127"/>
      <c r="AV426" s="128"/>
      <c r="AW426" s="22"/>
      <c r="AX426" s="52"/>
      <c r="AY426" s="52"/>
      <c r="AZ426" s="52"/>
      <c r="BA426" s="52"/>
      <c r="BB426" s="52"/>
    </row>
    <row r="427">
      <c r="A427" s="25"/>
      <c r="B427" s="103"/>
      <c r="C427" s="97"/>
      <c r="D427" s="97"/>
      <c r="E427" s="97"/>
      <c r="F427" s="29"/>
      <c r="G427" s="29"/>
      <c r="H427" s="36"/>
      <c r="I427" s="97"/>
      <c r="J427" s="102"/>
      <c r="K427" s="110"/>
      <c r="L427" s="104"/>
      <c r="M427" s="104"/>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33"/>
      <c r="AN427" s="105"/>
      <c r="AO427" s="105"/>
      <c r="AP427" s="18"/>
      <c r="AQ427" s="18"/>
      <c r="AR427" s="126"/>
      <c r="AS427" s="126"/>
      <c r="AT427" s="126"/>
      <c r="AU427" s="127"/>
      <c r="AV427" s="128"/>
      <c r="AW427" s="22"/>
      <c r="AX427" s="52"/>
      <c r="AY427" s="52"/>
      <c r="AZ427" s="52"/>
      <c r="BA427" s="52"/>
      <c r="BB427" s="52"/>
    </row>
    <row r="428">
      <c r="A428" s="25"/>
      <c r="B428" s="103"/>
      <c r="C428" s="97"/>
      <c r="D428" s="97"/>
      <c r="E428" s="97"/>
      <c r="F428" s="29"/>
      <c r="G428" s="29"/>
      <c r="H428" s="36"/>
      <c r="I428" s="97"/>
      <c r="J428" s="102"/>
      <c r="K428" s="110"/>
      <c r="L428" s="104"/>
      <c r="M428" s="104"/>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33"/>
      <c r="AN428" s="105"/>
      <c r="AO428" s="105"/>
      <c r="AP428" s="18"/>
      <c r="AQ428" s="18"/>
      <c r="AR428" s="126"/>
      <c r="AS428" s="126"/>
      <c r="AT428" s="126"/>
      <c r="AU428" s="127"/>
      <c r="AV428" s="128"/>
      <c r="AW428" s="22"/>
      <c r="AX428" s="52"/>
      <c r="AY428" s="52"/>
      <c r="AZ428" s="52"/>
      <c r="BA428" s="52"/>
      <c r="BB428" s="52"/>
    </row>
    <row r="429">
      <c r="A429" s="25"/>
      <c r="B429" s="103"/>
      <c r="C429" s="97"/>
      <c r="D429" s="97"/>
      <c r="E429" s="97"/>
      <c r="F429" s="29"/>
      <c r="G429" s="29"/>
      <c r="H429" s="36"/>
      <c r="I429" s="97"/>
      <c r="J429" s="102"/>
      <c r="K429" s="110"/>
      <c r="L429" s="104"/>
      <c r="M429" s="104"/>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33"/>
      <c r="AN429" s="105"/>
      <c r="AO429" s="105"/>
      <c r="AP429" s="18"/>
      <c r="AQ429" s="18"/>
      <c r="AR429" s="126"/>
      <c r="AS429" s="126"/>
      <c r="AT429" s="126"/>
      <c r="AU429" s="127"/>
      <c r="AV429" s="128"/>
      <c r="AW429" s="22"/>
      <c r="AX429" s="52"/>
      <c r="AY429" s="52"/>
      <c r="AZ429" s="52"/>
      <c r="BA429" s="52"/>
      <c r="BB429" s="52"/>
    </row>
    <row r="430">
      <c r="A430" s="52"/>
      <c r="B430" s="133"/>
      <c r="C430" s="134"/>
      <c r="D430" s="52"/>
      <c r="E430" s="52"/>
      <c r="F430" s="52"/>
      <c r="G430" s="135"/>
      <c r="H430" s="36"/>
      <c r="I430" s="52"/>
      <c r="J430" s="136"/>
      <c r="K430" s="136"/>
      <c r="L430" s="136"/>
      <c r="M430" s="136"/>
      <c r="N430" s="137"/>
      <c r="O430" s="137"/>
      <c r="P430" s="137"/>
      <c r="Q430" s="137"/>
      <c r="R430" s="137"/>
      <c r="S430" s="137"/>
      <c r="T430" s="137"/>
      <c r="U430" s="137"/>
      <c r="V430" s="137"/>
      <c r="W430" s="137"/>
      <c r="X430" s="137"/>
      <c r="Y430" s="137"/>
      <c r="Z430" s="137"/>
      <c r="AA430" s="137"/>
      <c r="AB430" s="137"/>
      <c r="AC430" s="137"/>
      <c r="AD430" s="137"/>
      <c r="AE430" s="137"/>
      <c r="AF430" s="137"/>
      <c r="AG430" s="137"/>
      <c r="AH430" s="137"/>
      <c r="AI430" s="137"/>
      <c r="AJ430" s="137"/>
      <c r="AK430" s="137"/>
      <c r="AL430" s="137"/>
      <c r="AM430" s="137"/>
      <c r="AN430" s="137"/>
      <c r="AO430" s="137"/>
      <c r="AP430" s="138"/>
      <c r="AQ430" s="138"/>
      <c r="AR430" s="52"/>
      <c r="AS430" s="52"/>
      <c r="AT430" s="52"/>
      <c r="AU430" s="139"/>
      <c r="AV430" s="140"/>
      <c r="AW430" s="141"/>
      <c r="AX430" s="52"/>
      <c r="AY430" s="52"/>
      <c r="AZ430" s="52"/>
      <c r="BA430" s="52"/>
      <c r="BB430" s="52"/>
    </row>
    <row r="431">
      <c r="A431" s="52"/>
      <c r="B431" s="133"/>
      <c r="C431" s="52"/>
      <c r="D431" s="52"/>
      <c r="E431" s="52"/>
      <c r="F431" s="52"/>
      <c r="G431" s="135"/>
      <c r="H431" s="36"/>
      <c r="I431" s="52"/>
      <c r="J431" s="136"/>
      <c r="K431" s="136"/>
      <c r="L431" s="136"/>
      <c r="M431" s="136"/>
      <c r="N431" s="137"/>
      <c r="O431" s="137"/>
      <c r="P431" s="137"/>
      <c r="Q431" s="137"/>
      <c r="R431" s="137"/>
      <c r="S431" s="137"/>
      <c r="T431" s="137"/>
      <c r="U431" s="137"/>
      <c r="V431" s="137"/>
      <c r="W431" s="137"/>
      <c r="X431" s="137"/>
      <c r="Y431" s="137"/>
      <c r="Z431" s="137"/>
      <c r="AA431" s="137"/>
      <c r="AB431" s="137"/>
      <c r="AC431" s="137"/>
      <c r="AD431" s="137"/>
      <c r="AE431" s="137"/>
      <c r="AF431" s="137"/>
      <c r="AG431" s="137"/>
      <c r="AH431" s="137"/>
      <c r="AI431" s="137"/>
      <c r="AJ431" s="137"/>
      <c r="AK431" s="137"/>
      <c r="AL431" s="137"/>
      <c r="AM431" s="137"/>
      <c r="AN431" s="137"/>
      <c r="AO431" s="137"/>
      <c r="AP431" s="138"/>
      <c r="AQ431" s="138"/>
      <c r="AR431" s="52"/>
      <c r="AS431" s="52"/>
      <c r="AT431" s="52"/>
      <c r="AU431" s="139"/>
      <c r="AV431" s="140"/>
      <c r="AW431" s="141"/>
      <c r="AX431" s="52"/>
      <c r="AY431" s="52"/>
      <c r="AZ431" s="52"/>
      <c r="BA431" s="52"/>
      <c r="BB431" s="52"/>
    </row>
    <row r="432">
      <c r="A432" s="52"/>
      <c r="B432" s="133"/>
      <c r="C432" s="52"/>
      <c r="D432" s="52"/>
      <c r="E432" s="52"/>
      <c r="F432" s="52"/>
      <c r="G432" s="135"/>
      <c r="H432" s="36"/>
      <c r="I432" s="52"/>
      <c r="J432" s="136"/>
      <c r="K432" s="136"/>
      <c r="L432" s="136"/>
      <c r="M432" s="136"/>
      <c r="N432" s="137"/>
      <c r="O432" s="137"/>
      <c r="P432" s="137"/>
      <c r="Q432" s="137"/>
      <c r="R432" s="137"/>
      <c r="S432" s="137"/>
      <c r="T432" s="137"/>
      <c r="U432" s="137"/>
      <c r="V432" s="137"/>
      <c r="W432" s="137"/>
      <c r="X432" s="137"/>
      <c r="Y432" s="137"/>
      <c r="Z432" s="137"/>
      <c r="AA432" s="137"/>
      <c r="AB432" s="137"/>
      <c r="AC432" s="137"/>
      <c r="AD432" s="137"/>
      <c r="AE432" s="137"/>
      <c r="AF432" s="137"/>
      <c r="AG432" s="137"/>
      <c r="AH432" s="137"/>
      <c r="AI432" s="137"/>
      <c r="AJ432" s="137"/>
      <c r="AK432" s="137"/>
      <c r="AL432" s="137"/>
      <c r="AM432" s="137"/>
      <c r="AN432" s="137"/>
      <c r="AO432" s="137"/>
      <c r="AP432" s="138"/>
      <c r="AQ432" s="138"/>
      <c r="AR432" s="52"/>
      <c r="AS432" s="52"/>
      <c r="AT432" s="52"/>
      <c r="AU432" s="139"/>
      <c r="AV432" s="140"/>
      <c r="AW432" s="141"/>
      <c r="AX432" s="52"/>
      <c r="AY432" s="52"/>
      <c r="AZ432" s="52"/>
      <c r="BA432" s="52"/>
      <c r="BB432" s="52"/>
    </row>
    <row r="433">
      <c r="A433" s="52"/>
      <c r="B433" s="133"/>
      <c r="C433" s="52"/>
      <c r="D433" s="52"/>
      <c r="E433" s="52"/>
      <c r="F433" s="52"/>
      <c r="G433" s="135"/>
      <c r="H433" s="36"/>
      <c r="I433" s="52"/>
      <c r="J433" s="136"/>
      <c r="K433" s="136"/>
      <c r="L433" s="136"/>
      <c r="M433" s="136"/>
      <c r="N433" s="137"/>
      <c r="O433" s="137"/>
      <c r="P433" s="137"/>
      <c r="Q433" s="137"/>
      <c r="R433" s="137"/>
      <c r="S433" s="137"/>
      <c r="T433" s="137"/>
      <c r="U433" s="137"/>
      <c r="V433" s="137"/>
      <c r="W433" s="137"/>
      <c r="X433" s="137"/>
      <c r="Y433" s="137"/>
      <c r="Z433" s="137"/>
      <c r="AA433" s="137"/>
      <c r="AB433" s="137"/>
      <c r="AC433" s="137"/>
      <c r="AD433" s="137"/>
      <c r="AE433" s="137"/>
      <c r="AF433" s="137"/>
      <c r="AG433" s="137"/>
      <c r="AH433" s="137"/>
      <c r="AI433" s="137"/>
      <c r="AJ433" s="137"/>
      <c r="AK433" s="137"/>
      <c r="AL433" s="137"/>
      <c r="AM433" s="137"/>
      <c r="AN433" s="137"/>
      <c r="AO433" s="137"/>
      <c r="AP433" s="138"/>
      <c r="AQ433" s="138"/>
      <c r="AR433" s="52"/>
      <c r="AS433" s="52"/>
      <c r="AT433" s="52"/>
      <c r="AU433" s="139"/>
      <c r="AV433" s="140"/>
      <c r="AW433" s="141"/>
      <c r="AX433" s="52"/>
      <c r="AY433" s="52"/>
      <c r="AZ433" s="52"/>
      <c r="BA433" s="52"/>
      <c r="BB433" s="52"/>
    </row>
    <row r="434">
      <c r="A434" s="52"/>
      <c r="B434" s="133"/>
      <c r="C434" s="52"/>
      <c r="D434" s="52"/>
      <c r="E434" s="52"/>
      <c r="F434" s="52"/>
      <c r="G434" s="135"/>
      <c r="H434" s="36"/>
      <c r="I434" s="52"/>
      <c r="J434" s="136"/>
      <c r="K434" s="136"/>
      <c r="L434" s="136"/>
      <c r="M434" s="136"/>
      <c r="N434" s="137"/>
      <c r="O434" s="137"/>
      <c r="P434" s="137"/>
      <c r="Q434" s="137"/>
      <c r="R434" s="137"/>
      <c r="S434" s="137"/>
      <c r="T434" s="137"/>
      <c r="U434" s="137"/>
      <c r="V434" s="137"/>
      <c r="W434" s="137"/>
      <c r="X434" s="137"/>
      <c r="Y434" s="137"/>
      <c r="Z434" s="137"/>
      <c r="AA434" s="137"/>
      <c r="AB434" s="137"/>
      <c r="AC434" s="137"/>
      <c r="AD434" s="137"/>
      <c r="AE434" s="137"/>
      <c r="AF434" s="137"/>
      <c r="AG434" s="137"/>
      <c r="AH434" s="137"/>
      <c r="AI434" s="137"/>
      <c r="AJ434" s="137"/>
      <c r="AK434" s="137"/>
      <c r="AL434" s="137"/>
      <c r="AM434" s="137"/>
      <c r="AN434" s="137"/>
      <c r="AO434" s="137"/>
      <c r="AP434" s="138"/>
      <c r="AQ434" s="138"/>
      <c r="AR434" s="52"/>
      <c r="AS434" s="52"/>
      <c r="AT434" s="52"/>
      <c r="AU434" s="139"/>
      <c r="AV434" s="140"/>
      <c r="AW434" s="141"/>
      <c r="AX434" s="52"/>
      <c r="AY434" s="52"/>
      <c r="AZ434" s="52"/>
      <c r="BA434" s="52"/>
      <c r="BB434" s="52"/>
    </row>
    <row r="435">
      <c r="A435" s="52"/>
      <c r="B435" s="133"/>
      <c r="C435" s="52"/>
      <c r="D435" s="52"/>
      <c r="E435" s="52"/>
      <c r="F435" s="52"/>
      <c r="G435" s="135"/>
      <c r="H435" s="36"/>
      <c r="I435" s="52"/>
      <c r="J435" s="136"/>
      <c r="K435" s="136"/>
      <c r="L435" s="136"/>
      <c r="M435" s="136"/>
      <c r="N435" s="137"/>
      <c r="O435" s="137"/>
      <c r="P435" s="137"/>
      <c r="Q435" s="137"/>
      <c r="R435" s="137"/>
      <c r="S435" s="137"/>
      <c r="T435" s="137"/>
      <c r="U435" s="137"/>
      <c r="V435" s="137"/>
      <c r="W435" s="137"/>
      <c r="X435" s="137"/>
      <c r="Y435" s="137"/>
      <c r="Z435" s="137"/>
      <c r="AA435" s="137"/>
      <c r="AB435" s="137"/>
      <c r="AC435" s="137"/>
      <c r="AD435" s="137"/>
      <c r="AE435" s="137"/>
      <c r="AF435" s="137"/>
      <c r="AG435" s="137"/>
      <c r="AH435" s="137"/>
      <c r="AI435" s="137"/>
      <c r="AJ435" s="137"/>
      <c r="AK435" s="137"/>
      <c r="AL435" s="137"/>
      <c r="AM435" s="137"/>
      <c r="AN435" s="137"/>
      <c r="AO435" s="137"/>
      <c r="AP435" s="138"/>
      <c r="AQ435" s="138"/>
      <c r="AR435" s="52"/>
      <c r="AS435" s="52"/>
      <c r="AT435" s="52"/>
      <c r="AU435" s="139"/>
      <c r="AV435" s="140"/>
      <c r="AW435" s="141"/>
      <c r="AX435" s="52"/>
      <c r="AY435" s="52"/>
      <c r="AZ435" s="52"/>
      <c r="BA435" s="52"/>
      <c r="BB435" s="52"/>
    </row>
    <row r="436">
      <c r="A436" s="52"/>
      <c r="B436" s="133"/>
      <c r="C436" s="52"/>
      <c r="D436" s="52"/>
      <c r="E436" s="52"/>
      <c r="F436" s="52"/>
      <c r="G436" s="135"/>
      <c r="H436" s="36"/>
      <c r="I436" s="52"/>
      <c r="J436" s="136"/>
      <c r="K436" s="136"/>
      <c r="L436" s="136"/>
      <c r="M436" s="136"/>
      <c r="N436" s="137"/>
      <c r="O436" s="137"/>
      <c r="P436" s="137"/>
      <c r="Q436" s="137"/>
      <c r="R436" s="137"/>
      <c r="S436" s="137"/>
      <c r="T436" s="137"/>
      <c r="U436" s="137"/>
      <c r="V436" s="137"/>
      <c r="W436" s="137"/>
      <c r="X436" s="137"/>
      <c r="Y436" s="137"/>
      <c r="Z436" s="137"/>
      <c r="AA436" s="137"/>
      <c r="AB436" s="137"/>
      <c r="AC436" s="137"/>
      <c r="AD436" s="137"/>
      <c r="AE436" s="137"/>
      <c r="AF436" s="137"/>
      <c r="AG436" s="137"/>
      <c r="AH436" s="137"/>
      <c r="AI436" s="137"/>
      <c r="AJ436" s="137"/>
      <c r="AK436" s="137"/>
      <c r="AL436" s="137"/>
      <c r="AM436" s="137"/>
      <c r="AN436" s="137"/>
      <c r="AO436" s="137"/>
      <c r="AP436" s="138"/>
      <c r="AQ436" s="138"/>
      <c r="AR436" s="52"/>
      <c r="AS436" s="52"/>
      <c r="AT436" s="52"/>
      <c r="AU436" s="139"/>
      <c r="AV436" s="140"/>
      <c r="AW436" s="141"/>
      <c r="AX436" s="52"/>
      <c r="AY436" s="52"/>
      <c r="AZ436" s="52"/>
      <c r="BA436" s="52"/>
      <c r="BB436" s="52"/>
    </row>
    <row r="437">
      <c r="A437" s="52"/>
      <c r="B437" s="133"/>
      <c r="C437" s="52"/>
      <c r="D437" s="52"/>
      <c r="E437" s="52"/>
      <c r="F437" s="52"/>
      <c r="G437" s="135"/>
      <c r="H437" s="36"/>
      <c r="I437" s="52"/>
      <c r="J437" s="136"/>
      <c r="K437" s="136"/>
      <c r="L437" s="136"/>
      <c r="M437" s="136"/>
      <c r="N437" s="137"/>
      <c r="O437" s="137"/>
      <c r="P437" s="137"/>
      <c r="Q437" s="137"/>
      <c r="R437" s="137"/>
      <c r="S437" s="137"/>
      <c r="T437" s="137"/>
      <c r="U437" s="137"/>
      <c r="V437" s="137"/>
      <c r="W437" s="137"/>
      <c r="X437" s="137"/>
      <c r="Y437" s="137"/>
      <c r="Z437" s="137"/>
      <c r="AA437" s="137"/>
      <c r="AB437" s="137"/>
      <c r="AC437" s="137"/>
      <c r="AD437" s="137"/>
      <c r="AE437" s="137"/>
      <c r="AF437" s="137"/>
      <c r="AG437" s="137"/>
      <c r="AH437" s="137"/>
      <c r="AI437" s="137"/>
      <c r="AJ437" s="137"/>
      <c r="AK437" s="137"/>
      <c r="AL437" s="137"/>
      <c r="AM437" s="137"/>
      <c r="AN437" s="137"/>
      <c r="AO437" s="137"/>
      <c r="AP437" s="138"/>
      <c r="AQ437" s="138"/>
      <c r="AR437" s="52"/>
      <c r="AS437" s="52"/>
      <c r="AT437" s="52"/>
      <c r="AU437" s="139"/>
      <c r="AV437" s="140"/>
      <c r="AW437" s="141"/>
      <c r="AX437" s="52"/>
      <c r="AY437" s="52"/>
      <c r="AZ437" s="52"/>
      <c r="BA437" s="52"/>
      <c r="BB437" s="52"/>
    </row>
    <row r="438">
      <c r="A438" s="52"/>
      <c r="B438" s="133"/>
      <c r="C438" s="52"/>
      <c r="D438" s="52"/>
      <c r="E438" s="52"/>
      <c r="F438" s="52"/>
      <c r="G438" s="135"/>
      <c r="H438" s="36"/>
      <c r="I438" s="52"/>
      <c r="J438" s="136"/>
      <c r="K438" s="136"/>
      <c r="L438" s="136"/>
      <c r="M438" s="136"/>
      <c r="N438" s="137"/>
      <c r="O438" s="137"/>
      <c r="P438" s="137"/>
      <c r="Q438" s="137"/>
      <c r="R438" s="137"/>
      <c r="S438" s="137"/>
      <c r="T438" s="137"/>
      <c r="U438" s="137"/>
      <c r="V438" s="137"/>
      <c r="W438" s="137"/>
      <c r="X438" s="137"/>
      <c r="Y438" s="137"/>
      <c r="Z438" s="137"/>
      <c r="AA438" s="137"/>
      <c r="AB438" s="137"/>
      <c r="AC438" s="137"/>
      <c r="AD438" s="137"/>
      <c r="AE438" s="137"/>
      <c r="AF438" s="137"/>
      <c r="AG438" s="137"/>
      <c r="AH438" s="137"/>
      <c r="AI438" s="137"/>
      <c r="AJ438" s="137"/>
      <c r="AK438" s="137"/>
      <c r="AL438" s="137"/>
      <c r="AM438" s="137"/>
      <c r="AN438" s="137"/>
      <c r="AO438" s="137"/>
      <c r="AP438" s="138"/>
      <c r="AQ438" s="138"/>
      <c r="AR438" s="52"/>
      <c r="AS438" s="52"/>
      <c r="AT438" s="52"/>
      <c r="AU438" s="139"/>
      <c r="AV438" s="140"/>
      <c r="AW438" s="141"/>
      <c r="AX438" s="52"/>
      <c r="AY438" s="52"/>
      <c r="AZ438" s="52"/>
      <c r="BA438" s="52"/>
      <c r="BB438" s="52"/>
    </row>
    <row r="439">
      <c r="A439" s="52"/>
      <c r="B439" s="133"/>
      <c r="C439" s="52"/>
      <c r="D439" s="52"/>
      <c r="E439" s="52"/>
      <c r="F439" s="52"/>
      <c r="G439" s="135"/>
      <c r="H439" s="36"/>
      <c r="I439" s="52"/>
      <c r="J439" s="136"/>
      <c r="K439" s="136"/>
      <c r="L439" s="136"/>
      <c r="M439" s="136"/>
      <c r="N439" s="52"/>
      <c r="O439" s="52"/>
      <c r="P439" s="52"/>
      <c r="Q439" s="52"/>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138"/>
      <c r="AQ439" s="138"/>
      <c r="AR439" s="52"/>
      <c r="AS439" s="52"/>
      <c r="AT439" s="52"/>
      <c r="AU439" s="139"/>
      <c r="AV439" s="140"/>
      <c r="AW439" s="141"/>
      <c r="AX439" s="52"/>
      <c r="AY439" s="52"/>
      <c r="AZ439" s="52"/>
      <c r="BA439" s="52"/>
      <c r="BB439" s="52"/>
    </row>
    <row r="440">
      <c r="A440" s="52"/>
      <c r="B440" s="133"/>
      <c r="C440" s="52"/>
      <c r="D440" s="52"/>
      <c r="E440" s="52"/>
      <c r="F440" s="52"/>
      <c r="G440" s="135"/>
      <c r="H440" s="36"/>
      <c r="I440" s="52"/>
      <c r="J440" s="136"/>
      <c r="K440" s="136"/>
      <c r="L440" s="136"/>
      <c r="M440" s="136"/>
      <c r="N440" s="52"/>
      <c r="O440" s="52"/>
      <c r="P440" s="52"/>
      <c r="Q440" s="52"/>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138"/>
      <c r="AQ440" s="138"/>
      <c r="AR440" s="52"/>
      <c r="AS440" s="52"/>
      <c r="AT440" s="52"/>
      <c r="AU440" s="139"/>
      <c r="AV440" s="140"/>
      <c r="AW440" s="141"/>
      <c r="AX440" s="52"/>
      <c r="AY440" s="52"/>
      <c r="AZ440" s="52"/>
      <c r="BA440" s="52"/>
      <c r="BB440" s="52"/>
    </row>
    <row r="441">
      <c r="A441" s="52"/>
      <c r="B441" s="133"/>
      <c r="C441" s="52"/>
      <c r="D441" s="52"/>
      <c r="E441" s="52"/>
      <c r="F441" s="52"/>
      <c r="G441" s="135"/>
      <c r="H441" s="36"/>
      <c r="I441" s="52"/>
      <c r="J441" s="136"/>
      <c r="K441" s="136"/>
      <c r="L441" s="136"/>
      <c r="M441" s="136"/>
      <c r="N441" s="52"/>
      <c r="O441" s="52"/>
      <c r="P441" s="52"/>
      <c r="Q441" s="52"/>
      <c r="R441" s="52"/>
      <c r="S441" s="52"/>
      <c r="T441" s="52"/>
      <c r="U441" s="52"/>
      <c r="V441" s="52"/>
      <c r="W441" s="52"/>
      <c r="X441" s="52"/>
      <c r="Y441" s="52"/>
      <c r="Z441" s="52"/>
      <c r="AA441" s="52"/>
      <c r="AB441" s="52"/>
      <c r="AC441" s="52"/>
      <c r="AD441" s="52"/>
      <c r="AE441" s="52"/>
      <c r="AF441" s="52"/>
      <c r="AG441" s="52"/>
      <c r="AH441" s="52"/>
      <c r="AI441" s="52"/>
      <c r="AJ441" s="52"/>
      <c r="AK441" s="52"/>
      <c r="AL441" s="52"/>
      <c r="AM441" s="52"/>
      <c r="AN441" s="52"/>
      <c r="AO441" s="52"/>
      <c r="AP441" s="138"/>
      <c r="AQ441" s="138"/>
      <c r="AR441" s="52"/>
      <c r="AS441" s="52"/>
      <c r="AT441" s="52"/>
      <c r="AU441" s="139"/>
      <c r="AV441" s="140"/>
      <c r="AW441" s="141"/>
      <c r="AX441" s="52"/>
      <c r="AY441" s="52"/>
      <c r="AZ441" s="52"/>
      <c r="BA441" s="52"/>
      <c r="BB441" s="52"/>
    </row>
    <row r="442">
      <c r="A442" s="52"/>
      <c r="B442" s="133"/>
      <c r="C442" s="52"/>
      <c r="D442" s="52"/>
      <c r="E442" s="52"/>
      <c r="F442" s="52"/>
      <c r="G442" s="135"/>
      <c r="H442" s="36"/>
      <c r="I442" s="52"/>
      <c r="J442" s="136"/>
      <c r="K442" s="136"/>
      <c r="L442" s="136"/>
      <c r="M442" s="136"/>
      <c r="N442" s="52"/>
      <c r="O442" s="52"/>
      <c r="P442" s="52"/>
      <c r="Q442" s="52"/>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138"/>
      <c r="AQ442" s="138"/>
      <c r="AR442" s="52"/>
      <c r="AS442" s="52"/>
      <c r="AT442" s="52"/>
      <c r="AU442" s="139"/>
      <c r="AV442" s="140"/>
      <c r="AW442" s="141"/>
      <c r="AX442" s="52"/>
      <c r="AY442" s="52"/>
      <c r="AZ442" s="52"/>
      <c r="BA442" s="52"/>
      <c r="BB442" s="52"/>
    </row>
    <row r="443">
      <c r="A443" s="52"/>
      <c r="B443" s="133"/>
      <c r="C443" s="52"/>
      <c r="D443" s="52"/>
      <c r="E443" s="52"/>
      <c r="F443" s="52"/>
      <c r="G443" s="135"/>
      <c r="H443" s="36"/>
      <c r="I443" s="52"/>
      <c r="J443" s="136"/>
      <c r="K443" s="136"/>
      <c r="L443" s="136"/>
      <c r="M443" s="136"/>
      <c r="N443" s="52"/>
      <c r="O443" s="52"/>
      <c r="P443" s="52"/>
      <c r="Q443" s="52"/>
      <c r="R443" s="52"/>
      <c r="S443" s="52"/>
      <c r="T443" s="52"/>
      <c r="U443" s="52"/>
      <c r="V443" s="52"/>
      <c r="W443" s="52"/>
      <c r="X443" s="52"/>
      <c r="Y443" s="52"/>
      <c r="Z443" s="52"/>
      <c r="AA443" s="52"/>
      <c r="AB443" s="52"/>
      <c r="AC443" s="52"/>
      <c r="AD443" s="52"/>
      <c r="AE443" s="52"/>
      <c r="AF443" s="52"/>
      <c r="AG443" s="52"/>
      <c r="AH443" s="52"/>
      <c r="AI443" s="52"/>
      <c r="AJ443" s="52"/>
      <c r="AK443" s="52"/>
      <c r="AL443" s="52"/>
      <c r="AM443" s="52"/>
      <c r="AN443" s="52"/>
      <c r="AO443" s="52"/>
      <c r="AP443" s="138"/>
      <c r="AQ443" s="138"/>
      <c r="AR443" s="52"/>
      <c r="AS443" s="52"/>
      <c r="AT443" s="52"/>
      <c r="AU443" s="139"/>
      <c r="AV443" s="140"/>
      <c r="AW443" s="141"/>
      <c r="AX443" s="52"/>
      <c r="AY443" s="52"/>
      <c r="AZ443" s="52"/>
      <c r="BA443" s="52"/>
      <c r="BB443" s="52"/>
    </row>
    <row r="444">
      <c r="A444" s="52"/>
      <c r="B444" s="133"/>
      <c r="C444" s="52"/>
      <c r="D444" s="52"/>
      <c r="E444" s="52"/>
      <c r="F444" s="52"/>
      <c r="G444" s="135"/>
      <c r="H444" s="36"/>
      <c r="I444" s="52"/>
      <c r="J444" s="136"/>
      <c r="K444" s="136"/>
      <c r="L444" s="136"/>
      <c r="M444" s="136"/>
      <c r="N444" s="52"/>
      <c r="O444" s="52"/>
      <c r="P444" s="52"/>
      <c r="Q444" s="52"/>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138"/>
      <c r="AQ444" s="138"/>
      <c r="AR444" s="52"/>
      <c r="AS444" s="52"/>
      <c r="AT444" s="52"/>
      <c r="AU444" s="139"/>
      <c r="AV444" s="140"/>
      <c r="AW444" s="141"/>
      <c r="AX444" s="52"/>
      <c r="AY444" s="52"/>
      <c r="AZ444" s="52"/>
      <c r="BA444" s="52"/>
      <c r="BB444" s="52"/>
    </row>
    <row r="445">
      <c r="A445" s="52"/>
      <c r="B445" s="133"/>
      <c r="C445" s="52"/>
      <c r="D445" s="52"/>
      <c r="E445" s="52"/>
      <c r="F445" s="52"/>
      <c r="G445" s="135"/>
      <c r="H445" s="36"/>
      <c r="I445" s="52"/>
      <c r="J445" s="136"/>
      <c r="K445" s="136"/>
      <c r="L445" s="136"/>
      <c r="M445" s="136"/>
      <c r="N445" s="52"/>
      <c r="O445" s="52"/>
      <c r="P445" s="52"/>
      <c r="Q445" s="52"/>
      <c r="R445" s="52"/>
      <c r="S445" s="52"/>
      <c r="T445" s="52"/>
      <c r="U445" s="52"/>
      <c r="V445" s="52"/>
      <c r="W445" s="52"/>
      <c r="X445" s="52"/>
      <c r="Y445" s="52"/>
      <c r="Z445" s="52"/>
      <c r="AA445" s="52"/>
      <c r="AB445" s="52"/>
      <c r="AC445" s="52"/>
      <c r="AD445" s="52"/>
      <c r="AE445" s="52"/>
      <c r="AF445" s="52"/>
      <c r="AG445" s="52"/>
      <c r="AH445" s="52"/>
      <c r="AI445" s="52"/>
      <c r="AJ445" s="52"/>
      <c r="AK445" s="52"/>
      <c r="AL445" s="52"/>
      <c r="AM445" s="52"/>
      <c r="AN445" s="52"/>
      <c r="AO445" s="52"/>
      <c r="AP445" s="138"/>
      <c r="AQ445" s="138"/>
      <c r="AR445" s="52"/>
      <c r="AS445" s="52"/>
      <c r="AT445" s="52"/>
      <c r="AU445" s="139"/>
      <c r="AV445" s="140"/>
      <c r="AW445" s="141"/>
      <c r="AX445" s="52"/>
      <c r="AY445" s="52"/>
      <c r="AZ445" s="52"/>
      <c r="BA445" s="52"/>
      <c r="BB445" s="52"/>
    </row>
    <row r="446">
      <c r="A446" s="52"/>
      <c r="B446" s="133"/>
      <c r="C446" s="52"/>
      <c r="D446" s="52"/>
      <c r="E446" s="52"/>
      <c r="F446" s="52"/>
      <c r="G446" s="135"/>
      <c r="H446" s="36"/>
      <c r="I446" s="52"/>
      <c r="J446" s="136"/>
      <c r="K446" s="136"/>
      <c r="L446" s="136"/>
      <c r="M446" s="136"/>
      <c r="N446" s="52"/>
      <c r="O446" s="52"/>
      <c r="P446" s="52"/>
      <c r="Q446" s="52"/>
      <c r="R446" s="52"/>
      <c r="S446" s="52"/>
      <c r="T446" s="52"/>
      <c r="U446" s="52"/>
      <c r="V446" s="52"/>
      <c r="W446" s="52"/>
      <c r="X446" s="52"/>
      <c r="Y446" s="52"/>
      <c r="Z446" s="52"/>
      <c r="AA446" s="52"/>
      <c r="AB446" s="52"/>
      <c r="AC446" s="52"/>
      <c r="AD446" s="52"/>
      <c r="AE446" s="52"/>
      <c r="AF446" s="52"/>
      <c r="AG446" s="52"/>
      <c r="AH446" s="52"/>
      <c r="AI446" s="52"/>
      <c r="AJ446" s="52"/>
      <c r="AK446" s="52"/>
      <c r="AL446" s="52"/>
      <c r="AM446" s="52"/>
      <c r="AN446" s="52"/>
      <c r="AO446" s="52"/>
      <c r="AP446" s="138"/>
      <c r="AQ446" s="138"/>
      <c r="AR446" s="52"/>
      <c r="AS446" s="52"/>
      <c r="AT446" s="52"/>
      <c r="AU446" s="139"/>
      <c r="AV446" s="140"/>
      <c r="AW446" s="141"/>
      <c r="AX446" s="52"/>
      <c r="AY446" s="52"/>
      <c r="AZ446" s="52"/>
      <c r="BA446" s="52"/>
      <c r="BB446" s="52"/>
    </row>
    <row r="447">
      <c r="A447" s="52"/>
      <c r="B447" s="133"/>
      <c r="C447" s="52"/>
      <c r="D447" s="52"/>
      <c r="E447" s="52"/>
      <c r="F447" s="52"/>
      <c r="G447" s="135"/>
      <c r="H447" s="36"/>
      <c r="I447" s="52"/>
      <c r="J447" s="136"/>
      <c r="K447" s="136"/>
      <c r="L447" s="136"/>
      <c r="M447" s="136"/>
      <c r="N447" s="52"/>
      <c r="O447" s="52"/>
      <c r="P447" s="52"/>
      <c r="Q447" s="52"/>
      <c r="R447" s="52"/>
      <c r="S447" s="52"/>
      <c r="T447" s="52"/>
      <c r="U447" s="52"/>
      <c r="V447" s="52"/>
      <c r="W447" s="52"/>
      <c r="X447" s="52"/>
      <c r="Y447" s="52"/>
      <c r="Z447" s="52"/>
      <c r="AA447" s="52"/>
      <c r="AB447" s="52"/>
      <c r="AC447" s="52"/>
      <c r="AD447" s="52"/>
      <c r="AE447" s="52"/>
      <c r="AF447" s="52"/>
      <c r="AG447" s="52"/>
      <c r="AH447" s="52"/>
      <c r="AI447" s="52"/>
      <c r="AJ447" s="52"/>
      <c r="AK447" s="52"/>
      <c r="AL447" s="52"/>
      <c r="AM447" s="52"/>
      <c r="AN447" s="52"/>
      <c r="AO447" s="52"/>
      <c r="AP447" s="138"/>
      <c r="AQ447" s="138"/>
      <c r="AR447" s="52"/>
      <c r="AS447" s="52"/>
      <c r="AT447" s="52"/>
      <c r="AU447" s="139"/>
      <c r="AV447" s="140"/>
      <c r="AW447" s="141"/>
      <c r="AX447" s="52"/>
      <c r="AY447" s="52"/>
      <c r="AZ447" s="52"/>
      <c r="BA447" s="52"/>
      <c r="BB447" s="52"/>
    </row>
    <row r="448">
      <c r="A448" s="52"/>
      <c r="B448" s="133"/>
      <c r="C448" s="52"/>
      <c r="D448" s="52"/>
      <c r="E448" s="52"/>
      <c r="F448" s="52"/>
      <c r="G448" s="135"/>
      <c r="H448" s="36"/>
      <c r="I448" s="52"/>
      <c r="J448" s="136"/>
      <c r="K448" s="136"/>
      <c r="L448" s="136"/>
      <c r="M448" s="136"/>
      <c r="N448" s="52"/>
      <c r="O448" s="52"/>
      <c r="P448" s="52"/>
      <c r="Q448" s="52"/>
      <c r="R448" s="52"/>
      <c r="S448" s="52"/>
      <c r="T448" s="52"/>
      <c r="U448" s="52"/>
      <c r="V448" s="52"/>
      <c r="W448" s="52"/>
      <c r="X448" s="52"/>
      <c r="Y448" s="52"/>
      <c r="Z448" s="52"/>
      <c r="AA448" s="52"/>
      <c r="AB448" s="52"/>
      <c r="AC448" s="52"/>
      <c r="AD448" s="52"/>
      <c r="AE448" s="52"/>
      <c r="AF448" s="52"/>
      <c r="AG448" s="52"/>
      <c r="AH448" s="52"/>
      <c r="AI448" s="52"/>
      <c r="AJ448" s="52"/>
      <c r="AK448" s="52"/>
      <c r="AL448" s="52"/>
      <c r="AM448" s="52"/>
      <c r="AN448" s="52"/>
      <c r="AO448" s="52"/>
      <c r="AP448" s="138"/>
      <c r="AQ448" s="138"/>
      <c r="AR448" s="52"/>
      <c r="AS448" s="52"/>
      <c r="AT448" s="52"/>
      <c r="AU448" s="139"/>
      <c r="AV448" s="140"/>
      <c r="AW448" s="141"/>
      <c r="AX448" s="52"/>
      <c r="AY448" s="52"/>
      <c r="AZ448" s="52"/>
      <c r="BA448" s="52"/>
      <c r="BB448" s="52"/>
    </row>
    <row r="449">
      <c r="A449" s="52"/>
      <c r="B449" s="133"/>
      <c r="C449" s="52"/>
      <c r="D449" s="52"/>
      <c r="E449" s="52"/>
      <c r="F449" s="52"/>
      <c r="G449" s="135"/>
      <c r="H449" s="36"/>
      <c r="I449" s="52"/>
      <c r="J449" s="136"/>
      <c r="K449" s="136"/>
      <c r="L449" s="136"/>
      <c r="M449" s="136"/>
      <c r="N449" s="52"/>
      <c r="O449" s="52"/>
      <c r="P449" s="52"/>
      <c r="Q449" s="52"/>
      <c r="R449" s="52"/>
      <c r="S449" s="52"/>
      <c r="T449" s="52"/>
      <c r="U449" s="52"/>
      <c r="V449" s="52"/>
      <c r="W449" s="52"/>
      <c r="X449" s="52"/>
      <c r="Y449" s="52"/>
      <c r="Z449" s="52"/>
      <c r="AA449" s="52"/>
      <c r="AB449" s="52"/>
      <c r="AC449" s="52"/>
      <c r="AD449" s="52"/>
      <c r="AE449" s="52"/>
      <c r="AF449" s="52"/>
      <c r="AG449" s="52"/>
      <c r="AH449" s="52"/>
      <c r="AI449" s="52"/>
      <c r="AJ449" s="52"/>
      <c r="AK449" s="52"/>
      <c r="AL449" s="52"/>
      <c r="AM449" s="52"/>
      <c r="AN449" s="52"/>
      <c r="AO449" s="52"/>
      <c r="AP449" s="138"/>
      <c r="AQ449" s="138"/>
      <c r="AR449" s="52"/>
      <c r="AS449" s="52"/>
      <c r="AT449" s="52"/>
      <c r="AU449" s="139"/>
      <c r="AV449" s="140"/>
      <c r="AW449" s="141"/>
      <c r="AX449" s="52"/>
      <c r="AY449" s="52"/>
      <c r="AZ449" s="52"/>
      <c r="BA449" s="52"/>
      <c r="BB449" s="52"/>
    </row>
    <row r="450">
      <c r="A450" s="52"/>
      <c r="B450" s="133"/>
      <c r="C450" s="52"/>
      <c r="D450" s="52"/>
      <c r="E450" s="52"/>
      <c r="F450" s="52"/>
      <c r="G450" s="135"/>
      <c r="H450" s="36"/>
      <c r="I450" s="52"/>
      <c r="J450" s="136"/>
      <c r="K450" s="136"/>
      <c r="L450" s="136"/>
      <c r="M450" s="136"/>
      <c r="N450" s="52"/>
      <c r="O450" s="52"/>
      <c r="P450" s="52"/>
      <c r="Q450" s="52"/>
      <c r="R450" s="52"/>
      <c r="S450" s="52"/>
      <c r="T450" s="52"/>
      <c r="U450" s="52"/>
      <c r="V450" s="52"/>
      <c r="W450" s="52"/>
      <c r="X450" s="52"/>
      <c r="Y450" s="52"/>
      <c r="Z450" s="52"/>
      <c r="AA450" s="52"/>
      <c r="AB450" s="52"/>
      <c r="AC450" s="52"/>
      <c r="AD450" s="52"/>
      <c r="AE450" s="52"/>
      <c r="AF450" s="52"/>
      <c r="AG450" s="52"/>
      <c r="AH450" s="52"/>
      <c r="AI450" s="52"/>
      <c r="AJ450" s="52"/>
      <c r="AK450" s="52"/>
      <c r="AL450" s="52"/>
      <c r="AM450" s="52"/>
      <c r="AN450" s="52"/>
      <c r="AO450" s="52"/>
      <c r="AP450" s="138"/>
      <c r="AQ450" s="138"/>
      <c r="AR450" s="52"/>
      <c r="AS450" s="52"/>
      <c r="AT450" s="52"/>
      <c r="AU450" s="139"/>
      <c r="AV450" s="140"/>
      <c r="AW450" s="141"/>
      <c r="AX450" s="52"/>
      <c r="AY450" s="52"/>
      <c r="AZ450" s="52"/>
      <c r="BA450" s="52"/>
      <c r="BB450" s="52"/>
    </row>
    <row r="451">
      <c r="A451" s="52"/>
      <c r="B451" s="133"/>
      <c r="C451" s="52"/>
      <c r="D451" s="52"/>
      <c r="E451" s="52"/>
      <c r="F451" s="52"/>
      <c r="G451" s="135"/>
      <c r="H451" s="36"/>
      <c r="I451" s="52"/>
      <c r="J451" s="136"/>
      <c r="K451" s="136"/>
      <c r="L451" s="136"/>
      <c r="M451" s="136"/>
      <c r="N451" s="52"/>
      <c r="O451" s="52"/>
      <c r="P451" s="52"/>
      <c r="Q451" s="52"/>
      <c r="R451" s="52"/>
      <c r="S451" s="52"/>
      <c r="T451" s="52"/>
      <c r="U451" s="52"/>
      <c r="V451" s="52"/>
      <c r="W451" s="52"/>
      <c r="X451" s="52"/>
      <c r="Y451" s="52"/>
      <c r="Z451" s="52"/>
      <c r="AA451" s="52"/>
      <c r="AB451" s="52"/>
      <c r="AC451" s="52"/>
      <c r="AD451" s="52"/>
      <c r="AE451" s="52"/>
      <c r="AF451" s="52"/>
      <c r="AG451" s="52"/>
      <c r="AH451" s="52"/>
      <c r="AI451" s="52"/>
      <c r="AJ451" s="52"/>
      <c r="AK451" s="52"/>
      <c r="AL451" s="52"/>
      <c r="AM451" s="52"/>
      <c r="AN451" s="52"/>
      <c r="AO451" s="52"/>
      <c r="AP451" s="138"/>
      <c r="AQ451" s="138"/>
      <c r="AR451" s="52"/>
      <c r="AS451" s="52"/>
      <c r="AT451" s="52"/>
      <c r="AU451" s="139"/>
      <c r="AV451" s="140"/>
      <c r="AW451" s="141"/>
      <c r="AX451" s="52"/>
      <c r="AY451" s="52"/>
      <c r="AZ451" s="52"/>
      <c r="BA451" s="52"/>
      <c r="BB451" s="52"/>
    </row>
    <row r="452">
      <c r="A452" s="52"/>
      <c r="B452" s="133"/>
      <c r="C452" s="52"/>
      <c r="D452" s="52"/>
      <c r="E452" s="52"/>
      <c r="F452" s="52"/>
      <c r="G452" s="135"/>
      <c r="H452" s="36"/>
      <c r="I452" s="52"/>
      <c r="J452" s="136"/>
      <c r="K452" s="136"/>
      <c r="L452" s="136"/>
      <c r="M452" s="136"/>
      <c r="N452" s="52"/>
      <c r="O452" s="52"/>
      <c r="P452" s="52"/>
      <c r="Q452" s="52"/>
      <c r="R452" s="52"/>
      <c r="S452" s="52"/>
      <c r="T452" s="52"/>
      <c r="U452" s="52"/>
      <c r="V452" s="52"/>
      <c r="W452" s="52"/>
      <c r="X452" s="52"/>
      <c r="Y452" s="52"/>
      <c r="Z452" s="52"/>
      <c r="AA452" s="52"/>
      <c r="AB452" s="52"/>
      <c r="AC452" s="52"/>
      <c r="AD452" s="52"/>
      <c r="AE452" s="52"/>
      <c r="AF452" s="52"/>
      <c r="AG452" s="52"/>
      <c r="AH452" s="52"/>
      <c r="AI452" s="52"/>
      <c r="AJ452" s="52"/>
      <c r="AK452" s="52"/>
      <c r="AL452" s="52"/>
      <c r="AM452" s="52"/>
      <c r="AN452" s="52"/>
      <c r="AO452" s="52"/>
      <c r="AP452" s="138"/>
      <c r="AQ452" s="138"/>
      <c r="AR452" s="52"/>
      <c r="AS452" s="52"/>
      <c r="AT452" s="52"/>
      <c r="AU452" s="139"/>
      <c r="AV452" s="140"/>
      <c r="AW452" s="141"/>
      <c r="AX452" s="52"/>
      <c r="AY452" s="52"/>
      <c r="AZ452" s="52"/>
      <c r="BA452" s="52"/>
      <c r="BB452" s="52"/>
    </row>
    <row r="453">
      <c r="A453" s="52"/>
      <c r="B453" s="133"/>
      <c r="C453" s="52"/>
      <c r="D453" s="52"/>
      <c r="E453" s="52"/>
      <c r="F453" s="52"/>
      <c r="G453" s="135"/>
      <c r="H453" s="36"/>
      <c r="I453" s="52"/>
      <c r="J453" s="136"/>
      <c r="K453" s="136"/>
      <c r="L453" s="136"/>
      <c r="M453" s="136"/>
      <c r="N453" s="52"/>
      <c r="O453" s="52"/>
      <c r="P453" s="52"/>
      <c r="Q453" s="52"/>
      <c r="R453" s="52"/>
      <c r="S453" s="52"/>
      <c r="T453" s="52"/>
      <c r="U453" s="52"/>
      <c r="V453" s="52"/>
      <c r="W453" s="52"/>
      <c r="X453" s="52"/>
      <c r="Y453" s="52"/>
      <c r="Z453" s="52"/>
      <c r="AA453" s="52"/>
      <c r="AB453" s="52"/>
      <c r="AC453" s="52"/>
      <c r="AD453" s="52"/>
      <c r="AE453" s="52"/>
      <c r="AF453" s="52"/>
      <c r="AG453" s="52"/>
      <c r="AH453" s="52"/>
      <c r="AI453" s="52"/>
      <c r="AJ453" s="52"/>
      <c r="AK453" s="52"/>
      <c r="AL453" s="52"/>
      <c r="AM453" s="52"/>
      <c r="AN453" s="52"/>
      <c r="AO453" s="52"/>
      <c r="AP453" s="138"/>
      <c r="AQ453" s="138"/>
      <c r="AR453" s="52"/>
      <c r="AS453" s="52"/>
      <c r="AT453" s="52"/>
      <c r="AU453" s="139"/>
      <c r="AV453" s="140"/>
      <c r="AW453" s="141"/>
      <c r="AX453" s="52"/>
      <c r="AY453" s="52"/>
      <c r="AZ453" s="52"/>
      <c r="BA453" s="52"/>
      <c r="BB453" s="52"/>
    </row>
    <row r="454">
      <c r="A454" s="52"/>
      <c r="B454" s="133"/>
      <c r="C454" s="52"/>
      <c r="D454" s="52"/>
      <c r="E454" s="52"/>
      <c r="F454" s="52"/>
      <c r="G454" s="135"/>
      <c r="H454" s="36"/>
      <c r="I454" s="52"/>
      <c r="J454" s="136"/>
      <c r="K454" s="136"/>
      <c r="L454" s="136"/>
      <c r="M454" s="136"/>
      <c r="N454" s="52"/>
      <c r="O454" s="52"/>
      <c r="P454" s="52"/>
      <c r="Q454" s="52"/>
      <c r="R454" s="52"/>
      <c r="S454" s="52"/>
      <c r="T454" s="52"/>
      <c r="U454" s="52"/>
      <c r="V454" s="52"/>
      <c r="W454" s="52"/>
      <c r="X454" s="52"/>
      <c r="Y454" s="52"/>
      <c r="Z454" s="52"/>
      <c r="AA454" s="52"/>
      <c r="AB454" s="52"/>
      <c r="AC454" s="52"/>
      <c r="AD454" s="52"/>
      <c r="AE454" s="52"/>
      <c r="AF454" s="52"/>
      <c r="AG454" s="52"/>
      <c r="AH454" s="52"/>
      <c r="AI454" s="52"/>
      <c r="AJ454" s="52"/>
      <c r="AK454" s="52"/>
      <c r="AL454" s="52"/>
      <c r="AM454" s="52"/>
      <c r="AN454" s="52"/>
      <c r="AO454" s="52"/>
      <c r="AP454" s="138"/>
      <c r="AQ454" s="138"/>
      <c r="AR454" s="52"/>
      <c r="AS454" s="52"/>
      <c r="AT454" s="52"/>
      <c r="AU454" s="139"/>
      <c r="AV454" s="140"/>
      <c r="AW454" s="141"/>
      <c r="AX454" s="52"/>
      <c r="AY454" s="52"/>
      <c r="AZ454" s="52"/>
      <c r="BA454" s="52"/>
      <c r="BB454" s="52"/>
    </row>
    <row r="455">
      <c r="A455" s="52"/>
      <c r="B455" s="133"/>
      <c r="C455" s="52"/>
      <c r="D455" s="52"/>
      <c r="E455" s="52"/>
      <c r="F455" s="52"/>
      <c r="G455" s="135"/>
      <c r="H455" s="36"/>
      <c r="I455" s="52"/>
      <c r="J455" s="136"/>
      <c r="K455" s="136"/>
      <c r="L455" s="136"/>
      <c r="M455" s="136"/>
      <c r="N455" s="52"/>
      <c r="O455" s="52"/>
      <c r="P455" s="52"/>
      <c r="Q455" s="52"/>
      <c r="R455" s="52"/>
      <c r="S455" s="52"/>
      <c r="T455" s="52"/>
      <c r="U455" s="52"/>
      <c r="V455" s="52"/>
      <c r="W455" s="52"/>
      <c r="X455" s="52"/>
      <c r="Y455" s="52"/>
      <c r="Z455" s="52"/>
      <c r="AA455" s="52"/>
      <c r="AB455" s="52"/>
      <c r="AC455" s="52"/>
      <c r="AD455" s="52"/>
      <c r="AE455" s="52"/>
      <c r="AF455" s="52"/>
      <c r="AG455" s="52"/>
      <c r="AH455" s="52"/>
      <c r="AI455" s="52"/>
      <c r="AJ455" s="52"/>
      <c r="AK455" s="52"/>
      <c r="AL455" s="52"/>
      <c r="AM455" s="52"/>
      <c r="AN455" s="52"/>
      <c r="AO455" s="52"/>
      <c r="AP455" s="138"/>
      <c r="AQ455" s="138"/>
      <c r="AR455" s="52"/>
      <c r="AS455" s="52"/>
      <c r="AT455" s="52"/>
      <c r="AU455" s="139"/>
      <c r="AV455" s="140"/>
      <c r="AW455" s="141"/>
      <c r="AX455" s="52"/>
      <c r="AY455" s="52"/>
      <c r="AZ455" s="52"/>
      <c r="BA455" s="52"/>
      <c r="BB455" s="52"/>
    </row>
    <row r="456">
      <c r="A456" s="52"/>
      <c r="B456" s="133"/>
      <c r="C456" s="52"/>
      <c r="D456" s="52"/>
      <c r="E456" s="52"/>
      <c r="F456" s="52"/>
      <c r="G456" s="135"/>
      <c r="H456" s="36"/>
      <c r="I456" s="52"/>
      <c r="J456" s="136"/>
      <c r="K456" s="136"/>
      <c r="L456" s="136"/>
      <c r="M456" s="136"/>
      <c r="N456" s="52"/>
      <c r="O456" s="52"/>
      <c r="P456" s="52"/>
      <c r="Q456" s="52"/>
      <c r="R456" s="52"/>
      <c r="S456" s="52"/>
      <c r="T456" s="52"/>
      <c r="U456" s="52"/>
      <c r="V456" s="52"/>
      <c r="W456" s="52"/>
      <c r="X456" s="52"/>
      <c r="Y456" s="52"/>
      <c r="Z456" s="52"/>
      <c r="AA456" s="52"/>
      <c r="AB456" s="52"/>
      <c r="AC456" s="52"/>
      <c r="AD456" s="52"/>
      <c r="AE456" s="52"/>
      <c r="AF456" s="52"/>
      <c r="AG456" s="52"/>
      <c r="AH456" s="52"/>
      <c r="AI456" s="52"/>
      <c r="AJ456" s="52"/>
      <c r="AK456" s="52"/>
      <c r="AL456" s="52"/>
      <c r="AM456" s="52"/>
      <c r="AN456" s="52"/>
      <c r="AO456" s="52"/>
      <c r="AP456" s="138"/>
      <c r="AQ456" s="138"/>
      <c r="AR456" s="52"/>
      <c r="AS456" s="52"/>
      <c r="AT456" s="52"/>
      <c r="AU456" s="139"/>
      <c r="AV456" s="140"/>
      <c r="AW456" s="141"/>
      <c r="AX456" s="52"/>
      <c r="AY456" s="52"/>
      <c r="AZ456" s="52"/>
      <c r="BA456" s="52"/>
      <c r="BB456" s="52"/>
    </row>
    <row r="457">
      <c r="A457" s="52"/>
      <c r="B457" s="133"/>
      <c r="C457" s="52"/>
      <c r="D457" s="52"/>
      <c r="E457" s="52"/>
      <c r="F457" s="52"/>
      <c r="G457" s="135"/>
      <c r="H457" s="36"/>
      <c r="I457" s="52"/>
      <c r="J457" s="136"/>
      <c r="K457" s="136"/>
      <c r="L457" s="136"/>
      <c r="M457" s="136"/>
      <c r="N457" s="52"/>
      <c r="O457" s="52"/>
      <c r="P457" s="52"/>
      <c r="Q457" s="52"/>
      <c r="R457" s="52"/>
      <c r="S457" s="52"/>
      <c r="T457" s="52"/>
      <c r="U457" s="52"/>
      <c r="V457" s="52"/>
      <c r="W457" s="52"/>
      <c r="X457" s="52"/>
      <c r="Y457" s="52"/>
      <c r="Z457" s="52"/>
      <c r="AA457" s="52"/>
      <c r="AB457" s="52"/>
      <c r="AC457" s="52"/>
      <c r="AD457" s="52"/>
      <c r="AE457" s="52"/>
      <c r="AF457" s="52"/>
      <c r="AG457" s="52"/>
      <c r="AH457" s="52"/>
      <c r="AI457" s="52"/>
      <c r="AJ457" s="52"/>
      <c r="AK457" s="52"/>
      <c r="AL457" s="52"/>
      <c r="AM457" s="52"/>
      <c r="AN457" s="52"/>
      <c r="AO457" s="52"/>
      <c r="AP457" s="138"/>
      <c r="AQ457" s="138"/>
      <c r="AR457" s="52"/>
      <c r="AS457" s="52"/>
      <c r="AT457" s="52"/>
      <c r="AU457" s="139"/>
      <c r="AV457" s="140"/>
      <c r="AW457" s="141"/>
      <c r="AX457" s="52"/>
      <c r="AY457" s="52"/>
      <c r="AZ457" s="52"/>
      <c r="BA457" s="52"/>
      <c r="BB457" s="52"/>
    </row>
    <row r="458">
      <c r="A458" s="52"/>
      <c r="B458" s="133"/>
      <c r="C458" s="52"/>
      <c r="D458" s="52"/>
      <c r="E458" s="52"/>
      <c r="F458" s="52"/>
      <c r="G458" s="135"/>
      <c r="H458" s="36"/>
      <c r="I458" s="52"/>
      <c r="J458" s="136"/>
      <c r="K458" s="136"/>
      <c r="L458" s="136"/>
      <c r="M458" s="136"/>
      <c r="N458" s="52"/>
      <c r="O458" s="52"/>
      <c r="P458" s="52"/>
      <c r="Q458" s="52"/>
      <c r="R458" s="52"/>
      <c r="S458" s="52"/>
      <c r="T458" s="52"/>
      <c r="U458" s="52"/>
      <c r="V458" s="52"/>
      <c r="W458" s="52"/>
      <c r="X458" s="52"/>
      <c r="Y458" s="52"/>
      <c r="Z458" s="52"/>
      <c r="AA458" s="52"/>
      <c r="AB458" s="52"/>
      <c r="AC458" s="52"/>
      <c r="AD458" s="52"/>
      <c r="AE458" s="52"/>
      <c r="AF458" s="52"/>
      <c r="AG458" s="52"/>
      <c r="AH458" s="52"/>
      <c r="AI458" s="52"/>
      <c r="AJ458" s="52"/>
      <c r="AK458" s="52"/>
      <c r="AL458" s="52"/>
      <c r="AM458" s="52"/>
      <c r="AN458" s="52"/>
      <c r="AO458" s="52"/>
      <c r="AP458" s="138"/>
      <c r="AQ458" s="138"/>
      <c r="AR458" s="52"/>
      <c r="AS458" s="52"/>
      <c r="AT458" s="52"/>
      <c r="AU458" s="139"/>
      <c r="AV458" s="138"/>
      <c r="AW458" s="141"/>
      <c r="AX458" s="52"/>
      <c r="AY458" s="52"/>
      <c r="AZ458" s="52"/>
      <c r="BA458" s="52"/>
      <c r="BB458" s="52"/>
    </row>
    <row r="459">
      <c r="A459" s="52"/>
      <c r="B459" s="133"/>
      <c r="C459" s="52"/>
      <c r="D459" s="52"/>
      <c r="E459" s="52"/>
      <c r="F459" s="52"/>
      <c r="G459" s="135"/>
      <c r="H459" s="36"/>
      <c r="I459" s="52"/>
      <c r="J459" s="136"/>
      <c r="K459" s="136"/>
      <c r="L459" s="136"/>
      <c r="M459" s="136"/>
      <c r="N459" s="52"/>
      <c r="O459" s="52"/>
      <c r="P459" s="52"/>
      <c r="Q459" s="52"/>
      <c r="R459" s="52"/>
      <c r="S459" s="52"/>
      <c r="T459" s="52"/>
      <c r="U459" s="52"/>
      <c r="V459" s="52"/>
      <c r="W459" s="52"/>
      <c r="X459" s="52"/>
      <c r="Y459" s="52"/>
      <c r="Z459" s="52"/>
      <c r="AA459" s="52"/>
      <c r="AB459" s="52"/>
      <c r="AC459" s="52"/>
      <c r="AD459" s="52"/>
      <c r="AE459" s="52"/>
      <c r="AF459" s="52"/>
      <c r="AG459" s="52"/>
      <c r="AH459" s="52"/>
      <c r="AI459" s="52"/>
      <c r="AJ459" s="52"/>
      <c r="AK459" s="52"/>
      <c r="AL459" s="52"/>
      <c r="AM459" s="52"/>
      <c r="AN459" s="52"/>
      <c r="AO459" s="52"/>
      <c r="AP459" s="138"/>
      <c r="AQ459" s="138"/>
      <c r="AR459" s="52"/>
      <c r="AS459" s="52"/>
      <c r="AT459" s="52"/>
      <c r="AU459" s="139"/>
      <c r="AV459" s="138"/>
      <c r="AW459" s="141"/>
      <c r="AX459" s="52"/>
      <c r="AY459" s="52"/>
      <c r="AZ459" s="52"/>
      <c r="BA459" s="52"/>
      <c r="BB459" s="52"/>
    </row>
    <row r="460">
      <c r="A460" s="52"/>
      <c r="B460" s="133"/>
      <c r="C460" s="52"/>
      <c r="D460" s="52"/>
      <c r="E460" s="52"/>
      <c r="F460" s="52"/>
      <c r="G460" s="135"/>
      <c r="H460" s="36"/>
      <c r="I460" s="52"/>
      <c r="J460" s="136"/>
      <c r="K460" s="136"/>
      <c r="L460" s="136"/>
      <c r="M460" s="136"/>
      <c r="N460" s="52"/>
      <c r="O460" s="52"/>
      <c r="P460" s="52"/>
      <c r="Q460" s="52"/>
      <c r="R460" s="52"/>
      <c r="S460" s="52"/>
      <c r="T460" s="52"/>
      <c r="U460" s="52"/>
      <c r="V460" s="52"/>
      <c r="W460" s="52"/>
      <c r="X460" s="52"/>
      <c r="Y460" s="52"/>
      <c r="Z460" s="52"/>
      <c r="AA460" s="52"/>
      <c r="AB460" s="52"/>
      <c r="AC460" s="52"/>
      <c r="AD460" s="52"/>
      <c r="AE460" s="52"/>
      <c r="AF460" s="52"/>
      <c r="AG460" s="52"/>
      <c r="AH460" s="52"/>
      <c r="AI460" s="52"/>
      <c r="AJ460" s="52"/>
      <c r="AK460" s="52"/>
      <c r="AL460" s="52"/>
      <c r="AM460" s="52"/>
      <c r="AN460" s="52"/>
      <c r="AO460" s="52"/>
      <c r="AP460" s="138"/>
      <c r="AQ460" s="138"/>
      <c r="AR460" s="52"/>
      <c r="AS460" s="52"/>
      <c r="AT460" s="52"/>
      <c r="AU460" s="139"/>
      <c r="AV460" s="138"/>
      <c r="AW460" s="141"/>
      <c r="AX460" s="52"/>
      <c r="AY460" s="52"/>
      <c r="AZ460" s="52"/>
      <c r="BA460" s="52"/>
      <c r="BB460" s="52"/>
    </row>
    <row r="461">
      <c r="A461" s="52"/>
      <c r="B461" s="133"/>
      <c r="C461" s="52"/>
      <c r="D461" s="52"/>
      <c r="E461" s="52"/>
      <c r="F461" s="52"/>
      <c r="G461" s="135"/>
      <c r="H461" s="36"/>
      <c r="I461" s="52"/>
      <c r="J461" s="136"/>
      <c r="K461" s="136"/>
      <c r="L461" s="136"/>
      <c r="M461" s="136"/>
      <c r="N461" s="52"/>
      <c r="O461" s="52"/>
      <c r="P461" s="52"/>
      <c r="Q461" s="52"/>
      <c r="R461" s="52"/>
      <c r="S461" s="52"/>
      <c r="T461" s="52"/>
      <c r="U461" s="52"/>
      <c r="V461" s="52"/>
      <c r="W461" s="52"/>
      <c r="X461" s="52"/>
      <c r="Y461" s="52"/>
      <c r="Z461" s="52"/>
      <c r="AA461" s="52"/>
      <c r="AB461" s="52"/>
      <c r="AC461" s="52"/>
      <c r="AD461" s="52"/>
      <c r="AE461" s="52"/>
      <c r="AF461" s="52"/>
      <c r="AG461" s="52"/>
      <c r="AH461" s="52"/>
      <c r="AI461" s="52"/>
      <c r="AJ461" s="52"/>
      <c r="AK461" s="52"/>
      <c r="AL461" s="52"/>
      <c r="AM461" s="52"/>
      <c r="AN461" s="52"/>
      <c r="AO461" s="52"/>
      <c r="AP461" s="138"/>
      <c r="AQ461" s="138"/>
      <c r="AR461" s="52"/>
      <c r="AS461" s="52"/>
      <c r="AT461" s="52"/>
      <c r="AU461" s="139"/>
      <c r="AV461" s="138"/>
      <c r="AW461" s="141"/>
      <c r="AX461" s="52"/>
      <c r="AY461" s="52"/>
      <c r="AZ461" s="52"/>
      <c r="BA461" s="52"/>
      <c r="BB461" s="52"/>
    </row>
    <row r="462">
      <c r="A462" s="52"/>
      <c r="B462" s="133"/>
      <c r="C462" s="52"/>
      <c r="D462" s="52"/>
      <c r="E462" s="52"/>
      <c r="F462" s="52"/>
      <c r="G462" s="135"/>
      <c r="H462" s="36"/>
      <c r="I462" s="52"/>
      <c r="J462" s="136"/>
      <c r="K462" s="136"/>
      <c r="L462" s="136"/>
      <c r="M462" s="136"/>
      <c r="N462" s="52"/>
      <c r="O462" s="52"/>
      <c r="P462" s="52"/>
      <c r="Q462" s="52"/>
      <c r="R462" s="52"/>
      <c r="S462" s="52"/>
      <c r="T462" s="52"/>
      <c r="U462" s="52"/>
      <c r="V462" s="52"/>
      <c r="W462" s="52"/>
      <c r="X462" s="52"/>
      <c r="Y462" s="52"/>
      <c r="Z462" s="52"/>
      <c r="AA462" s="52"/>
      <c r="AB462" s="52"/>
      <c r="AC462" s="52"/>
      <c r="AD462" s="52"/>
      <c r="AE462" s="52"/>
      <c r="AF462" s="52"/>
      <c r="AG462" s="52"/>
      <c r="AH462" s="52"/>
      <c r="AI462" s="52"/>
      <c r="AJ462" s="52"/>
      <c r="AK462" s="52"/>
      <c r="AL462" s="52"/>
      <c r="AM462" s="52"/>
      <c r="AN462" s="52"/>
      <c r="AO462" s="52"/>
      <c r="AP462" s="138"/>
      <c r="AQ462" s="138"/>
      <c r="AR462" s="52"/>
      <c r="AS462" s="52"/>
      <c r="AT462" s="52"/>
      <c r="AU462" s="139"/>
      <c r="AV462" s="138"/>
      <c r="AW462" s="141"/>
      <c r="AX462" s="52"/>
      <c r="AY462" s="52"/>
      <c r="AZ462" s="52"/>
      <c r="BA462" s="52"/>
      <c r="BB462" s="52"/>
    </row>
    <row r="463">
      <c r="A463" s="52"/>
      <c r="B463" s="133"/>
      <c r="C463" s="52"/>
      <c r="D463" s="52"/>
      <c r="E463" s="52"/>
      <c r="F463" s="52"/>
      <c r="G463" s="135"/>
      <c r="H463" s="36"/>
      <c r="I463" s="52"/>
      <c r="J463" s="136"/>
      <c r="K463" s="136"/>
      <c r="L463" s="136"/>
      <c r="M463" s="136"/>
      <c r="N463" s="52"/>
      <c r="O463" s="52"/>
      <c r="P463" s="52"/>
      <c r="Q463" s="52"/>
      <c r="R463" s="52"/>
      <c r="S463" s="52"/>
      <c r="T463" s="52"/>
      <c r="U463" s="52"/>
      <c r="V463" s="52"/>
      <c r="W463" s="52"/>
      <c r="X463" s="52"/>
      <c r="Y463" s="52"/>
      <c r="Z463" s="52"/>
      <c r="AA463" s="52"/>
      <c r="AB463" s="52"/>
      <c r="AC463" s="52"/>
      <c r="AD463" s="52"/>
      <c r="AE463" s="52"/>
      <c r="AF463" s="52"/>
      <c r="AG463" s="52"/>
      <c r="AH463" s="52"/>
      <c r="AI463" s="52"/>
      <c r="AJ463" s="52"/>
      <c r="AK463" s="52"/>
      <c r="AL463" s="52"/>
      <c r="AM463" s="52"/>
      <c r="AN463" s="52"/>
      <c r="AO463" s="52"/>
      <c r="AP463" s="138"/>
      <c r="AQ463" s="138"/>
      <c r="AR463" s="52"/>
      <c r="AS463" s="52"/>
      <c r="AT463" s="52"/>
      <c r="AU463" s="139"/>
      <c r="AV463" s="138"/>
      <c r="AW463" s="141"/>
      <c r="AX463" s="52"/>
      <c r="AY463" s="52"/>
      <c r="AZ463" s="52"/>
      <c r="BA463" s="52"/>
      <c r="BB463" s="52"/>
    </row>
    <row r="464">
      <c r="A464" s="52"/>
      <c r="B464" s="133"/>
      <c r="C464" s="52"/>
      <c r="D464" s="52"/>
      <c r="E464" s="52"/>
      <c r="F464" s="52"/>
      <c r="G464" s="135"/>
      <c r="H464" s="36"/>
      <c r="I464" s="52"/>
      <c r="J464" s="136"/>
      <c r="K464" s="136"/>
      <c r="L464" s="136"/>
      <c r="M464" s="136"/>
      <c r="N464" s="52"/>
      <c r="O464" s="52"/>
      <c r="P464" s="52"/>
      <c r="Q464" s="52"/>
      <c r="R464" s="52"/>
      <c r="S464" s="52"/>
      <c r="T464" s="52"/>
      <c r="U464" s="52"/>
      <c r="V464" s="52"/>
      <c r="W464" s="52"/>
      <c r="X464" s="52"/>
      <c r="Y464" s="52"/>
      <c r="Z464" s="52"/>
      <c r="AA464" s="52"/>
      <c r="AB464" s="52"/>
      <c r="AC464" s="52"/>
      <c r="AD464" s="52"/>
      <c r="AE464" s="52"/>
      <c r="AF464" s="52"/>
      <c r="AG464" s="52"/>
      <c r="AH464" s="52"/>
      <c r="AI464" s="52"/>
      <c r="AJ464" s="52"/>
      <c r="AK464" s="52"/>
      <c r="AL464" s="52"/>
      <c r="AM464" s="52"/>
      <c r="AN464" s="52"/>
      <c r="AO464" s="52"/>
      <c r="AP464" s="138"/>
      <c r="AQ464" s="138"/>
      <c r="AR464" s="52"/>
      <c r="AS464" s="52"/>
      <c r="AT464" s="52"/>
      <c r="AU464" s="139"/>
      <c r="AV464" s="138"/>
      <c r="AW464" s="141"/>
      <c r="AX464" s="52"/>
      <c r="AY464" s="52"/>
      <c r="AZ464" s="52"/>
      <c r="BA464" s="52"/>
      <c r="BB464" s="52"/>
    </row>
    <row r="465">
      <c r="A465" s="52"/>
      <c r="B465" s="133"/>
      <c r="C465" s="52"/>
      <c r="D465" s="52"/>
      <c r="E465" s="52"/>
      <c r="F465" s="52"/>
      <c r="G465" s="135"/>
      <c r="H465" s="36"/>
      <c r="I465" s="52"/>
      <c r="J465" s="136"/>
      <c r="K465" s="136"/>
      <c r="L465" s="136"/>
      <c r="M465" s="136"/>
      <c r="N465" s="52"/>
      <c r="O465" s="52"/>
      <c r="P465" s="52"/>
      <c r="Q465" s="52"/>
      <c r="R465" s="52"/>
      <c r="S465" s="52"/>
      <c r="T465" s="52"/>
      <c r="U465" s="52"/>
      <c r="V465" s="52"/>
      <c r="W465" s="52"/>
      <c r="X465" s="52"/>
      <c r="Y465" s="52"/>
      <c r="Z465" s="52"/>
      <c r="AA465" s="52"/>
      <c r="AB465" s="52"/>
      <c r="AC465" s="52"/>
      <c r="AD465" s="52"/>
      <c r="AE465" s="52"/>
      <c r="AF465" s="52"/>
      <c r="AG465" s="52"/>
      <c r="AH465" s="52"/>
      <c r="AI465" s="52"/>
      <c r="AJ465" s="52"/>
      <c r="AK465" s="52"/>
      <c r="AL465" s="52"/>
      <c r="AM465" s="52"/>
      <c r="AN465" s="52"/>
      <c r="AO465" s="52"/>
      <c r="AP465" s="138"/>
      <c r="AQ465" s="138"/>
      <c r="AR465" s="52"/>
      <c r="AS465" s="52"/>
      <c r="AT465" s="52"/>
      <c r="AU465" s="139"/>
      <c r="AV465" s="138"/>
      <c r="AW465" s="141"/>
      <c r="AX465" s="52"/>
      <c r="AY465" s="52"/>
      <c r="AZ465" s="52"/>
      <c r="BA465" s="52"/>
      <c r="BB465" s="52"/>
    </row>
    <row r="466">
      <c r="A466" s="52"/>
      <c r="B466" s="133"/>
      <c r="C466" s="52"/>
      <c r="D466" s="52"/>
      <c r="E466" s="52"/>
      <c r="F466" s="52"/>
      <c r="G466" s="135"/>
      <c r="H466" s="36"/>
      <c r="I466" s="52"/>
      <c r="J466" s="136"/>
      <c r="K466" s="136"/>
      <c r="L466" s="136"/>
      <c r="M466" s="136"/>
      <c r="N466" s="52"/>
      <c r="O466" s="52"/>
      <c r="P466" s="52"/>
      <c r="Q466" s="52"/>
      <c r="R466" s="52"/>
      <c r="S466" s="52"/>
      <c r="T466" s="52"/>
      <c r="U466" s="52"/>
      <c r="V466" s="52"/>
      <c r="W466" s="52"/>
      <c r="X466" s="52"/>
      <c r="Y466" s="52"/>
      <c r="Z466" s="52"/>
      <c r="AA466" s="52"/>
      <c r="AB466" s="52"/>
      <c r="AC466" s="52"/>
      <c r="AD466" s="52"/>
      <c r="AE466" s="52"/>
      <c r="AF466" s="52"/>
      <c r="AG466" s="52"/>
      <c r="AH466" s="52"/>
      <c r="AI466" s="52"/>
      <c r="AJ466" s="52"/>
      <c r="AK466" s="52"/>
      <c r="AL466" s="52"/>
      <c r="AM466" s="52"/>
      <c r="AN466" s="52"/>
      <c r="AO466" s="52"/>
      <c r="AP466" s="138"/>
      <c r="AQ466" s="138"/>
      <c r="AR466" s="52"/>
      <c r="AS466" s="52"/>
      <c r="AT466" s="52"/>
      <c r="AU466" s="139"/>
      <c r="AV466" s="138"/>
      <c r="AW466" s="141"/>
      <c r="AX466" s="52"/>
      <c r="AY466" s="52"/>
      <c r="AZ466" s="52"/>
      <c r="BA466" s="52"/>
      <c r="BB466" s="52"/>
    </row>
    <row r="467">
      <c r="A467" s="52"/>
      <c r="B467" s="133"/>
      <c r="C467" s="52"/>
      <c r="D467" s="52"/>
      <c r="E467" s="52"/>
      <c r="F467" s="52"/>
      <c r="G467" s="135"/>
      <c r="H467" s="36"/>
      <c r="I467" s="52"/>
      <c r="J467" s="136"/>
      <c r="K467" s="136"/>
      <c r="L467" s="136"/>
      <c r="M467" s="136"/>
      <c r="N467" s="52"/>
      <c r="O467" s="52"/>
      <c r="P467" s="52"/>
      <c r="Q467" s="52"/>
      <c r="R467" s="52"/>
      <c r="S467" s="52"/>
      <c r="T467" s="52"/>
      <c r="U467" s="52"/>
      <c r="V467" s="52"/>
      <c r="W467" s="52"/>
      <c r="X467" s="52"/>
      <c r="Y467" s="52"/>
      <c r="Z467" s="52"/>
      <c r="AA467" s="52"/>
      <c r="AB467" s="52"/>
      <c r="AC467" s="52"/>
      <c r="AD467" s="52"/>
      <c r="AE467" s="52"/>
      <c r="AF467" s="52"/>
      <c r="AG467" s="52"/>
      <c r="AH467" s="52"/>
      <c r="AI467" s="52"/>
      <c r="AJ467" s="52"/>
      <c r="AK467" s="52"/>
      <c r="AL467" s="52"/>
      <c r="AM467" s="52"/>
      <c r="AN467" s="52"/>
      <c r="AO467" s="52"/>
      <c r="AP467" s="138"/>
      <c r="AQ467" s="138"/>
      <c r="AR467" s="52"/>
      <c r="AS467" s="52"/>
      <c r="AT467" s="52"/>
      <c r="AU467" s="139"/>
      <c r="AV467" s="138"/>
      <c r="AW467" s="141"/>
      <c r="AX467" s="52"/>
      <c r="AY467" s="52"/>
      <c r="AZ467" s="52"/>
      <c r="BA467" s="52"/>
      <c r="BB467" s="52"/>
    </row>
    <row r="468">
      <c r="A468" s="52"/>
      <c r="B468" s="133"/>
      <c r="C468" s="52"/>
      <c r="D468" s="52"/>
      <c r="E468" s="52"/>
      <c r="F468" s="52"/>
      <c r="G468" s="135"/>
      <c r="H468" s="36"/>
      <c r="I468" s="52"/>
      <c r="J468" s="136"/>
      <c r="K468" s="136"/>
      <c r="L468" s="136"/>
      <c r="M468" s="136"/>
      <c r="N468" s="52"/>
      <c r="O468" s="52"/>
      <c r="P468" s="52"/>
      <c r="Q468" s="52"/>
      <c r="R468" s="52"/>
      <c r="S468" s="52"/>
      <c r="T468" s="52"/>
      <c r="U468" s="52"/>
      <c r="V468" s="52"/>
      <c r="W468" s="52"/>
      <c r="X468" s="52"/>
      <c r="Y468" s="52"/>
      <c r="Z468" s="52"/>
      <c r="AA468" s="52"/>
      <c r="AB468" s="52"/>
      <c r="AC468" s="52"/>
      <c r="AD468" s="52"/>
      <c r="AE468" s="52"/>
      <c r="AF468" s="52"/>
      <c r="AG468" s="52"/>
      <c r="AH468" s="52"/>
      <c r="AI468" s="52"/>
      <c r="AJ468" s="52"/>
      <c r="AK468" s="52"/>
      <c r="AL468" s="52"/>
      <c r="AM468" s="52"/>
      <c r="AN468" s="52"/>
      <c r="AO468" s="52"/>
      <c r="AP468" s="138"/>
      <c r="AQ468" s="138"/>
      <c r="AR468" s="52"/>
      <c r="AS468" s="52"/>
      <c r="AT468" s="52"/>
      <c r="AU468" s="139"/>
      <c r="AV468" s="138"/>
      <c r="AW468" s="141"/>
      <c r="AX468" s="52"/>
      <c r="AY468" s="52"/>
      <c r="AZ468" s="52"/>
      <c r="BA468" s="52"/>
      <c r="BB468" s="52"/>
    </row>
    <row r="469">
      <c r="A469" s="52"/>
      <c r="B469" s="133"/>
      <c r="C469" s="52"/>
      <c r="D469" s="52"/>
      <c r="E469" s="52"/>
      <c r="F469" s="52"/>
      <c r="G469" s="135"/>
      <c r="H469" s="36"/>
      <c r="I469" s="52"/>
      <c r="J469" s="136"/>
      <c r="K469" s="136"/>
      <c r="L469" s="136"/>
      <c r="M469" s="136"/>
      <c r="N469" s="52"/>
      <c r="O469" s="52"/>
      <c r="P469" s="52"/>
      <c r="Q469" s="52"/>
      <c r="R469" s="52"/>
      <c r="S469" s="52"/>
      <c r="T469" s="52"/>
      <c r="U469" s="52"/>
      <c r="V469" s="52"/>
      <c r="W469" s="52"/>
      <c r="X469" s="52"/>
      <c r="Y469" s="52"/>
      <c r="Z469" s="52"/>
      <c r="AA469" s="52"/>
      <c r="AB469" s="52"/>
      <c r="AC469" s="52"/>
      <c r="AD469" s="52"/>
      <c r="AE469" s="52"/>
      <c r="AF469" s="52"/>
      <c r="AG469" s="52"/>
      <c r="AH469" s="52"/>
      <c r="AI469" s="52"/>
      <c r="AJ469" s="52"/>
      <c r="AK469" s="52"/>
      <c r="AL469" s="52"/>
      <c r="AM469" s="52"/>
      <c r="AN469" s="52"/>
      <c r="AO469" s="52"/>
      <c r="AP469" s="138"/>
      <c r="AQ469" s="138"/>
      <c r="AR469" s="52"/>
      <c r="AS469" s="52"/>
      <c r="AT469" s="52"/>
      <c r="AU469" s="139"/>
      <c r="AV469" s="138"/>
      <c r="AW469" s="141"/>
      <c r="AX469" s="52"/>
      <c r="AY469" s="52"/>
      <c r="AZ469" s="52"/>
      <c r="BA469" s="52"/>
      <c r="BB469" s="52"/>
    </row>
    <row r="470">
      <c r="A470" s="52"/>
      <c r="B470" s="133"/>
      <c r="C470" s="52"/>
      <c r="D470" s="52"/>
      <c r="E470" s="52"/>
      <c r="F470" s="52"/>
      <c r="G470" s="135"/>
      <c r="H470" s="52"/>
      <c r="I470" s="52"/>
      <c r="J470" s="136"/>
      <c r="K470" s="136"/>
      <c r="L470" s="136"/>
      <c r="M470" s="136"/>
      <c r="N470" s="52"/>
      <c r="O470" s="52"/>
      <c r="P470" s="52"/>
      <c r="Q470" s="52"/>
      <c r="R470" s="52"/>
      <c r="S470" s="52"/>
      <c r="T470" s="52"/>
      <c r="U470" s="52"/>
      <c r="V470" s="52"/>
      <c r="W470" s="52"/>
      <c r="X470" s="52"/>
      <c r="Y470" s="52"/>
      <c r="Z470" s="52"/>
      <c r="AA470" s="52"/>
      <c r="AB470" s="52"/>
      <c r="AC470" s="52"/>
      <c r="AD470" s="52"/>
      <c r="AE470" s="52"/>
      <c r="AF470" s="52"/>
      <c r="AG470" s="52"/>
      <c r="AH470" s="52"/>
      <c r="AI470" s="52"/>
      <c r="AJ470" s="52"/>
      <c r="AK470" s="52"/>
      <c r="AL470" s="52"/>
      <c r="AM470" s="52"/>
      <c r="AN470" s="52"/>
      <c r="AO470" s="52"/>
      <c r="AP470" s="138"/>
      <c r="AQ470" s="138"/>
      <c r="AR470" s="52"/>
      <c r="AS470" s="52"/>
      <c r="AT470" s="52"/>
      <c r="AU470" s="139"/>
      <c r="AV470" s="138"/>
      <c r="AW470" s="141"/>
      <c r="AX470" s="52"/>
      <c r="AY470" s="52"/>
      <c r="AZ470" s="52"/>
      <c r="BA470" s="52"/>
      <c r="BB470" s="52"/>
    </row>
    <row r="471">
      <c r="A471" s="52"/>
      <c r="B471" s="133"/>
      <c r="C471" s="52"/>
      <c r="D471" s="52"/>
      <c r="E471" s="52"/>
      <c r="F471" s="52"/>
      <c r="G471" s="135"/>
      <c r="H471" s="52"/>
      <c r="I471" s="52"/>
      <c r="J471" s="136"/>
      <c r="K471" s="136"/>
      <c r="L471" s="136"/>
      <c r="M471" s="136"/>
      <c r="N471" s="52"/>
      <c r="O471" s="52"/>
      <c r="P471" s="52"/>
      <c r="Q471" s="52"/>
      <c r="R471" s="52"/>
      <c r="S471" s="52"/>
      <c r="T471" s="52"/>
      <c r="U471" s="52"/>
      <c r="V471" s="52"/>
      <c r="W471" s="52"/>
      <c r="X471" s="52"/>
      <c r="Y471" s="52"/>
      <c r="Z471" s="52"/>
      <c r="AA471" s="52"/>
      <c r="AB471" s="52"/>
      <c r="AC471" s="52"/>
      <c r="AD471" s="52"/>
      <c r="AE471" s="52"/>
      <c r="AF471" s="52"/>
      <c r="AG471" s="52"/>
      <c r="AH471" s="52"/>
      <c r="AI471" s="52"/>
      <c r="AJ471" s="52"/>
      <c r="AK471" s="52"/>
      <c r="AL471" s="52"/>
      <c r="AM471" s="52"/>
      <c r="AN471" s="52"/>
      <c r="AO471" s="52"/>
      <c r="AP471" s="138"/>
      <c r="AQ471" s="138"/>
      <c r="AR471" s="52"/>
      <c r="AS471" s="52"/>
      <c r="AT471" s="52"/>
      <c r="AU471" s="139"/>
      <c r="AV471" s="138"/>
      <c r="AW471" s="141"/>
      <c r="AX471" s="52"/>
      <c r="AY471" s="52"/>
      <c r="AZ471" s="52"/>
      <c r="BA471" s="52"/>
      <c r="BB471" s="52"/>
    </row>
    <row r="472">
      <c r="A472" s="52"/>
      <c r="B472" s="133"/>
      <c r="C472" s="52"/>
      <c r="D472" s="52"/>
      <c r="E472" s="52"/>
      <c r="F472" s="52"/>
      <c r="G472" s="135"/>
      <c r="H472" s="52"/>
      <c r="I472" s="52"/>
      <c r="J472" s="136"/>
      <c r="K472" s="136"/>
      <c r="L472" s="136"/>
      <c r="M472" s="136"/>
      <c r="N472" s="52"/>
      <c r="O472" s="52"/>
      <c r="P472" s="52"/>
      <c r="Q472" s="52"/>
      <c r="R472" s="52"/>
      <c r="S472" s="52"/>
      <c r="T472" s="52"/>
      <c r="U472" s="52"/>
      <c r="V472" s="52"/>
      <c r="W472" s="52"/>
      <c r="X472" s="52"/>
      <c r="Y472" s="52"/>
      <c r="Z472" s="52"/>
      <c r="AA472" s="52"/>
      <c r="AB472" s="52"/>
      <c r="AC472" s="52"/>
      <c r="AD472" s="52"/>
      <c r="AE472" s="52"/>
      <c r="AF472" s="52"/>
      <c r="AG472" s="52"/>
      <c r="AH472" s="52"/>
      <c r="AI472" s="52"/>
      <c r="AJ472" s="52"/>
      <c r="AK472" s="52"/>
      <c r="AL472" s="52"/>
      <c r="AM472" s="52"/>
      <c r="AN472" s="52"/>
      <c r="AO472" s="52"/>
      <c r="AP472" s="138"/>
      <c r="AQ472" s="138"/>
      <c r="AR472" s="52"/>
      <c r="AS472" s="52"/>
      <c r="AT472" s="52"/>
      <c r="AU472" s="139"/>
      <c r="AV472" s="138"/>
      <c r="AW472" s="141"/>
      <c r="AX472" s="52"/>
      <c r="AY472" s="52"/>
      <c r="AZ472" s="52"/>
      <c r="BA472" s="52"/>
      <c r="BB472" s="52"/>
    </row>
    <row r="473">
      <c r="A473" s="52"/>
      <c r="B473" s="133"/>
      <c r="C473" s="52"/>
      <c r="D473" s="52"/>
      <c r="E473" s="52"/>
      <c r="F473" s="52"/>
      <c r="G473" s="135"/>
      <c r="H473" s="52"/>
      <c r="I473" s="52"/>
      <c r="J473" s="136"/>
      <c r="K473" s="136"/>
      <c r="L473" s="136"/>
      <c r="M473" s="136"/>
      <c r="N473" s="52"/>
      <c r="O473" s="52"/>
      <c r="P473" s="52"/>
      <c r="Q473" s="52"/>
      <c r="R473" s="52"/>
      <c r="S473" s="52"/>
      <c r="T473" s="52"/>
      <c r="U473" s="52"/>
      <c r="V473" s="52"/>
      <c r="W473" s="52"/>
      <c r="X473" s="52"/>
      <c r="Y473" s="52"/>
      <c r="Z473" s="52"/>
      <c r="AA473" s="52"/>
      <c r="AB473" s="52"/>
      <c r="AC473" s="52"/>
      <c r="AD473" s="52"/>
      <c r="AE473" s="52"/>
      <c r="AF473" s="52"/>
      <c r="AG473" s="52"/>
      <c r="AH473" s="52"/>
      <c r="AI473" s="52"/>
      <c r="AJ473" s="52"/>
      <c r="AK473" s="52"/>
      <c r="AL473" s="52"/>
      <c r="AM473" s="52"/>
      <c r="AN473" s="52"/>
      <c r="AO473" s="52"/>
      <c r="AP473" s="138"/>
      <c r="AQ473" s="138"/>
      <c r="AR473" s="52"/>
      <c r="AS473" s="52"/>
      <c r="AT473" s="52"/>
      <c r="AU473" s="139"/>
      <c r="AV473" s="138"/>
      <c r="AW473" s="141"/>
      <c r="AX473" s="52"/>
      <c r="AY473" s="52"/>
      <c r="AZ473" s="52"/>
      <c r="BA473" s="52"/>
      <c r="BB473" s="52"/>
    </row>
    <row r="474">
      <c r="A474" s="52"/>
      <c r="B474" s="133"/>
      <c r="C474" s="52"/>
      <c r="D474" s="52"/>
      <c r="E474" s="52"/>
      <c r="F474" s="52"/>
      <c r="G474" s="135"/>
      <c r="H474" s="52"/>
      <c r="I474" s="52"/>
      <c r="J474" s="136"/>
      <c r="K474" s="136"/>
      <c r="L474" s="136"/>
      <c r="M474" s="136"/>
      <c r="N474" s="52"/>
      <c r="O474" s="52"/>
      <c r="P474" s="52"/>
      <c r="Q474" s="52"/>
      <c r="R474" s="52"/>
      <c r="S474" s="52"/>
      <c r="T474" s="52"/>
      <c r="U474" s="52"/>
      <c r="V474" s="52"/>
      <c r="W474" s="52"/>
      <c r="X474" s="52"/>
      <c r="Y474" s="52"/>
      <c r="Z474" s="52"/>
      <c r="AA474" s="52"/>
      <c r="AB474" s="52"/>
      <c r="AC474" s="52"/>
      <c r="AD474" s="52"/>
      <c r="AE474" s="52"/>
      <c r="AF474" s="52"/>
      <c r="AG474" s="52"/>
      <c r="AH474" s="52"/>
      <c r="AI474" s="52"/>
      <c r="AJ474" s="52"/>
      <c r="AK474" s="52"/>
      <c r="AL474" s="52"/>
      <c r="AM474" s="52"/>
      <c r="AN474" s="52"/>
      <c r="AO474" s="52"/>
      <c r="AP474" s="138"/>
      <c r="AQ474" s="138"/>
      <c r="AR474" s="52"/>
      <c r="AS474" s="52"/>
      <c r="AT474" s="52"/>
      <c r="AU474" s="139"/>
      <c r="AV474" s="138"/>
      <c r="AW474" s="141"/>
      <c r="AX474" s="52"/>
      <c r="AY474" s="52"/>
      <c r="AZ474" s="52"/>
      <c r="BA474" s="52"/>
      <c r="BB474" s="52"/>
    </row>
    <row r="475">
      <c r="A475" s="52"/>
      <c r="B475" s="133"/>
      <c r="C475" s="52"/>
      <c r="D475" s="52"/>
      <c r="E475" s="52"/>
      <c r="F475" s="52"/>
      <c r="G475" s="135"/>
      <c r="H475" s="52"/>
      <c r="I475" s="52"/>
      <c r="J475" s="136"/>
      <c r="K475" s="136"/>
      <c r="L475" s="136"/>
      <c r="M475" s="136"/>
      <c r="N475" s="52"/>
      <c r="O475" s="52"/>
      <c r="P475" s="52"/>
      <c r="Q475" s="52"/>
      <c r="R475" s="52"/>
      <c r="S475" s="52"/>
      <c r="T475" s="52"/>
      <c r="U475" s="52"/>
      <c r="V475" s="52"/>
      <c r="W475" s="52"/>
      <c r="X475" s="52"/>
      <c r="Y475" s="52"/>
      <c r="Z475" s="52"/>
      <c r="AA475" s="52"/>
      <c r="AB475" s="52"/>
      <c r="AC475" s="52"/>
      <c r="AD475" s="52"/>
      <c r="AE475" s="52"/>
      <c r="AF475" s="52"/>
      <c r="AG475" s="52"/>
      <c r="AH475" s="52"/>
      <c r="AI475" s="52"/>
      <c r="AJ475" s="52"/>
      <c r="AK475" s="52"/>
      <c r="AL475" s="52"/>
      <c r="AM475" s="52"/>
      <c r="AN475" s="52"/>
      <c r="AO475" s="52"/>
      <c r="AP475" s="138"/>
      <c r="AQ475" s="138"/>
      <c r="AR475" s="52"/>
      <c r="AS475" s="52"/>
      <c r="AT475" s="52"/>
      <c r="AU475" s="139"/>
      <c r="AV475" s="138"/>
      <c r="AW475" s="141"/>
      <c r="AX475" s="52"/>
      <c r="AY475" s="52"/>
      <c r="AZ475" s="52"/>
      <c r="BA475" s="52"/>
      <c r="BB475" s="52"/>
    </row>
    <row r="476">
      <c r="A476" s="52"/>
      <c r="B476" s="133"/>
      <c r="C476" s="52"/>
      <c r="D476" s="52"/>
      <c r="E476" s="52"/>
      <c r="F476" s="52"/>
      <c r="G476" s="135"/>
      <c r="H476" s="52"/>
      <c r="I476" s="52"/>
      <c r="J476" s="136"/>
      <c r="K476" s="136"/>
      <c r="L476" s="136"/>
      <c r="M476" s="136"/>
      <c r="N476" s="52"/>
      <c r="O476" s="52"/>
      <c r="P476" s="52"/>
      <c r="Q476" s="52"/>
      <c r="R476" s="52"/>
      <c r="S476" s="52"/>
      <c r="T476" s="52"/>
      <c r="U476" s="52"/>
      <c r="V476" s="52"/>
      <c r="W476" s="52"/>
      <c r="X476" s="52"/>
      <c r="Y476" s="52"/>
      <c r="Z476" s="52"/>
      <c r="AA476" s="52"/>
      <c r="AB476" s="52"/>
      <c r="AC476" s="52"/>
      <c r="AD476" s="52"/>
      <c r="AE476" s="52"/>
      <c r="AF476" s="52"/>
      <c r="AG476" s="52"/>
      <c r="AH476" s="52"/>
      <c r="AI476" s="52"/>
      <c r="AJ476" s="52"/>
      <c r="AK476" s="52"/>
      <c r="AL476" s="52"/>
      <c r="AM476" s="52"/>
      <c r="AN476" s="52"/>
      <c r="AO476" s="52"/>
      <c r="AP476" s="138"/>
      <c r="AQ476" s="138"/>
      <c r="AR476" s="52"/>
      <c r="AS476" s="52"/>
      <c r="AT476" s="52"/>
      <c r="AU476" s="139"/>
      <c r="AV476" s="138"/>
      <c r="AW476" s="141"/>
      <c r="AX476" s="52"/>
      <c r="AY476" s="52"/>
      <c r="AZ476" s="52"/>
      <c r="BA476" s="52"/>
      <c r="BB476" s="52"/>
    </row>
    <row r="477">
      <c r="A477" s="52"/>
      <c r="B477" s="133"/>
      <c r="C477" s="52"/>
      <c r="D477" s="52"/>
      <c r="E477" s="52"/>
      <c r="F477" s="52"/>
      <c r="G477" s="135"/>
      <c r="H477" s="52"/>
      <c r="I477" s="52"/>
      <c r="J477" s="136"/>
      <c r="K477" s="136"/>
      <c r="L477" s="136"/>
      <c r="M477" s="136"/>
      <c r="N477" s="52"/>
      <c r="O477" s="52"/>
      <c r="P477" s="52"/>
      <c r="Q477" s="52"/>
      <c r="R477" s="52"/>
      <c r="S477" s="52"/>
      <c r="T477" s="52"/>
      <c r="U477" s="52"/>
      <c r="V477" s="52"/>
      <c r="W477" s="52"/>
      <c r="X477" s="52"/>
      <c r="Y477" s="52"/>
      <c r="Z477" s="52"/>
      <c r="AA477" s="52"/>
      <c r="AB477" s="52"/>
      <c r="AC477" s="52"/>
      <c r="AD477" s="52"/>
      <c r="AE477" s="52"/>
      <c r="AF477" s="52"/>
      <c r="AG477" s="52"/>
      <c r="AH477" s="52"/>
      <c r="AI477" s="52"/>
      <c r="AJ477" s="52"/>
      <c r="AK477" s="52"/>
      <c r="AL477" s="52"/>
      <c r="AM477" s="52"/>
      <c r="AN477" s="52"/>
      <c r="AO477" s="52"/>
      <c r="AP477" s="138"/>
      <c r="AQ477" s="138"/>
      <c r="AR477" s="52"/>
      <c r="AS477" s="52"/>
      <c r="AT477" s="52"/>
      <c r="AU477" s="139"/>
      <c r="AV477" s="138"/>
      <c r="AW477" s="141"/>
      <c r="AX477" s="52"/>
      <c r="AY477" s="52"/>
      <c r="AZ477" s="52"/>
      <c r="BA477" s="52"/>
      <c r="BB477" s="52"/>
    </row>
    <row r="478">
      <c r="A478" s="52"/>
      <c r="B478" s="133"/>
      <c r="C478" s="52"/>
      <c r="D478" s="52"/>
      <c r="E478" s="52"/>
      <c r="F478" s="52"/>
      <c r="G478" s="135"/>
      <c r="H478" s="52"/>
      <c r="I478" s="52"/>
      <c r="J478" s="136"/>
      <c r="K478" s="136"/>
      <c r="L478" s="136"/>
      <c r="M478" s="136"/>
      <c r="N478" s="52"/>
      <c r="O478" s="52"/>
      <c r="P478" s="52"/>
      <c r="Q478" s="52"/>
      <c r="R478" s="52"/>
      <c r="S478" s="52"/>
      <c r="T478" s="52"/>
      <c r="U478" s="52"/>
      <c r="V478" s="52"/>
      <c r="W478" s="52"/>
      <c r="X478" s="52"/>
      <c r="Y478" s="52"/>
      <c r="Z478" s="52"/>
      <c r="AA478" s="52"/>
      <c r="AB478" s="52"/>
      <c r="AC478" s="52"/>
      <c r="AD478" s="52"/>
      <c r="AE478" s="52"/>
      <c r="AF478" s="52"/>
      <c r="AG478" s="52"/>
      <c r="AH478" s="52"/>
      <c r="AI478" s="52"/>
      <c r="AJ478" s="52"/>
      <c r="AK478" s="52"/>
      <c r="AL478" s="52"/>
      <c r="AM478" s="52"/>
      <c r="AN478" s="52"/>
      <c r="AO478" s="52"/>
      <c r="AP478" s="138"/>
      <c r="AQ478" s="138"/>
      <c r="AR478" s="52"/>
      <c r="AS478" s="52"/>
      <c r="AT478" s="52"/>
      <c r="AU478" s="139"/>
      <c r="AV478" s="138"/>
      <c r="AW478" s="141"/>
      <c r="AX478" s="52"/>
      <c r="AY478" s="52"/>
      <c r="AZ478" s="52"/>
      <c r="BA478" s="52"/>
      <c r="BB478" s="52"/>
    </row>
    <row r="479">
      <c r="A479" s="52"/>
      <c r="B479" s="133"/>
      <c r="C479" s="52"/>
      <c r="D479" s="52"/>
      <c r="E479" s="52"/>
      <c r="F479" s="52"/>
      <c r="G479" s="135"/>
      <c r="H479" s="52"/>
      <c r="I479" s="52"/>
      <c r="J479" s="136"/>
      <c r="K479" s="136"/>
      <c r="L479" s="136"/>
      <c r="M479" s="136"/>
      <c r="N479" s="52"/>
      <c r="O479" s="52"/>
      <c r="P479" s="52"/>
      <c r="Q479" s="52"/>
      <c r="R479" s="52"/>
      <c r="S479" s="52"/>
      <c r="T479" s="52"/>
      <c r="U479" s="52"/>
      <c r="V479" s="52"/>
      <c r="W479" s="52"/>
      <c r="X479" s="52"/>
      <c r="Y479" s="52"/>
      <c r="Z479" s="52"/>
      <c r="AA479" s="52"/>
      <c r="AB479" s="52"/>
      <c r="AC479" s="52"/>
      <c r="AD479" s="52"/>
      <c r="AE479" s="52"/>
      <c r="AF479" s="52"/>
      <c r="AG479" s="52"/>
      <c r="AH479" s="52"/>
      <c r="AI479" s="52"/>
      <c r="AJ479" s="52"/>
      <c r="AK479" s="52"/>
      <c r="AL479" s="52"/>
      <c r="AM479" s="52"/>
      <c r="AN479" s="52"/>
      <c r="AO479" s="52"/>
      <c r="AP479" s="138"/>
      <c r="AQ479" s="138"/>
      <c r="AR479" s="52"/>
      <c r="AS479" s="52"/>
      <c r="AT479" s="52"/>
      <c r="AU479" s="139"/>
      <c r="AV479" s="138"/>
      <c r="AW479" s="141"/>
      <c r="AX479" s="52"/>
      <c r="AY479" s="52"/>
      <c r="AZ479" s="52"/>
      <c r="BA479" s="52"/>
      <c r="BB479" s="52"/>
    </row>
    <row r="480">
      <c r="A480" s="52"/>
      <c r="B480" s="133"/>
      <c r="C480" s="52"/>
      <c r="D480" s="52"/>
      <c r="E480" s="52"/>
      <c r="F480" s="52"/>
      <c r="G480" s="135"/>
      <c r="H480" s="52"/>
      <c r="I480" s="52"/>
      <c r="J480" s="136"/>
      <c r="K480" s="136"/>
      <c r="L480" s="136"/>
      <c r="M480" s="136"/>
      <c r="N480" s="52"/>
      <c r="O480" s="52"/>
      <c r="P480" s="52"/>
      <c r="Q480" s="52"/>
      <c r="R480" s="52"/>
      <c r="S480" s="52"/>
      <c r="T480" s="52"/>
      <c r="U480" s="52"/>
      <c r="V480" s="52"/>
      <c r="W480" s="52"/>
      <c r="X480" s="52"/>
      <c r="Y480" s="52"/>
      <c r="Z480" s="52"/>
      <c r="AA480" s="52"/>
      <c r="AB480" s="52"/>
      <c r="AC480" s="52"/>
      <c r="AD480" s="52"/>
      <c r="AE480" s="52"/>
      <c r="AF480" s="52"/>
      <c r="AG480" s="52"/>
      <c r="AH480" s="52"/>
      <c r="AI480" s="52"/>
      <c r="AJ480" s="52"/>
      <c r="AK480" s="52"/>
      <c r="AL480" s="52"/>
      <c r="AM480" s="52"/>
      <c r="AN480" s="52"/>
      <c r="AO480" s="52"/>
      <c r="AP480" s="138"/>
      <c r="AQ480" s="138"/>
      <c r="AR480" s="52"/>
      <c r="AS480" s="52"/>
      <c r="AT480" s="52"/>
      <c r="AU480" s="139"/>
      <c r="AV480" s="138"/>
      <c r="AW480" s="141"/>
      <c r="AX480" s="52"/>
      <c r="AY480" s="52"/>
      <c r="AZ480" s="52"/>
      <c r="BA480" s="52"/>
      <c r="BB480" s="52"/>
    </row>
    <row r="481">
      <c r="A481" s="52"/>
      <c r="B481" s="133"/>
      <c r="C481" s="52"/>
      <c r="D481" s="52"/>
      <c r="E481" s="52"/>
      <c r="F481" s="52"/>
      <c r="G481" s="135"/>
      <c r="H481" s="52"/>
      <c r="I481" s="52"/>
      <c r="J481" s="136"/>
      <c r="K481" s="136"/>
      <c r="L481" s="136"/>
      <c r="M481" s="136"/>
      <c r="N481" s="52"/>
      <c r="O481" s="52"/>
      <c r="P481" s="52"/>
      <c r="Q481" s="52"/>
      <c r="R481" s="52"/>
      <c r="S481" s="52"/>
      <c r="T481" s="52"/>
      <c r="U481" s="52"/>
      <c r="V481" s="52"/>
      <c r="W481" s="52"/>
      <c r="X481" s="52"/>
      <c r="Y481" s="52"/>
      <c r="Z481" s="52"/>
      <c r="AA481" s="52"/>
      <c r="AB481" s="52"/>
      <c r="AC481" s="52"/>
      <c r="AD481" s="52"/>
      <c r="AE481" s="52"/>
      <c r="AF481" s="52"/>
      <c r="AG481" s="52"/>
      <c r="AH481" s="52"/>
      <c r="AI481" s="52"/>
      <c r="AJ481" s="52"/>
      <c r="AK481" s="52"/>
      <c r="AL481" s="52"/>
      <c r="AM481" s="52"/>
      <c r="AN481" s="52"/>
      <c r="AO481" s="52"/>
      <c r="AP481" s="138"/>
      <c r="AQ481" s="138"/>
      <c r="AR481" s="52"/>
      <c r="AS481" s="52"/>
      <c r="AT481" s="52"/>
      <c r="AU481" s="139"/>
      <c r="AV481" s="138"/>
      <c r="AW481" s="141"/>
      <c r="AX481" s="52"/>
      <c r="AY481" s="52"/>
      <c r="AZ481" s="52"/>
      <c r="BA481" s="52"/>
      <c r="BB481" s="52"/>
    </row>
    <row r="482">
      <c r="A482" s="52"/>
      <c r="B482" s="133"/>
      <c r="C482" s="52"/>
      <c r="D482" s="52"/>
      <c r="E482" s="52"/>
      <c r="F482" s="52"/>
      <c r="G482" s="135"/>
      <c r="H482" s="52"/>
      <c r="I482" s="52"/>
      <c r="J482" s="136"/>
      <c r="K482" s="136"/>
      <c r="L482" s="136"/>
      <c r="M482" s="136"/>
      <c r="N482" s="52"/>
      <c r="O482" s="52"/>
      <c r="P482" s="52"/>
      <c r="Q482" s="52"/>
      <c r="R482" s="52"/>
      <c r="S482" s="52"/>
      <c r="T482" s="52"/>
      <c r="U482" s="52"/>
      <c r="V482" s="52"/>
      <c r="W482" s="52"/>
      <c r="X482" s="52"/>
      <c r="Y482" s="52"/>
      <c r="Z482" s="52"/>
      <c r="AA482" s="52"/>
      <c r="AB482" s="52"/>
      <c r="AC482" s="52"/>
      <c r="AD482" s="52"/>
      <c r="AE482" s="52"/>
      <c r="AF482" s="52"/>
      <c r="AG482" s="52"/>
      <c r="AH482" s="52"/>
      <c r="AI482" s="52"/>
      <c r="AJ482" s="52"/>
      <c r="AK482" s="52"/>
      <c r="AL482" s="52"/>
      <c r="AM482" s="52"/>
      <c r="AN482" s="52"/>
      <c r="AO482" s="52"/>
      <c r="AP482" s="138"/>
      <c r="AQ482" s="138"/>
      <c r="AR482" s="52"/>
      <c r="AS482" s="52"/>
      <c r="AT482" s="52"/>
      <c r="AU482" s="139"/>
      <c r="AV482" s="138"/>
      <c r="AW482" s="141"/>
      <c r="AX482" s="52"/>
      <c r="AY482" s="52"/>
      <c r="AZ482" s="52"/>
      <c r="BA482" s="52"/>
      <c r="BB482" s="52"/>
    </row>
    <row r="483">
      <c r="A483" s="52"/>
      <c r="B483" s="133"/>
      <c r="C483" s="52"/>
      <c r="D483" s="52"/>
      <c r="E483" s="52"/>
      <c r="F483" s="52"/>
      <c r="G483" s="135"/>
      <c r="H483" s="52"/>
      <c r="I483" s="52"/>
      <c r="J483" s="136"/>
      <c r="K483" s="136"/>
      <c r="L483" s="136"/>
      <c r="M483" s="136"/>
      <c r="N483" s="52"/>
      <c r="O483" s="52"/>
      <c r="P483" s="52"/>
      <c r="Q483" s="52"/>
      <c r="R483" s="52"/>
      <c r="S483" s="52"/>
      <c r="T483" s="52"/>
      <c r="U483" s="52"/>
      <c r="V483" s="52"/>
      <c r="W483" s="52"/>
      <c r="X483" s="52"/>
      <c r="Y483" s="52"/>
      <c r="Z483" s="52"/>
      <c r="AA483" s="52"/>
      <c r="AB483" s="52"/>
      <c r="AC483" s="52"/>
      <c r="AD483" s="52"/>
      <c r="AE483" s="52"/>
      <c r="AF483" s="52"/>
      <c r="AG483" s="52"/>
      <c r="AH483" s="52"/>
      <c r="AI483" s="52"/>
      <c r="AJ483" s="52"/>
      <c r="AK483" s="52"/>
      <c r="AL483" s="52"/>
      <c r="AM483" s="52"/>
      <c r="AN483" s="52"/>
      <c r="AO483" s="52"/>
      <c r="AP483" s="138"/>
      <c r="AQ483" s="138"/>
      <c r="AR483" s="52"/>
      <c r="AS483" s="52"/>
      <c r="AT483" s="52"/>
      <c r="AU483" s="139"/>
      <c r="AV483" s="138"/>
      <c r="AW483" s="141"/>
      <c r="AX483" s="52"/>
      <c r="AY483" s="52"/>
      <c r="AZ483" s="52"/>
      <c r="BA483" s="52"/>
      <c r="BB483" s="52"/>
    </row>
    <row r="484">
      <c r="A484" s="52"/>
      <c r="B484" s="133"/>
      <c r="C484" s="52"/>
      <c r="D484" s="52"/>
      <c r="E484" s="52"/>
      <c r="F484" s="52"/>
      <c r="G484" s="135"/>
      <c r="H484" s="52"/>
      <c r="I484" s="52"/>
      <c r="J484" s="136"/>
      <c r="K484" s="136"/>
      <c r="L484" s="136"/>
      <c r="M484" s="136"/>
      <c r="N484" s="52"/>
      <c r="O484" s="52"/>
      <c r="P484" s="52"/>
      <c r="Q484" s="52"/>
      <c r="R484" s="52"/>
      <c r="S484" s="52"/>
      <c r="T484" s="52"/>
      <c r="U484" s="52"/>
      <c r="V484" s="52"/>
      <c r="W484" s="52"/>
      <c r="X484" s="52"/>
      <c r="Y484" s="52"/>
      <c r="Z484" s="52"/>
      <c r="AA484" s="52"/>
      <c r="AB484" s="52"/>
      <c r="AC484" s="52"/>
      <c r="AD484" s="52"/>
      <c r="AE484" s="52"/>
      <c r="AF484" s="52"/>
      <c r="AG484" s="52"/>
      <c r="AH484" s="52"/>
      <c r="AI484" s="52"/>
      <c r="AJ484" s="52"/>
      <c r="AK484" s="52"/>
      <c r="AL484" s="52"/>
      <c r="AM484" s="52"/>
      <c r="AN484" s="52"/>
      <c r="AO484" s="52"/>
      <c r="AP484" s="138"/>
      <c r="AQ484" s="138"/>
      <c r="AR484" s="52"/>
      <c r="AS484" s="52"/>
      <c r="AT484" s="52"/>
      <c r="AU484" s="139"/>
      <c r="AV484" s="138"/>
      <c r="AW484" s="141"/>
      <c r="AX484" s="52"/>
      <c r="AY484" s="52"/>
      <c r="AZ484" s="52"/>
      <c r="BA484" s="52"/>
      <c r="BB484" s="52"/>
    </row>
    <row r="485">
      <c r="A485" s="52"/>
      <c r="B485" s="133"/>
      <c r="C485" s="52"/>
      <c r="D485" s="52"/>
      <c r="E485" s="52"/>
      <c r="F485" s="52"/>
      <c r="G485" s="135"/>
      <c r="H485" s="52"/>
      <c r="I485" s="52"/>
      <c r="J485" s="136"/>
      <c r="K485" s="136"/>
      <c r="L485" s="136"/>
      <c r="M485" s="136"/>
      <c r="N485" s="52"/>
      <c r="O485" s="52"/>
      <c r="P485" s="52"/>
      <c r="Q485" s="52"/>
      <c r="R485" s="52"/>
      <c r="S485" s="52"/>
      <c r="T485" s="52"/>
      <c r="U485" s="52"/>
      <c r="V485" s="52"/>
      <c r="W485" s="52"/>
      <c r="X485" s="52"/>
      <c r="Y485" s="52"/>
      <c r="Z485" s="52"/>
      <c r="AA485" s="52"/>
      <c r="AB485" s="52"/>
      <c r="AC485" s="52"/>
      <c r="AD485" s="52"/>
      <c r="AE485" s="52"/>
      <c r="AF485" s="52"/>
      <c r="AG485" s="52"/>
      <c r="AH485" s="52"/>
      <c r="AI485" s="52"/>
      <c r="AJ485" s="52"/>
      <c r="AK485" s="52"/>
      <c r="AL485" s="52"/>
      <c r="AM485" s="52"/>
      <c r="AN485" s="52"/>
      <c r="AO485" s="52"/>
      <c r="AP485" s="138"/>
      <c r="AQ485" s="138"/>
      <c r="AR485" s="52"/>
      <c r="AS485" s="52"/>
      <c r="AT485" s="52"/>
      <c r="AU485" s="139"/>
      <c r="AV485" s="138"/>
      <c r="AW485" s="141"/>
      <c r="AX485" s="52"/>
      <c r="AY485" s="52"/>
      <c r="AZ485" s="52"/>
      <c r="BA485" s="52"/>
      <c r="BB485" s="52"/>
    </row>
    <row r="486">
      <c r="A486" s="52"/>
      <c r="B486" s="133"/>
      <c r="C486" s="52"/>
      <c r="D486" s="52"/>
      <c r="E486" s="52"/>
      <c r="F486" s="52"/>
      <c r="G486" s="135"/>
      <c r="H486" s="52"/>
      <c r="I486" s="52"/>
      <c r="J486" s="136"/>
      <c r="K486" s="136"/>
      <c r="L486" s="136"/>
      <c r="M486" s="136"/>
      <c r="N486" s="52"/>
      <c r="O486" s="52"/>
      <c r="P486" s="52"/>
      <c r="Q486" s="52"/>
      <c r="R486" s="52"/>
      <c r="S486" s="52"/>
      <c r="T486" s="52"/>
      <c r="U486" s="52"/>
      <c r="V486" s="52"/>
      <c r="W486" s="52"/>
      <c r="X486" s="52"/>
      <c r="Y486" s="52"/>
      <c r="Z486" s="52"/>
      <c r="AA486" s="52"/>
      <c r="AB486" s="52"/>
      <c r="AC486" s="52"/>
      <c r="AD486" s="52"/>
      <c r="AE486" s="52"/>
      <c r="AF486" s="52"/>
      <c r="AG486" s="52"/>
      <c r="AH486" s="52"/>
      <c r="AI486" s="52"/>
      <c r="AJ486" s="52"/>
      <c r="AK486" s="52"/>
      <c r="AL486" s="52"/>
      <c r="AM486" s="52"/>
      <c r="AN486" s="52"/>
      <c r="AO486" s="52"/>
      <c r="AP486" s="138"/>
      <c r="AQ486" s="138"/>
      <c r="AR486" s="52"/>
      <c r="AS486" s="52"/>
      <c r="AT486" s="52"/>
      <c r="AU486" s="139"/>
      <c r="AV486" s="138"/>
      <c r="AW486" s="141"/>
      <c r="AX486" s="52"/>
      <c r="AY486" s="52"/>
      <c r="AZ486" s="52"/>
      <c r="BA486" s="52"/>
      <c r="BB486" s="52"/>
    </row>
    <row r="487">
      <c r="A487" s="52"/>
      <c r="B487" s="133"/>
      <c r="C487" s="52"/>
      <c r="D487" s="52"/>
      <c r="E487" s="52"/>
      <c r="F487" s="52"/>
      <c r="G487" s="135"/>
      <c r="H487" s="52"/>
      <c r="I487" s="52"/>
      <c r="J487" s="136"/>
      <c r="K487" s="136"/>
      <c r="L487" s="136"/>
      <c r="M487" s="136"/>
      <c r="N487" s="52"/>
      <c r="O487" s="52"/>
      <c r="P487" s="52"/>
      <c r="Q487" s="52"/>
      <c r="R487" s="52"/>
      <c r="S487" s="52"/>
      <c r="T487" s="52"/>
      <c r="U487" s="52"/>
      <c r="V487" s="52"/>
      <c r="W487" s="52"/>
      <c r="X487" s="52"/>
      <c r="Y487" s="52"/>
      <c r="Z487" s="52"/>
      <c r="AA487" s="52"/>
      <c r="AB487" s="52"/>
      <c r="AC487" s="52"/>
      <c r="AD487" s="52"/>
      <c r="AE487" s="52"/>
      <c r="AF487" s="52"/>
      <c r="AG487" s="52"/>
      <c r="AH487" s="52"/>
      <c r="AI487" s="52"/>
      <c r="AJ487" s="52"/>
      <c r="AK487" s="52"/>
      <c r="AL487" s="52"/>
      <c r="AM487" s="52"/>
      <c r="AN487" s="52"/>
      <c r="AO487" s="52"/>
      <c r="AP487" s="138"/>
      <c r="AQ487" s="138"/>
      <c r="AR487" s="52"/>
      <c r="AS487" s="52"/>
      <c r="AT487" s="52"/>
      <c r="AU487" s="139"/>
      <c r="AV487" s="138"/>
      <c r="AW487" s="141"/>
      <c r="AX487" s="52"/>
      <c r="AY487" s="52"/>
      <c r="AZ487" s="52"/>
      <c r="BA487" s="52"/>
      <c r="BB487" s="52"/>
    </row>
    <row r="488">
      <c r="A488" s="52"/>
      <c r="B488" s="133"/>
      <c r="C488" s="52"/>
      <c r="D488" s="52"/>
      <c r="E488" s="52"/>
      <c r="F488" s="52"/>
      <c r="G488" s="135"/>
      <c r="H488" s="52"/>
      <c r="I488" s="52"/>
      <c r="J488" s="136"/>
      <c r="K488" s="136"/>
      <c r="L488" s="136"/>
      <c r="M488" s="136"/>
      <c r="N488" s="52"/>
      <c r="O488" s="52"/>
      <c r="P488" s="52"/>
      <c r="Q488" s="52"/>
      <c r="R488" s="52"/>
      <c r="S488" s="52"/>
      <c r="T488" s="52"/>
      <c r="U488" s="52"/>
      <c r="V488" s="52"/>
      <c r="W488" s="52"/>
      <c r="X488" s="52"/>
      <c r="Y488" s="52"/>
      <c r="Z488" s="52"/>
      <c r="AA488" s="52"/>
      <c r="AB488" s="52"/>
      <c r="AC488" s="52"/>
      <c r="AD488" s="52"/>
      <c r="AE488" s="52"/>
      <c r="AF488" s="52"/>
      <c r="AG488" s="52"/>
      <c r="AH488" s="52"/>
      <c r="AI488" s="52"/>
      <c r="AJ488" s="52"/>
      <c r="AK488" s="52"/>
      <c r="AL488" s="52"/>
      <c r="AM488" s="52"/>
      <c r="AN488" s="52"/>
      <c r="AO488" s="52"/>
      <c r="AP488" s="138"/>
      <c r="AQ488" s="138"/>
      <c r="AR488" s="52"/>
      <c r="AS488" s="52"/>
      <c r="AT488" s="52"/>
      <c r="AU488" s="139"/>
      <c r="AV488" s="138"/>
      <c r="AW488" s="141"/>
      <c r="AX488" s="52"/>
      <c r="AY488" s="52"/>
      <c r="AZ488" s="52"/>
      <c r="BA488" s="52"/>
      <c r="BB488" s="52"/>
    </row>
    <row r="489">
      <c r="A489" s="52"/>
      <c r="B489" s="133"/>
      <c r="C489" s="52"/>
      <c r="D489" s="52"/>
      <c r="E489" s="52"/>
      <c r="F489" s="52"/>
      <c r="G489" s="135"/>
      <c r="H489" s="52"/>
      <c r="I489" s="52"/>
      <c r="J489" s="136"/>
      <c r="K489" s="136"/>
      <c r="L489" s="136"/>
      <c r="M489" s="136"/>
      <c r="N489" s="52"/>
      <c r="O489" s="52"/>
      <c r="P489" s="52"/>
      <c r="Q489" s="52"/>
      <c r="R489" s="52"/>
      <c r="S489" s="52"/>
      <c r="T489" s="52"/>
      <c r="U489" s="52"/>
      <c r="V489" s="52"/>
      <c r="W489" s="52"/>
      <c r="X489" s="52"/>
      <c r="Y489" s="52"/>
      <c r="Z489" s="52"/>
      <c r="AA489" s="52"/>
      <c r="AB489" s="52"/>
      <c r="AC489" s="52"/>
      <c r="AD489" s="52"/>
      <c r="AE489" s="52"/>
      <c r="AF489" s="52"/>
      <c r="AG489" s="52"/>
      <c r="AH489" s="52"/>
      <c r="AI489" s="52"/>
      <c r="AJ489" s="52"/>
      <c r="AK489" s="52"/>
      <c r="AL489" s="52"/>
      <c r="AM489" s="52"/>
      <c r="AN489" s="52"/>
      <c r="AO489" s="52"/>
      <c r="AP489" s="138"/>
      <c r="AQ489" s="138"/>
      <c r="AR489" s="52"/>
      <c r="AS489" s="52"/>
      <c r="AT489" s="52"/>
      <c r="AU489" s="139"/>
      <c r="AV489" s="138"/>
      <c r="AW489" s="141"/>
      <c r="AX489" s="52"/>
      <c r="AY489" s="52"/>
      <c r="AZ489" s="52"/>
      <c r="BA489" s="52"/>
      <c r="BB489" s="52"/>
    </row>
    <row r="490">
      <c r="A490" s="52"/>
      <c r="B490" s="133"/>
      <c r="C490" s="52"/>
      <c r="D490" s="52"/>
      <c r="E490" s="52"/>
      <c r="F490" s="52"/>
      <c r="G490" s="135"/>
      <c r="H490" s="52"/>
      <c r="I490" s="52"/>
      <c r="J490" s="136"/>
      <c r="K490" s="136"/>
      <c r="L490" s="136"/>
      <c r="M490" s="136"/>
      <c r="N490" s="52"/>
      <c r="O490" s="52"/>
      <c r="P490" s="52"/>
      <c r="Q490" s="52"/>
      <c r="R490" s="52"/>
      <c r="S490" s="52"/>
      <c r="T490" s="52"/>
      <c r="U490" s="52"/>
      <c r="V490" s="52"/>
      <c r="W490" s="52"/>
      <c r="X490" s="52"/>
      <c r="Y490" s="52"/>
      <c r="Z490" s="52"/>
      <c r="AA490" s="52"/>
      <c r="AB490" s="52"/>
      <c r="AC490" s="52"/>
      <c r="AD490" s="52"/>
      <c r="AE490" s="52"/>
      <c r="AF490" s="52"/>
      <c r="AG490" s="52"/>
      <c r="AH490" s="52"/>
      <c r="AI490" s="52"/>
      <c r="AJ490" s="52"/>
      <c r="AK490" s="52"/>
      <c r="AL490" s="52"/>
      <c r="AM490" s="52"/>
      <c r="AN490" s="52"/>
      <c r="AO490" s="52"/>
      <c r="AP490" s="138"/>
      <c r="AQ490" s="138"/>
      <c r="AR490" s="52"/>
      <c r="AS490" s="52"/>
      <c r="AT490" s="52"/>
      <c r="AU490" s="139"/>
      <c r="AV490" s="138"/>
      <c r="AW490" s="141"/>
      <c r="AX490" s="52"/>
      <c r="AY490" s="52"/>
      <c r="AZ490" s="52"/>
      <c r="BA490" s="52"/>
      <c r="BB490" s="52"/>
    </row>
    <row r="491">
      <c r="A491" s="52"/>
      <c r="B491" s="133"/>
      <c r="C491" s="52"/>
      <c r="D491" s="52"/>
      <c r="E491" s="52"/>
      <c r="F491" s="52"/>
      <c r="G491" s="135"/>
      <c r="H491" s="52"/>
      <c r="I491" s="52"/>
      <c r="J491" s="136"/>
      <c r="K491" s="136"/>
      <c r="L491" s="136"/>
      <c r="M491" s="136"/>
      <c r="N491" s="52"/>
      <c r="O491" s="52"/>
      <c r="P491" s="52"/>
      <c r="Q491" s="52"/>
      <c r="R491" s="52"/>
      <c r="S491" s="52"/>
      <c r="T491" s="52"/>
      <c r="U491" s="52"/>
      <c r="V491" s="52"/>
      <c r="W491" s="52"/>
      <c r="X491" s="52"/>
      <c r="Y491" s="52"/>
      <c r="Z491" s="52"/>
      <c r="AA491" s="52"/>
      <c r="AB491" s="52"/>
      <c r="AC491" s="52"/>
      <c r="AD491" s="52"/>
      <c r="AE491" s="52"/>
      <c r="AF491" s="52"/>
      <c r="AG491" s="52"/>
      <c r="AH491" s="52"/>
      <c r="AI491" s="52"/>
      <c r="AJ491" s="52"/>
      <c r="AK491" s="52"/>
      <c r="AL491" s="52"/>
      <c r="AM491" s="52"/>
      <c r="AN491" s="52"/>
      <c r="AO491" s="52"/>
      <c r="AP491" s="138"/>
      <c r="AQ491" s="138"/>
      <c r="AR491" s="52"/>
      <c r="AS491" s="52"/>
      <c r="AT491" s="52"/>
      <c r="AU491" s="139"/>
      <c r="AV491" s="138"/>
      <c r="AW491" s="141"/>
      <c r="AX491" s="52"/>
      <c r="AY491" s="52"/>
      <c r="AZ491" s="52"/>
      <c r="BA491" s="52"/>
      <c r="BB491" s="52"/>
    </row>
    <row r="492">
      <c r="A492" s="52"/>
      <c r="B492" s="133"/>
      <c r="C492" s="52"/>
      <c r="D492" s="52"/>
      <c r="E492" s="52"/>
      <c r="F492" s="52"/>
      <c r="G492" s="135"/>
      <c r="H492" s="52"/>
      <c r="I492" s="52"/>
      <c r="J492" s="136"/>
      <c r="K492" s="136"/>
      <c r="L492" s="136"/>
      <c r="M492" s="136"/>
      <c r="N492" s="52"/>
      <c r="O492" s="52"/>
      <c r="P492" s="52"/>
      <c r="Q492" s="52"/>
      <c r="R492" s="52"/>
      <c r="S492" s="52"/>
      <c r="T492" s="52"/>
      <c r="U492" s="52"/>
      <c r="V492" s="52"/>
      <c r="W492" s="52"/>
      <c r="X492" s="52"/>
      <c r="Y492" s="52"/>
      <c r="Z492" s="52"/>
      <c r="AA492" s="52"/>
      <c r="AB492" s="52"/>
      <c r="AC492" s="52"/>
      <c r="AD492" s="52"/>
      <c r="AE492" s="52"/>
      <c r="AF492" s="52"/>
      <c r="AG492" s="52"/>
      <c r="AH492" s="52"/>
      <c r="AI492" s="52"/>
      <c r="AJ492" s="52"/>
      <c r="AK492" s="52"/>
      <c r="AL492" s="52"/>
      <c r="AM492" s="52"/>
      <c r="AN492" s="52"/>
      <c r="AO492" s="52"/>
      <c r="AP492" s="138"/>
      <c r="AQ492" s="138"/>
      <c r="AR492" s="52"/>
      <c r="AS492" s="52"/>
      <c r="AT492" s="52"/>
      <c r="AU492" s="139"/>
      <c r="AV492" s="138"/>
      <c r="AW492" s="141"/>
      <c r="AX492" s="52"/>
      <c r="AY492" s="52"/>
      <c r="AZ492" s="52"/>
      <c r="BA492" s="52"/>
      <c r="BB492" s="52"/>
    </row>
    <row r="493">
      <c r="A493" s="52"/>
      <c r="B493" s="133"/>
      <c r="C493" s="52"/>
      <c r="D493" s="52"/>
      <c r="E493" s="52"/>
      <c r="F493" s="52"/>
      <c r="G493" s="135"/>
      <c r="H493" s="52"/>
      <c r="I493" s="52"/>
      <c r="J493" s="136"/>
      <c r="K493" s="136"/>
      <c r="L493" s="136"/>
      <c r="M493" s="136"/>
      <c r="N493" s="52"/>
      <c r="O493" s="52"/>
      <c r="P493" s="52"/>
      <c r="Q493" s="52"/>
      <c r="R493" s="52"/>
      <c r="S493" s="52"/>
      <c r="T493" s="52"/>
      <c r="U493" s="52"/>
      <c r="V493" s="52"/>
      <c r="W493" s="52"/>
      <c r="X493" s="52"/>
      <c r="Y493" s="52"/>
      <c r="Z493" s="52"/>
      <c r="AA493" s="52"/>
      <c r="AB493" s="52"/>
      <c r="AC493" s="52"/>
      <c r="AD493" s="52"/>
      <c r="AE493" s="52"/>
      <c r="AF493" s="52"/>
      <c r="AG493" s="52"/>
      <c r="AH493" s="52"/>
      <c r="AI493" s="52"/>
      <c r="AJ493" s="52"/>
      <c r="AK493" s="52"/>
      <c r="AL493" s="52"/>
      <c r="AM493" s="52"/>
      <c r="AN493" s="52"/>
      <c r="AO493" s="52"/>
      <c r="AP493" s="138"/>
      <c r="AQ493" s="138"/>
      <c r="AR493" s="52"/>
      <c r="AS493" s="52"/>
      <c r="AT493" s="52"/>
      <c r="AU493" s="139"/>
      <c r="AV493" s="138"/>
      <c r="AW493" s="141"/>
      <c r="AX493" s="52"/>
      <c r="AY493" s="52"/>
      <c r="AZ493" s="52"/>
      <c r="BA493" s="52"/>
      <c r="BB493" s="52"/>
    </row>
    <row r="494">
      <c r="A494" s="52"/>
      <c r="B494" s="133"/>
      <c r="C494" s="52"/>
      <c r="D494" s="52"/>
      <c r="E494" s="52"/>
      <c r="F494" s="52"/>
      <c r="G494" s="135"/>
      <c r="H494" s="52"/>
      <c r="I494" s="52"/>
      <c r="J494" s="136"/>
      <c r="K494" s="136"/>
      <c r="L494" s="136"/>
      <c r="M494" s="136"/>
      <c r="N494" s="52"/>
      <c r="O494" s="52"/>
      <c r="P494" s="52"/>
      <c r="Q494" s="52"/>
      <c r="R494" s="52"/>
      <c r="S494" s="52"/>
      <c r="T494" s="52"/>
      <c r="U494" s="52"/>
      <c r="V494" s="52"/>
      <c r="W494" s="52"/>
      <c r="X494" s="52"/>
      <c r="Y494" s="52"/>
      <c r="Z494" s="52"/>
      <c r="AA494" s="52"/>
      <c r="AB494" s="52"/>
      <c r="AC494" s="52"/>
      <c r="AD494" s="52"/>
      <c r="AE494" s="52"/>
      <c r="AF494" s="52"/>
      <c r="AG494" s="52"/>
      <c r="AH494" s="52"/>
      <c r="AI494" s="52"/>
      <c r="AJ494" s="52"/>
      <c r="AK494" s="52"/>
      <c r="AL494" s="52"/>
      <c r="AM494" s="52"/>
      <c r="AN494" s="52"/>
      <c r="AO494" s="52"/>
      <c r="AP494" s="138"/>
      <c r="AQ494" s="138"/>
      <c r="AR494" s="52"/>
      <c r="AS494" s="52"/>
      <c r="AT494" s="52"/>
      <c r="AU494" s="139"/>
      <c r="AV494" s="138"/>
      <c r="AW494" s="141"/>
      <c r="AX494" s="52"/>
      <c r="AY494" s="52"/>
      <c r="AZ494" s="52"/>
      <c r="BA494" s="52"/>
      <c r="BB494" s="52"/>
    </row>
    <row r="495">
      <c r="A495" s="52"/>
      <c r="B495" s="133"/>
      <c r="C495" s="52"/>
      <c r="D495" s="52"/>
      <c r="E495" s="52"/>
      <c r="F495" s="52"/>
      <c r="G495" s="135"/>
      <c r="H495" s="52"/>
      <c r="I495" s="52"/>
      <c r="J495" s="136"/>
      <c r="K495" s="136"/>
      <c r="L495" s="136"/>
      <c r="M495" s="136"/>
      <c r="N495" s="52"/>
      <c r="O495" s="52"/>
      <c r="P495" s="52"/>
      <c r="Q495" s="52"/>
      <c r="R495" s="52"/>
      <c r="S495" s="52"/>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138"/>
      <c r="AQ495" s="138"/>
      <c r="AR495" s="52"/>
      <c r="AS495" s="52"/>
      <c r="AT495" s="52"/>
      <c r="AU495" s="139"/>
      <c r="AV495" s="138"/>
      <c r="AW495" s="141"/>
      <c r="AX495" s="52"/>
      <c r="AY495" s="52"/>
      <c r="AZ495" s="52"/>
      <c r="BA495" s="52"/>
      <c r="BB495" s="52"/>
    </row>
    <row r="496">
      <c r="A496" s="52"/>
      <c r="B496" s="133"/>
      <c r="C496" s="52"/>
      <c r="D496" s="52"/>
      <c r="E496" s="52"/>
      <c r="F496" s="52"/>
      <c r="G496" s="135"/>
      <c r="H496" s="52"/>
      <c r="I496" s="52"/>
      <c r="J496" s="136"/>
      <c r="K496" s="136"/>
      <c r="L496" s="136"/>
      <c r="M496" s="136"/>
      <c r="N496" s="52"/>
      <c r="O496" s="52"/>
      <c r="P496" s="52"/>
      <c r="Q496" s="52"/>
      <c r="R496" s="52"/>
      <c r="S496" s="52"/>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138"/>
      <c r="AQ496" s="138"/>
      <c r="AR496" s="52"/>
      <c r="AS496" s="52"/>
      <c r="AT496" s="52"/>
      <c r="AU496" s="139"/>
      <c r="AV496" s="138"/>
      <c r="AW496" s="141"/>
      <c r="AX496" s="52"/>
      <c r="AY496" s="52"/>
      <c r="AZ496" s="52"/>
      <c r="BA496" s="52"/>
      <c r="BB496" s="52"/>
    </row>
    <row r="497">
      <c r="A497" s="52"/>
      <c r="B497" s="133"/>
      <c r="C497" s="52"/>
      <c r="D497" s="52"/>
      <c r="E497" s="52"/>
      <c r="F497" s="52"/>
      <c r="G497" s="135"/>
      <c r="H497" s="52"/>
      <c r="I497" s="52"/>
      <c r="J497" s="136"/>
      <c r="K497" s="136"/>
      <c r="L497" s="136"/>
      <c r="M497" s="136"/>
      <c r="N497" s="52"/>
      <c r="O497" s="52"/>
      <c r="P497" s="52"/>
      <c r="Q497" s="52"/>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138"/>
      <c r="AQ497" s="138"/>
      <c r="AR497" s="52"/>
      <c r="AS497" s="52"/>
      <c r="AT497" s="52"/>
      <c r="AU497" s="139"/>
      <c r="AV497" s="138"/>
      <c r="AW497" s="141"/>
      <c r="AX497" s="52"/>
      <c r="AY497" s="52"/>
      <c r="AZ497" s="52"/>
      <c r="BA497" s="52"/>
      <c r="BB497" s="52"/>
    </row>
    <row r="498">
      <c r="A498" s="52"/>
      <c r="B498" s="133"/>
      <c r="C498" s="52"/>
      <c r="D498" s="52"/>
      <c r="E498" s="52"/>
      <c r="F498" s="52"/>
      <c r="G498" s="135"/>
      <c r="H498" s="52"/>
      <c r="I498" s="52"/>
      <c r="J498" s="136"/>
      <c r="K498" s="136"/>
      <c r="L498" s="136"/>
      <c r="M498" s="136"/>
      <c r="N498" s="52"/>
      <c r="O498" s="52"/>
      <c r="P498" s="52"/>
      <c r="Q498" s="52"/>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138"/>
      <c r="AQ498" s="138"/>
      <c r="AR498" s="52"/>
      <c r="AS498" s="52"/>
      <c r="AT498" s="52"/>
      <c r="AU498" s="139"/>
      <c r="AV498" s="138"/>
      <c r="AW498" s="141"/>
      <c r="AX498" s="52"/>
      <c r="AY498" s="52"/>
      <c r="AZ498" s="52"/>
      <c r="BA498" s="52"/>
      <c r="BB498" s="52"/>
    </row>
    <row r="499">
      <c r="A499" s="52"/>
      <c r="B499" s="133"/>
      <c r="C499" s="52"/>
      <c r="D499" s="52"/>
      <c r="E499" s="52"/>
      <c r="F499" s="52"/>
      <c r="G499" s="135"/>
      <c r="H499" s="52"/>
      <c r="I499" s="52"/>
      <c r="J499" s="136"/>
      <c r="K499" s="136"/>
      <c r="L499" s="136"/>
      <c r="M499" s="136"/>
      <c r="N499" s="52"/>
      <c r="O499" s="52"/>
      <c r="P499" s="52"/>
      <c r="Q499" s="52"/>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138"/>
      <c r="AQ499" s="138"/>
      <c r="AR499" s="52"/>
      <c r="AS499" s="52"/>
      <c r="AT499" s="52"/>
      <c r="AU499" s="139"/>
      <c r="AV499" s="138"/>
      <c r="AW499" s="141"/>
      <c r="AX499" s="52"/>
      <c r="AY499" s="52"/>
      <c r="AZ499" s="52"/>
      <c r="BA499" s="52"/>
      <c r="BB499" s="52"/>
    </row>
    <row r="500">
      <c r="A500" s="52"/>
      <c r="B500" s="133"/>
      <c r="C500" s="52"/>
      <c r="D500" s="52"/>
      <c r="E500" s="52"/>
      <c r="F500" s="52"/>
      <c r="G500" s="135"/>
      <c r="H500" s="52"/>
      <c r="I500" s="52"/>
      <c r="J500" s="136"/>
      <c r="K500" s="136"/>
      <c r="L500" s="136"/>
      <c r="M500" s="136"/>
      <c r="N500" s="52"/>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138"/>
      <c r="AQ500" s="138"/>
      <c r="AR500" s="52"/>
      <c r="AS500" s="52"/>
      <c r="AT500" s="52"/>
      <c r="AU500" s="139"/>
      <c r="AV500" s="138"/>
      <c r="AW500" s="141"/>
      <c r="AX500" s="52"/>
      <c r="AY500" s="52"/>
      <c r="AZ500" s="52"/>
      <c r="BA500" s="52"/>
      <c r="BB500" s="52"/>
    </row>
    <row r="501">
      <c r="A501" s="52"/>
      <c r="B501" s="133"/>
      <c r="C501" s="52"/>
      <c r="D501" s="52"/>
      <c r="E501" s="52"/>
      <c r="F501" s="52"/>
      <c r="G501" s="135"/>
      <c r="H501" s="52"/>
      <c r="I501" s="52"/>
      <c r="J501" s="136"/>
      <c r="K501" s="136"/>
      <c r="L501" s="136"/>
      <c r="M501" s="136"/>
      <c r="N501" s="52"/>
      <c r="O501" s="52"/>
      <c r="P501" s="52"/>
      <c r="Q501" s="52"/>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138"/>
      <c r="AQ501" s="138"/>
      <c r="AR501" s="52"/>
      <c r="AS501" s="52"/>
      <c r="AT501" s="52"/>
      <c r="AU501" s="139"/>
      <c r="AV501" s="138"/>
      <c r="AW501" s="141"/>
      <c r="AX501" s="52"/>
      <c r="AY501" s="52"/>
      <c r="AZ501" s="52"/>
      <c r="BA501" s="52"/>
      <c r="BB501" s="52"/>
    </row>
    <row r="502">
      <c r="A502" s="52"/>
      <c r="B502" s="133"/>
      <c r="C502" s="52"/>
      <c r="D502" s="52"/>
      <c r="E502" s="52"/>
      <c r="F502" s="52"/>
      <c r="G502" s="135"/>
      <c r="H502" s="52"/>
      <c r="I502" s="52"/>
      <c r="J502" s="136"/>
      <c r="K502" s="136"/>
      <c r="L502" s="136"/>
      <c r="M502" s="136"/>
      <c r="N502" s="52"/>
      <c r="O502" s="52"/>
      <c r="P502" s="52"/>
      <c r="Q502" s="52"/>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138"/>
      <c r="AQ502" s="138"/>
      <c r="AR502" s="52"/>
      <c r="AS502" s="52"/>
      <c r="AT502" s="52"/>
      <c r="AU502" s="139"/>
      <c r="AV502" s="138"/>
      <c r="AW502" s="141"/>
      <c r="AX502" s="52"/>
      <c r="AY502" s="52"/>
      <c r="AZ502" s="52"/>
      <c r="BA502" s="52"/>
      <c r="BB502" s="52"/>
    </row>
    <row r="503">
      <c r="A503" s="52"/>
      <c r="B503" s="133"/>
      <c r="C503" s="52"/>
      <c r="D503" s="52"/>
      <c r="E503" s="52"/>
      <c r="F503" s="52"/>
      <c r="G503" s="135"/>
      <c r="H503" s="52"/>
      <c r="I503" s="52"/>
      <c r="J503" s="136"/>
      <c r="K503" s="136"/>
      <c r="L503" s="136"/>
      <c r="M503" s="136"/>
      <c r="N503" s="52"/>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138"/>
      <c r="AQ503" s="138"/>
      <c r="AR503" s="52"/>
      <c r="AS503" s="52"/>
      <c r="AT503" s="52"/>
      <c r="AU503" s="139"/>
      <c r="AV503" s="138"/>
      <c r="AW503" s="141"/>
      <c r="AX503" s="52"/>
      <c r="AY503" s="52"/>
      <c r="AZ503" s="52"/>
      <c r="BA503" s="52"/>
      <c r="BB503" s="52"/>
    </row>
    <row r="504">
      <c r="A504" s="52"/>
      <c r="B504" s="133"/>
      <c r="C504" s="52"/>
      <c r="D504" s="52"/>
      <c r="E504" s="52"/>
      <c r="F504" s="52"/>
      <c r="G504" s="135"/>
      <c r="H504" s="52"/>
      <c r="I504" s="52"/>
      <c r="J504" s="136"/>
      <c r="K504" s="136"/>
      <c r="L504" s="136"/>
      <c r="M504" s="136"/>
      <c r="N504" s="52"/>
      <c r="O504" s="52"/>
      <c r="P504" s="52"/>
      <c r="Q504" s="52"/>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138"/>
      <c r="AQ504" s="138"/>
      <c r="AR504" s="52"/>
      <c r="AS504" s="52"/>
      <c r="AT504" s="52"/>
      <c r="AU504" s="139"/>
      <c r="AV504" s="138"/>
      <c r="AW504" s="141"/>
      <c r="AX504" s="52"/>
      <c r="AY504" s="52"/>
      <c r="AZ504" s="52"/>
      <c r="BA504" s="52"/>
      <c r="BB504" s="52"/>
    </row>
    <row r="505">
      <c r="A505" s="52"/>
      <c r="B505" s="133"/>
      <c r="C505" s="52"/>
      <c r="D505" s="52"/>
      <c r="E505" s="52"/>
      <c r="F505" s="52"/>
      <c r="G505" s="135"/>
      <c r="H505" s="52"/>
      <c r="I505" s="52"/>
      <c r="J505" s="136"/>
      <c r="K505" s="136"/>
      <c r="L505" s="136"/>
      <c r="M505" s="136"/>
      <c r="N505" s="52"/>
      <c r="O505" s="52"/>
      <c r="P505" s="52"/>
      <c r="Q505" s="52"/>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138"/>
      <c r="AQ505" s="138"/>
      <c r="AR505" s="52"/>
      <c r="AS505" s="52"/>
      <c r="AT505" s="52"/>
      <c r="AU505" s="139"/>
      <c r="AV505" s="138"/>
      <c r="AW505" s="141"/>
      <c r="AX505" s="52"/>
      <c r="AY505" s="52"/>
      <c r="AZ505" s="52"/>
      <c r="BA505" s="52"/>
      <c r="BB505" s="52"/>
    </row>
    <row r="506">
      <c r="A506" s="52"/>
      <c r="B506" s="133"/>
      <c r="C506" s="52"/>
      <c r="D506" s="52"/>
      <c r="E506" s="52"/>
      <c r="F506" s="52"/>
      <c r="G506" s="135"/>
      <c r="H506" s="52"/>
      <c r="I506" s="52"/>
      <c r="J506" s="136"/>
      <c r="K506" s="136"/>
      <c r="L506" s="136"/>
      <c r="M506" s="136"/>
      <c r="N506" s="52"/>
      <c r="O506" s="52"/>
      <c r="P506" s="52"/>
      <c r="Q506" s="52"/>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138"/>
      <c r="AQ506" s="138"/>
      <c r="AR506" s="52"/>
      <c r="AS506" s="52"/>
      <c r="AT506" s="52"/>
      <c r="AU506" s="139"/>
      <c r="AV506" s="138"/>
      <c r="AW506" s="141"/>
      <c r="AX506" s="52"/>
      <c r="AY506" s="52"/>
      <c r="AZ506" s="52"/>
      <c r="BA506" s="52"/>
      <c r="BB506" s="52"/>
    </row>
    <row r="507">
      <c r="A507" s="52"/>
      <c r="B507" s="133"/>
      <c r="C507" s="52"/>
      <c r="D507" s="52"/>
      <c r="E507" s="52"/>
      <c r="F507" s="52"/>
      <c r="G507" s="135"/>
      <c r="H507" s="52"/>
      <c r="I507" s="52"/>
      <c r="J507" s="136"/>
      <c r="K507" s="136"/>
      <c r="L507" s="136"/>
      <c r="M507" s="136"/>
      <c r="N507" s="52"/>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138"/>
      <c r="AQ507" s="138"/>
      <c r="AR507" s="52"/>
      <c r="AS507" s="52"/>
      <c r="AT507" s="52"/>
      <c r="AU507" s="139"/>
      <c r="AV507" s="138"/>
      <c r="AW507" s="141"/>
      <c r="AX507" s="52"/>
      <c r="AY507" s="52"/>
      <c r="AZ507" s="52"/>
      <c r="BA507" s="52"/>
      <c r="BB507" s="52"/>
    </row>
    <row r="508">
      <c r="A508" s="52"/>
      <c r="B508" s="133"/>
      <c r="C508" s="52"/>
      <c r="D508" s="52"/>
      <c r="E508" s="52"/>
      <c r="F508" s="52"/>
      <c r="G508" s="135"/>
      <c r="H508" s="52"/>
      <c r="I508" s="52"/>
      <c r="J508" s="136"/>
      <c r="K508" s="136"/>
      <c r="L508" s="136"/>
      <c r="M508" s="136"/>
      <c r="N508" s="52"/>
      <c r="O508" s="52"/>
      <c r="P508" s="52"/>
      <c r="Q508" s="52"/>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138"/>
      <c r="AQ508" s="138"/>
      <c r="AR508" s="52"/>
      <c r="AS508" s="52"/>
      <c r="AT508" s="52"/>
      <c r="AU508" s="139"/>
      <c r="AV508" s="138"/>
      <c r="AW508" s="141"/>
      <c r="AX508" s="52"/>
      <c r="AY508" s="52"/>
      <c r="AZ508" s="52"/>
      <c r="BA508" s="52"/>
      <c r="BB508" s="52"/>
    </row>
    <row r="509">
      <c r="A509" s="52"/>
      <c r="B509" s="133"/>
      <c r="C509" s="52"/>
      <c r="D509" s="52"/>
      <c r="E509" s="52"/>
      <c r="F509" s="52"/>
      <c r="G509" s="135"/>
      <c r="H509" s="52"/>
      <c r="I509" s="52"/>
      <c r="J509" s="136"/>
      <c r="K509" s="136"/>
      <c r="L509" s="136"/>
      <c r="M509" s="136"/>
      <c r="N509" s="52"/>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138"/>
      <c r="AQ509" s="138"/>
      <c r="AR509" s="52"/>
      <c r="AS509" s="52"/>
      <c r="AT509" s="52"/>
      <c r="AU509" s="139"/>
      <c r="AV509" s="138"/>
      <c r="AW509" s="141"/>
      <c r="AX509" s="52"/>
      <c r="AY509" s="52"/>
      <c r="AZ509" s="52"/>
      <c r="BA509" s="52"/>
      <c r="BB509" s="52"/>
    </row>
    <row r="510">
      <c r="A510" s="52"/>
      <c r="B510" s="133"/>
      <c r="C510" s="52"/>
      <c r="D510" s="52"/>
      <c r="E510" s="52"/>
      <c r="F510" s="52"/>
      <c r="G510" s="135"/>
      <c r="H510" s="52"/>
      <c r="I510" s="52"/>
      <c r="J510" s="136"/>
      <c r="K510" s="136"/>
      <c r="L510" s="136"/>
      <c r="M510" s="136"/>
      <c r="N510" s="52"/>
      <c r="O510" s="52"/>
      <c r="P510" s="52"/>
      <c r="Q510" s="52"/>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138"/>
      <c r="AQ510" s="138"/>
      <c r="AR510" s="52"/>
      <c r="AS510" s="52"/>
      <c r="AT510" s="52"/>
      <c r="AU510" s="139"/>
      <c r="AV510" s="138"/>
      <c r="AW510" s="141"/>
      <c r="AX510" s="52"/>
      <c r="AY510" s="52"/>
      <c r="AZ510" s="52"/>
      <c r="BA510" s="52"/>
      <c r="BB510" s="52"/>
    </row>
    <row r="511">
      <c r="A511" s="52"/>
      <c r="B511" s="133"/>
      <c r="C511" s="52"/>
      <c r="D511" s="52"/>
      <c r="E511" s="52"/>
      <c r="F511" s="52"/>
      <c r="G511" s="135"/>
      <c r="H511" s="52"/>
      <c r="I511" s="52"/>
      <c r="J511" s="136"/>
      <c r="K511" s="136"/>
      <c r="L511" s="136"/>
      <c r="M511" s="136"/>
      <c r="N511" s="52"/>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138"/>
      <c r="AQ511" s="138"/>
      <c r="AR511" s="52"/>
      <c r="AS511" s="52"/>
      <c r="AT511" s="52"/>
      <c r="AU511" s="139"/>
      <c r="AV511" s="138"/>
      <c r="AW511" s="141"/>
      <c r="AX511" s="52"/>
      <c r="AY511" s="52"/>
      <c r="AZ511" s="52"/>
      <c r="BA511" s="52"/>
      <c r="BB511" s="52"/>
    </row>
    <row r="512">
      <c r="A512" s="52"/>
      <c r="B512" s="133"/>
      <c r="C512" s="52"/>
      <c r="D512" s="52"/>
      <c r="E512" s="52"/>
      <c r="F512" s="52"/>
      <c r="G512" s="135"/>
      <c r="H512" s="52"/>
      <c r="I512" s="52"/>
      <c r="J512" s="136"/>
      <c r="K512" s="136"/>
      <c r="L512" s="136"/>
      <c r="M512" s="136"/>
      <c r="N512" s="52"/>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138"/>
      <c r="AQ512" s="138"/>
      <c r="AR512" s="52"/>
      <c r="AS512" s="52"/>
      <c r="AT512" s="52"/>
      <c r="AU512" s="139"/>
      <c r="AV512" s="138"/>
      <c r="AW512" s="141"/>
      <c r="AX512" s="52"/>
      <c r="AY512" s="52"/>
      <c r="AZ512" s="52"/>
      <c r="BA512" s="52"/>
      <c r="BB512" s="52"/>
    </row>
    <row r="513">
      <c r="A513" s="52"/>
      <c r="B513" s="133"/>
      <c r="C513" s="52"/>
      <c r="D513" s="52"/>
      <c r="E513" s="52"/>
      <c r="F513" s="52"/>
      <c r="G513" s="135"/>
      <c r="H513" s="52"/>
      <c r="I513" s="52"/>
      <c r="J513" s="136"/>
      <c r="K513" s="136"/>
      <c r="L513" s="136"/>
      <c r="M513" s="136"/>
      <c r="N513" s="52"/>
      <c r="O513" s="52"/>
      <c r="P513" s="52"/>
      <c r="Q513" s="52"/>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138"/>
      <c r="AQ513" s="138"/>
      <c r="AR513" s="52"/>
      <c r="AS513" s="52"/>
      <c r="AT513" s="52"/>
      <c r="AU513" s="139"/>
      <c r="AV513" s="138"/>
      <c r="AW513" s="141"/>
      <c r="AX513" s="52"/>
      <c r="AY513" s="52"/>
      <c r="AZ513" s="52"/>
      <c r="BA513" s="52"/>
      <c r="BB513" s="52"/>
    </row>
    <row r="514">
      <c r="A514" s="52"/>
      <c r="B514" s="133"/>
      <c r="C514" s="52"/>
      <c r="D514" s="52"/>
      <c r="E514" s="52"/>
      <c r="F514" s="52"/>
      <c r="G514" s="135"/>
      <c r="H514" s="52"/>
      <c r="I514" s="52"/>
      <c r="J514" s="136"/>
      <c r="K514" s="136"/>
      <c r="L514" s="136"/>
      <c r="M514" s="136"/>
      <c r="N514" s="52"/>
      <c r="O514" s="52"/>
      <c r="P514" s="52"/>
      <c r="Q514" s="52"/>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138"/>
      <c r="AQ514" s="138"/>
      <c r="AR514" s="52"/>
      <c r="AS514" s="52"/>
      <c r="AT514" s="52"/>
      <c r="AU514" s="139"/>
      <c r="AV514" s="138"/>
      <c r="AW514" s="141"/>
      <c r="AX514" s="52"/>
      <c r="AY514" s="52"/>
      <c r="AZ514" s="52"/>
      <c r="BA514" s="52"/>
      <c r="BB514" s="52"/>
    </row>
    <row r="515">
      <c r="A515" s="52"/>
      <c r="B515" s="133"/>
      <c r="C515" s="52"/>
      <c r="D515" s="52"/>
      <c r="E515" s="52"/>
      <c r="F515" s="52"/>
      <c r="G515" s="135"/>
      <c r="H515" s="52"/>
      <c r="I515" s="52"/>
      <c r="J515" s="136"/>
      <c r="K515" s="136"/>
      <c r="L515" s="136"/>
      <c r="M515" s="136"/>
      <c r="N515" s="52"/>
      <c r="O515" s="52"/>
      <c r="P515" s="52"/>
      <c r="Q515" s="52"/>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138"/>
      <c r="AQ515" s="138"/>
      <c r="AR515" s="52"/>
      <c r="AS515" s="52"/>
      <c r="AT515" s="52"/>
      <c r="AU515" s="139"/>
      <c r="AV515" s="138"/>
      <c r="AW515" s="141"/>
      <c r="AX515" s="52"/>
      <c r="AY515" s="52"/>
      <c r="AZ515" s="52"/>
      <c r="BA515" s="52"/>
      <c r="BB515" s="52"/>
    </row>
    <row r="516">
      <c r="A516" s="52"/>
      <c r="B516" s="133"/>
      <c r="C516" s="52"/>
      <c r="D516" s="52"/>
      <c r="E516" s="52"/>
      <c r="F516" s="52"/>
      <c r="G516" s="135"/>
      <c r="H516" s="52"/>
      <c r="I516" s="52"/>
      <c r="J516" s="136"/>
      <c r="K516" s="136"/>
      <c r="L516" s="136"/>
      <c r="M516" s="136"/>
      <c r="N516" s="52"/>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138"/>
      <c r="AQ516" s="138"/>
      <c r="AR516" s="52"/>
      <c r="AS516" s="52"/>
      <c r="AT516" s="52"/>
      <c r="AU516" s="139"/>
      <c r="AV516" s="138"/>
      <c r="AW516" s="141"/>
      <c r="AX516" s="52"/>
      <c r="AY516" s="52"/>
      <c r="AZ516" s="52"/>
      <c r="BA516" s="52"/>
      <c r="BB516" s="52"/>
    </row>
    <row r="517">
      <c r="A517" s="52"/>
      <c r="B517" s="133"/>
      <c r="C517" s="52"/>
      <c r="D517" s="52"/>
      <c r="E517" s="52"/>
      <c r="F517" s="52"/>
      <c r="G517" s="135"/>
      <c r="H517" s="52"/>
      <c r="I517" s="52"/>
      <c r="J517" s="136"/>
      <c r="K517" s="136"/>
      <c r="L517" s="136"/>
      <c r="M517" s="136"/>
      <c r="N517" s="52"/>
      <c r="O517" s="52"/>
      <c r="P517" s="52"/>
      <c r="Q517" s="52"/>
      <c r="R517" s="52"/>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138"/>
      <c r="AQ517" s="138"/>
      <c r="AR517" s="52"/>
      <c r="AS517" s="52"/>
      <c r="AT517" s="52"/>
      <c r="AU517" s="139"/>
      <c r="AV517" s="138"/>
      <c r="AW517" s="141"/>
      <c r="AX517" s="52"/>
      <c r="AY517" s="52"/>
      <c r="AZ517" s="52"/>
      <c r="BA517" s="52"/>
      <c r="BB517" s="52"/>
    </row>
    <row r="518">
      <c r="A518" s="52"/>
      <c r="B518" s="133"/>
      <c r="C518" s="52"/>
      <c r="D518" s="52"/>
      <c r="E518" s="52"/>
      <c r="F518" s="52"/>
      <c r="G518" s="135"/>
      <c r="H518" s="52"/>
      <c r="I518" s="52"/>
      <c r="J518" s="136"/>
      <c r="K518" s="136"/>
      <c r="L518" s="136"/>
      <c r="M518" s="136"/>
      <c r="N518" s="52"/>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138"/>
      <c r="AQ518" s="138"/>
      <c r="AR518" s="52"/>
      <c r="AS518" s="52"/>
      <c r="AT518" s="52"/>
      <c r="AU518" s="139"/>
      <c r="AV518" s="138"/>
      <c r="AW518" s="141"/>
      <c r="AX518" s="52"/>
      <c r="AY518" s="52"/>
      <c r="AZ518" s="52"/>
      <c r="BA518" s="52"/>
      <c r="BB518" s="52"/>
    </row>
    <row r="519">
      <c r="A519" s="52"/>
      <c r="B519" s="133"/>
      <c r="C519" s="52"/>
      <c r="D519" s="52"/>
      <c r="E519" s="52"/>
      <c r="F519" s="52"/>
      <c r="G519" s="135"/>
      <c r="H519" s="52"/>
      <c r="I519" s="52"/>
      <c r="J519" s="136"/>
      <c r="K519" s="136"/>
      <c r="L519" s="136"/>
      <c r="M519" s="136"/>
      <c r="N519" s="52"/>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138"/>
      <c r="AQ519" s="138"/>
      <c r="AR519" s="52"/>
      <c r="AS519" s="52"/>
      <c r="AT519" s="52"/>
      <c r="AU519" s="139"/>
      <c r="AV519" s="138"/>
      <c r="AW519" s="141"/>
      <c r="AX519" s="52"/>
      <c r="AY519" s="52"/>
      <c r="AZ519" s="52"/>
      <c r="BA519" s="52"/>
      <c r="BB519" s="52"/>
    </row>
    <row r="520">
      <c r="A520" s="52"/>
      <c r="B520" s="133"/>
      <c r="C520" s="52"/>
      <c r="D520" s="52"/>
      <c r="E520" s="52"/>
      <c r="F520" s="52"/>
      <c r="G520" s="135"/>
      <c r="H520" s="52"/>
      <c r="I520" s="52"/>
      <c r="J520" s="136"/>
      <c r="K520" s="136"/>
      <c r="L520" s="136"/>
      <c r="M520" s="136"/>
      <c r="N520" s="52"/>
      <c r="O520" s="52"/>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138"/>
      <c r="AQ520" s="138"/>
      <c r="AR520" s="52"/>
      <c r="AS520" s="52"/>
      <c r="AT520" s="52"/>
      <c r="AU520" s="139"/>
      <c r="AV520" s="138"/>
      <c r="AW520" s="141"/>
      <c r="AX520" s="52"/>
      <c r="AY520" s="52"/>
      <c r="AZ520" s="52"/>
      <c r="BA520" s="52"/>
      <c r="BB520" s="52"/>
    </row>
    <row r="521">
      <c r="A521" s="52"/>
      <c r="B521" s="133"/>
      <c r="C521" s="52"/>
      <c r="D521" s="52"/>
      <c r="E521" s="52"/>
      <c r="F521" s="52"/>
      <c r="G521" s="135"/>
      <c r="H521" s="52"/>
      <c r="I521" s="52"/>
      <c r="J521" s="136"/>
      <c r="K521" s="136"/>
      <c r="L521" s="136"/>
      <c r="M521" s="136"/>
      <c r="N521" s="52"/>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138"/>
      <c r="AQ521" s="138"/>
      <c r="AR521" s="52"/>
      <c r="AS521" s="52"/>
      <c r="AT521" s="52"/>
      <c r="AU521" s="139"/>
      <c r="AV521" s="138"/>
      <c r="AW521" s="141"/>
      <c r="AX521" s="52"/>
      <c r="AY521" s="52"/>
      <c r="AZ521" s="52"/>
      <c r="BA521" s="52"/>
      <c r="BB521" s="52"/>
    </row>
    <row r="522">
      <c r="A522" s="52"/>
      <c r="B522" s="133"/>
      <c r="C522" s="52"/>
      <c r="D522" s="52"/>
      <c r="E522" s="52"/>
      <c r="F522" s="52"/>
      <c r="G522" s="135"/>
      <c r="H522" s="52"/>
      <c r="I522" s="52"/>
      <c r="J522" s="136"/>
      <c r="K522" s="136"/>
      <c r="L522" s="136"/>
      <c r="M522" s="136"/>
      <c r="N522" s="52"/>
      <c r="O522" s="52"/>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138"/>
      <c r="AQ522" s="138"/>
      <c r="AR522" s="52"/>
      <c r="AS522" s="52"/>
      <c r="AT522" s="52"/>
      <c r="AU522" s="139"/>
      <c r="AV522" s="138"/>
      <c r="AW522" s="141"/>
      <c r="AX522" s="52"/>
      <c r="AY522" s="52"/>
      <c r="AZ522" s="52"/>
      <c r="BA522" s="52"/>
      <c r="BB522" s="52"/>
    </row>
    <row r="523">
      <c r="A523" s="52"/>
      <c r="B523" s="133"/>
      <c r="C523" s="52"/>
      <c r="D523" s="52"/>
      <c r="E523" s="52"/>
      <c r="F523" s="52"/>
      <c r="G523" s="135"/>
      <c r="H523" s="52"/>
      <c r="I523" s="52"/>
      <c r="J523" s="136"/>
      <c r="K523" s="136"/>
      <c r="L523" s="136"/>
      <c r="M523" s="136"/>
      <c r="N523" s="52"/>
      <c r="O523" s="52"/>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138"/>
      <c r="AQ523" s="138"/>
      <c r="AR523" s="52"/>
      <c r="AS523" s="52"/>
      <c r="AT523" s="52"/>
      <c r="AU523" s="139"/>
      <c r="AV523" s="138"/>
      <c r="AW523" s="141"/>
      <c r="AX523" s="52"/>
      <c r="AY523" s="52"/>
      <c r="AZ523" s="52"/>
      <c r="BA523" s="52"/>
      <c r="BB523" s="52"/>
    </row>
    <row r="524">
      <c r="A524" s="52"/>
      <c r="B524" s="133"/>
      <c r="C524" s="52"/>
      <c r="D524" s="52"/>
      <c r="E524" s="52"/>
      <c r="F524" s="52"/>
      <c r="G524" s="135"/>
      <c r="H524" s="52"/>
      <c r="I524" s="52"/>
      <c r="J524" s="136"/>
      <c r="K524" s="136"/>
      <c r="L524" s="136"/>
      <c r="M524" s="136"/>
      <c r="N524" s="52"/>
      <c r="O524" s="52"/>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138"/>
      <c r="AQ524" s="138"/>
      <c r="AR524" s="52"/>
      <c r="AS524" s="52"/>
      <c r="AT524" s="52"/>
      <c r="AU524" s="139"/>
      <c r="AV524" s="138"/>
      <c r="AW524" s="141"/>
      <c r="AX524" s="52"/>
      <c r="AY524" s="52"/>
      <c r="AZ524" s="52"/>
      <c r="BA524" s="52"/>
      <c r="BB524" s="52"/>
    </row>
    <row r="525">
      <c r="A525" s="52"/>
      <c r="B525" s="133"/>
      <c r="C525" s="52"/>
      <c r="D525" s="52"/>
      <c r="E525" s="52"/>
      <c r="F525" s="52"/>
      <c r="G525" s="135"/>
      <c r="H525" s="52"/>
      <c r="I525" s="52"/>
      <c r="J525" s="136"/>
      <c r="K525" s="136"/>
      <c r="L525" s="136"/>
      <c r="M525" s="136"/>
      <c r="N525" s="52"/>
      <c r="O525" s="52"/>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138"/>
      <c r="AQ525" s="138"/>
      <c r="AR525" s="52"/>
      <c r="AS525" s="52"/>
      <c r="AT525" s="52"/>
      <c r="AU525" s="139"/>
      <c r="AV525" s="138"/>
      <c r="AW525" s="141"/>
      <c r="AX525" s="52"/>
      <c r="AY525" s="52"/>
      <c r="AZ525" s="52"/>
      <c r="BA525" s="52"/>
      <c r="BB525" s="52"/>
    </row>
    <row r="526">
      <c r="A526" s="52"/>
      <c r="B526" s="133"/>
      <c r="C526" s="52"/>
      <c r="D526" s="52"/>
      <c r="E526" s="52"/>
      <c r="F526" s="52"/>
      <c r="G526" s="135"/>
      <c r="H526" s="52"/>
      <c r="I526" s="52"/>
      <c r="J526" s="136"/>
      <c r="K526" s="136"/>
      <c r="L526" s="136"/>
      <c r="M526" s="136"/>
      <c r="N526" s="52"/>
      <c r="O526" s="52"/>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138"/>
      <c r="AQ526" s="138"/>
      <c r="AR526" s="52"/>
      <c r="AS526" s="52"/>
      <c r="AT526" s="52"/>
      <c r="AU526" s="139"/>
      <c r="AV526" s="138"/>
      <c r="AW526" s="141"/>
      <c r="AX526" s="52"/>
      <c r="AY526" s="52"/>
      <c r="AZ526" s="52"/>
      <c r="BA526" s="52"/>
      <c r="BB526" s="52"/>
    </row>
    <row r="527">
      <c r="A527" s="52"/>
      <c r="B527" s="133"/>
      <c r="C527" s="52"/>
      <c r="D527" s="52"/>
      <c r="E527" s="52"/>
      <c r="F527" s="52"/>
      <c r="G527" s="135"/>
      <c r="H527" s="52"/>
      <c r="I527" s="52"/>
      <c r="J527" s="136"/>
      <c r="K527" s="136"/>
      <c r="L527" s="136"/>
      <c r="M527" s="136"/>
      <c r="N527" s="52"/>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138"/>
      <c r="AQ527" s="138"/>
      <c r="AR527" s="52"/>
      <c r="AS527" s="52"/>
      <c r="AT527" s="52"/>
      <c r="AU527" s="139"/>
      <c r="AV527" s="138"/>
      <c r="AW527" s="141"/>
      <c r="AX527" s="52"/>
      <c r="AY527" s="52"/>
      <c r="AZ527" s="52"/>
      <c r="BA527" s="52"/>
      <c r="BB527" s="52"/>
    </row>
    <row r="528">
      <c r="A528" s="52"/>
      <c r="B528" s="133"/>
      <c r="C528" s="52"/>
      <c r="D528" s="52"/>
      <c r="E528" s="52"/>
      <c r="F528" s="52"/>
      <c r="G528" s="135"/>
      <c r="H528" s="52"/>
      <c r="I528" s="52"/>
      <c r="J528" s="136"/>
      <c r="K528" s="136"/>
      <c r="L528" s="136"/>
      <c r="M528" s="136"/>
      <c r="N528" s="52"/>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138"/>
      <c r="AQ528" s="138"/>
      <c r="AR528" s="52"/>
      <c r="AS528" s="52"/>
      <c r="AT528" s="52"/>
      <c r="AU528" s="139"/>
      <c r="AV528" s="138"/>
      <c r="AW528" s="141"/>
      <c r="AX528" s="52"/>
      <c r="AY528" s="52"/>
      <c r="AZ528" s="52"/>
      <c r="BA528" s="52"/>
      <c r="BB528" s="52"/>
    </row>
    <row r="529">
      <c r="A529" s="52"/>
      <c r="B529" s="133"/>
      <c r="C529" s="52"/>
      <c r="D529" s="52"/>
      <c r="E529" s="52"/>
      <c r="F529" s="52"/>
      <c r="G529" s="135"/>
      <c r="H529" s="52"/>
      <c r="I529" s="52"/>
      <c r="J529" s="136"/>
      <c r="K529" s="136"/>
      <c r="L529" s="136"/>
      <c r="M529" s="136"/>
      <c r="N529" s="52"/>
      <c r="O529" s="52"/>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138"/>
      <c r="AQ529" s="138"/>
      <c r="AR529" s="52"/>
      <c r="AS529" s="52"/>
      <c r="AT529" s="52"/>
      <c r="AU529" s="139"/>
      <c r="AV529" s="138"/>
      <c r="AW529" s="141"/>
      <c r="AX529" s="52"/>
      <c r="AY529" s="52"/>
      <c r="AZ529" s="52"/>
      <c r="BA529" s="52"/>
      <c r="BB529" s="52"/>
    </row>
    <row r="530">
      <c r="A530" s="52"/>
      <c r="B530" s="133"/>
      <c r="C530" s="52"/>
      <c r="D530" s="52"/>
      <c r="E530" s="52"/>
      <c r="F530" s="52"/>
      <c r="G530" s="135"/>
      <c r="H530" s="52"/>
      <c r="I530" s="52"/>
      <c r="J530" s="136"/>
      <c r="K530" s="136"/>
      <c r="L530" s="136"/>
      <c r="M530" s="136"/>
      <c r="N530" s="52"/>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138"/>
      <c r="AQ530" s="138"/>
      <c r="AR530" s="52"/>
      <c r="AS530" s="52"/>
      <c r="AT530" s="52"/>
      <c r="AU530" s="139"/>
      <c r="AV530" s="138"/>
      <c r="AW530" s="141"/>
      <c r="AX530" s="52"/>
      <c r="AY530" s="52"/>
      <c r="AZ530" s="52"/>
      <c r="BA530" s="52"/>
      <c r="BB530" s="52"/>
    </row>
    <row r="531">
      <c r="A531" s="52"/>
      <c r="B531" s="133"/>
      <c r="C531" s="52"/>
      <c r="D531" s="52"/>
      <c r="E531" s="52"/>
      <c r="F531" s="52"/>
      <c r="G531" s="135"/>
      <c r="H531" s="52"/>
      <c r="I531" s="52"/>
      <c r="J531" s="136"/>
      <c r="K531" s="136"/>
      <c r="L531" s="136"/>
      <c r="M531" s="136"/>
      <c r="N531" s="52"/>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138"/>
      <c r="AQ531" s="138"/>
      <c r="AR531" s="52"/>
      <c r="AS531" s="52"/>
      <c r="AT531" s="52"/>
      <c r="AU531" s="139"/>
      <c r="AV531" s="138"/>
      <c r="AW531" s="141"/>
      <c r="AX531" s="52"/>
      <c r="AY531" s="52"/>
      <c r="AZ531" s="52"/>
      <c r="BA531" s="52"/>
      <c r="BB531" s="52"/>
    </row>
    <row r="532">
      <c r="A532" s="52"/>
      <c r="B532" s="133"/>
      <c r="C532" s="52"/>
      <c r="D532" s="52"/>
      <c r="E532" s="52"/>
      <c r="F532" s="52"/>
      <c r="G532" s="135"/>
      <c r="H532" s="52"/>
      <c r="I532" s="52"/>
      <c r="J532" s="136"/>
      <c r="K532" s="136"/>
      <c r="L532" s="136"/>
      <c r="M532" s="136"/>
      <c r="N532" s="52"/>
      <c r="O532" s="52"/>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138"/>
      <c r="AQ532" s="138"/>
      <c r="AR532" s="52"/>
      <c r="AS532" s="52"/>
      <c r="AT532" s="52"/>
      <c r="AU532" s="139"/>
      <c r="AV532" s="138"/>
      <c r="AW532" s="141"/>
      <c r="AX532" s="52"/>
      <c r="AY532" s="52"/>
      <c r="AZ532" s="52"/>
      <c r="BA532" s="52"/>
      <c r="BB532" s="52"/>
    </row>
    <row r="533">
      <c r="A533" s="52"/>
      <c r="B533" s="133"/>
      <c r="C533" s="52"/>
      <c r="D533" s="52"/>
      <c r="E533" s="52"/>
      <c r="F533" s="52"/>
      <c r="G533" s="135"/>
      <c r="H533" s="52"/>
      <c r="I533" s="52"/>
      <c r="J533" s="136"/>
      <c r="K533" s="136"/>
      <c r="L533" s="136"/>
      <c r="M533" s="136"/>
      <c r="N533" s="52"/>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138"/>
      <c r="AQ533" s="138"/>
      <c r="AR533" s="52"/>
      <c r="AS533" s="52"/>
      <c r="AT533" s="52"/>
      <c r="AU533" s="139"/>
      <c r="AV533" s="138"/>
      <c r="AW533" s="141"/>
      <c r="AX533" s="52"/>
      <c r="AY533" s="52"/>
      <c r="AZ533" s="52"/>
      <c r="BA533" s="52"/>
      <c r="BB533" s="52"/>
    </row>
    <row r="534">
      <c r="A534" s="52"/>
      <c r="B534" s="133"/>
      <c r="C534" s="52"/>
      <c r="D534" s="52"/>
      <c r="E534" s="52"/>
      <c r="F534" s="52"/>
      <c r="G534" s="135"/>
      <c r="H534" s="52"/>
      <c r="I534" s="52"/>
      <c r="J534" s="136"/>
      <c r="K534" s="136"/>
      <c r="L534" s="136"/>
      <c r="M534" s="136"/>
      <c r="N534" s="52"/>
      <c r="O534" s="52"/>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138"/>
      <c r="AQ534" s="138"/>
      <c r="AR534" s="52"/>
      <c r="AS534" s="52"/>
      <c r="AT534" s="52"/>
      <c r="AU534" s="139"/>
      <c r="AV534" s="138"/>
      <c r="AW534" s="141"/>
      <c r="AX534" s="52"/>
      <c r="AY534" s="52"/>
      <c r="AZ534" s="52"/>
      <c r="BA534" s="52"/>
      <c r="BB534" s="52"/>
    </row>
    <row r="535">
      <c r="A535" s="52"/>
      <c r="B535" s="133"/>
      <c r="C535" s="52"/>
      <c r="D535" s="52"/>
      <c r="E535" s="52"/>
      <c r="F535" s="52"/>
      <c r="G535" s="135"/>
      <c r="H535" s="52"/>
      <c r="I535" s="52"/>
      <c r="J535" s="136"/>
      <c r="K535" s="136"/>
      <c r="L535" s="136"/>
      <c r="M535" s="136"/>
      <c r="N535" s="52"/>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138"/>
      <c r="AQ535" s="138"/>
      <c r="AR535" s="52"/>
      <c r="AS535" s="52"/>
      <c r="AT535" s="52"/>
      <c r="AU535" s="139"/>
      <c r="AV535" s="138"/>
      <c r="AW535" s="141"/>
      <c r="AX535" s="52"/>
      <c r="AY535" s="52"/>
      <c r="AZ535" s="52"/>
      <c r="BA535" s="52"/>
      <c r="BB535" s="52"/>
    </row>
    <row r="536">
      <c r="A536" s="52"/>
      <c r="B536" s="133"/>
      <c r="C536" s="52"/>
      <c r="D536" s="52"/>
      <c r="E536" s="52"/>
      <c r="F536" s="52"/>
      <c r="G536" s="135"/>
      <c r="H536" s="52"/>
      <c r="I536" s="52"/>
      <c r="J536" s="136"/>
      <c r="K536" s="136"/>
      <c r="L536" s="136"/>
      <c r="M536" s="136"/>
      <c r="N536" s="52"/>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138"/>
      <c r="AQ536" s="138"/>
      <c r="AR536" s="52"/>
      <c r="AS536" s="52"/>
      <c r="AT536" s="52"/>
      <c r="AU536" s="139"/>
      <c r="AV536" s="138"/>
      <c r="AW536" s="141"/>
      <c r="AX536" s="52"/>
      <c r="AY536" s="52"/>
      <c r="AZ536" s="52"/>
      <c r="BA536" s="52"/>
      <c r="BB536" s="52"/>
    </row>
    <row r="537">
      <c r="A537" s="52"/>
      <c r="B537" s="133"/>
      <c r="C537" s="52"/>
      <c r="D537" s="52"/>
      <c r="E537" s="52"/>
      <c r="F537" s="52"/>
      <c r="G537" s="135"/>
      <c r="H537" s="52"/>
      <c r="I537" s="52"/>
      <c r="J537" s="136"/>
      <c r="K537" s="136"/>
      <c r="L537" s="136"/>
      <c r="M537" s="136"/>
      <c r="N537" s="52"/>
      <c r="O537" s="52"/>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138"/>
      <c r="AQ537" s="138"/>
      <c r="AR537" s="52"/>
      <c r="AS537" s="52"/>
      <c r="AT537" s="52"/>
      <c r="AU537" s="139"/>
      <c r="AV537" s="138"/>
      <c r="AW537" s="141"/>
      <c r="AX537" s="52"/>
      <c r="AY537" s="52"/>
      <c r="AZ537" s="52"/>
      <c r="BA537" s="52"/>
      <c r="BB537" s="52"/>
    </row>
    <row r="538">
      <c r="A538" s="52"/>
      <c r="B538" s="133"/>
      <c r="C538" s="52"/>
      <c r="D538" s="52"/>
      <c r="E538" s="52"/>
      <c r="F538" s="52"/>
      <c r="G538" s="135"/>
      <c r="H538" s="52"/>
      <c r="I538" s="52"/>
      <c r="J538" s="136"/>
      <c r="K538" s="136"/>
      <c r="L538" s="136"/>
      <c r="M538" s="136"/>
      <c r="N538" s="52"/>
      <c r="O538" s="52"/>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138"/>
      <c r="AQ538" s="138"/>
      <c r="AR538" s="52"/>
      <c r="AS538" s="52"/>
      <c r="AT538" s="52"/>
      <c r="AU538" s="139"/>
      <c r="AV538" s="138"/>
      <c r="AW538" s="141"/>
      <c r="AX538" s="52"/>
      <c r="AY538" s="52"/>
      <c r="AZ538" s="52"/>
      <c r="BA538" s="52"/>
      <c r="BB538" s="52"/>
    </row>
    <row r="539">
      <c r="A539" s="52"/>
      <c r="B539" s="133"/>
      <c r="C539" s="52"/>
      <c r="D539" s="52"/>
      <c r="E539" s="52"/>
      <c r="F539" s="52"/>
      <c r="G539" s="135"/>
      <c r="H539" s="52"/>
      <c r="I539" s="52"/>
      <c r="J539" s="136"/>
      <c r="K539" s="136"/>
      <c r="L539" s="136"/>
      <c r="M539" s="136"/>
      <c r="N539" s="52"/>
      <c r="O539" s="52"/>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138"/>
      <c r="AQ539" s="138"/>
      <c r="AR539" s="52"/>
      <c r="AS539" s="52"/>
      <c r="AT539" s="52"/>
      <c r="AU539" s="139"/>
      <c r="AV539" s="138"/>
      <c r="AW539" s="141"/>
      <c r="AX539" s="52"/>
      <c r="AY539" s="52"/>
      <c r="AZ539" s="52"/>
      <c r="BA539" s="52"/>
      <c r="BB539" s="52"/>
    </row>
    <row r="540">
      <c r="A540" s="52"/>
      <c r="B540" s="133"/>
      <c r="C540" s="52"/>
      <c r="D540" s="52"/>
      <c r="E540" s="52"/>
      <c r="F540" s="52"/>
      <c r="G540" s="135"/>
      <c r="H540" s="52"/>
      <c r="I540" s="52"/>
      <c r="J540" s="136"/>
      <c r="K540" s="136"/>
      <c r="L540" s="136"/>
      <c r="M540" s="136"/>
      <c r="N540" s="52"/>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138"/>
      <c r="AQ540" s="138"/>
      <c r="AR540" s="52"/>
      <c r="AS540" s="52"/>
      <c r="AT540" s="52"/>
      <c r="AU540" s="139"/>
      <c r="AV540" s="138"/>
      <c r="AW540" s="141"/>
      <c r="AX540" s="52"/>
      <c r="AY540" s="52"/>
      <c r="AZ540" s="52"/>
      <c r="BA540" s="52"/>
      <c r="BB540" s="52"/>
    </row>
    <row r="541">
      <c r="A541" s="52"/>
      <c r="B541" s="133"/>
      <c r="C541" s="52"/>
      <c r="D541" s="52"/>
      <c r="E541" s="52"/>
      <c r="F541" s="52"/>
      <c r="G541" s="135"/>
      <c r="H541" s="52"/>
      <c r="I541" s="52"/>
      <c r="J541" s="136"/>
      <c r="K541" s="136"/>
      <c r="L541" s="136"/>
      <c r="M541" s="136"/>
      <c r="N541" s="52"/>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138"/>
      <c r="AQ541" s="138"/>
      <c r="AR541" s="52"/>
      <c r="AS541" s="52"/>
      <c r="AT541" s="52"/>
      <c r="AU541" s="139"/>
      <c r="AV541" s="138"/>
      <c r="AW541" s="141"/>
      <c r="AX541" s="52"/>
      <c r="AY541" s="52"/>
      <c r="AZ541" s="52"/>
      <c r="BA541" s="52"/>
      <c r="BB541" s="52"/>
    </row>
    <row r="542">
      <c r="A542" s="52"/>
      <c r="B542" s="133"/>
      <c r="C542" s="52"/>
      <c r="D542" s="52"/>
      <c r="E542" s="52"/>
      <c r="F542" s="52"/>
      <c r="G542" s="135"/>
      <c r="H542" s="52"/>
      <c r="I542" s="52"/>
      <c r="J542" s="136"/>
      <c r="K542" s="136"/>
      <c r="L542" s="136"/>
      <c r="M542" s="136"/>
      <c r="N542" s="52"/>
      <c r="O542" s="52"/>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138"/>
      <c r="AQ542" s="138"/>
      <c r="AR542" s="52"/>
      <c r="AS542" s="52"/>
      <c r="AT542" s="52"/>
      <c r="AU542" s="139"/>
      <c r="AV542" s="138"/>
      <c r="AW542" s="141"/>
      <c r="AX542" s="52"/>
      <c r="AY542" s="52"/>
      <c r="AZ542" s="52"/>
      <c r="BA542" s="52"/>
      <c r="BB542" s="52"/>
    </row>
    <row r="543">
      <c r="A543" s="52"/>
      <c r="B543" s="133"/>
      <c r="C543" s="52"/>
      <c r="D543" s="52"/>
      <c r="E543" s="52"/>
      <c r="F543" s="52"/>
      <c r="G543" s="135"/>
      <c r="H543" s="52"/>
      <c r="I543" s="52"/>
      <c r="J543" s="136"/>
      <c r="K543" s="136"/>
      <c r="L543" s="136"/>
      <c r="M543" s="136"/>
      <c r="N543" s="52"/>
      <c r="O543" s="52"/>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138"/>
      <c r="AQ543" s="138"/>
      <c r="AR543" s="52"/>
      <c r="AS543" s="52"/>
      <c r="AT543" s="52"/>
      <c r="AU543" s="139"/>
      <c r="AV543" s="138"/>
      <c r="AW543" s="141"/>
      <c r="AX543" s="52"/>
      <c r="AY543" s="52"/>
      <c r="AZ543" s="52"/>
      <c r="BA543" s="52"/>
      <c r="BB543" s="52"/>
    </row>
    <row r="544">
      <c r="A544" s="52"/>
      <c r="B544" s="133"/>
      <c r="C544" s="52"/>
      <c r="D544" s="52"/>
      <c r="E544" s="52"/>
      <c r="F544" s="52"/>
      <c r="G544" s="135"/>
      <c r="H544" s="52"/>
      <c r="I544" s="52"/>
      <c r="J544" s="136"/>
      <c r="K544" s="136"/>
      <c r="L544" s="136"/>
      <c r="M544" s="136"/>
      <c r="N544" s="52"/>
      <c r="O544" s="52"/>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138"/>
      <c r="AQ544" s="138"/>
      <c r="AR544" s="52"/>
      <c r="AS544" s="52"/>
      <c r="AT544" s="52"/>
      <c r="AU544" s="139"/>
      <c r="AV544" s="138"/>
      <c r="AW544" s="141"/>
      <c r="AX544" s="52"/>
      <c r="AY544" s="52"/>
      <c r="AZ544" s="52"/>
      <c r="BA544" s="52"/>
      <c r="BB544" s="52"/>
    </row>
    <row r="545">
      <c r="A545" s="52"/>
      <c r="B545" s="133"/>
      <c r="C545" s="52"/>
      <c r="D545" s="52"/>
      <c r="E545" s="52"/>
      <c r="F545" s="52"/>
      <c r="G545" s="135"/>
      <c r="H545" s="52"/>
      <c r="I545" s="52"/>
      <c r="J545" s="136"/>
      <c r="K545" s="136"/>
      <c r="L545" s="136"/>
      <c r="M545" s="136"/>
      <c r="N545" s="52"/>
      <c r="O545" s="52"/>
      <c r="P545" s="52"/>
      <c r="Q545" s="52"/>
      <c r="R545" s="52"/>
      <c r="S545" s="52"/>
      <c r="T545" s="52"/>
      <c r="U545" s="52"/>
      <c r="V545" s="52"/>
      <c r="W545" s="52"/>
      <c r="X545" s="52"/>
      <c r="Y545" s="52"/>
      <c r="Z545" s="52"/>
      <c r="AA545" s="52"/>
      <c r="AB545" s="52"/>
      <c r="AC545" s="52"/>
      <c r="AD545" s="52"/>
      <c r="AE545" s="52"/>
      <c r="AF545" s="52"/>
      <c r="AG545" s="52"/>
      <c r="AH545" s="52"/>
      <c r="AI545" s="52"/>
      <c r="AJ545" s="52"/>
      <c r="AK545" s="52"/>
      <c r="AL545" s="52"/>
      <c r="AM545" s="52"/>
      <c r="AN545" s="52"/>
      <c r="AO545" s="52"/>
      <c r="AP545" s="138"/>
      <c r="AQ545" s="138"/>
      <c r="AR545" s="52"/>
      <c r="AS545" s="52"/>
      <c r="AT545" s="52"/>
      <c r="AU545" s="139"/>
      <c r="AV545" s="138"/>
      <c r="AW545" s="141"/>
      <c r="AX545" s="52"/>
      <c r="AY545" s="52"/>
      <c r="AZ545" s="52"/>
      <c r="BA545" s="52"/>
      <c r="BB545" s="52"/>
    </row>
    <row r="546">
      <c r="A546" s="52"/>
      <c r="B546" s="133"/>
      <c r="C546" s="52"/>
      <c r="D546" s="52"/>
      <c r="E546" s="52"/>
      <c r="F546" s="52"/>
      <c r="G546" s="135"/>
      <c r="H546" s="52"/>
      <c r="I546" s="52"/>
      <c r="J546" s="136"/>
      <c r="K546" s="136"/>
      <c r="L546" s="136"/>
      <c r="M546" s="136"/>
      <c r="N546" s="52"/>
      <c r="O546" s="52"/>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138"/>
      <c r="AQ546" s="138"/>
      <c r="AR546" s="52"/>
      <c r="AS546" s="52"/>
      <c r="AT546" s="52"/>
      <c r="AU546" s="139"/>
      <c r="AV546" s="138"/>
      <c r="AW546" s="141"/>
      <c r="AX546" s="52"/>
      <c r="AY546" s="52"/>
      <c r="AZ546" s="52"/>
      <c r="BA546" s="52"/>
      <c r="BB546" s="52"/>
    </row>
    <row r="547">
      <c r="A547" s="52"/>
      <c r="B547" s="133"/>
      <c r="C547" s="52"/>
      <c r="D547" s="52"/>
      <c r="E547" s="52"/>
      <c r="F547" s="52"/>
      <c r="G547" s="135"/>
      <c r="H547" s="52"/>
      <c r="I547" s="52"/>
      <c r="J547" s="136"/>
      <c r="K547" s="136"/>
      <c r="L547" s="136"/>
      <c r="M547" s="136"/>
      <c r="N547" s="52"/>
      <c r="O547" s="52"/>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138"/>
      <c r="AQ547" s="138"/>
      <c r="AR547" s="52"/>
      <c r="AS547" s="52"/>
      <c r="AT547" s="52"/>
      <c r="AU547" s="139"/>
      <c r="AV547" s="138"/>
      <c r="AW547" s="141"/>
      <c r="AX547" s="52"/>
      <c r="AY547" s="52"/>
      <c r="AZ547" s="52"/>
      <c r="BA547" s="52"/>
      <c r="BB547" s="52"/>
    </row>
    <row r="548">
      <c r="A548" s="52"/>
      <c r="B548" s="133"/>
      <c r="C548" s="52"/>
      <c r="D548" s="52"/>
      <c r="E548" s="52"/>
      <c r="F548" s="52"/>
      <c r="G548" s="135"/>
      <c r="H548" s="52"/>
      <c r="I548" s="52"/>
      <c r="J548" s="136"/>
      <c r="K548" s="136"/>
      <c r="L548" s="136"/>
      <c r="M548" s="136"/>
      <c r="N548" s="52"/>
      <c r="O548" s="52"/>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138"/>
      <c r="AQ548" s="138"/>
      <c r="AR548" s="52"/>
      <c r="AS548" s="52"/>
      <c r="AT548" s="52"/>
      <c r="AU548" s="139"/>
      <c r="AV548" s="138"/>
      <c r="AW548" s="141"/>
      <c r="AX548" s="52"/>
      <c r="AY548" s="52"/>
      <c r="AZ548" s="52"/>
      <c r="BA548" s="52"/>
      <c r="BB548" s="52"/>
    </row>
    <row r="549">
      <c r="A549" s="52"/>
      <c r="B549" s="133"/>
      <c r="C549" s="52"/>
      <c r="D549" s="52"/>
      <c r="E549" s="52"/>
      <c r="F549" s="52"/>
      <c r="G549" s="135"/>
      <c r="H549" s="52"/>
      <c r="I549" s="52"/>
      <c r="J549" s="136"/>
      <c r="K549" s="136"/>
      <c r="L549" s="136"/>
      <c r="M549" s="136"/>
      <c r="N549" s="52"/>
      <c r="O549" s="52"/>
      <c r="P549" s="52"/>
      <c r="Q549" s="52"/>
      <c r="R549" s="52"/>
      <c r="S549" s="52"/>
      <c r="T549" s="52"/>
      <c r="U549" s="52"/>
      <c r="V549" s="52"/>
      <c r="W549" s="52"/>
      <c r="X549" s="52"/>
      <c r="Y549" s="52"/>
      <c r="Z549" s="52"/>
      <c r="AA549" s="52"/>
      <c r="AB549" s="52"/>
      <c r="AC549" s="52"/>
      <c r="AD549" s="52"/>
      <c r="AE549" s="52"/>
      <c r="AF549" s="52"/>
      <c r="AG549" s="52"/>
      <c r="AH549" s="52"/>
      <c r="AI549" s="52"/>
      <c r="AJ549" s="52"/>
      <c r="AK549" s="52"/>
      <c r="AL549" s="52"/>
      <c r="AM549" s="52"/>
      <c r="AN549" s="52"/>
      <c r="AO549" s="52"/>
      <c r="AP549" s="138"/>
      <c r="AQ549" s="138"/>
      <c r="AR549" s="52"/>
      <c r="AS549" s="52"/>
      <c r="AT549" s="52"/>
      <c r="AU549" s="139"/>
      <c r="AV549" s="138"/>
      <c r="AW549" s="141"/>
      <c r="AX549" s="52"/>
      <c r="AY549" s="52"/>
      <c r="AZ549" s="52"/>
      <c r="BA549" s="52"/>
      <c r="BB549" s="52"/>
    </row>
    <row r="550">
      <c r="A550" s="52"/>
      <c r="B550" s="133"/>
      <c r="C550" s="52"/>
      <c r="D550" s="52"/>
      <c r="E550" s="52"/>
      <c r="F550" s="52"/>
      <c r="G550" s="135"/>
      <c r="H550" s="52"/>
      <c r="I550" s="52"/>
      <c r="J550" s="136"/>
      <c r="K550" s="136"/>
      <c r="L550" s="136"/>
      <c r="M550" s="136"/>
      <c r="N550" s="52"/>
      <c r="O550" s="52"/>
      <c r="P550" s="52"/>
      <c r="Q550" s="52"/>
      <c r="R550" s="52"/>
      <c r="S550" s="52"/>
      <c r="T550" s="52"/>
      <c r="U550" s="52"/>
      <c r="V550" s="52"/>
      <c r="W550" s="52"/>
      <c r="X550" s="52"/>
      <c r="Y550" s="52"/>
      <c r="Z550" s="52"/>
      <c r="AA550" s="52"/>
      <c r="AB550" s="52"/>
      <c r="AC550" s="52"/>
      <c r="AD550" s="52"/>
      <c r="AE550" s="52"/>
      <c r="AF550" s="52"/>
      <c r="AG550" s="52"/>
      <c r="AH550" s="52"/>
      <c r="AI550" s="52"/>
      <c r="AJ550" s="52"/>
      <c r="AK550" s="52"/>
      <c r="AL550" s="52"/>
      <c r="AM550" s="52"/>
      <c r="AN550" s="52"/>
      <c r="AO550" s="52"/>
      <c r="AP550" s="138"/>
      <c r="AQ550" s="138"/>
      <c r="AR550" s="52"/>
      <c r="AS550" s="52"/>
      <c r="AT550" s="52"/>
      <c r="AU550" s="139"/>
      <c r="AV550" s="138"/>
      <c r="AW550" s="141"/>
      <c r="AX550" s="52"/>
      <c r="AY550" s="52"/>
      <c r="AZ550" s="52"/>
      <c r="BA550" s="52"/>
      <c r="BB550" s="52"/>
    </row>
    <row r="551">
      <c r="A551" s="52"/>
      <c r="B551" s="133"/>
      <c r="C551" s="52"/>
      <c r="D551" s="52"/>
      <c r="E551" s="52"/>
      <c r="F551" s="52"/>
      <c r="G551" s="135"/>
      <c r="H551" s="52"/>
      <c r="I551" s="52"/>
      <c r="J551" s="136"/>
      <c r="K551" s="136"/>
      <c r="L551" s="136"/>
      <c r="M551" s="136"/>
      <c r="N551" s="52"/>
      <c r="O551" s="52"/>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138"/>
      <c r="AQ551" s="138"/>
      <c r="AR551" s="52"/>
      <c r="AS551" s="52"/>
      <c r="AT551" s="52"/>
      <c r="AU551" s="139"/>
      <c r="AV551" s="138"/>
      <c r="AW551" s="141"/>
      <c r="AX551" s="52"/>
      <c r="AY551" s="52"/>
      <c r="AZ551" s="52"/>
      <c r="BA551" s="52"/>
      <c r="BB551" s="52"/>
    </row>
    <row r="552">
      <c r="A552" s="52"/>
      <c r="B552" s="133"/>
      <c r="C552" s="52"/>
      <c r="D552" s="52"/>
      <c r="E552" s="52"/>
      <c r="F552" s="52"/>
      <c r="G552" s="135"/>
      <c r="H552" s="52"/>
      <c r="I552" s="52"/>
      <c r="J552" s="136"/>
      <c r="K552" s="136"/>
      <c r="L552" s="136"/>
      <c r="M552" s="136"/>
      <c r="N552" s="52"/>
      <c r="O552" s="52"/>
      <c r="P552" s="52"/>
      <c r="Q552" s="52"/>
      <c r="R552" s="52"/>
      <c r="S552" s="52"/>
      <c r="T552" s="52"/>
      <c r="U552" s="52"/>
      <c r="V552" s="52"/>
      <c r="W552" s="52"/>
      <c r="X552" s="52"/>
      <c r="Y552" s="52"/>
      <c r="Z552" s="52"/>
      <c r="AA552" s="52"/>
      <c r="AB552" s="52"/>
      <c r="AC552" s="52"/>
      <c r="AD552" s="52"/>
      <c r="AE552" s="52"/>
      <c r="AF552" s="52"/>
      <c r="AG552" s="52"/>
      <c r="AH552" s="52"/>
      <c r="AI552" s="52"/>
      <c r="AJ552" s="52"/>
      <c r="AK552" s="52"/>
      <c r="AL552" s="52"/>
      <c r="AM552" s="52"/>
      <c r="AN552" s="52"/>
      <c r="AO552" s="52"/>
      <c r="AP552" s="138"/>
      <c r="AQ552" s="138"/>
      <c r="AR552" s="52"/>
      <c r="AS552" s="52"/>
      <c r="AT552" s="52"/>
      <c r="AU552" s="139"/>
      <c r="AV552" s="138"/>
      <c r="AW552" s="141"/>
      <c r="AX552" s="52"/>
      <c r="AY552" s="52"/>
      <c r="AZ552" s="52"/>
      <c r="BA552" s="52"/>
      <c r="BB552" s="52"/>
    </row>
    <row r="553">
      <c r="A553" s="52"/>
      <c r="B553" s="133"/>
      <c r="C553" s="52"/>
      <c r="D553" s="52"/>
      <c r="E553" s="52"/>
      <c r="F553" s="52"/>
      <c r="G553" s="135"/>
      <c r="H553" s="52"/>
      <c r="I553" s="52"/>
      <c r="J553" s="136"/>
      <c r="K553" s="136"/>
      <c r="L553" s="136"/>
      <c r="M553" s="136"/>
      <c r="N553" s="52"/>
      <c r="O553" s="52"/>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138"/>
      <c r="AQ553" s="138"/>
      <c r="AR553" s="52"/>
      <c r="AS553" s="52"/>
      <c r="AT553" s="52"/>
      <c r="AU553" s="139"/>
      <c r="AV553" s="138"/>
      <c r="AW553" s="141"/>
      <c r="AX553" s="52"/>
      <c r="AY553" s="52"/>
      <c r="AZ553" s="52"/>
      <c r="BA553" s="52"/>
      <c r="BB553" s="52"/>
    </row>
    <row r="554">
      <c r="A554" s="52"/>
      <c r="B554" s="133"/>
      <c r="C554" s="52"/>
      <c r="D554" s="52"/>
      <c r="E554" s="52"/>
      <c r="F554" s="52"/>
      <c r="G554" s="135"/>
      <c r="H554" s="52"/>
      <c r="I554" s="52"/>
      <c r="J554" s="136"/>
      <c r="K554" s="136"/>
      <c r="L554" s="136"/>
      <c r="M554" s="136"/>
      <c r="N554" s="52"/>
      <c r="O554" s="52"/>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138"/>
      <c r="AQ554" s="138"/>
      <c r="AR554" s="52"/>
      <c r="AS554" s="52"/>
      <c r="AT554" s="52"/>
      <c r="AU554" s="139"/>
      <c r="AV554" s="138"/>
      <c r="AW554" s="141"/>
      <c r="AX554" s="52"/>
      <c r="AY554" s="52"/>
      <c r="AZ554" s="52"/>
      <c r="BA554" s="52"/>
      <c r="BB554" s="52"/>
    </row>
    <row r="555">
      <c r="A555" s="52"/>
      <c r="B555" s="133"/>
      <c r="C555" s="52"/>
      <c r="D555" s="52"/>
      <c r="E555" s="52"/>
      <c r="F555" s="52"/>
      <c r="G555" s="135"/>
      <c r="H555" s="52"/>
      <c r="I555" s="52"/>
      <c r="J555" s="136"/>
      <c r="K555" s="136"/>
      <c r="L555" s="136"/>
      <c r="M555" s="136"/>
      <c r="N555" s="52"/>
      <c r="O555" s="52"/>
      <c r="P555" s="52"/>
      <c r="Q555" s="52"/>
      <c r="R555" s="52"/>
      <c r="S555" s="52"/>
      <c r="T555" s="52"/>
      <c r="U555" s="52"/>
      <c r="V555" s="52"/>
      <c r="W555" s="52"/>
      <c r="X555" s="52"/>
      <c r="Y555" s="52"/>
      <c r="Z555" s="52"/>
      <c r="AA555" s="52"/>
      <c r="AB555" s="52"/>
      <c r="AC555" s="52"/>
      <c r="AD555" s="52"/>
      <c r="AE555" s="52"/>
      <c r="AF555" s="52"/>
      <c r="AG555" s="52"/>
      <c r="AH555" s="52"/>
      <c r="AI555" s="52"/>
      <c r="AJ555" s="52"/>
      <c r="AK555" s="52"/>
      <c r="AL555" s="52"/>
      <c r="AM555" s="52"/>
      <c r="AN555" s="52"/>
      <c r="AO555" s="52"/>
      <c r="AP555" s="138"/>
      <c r="AQ555" s="138"/>
      <c r="AR555" s="52"/>
      <c r="AS555" s="52"/>
      <c r="AT555" s="52"/>
      <c r="AU555" s="139"/>
      <c r="AV555" s="138"/>
      <c r="AW555" s="141"/>
      <c r="AX555" s="52"/>
      <c r="AY555" s="52"/>
      <c r="AZ555" s="52"/>
      <c r="BA555" s="52"/>
      <c r="BB555" s="52"/>
    </row>
    <row r="556">
      <c r="A556" s="52"/>
      <c r="B556" s="133"/>
      <c r="C556" s="52"/>
      <c r="D556" s="52"/>
      <c r="E556" s="52"/>
      <c r="F556" s="52"/>
      <c r="G556" s="135"/>
      <c r="H556" s="52"/>
      <c r="I556" s="52"/>
      <c r="J556" s="136"/>
      <c r="K556" s="136"/>
      <c r="L556" s="136"/>
      <c r="M556" s="136"/>
      <c r="N556" s="52"/>
      <c r="O556" s="52"/>
      <c r="P556" s="52"/>
      <c r="Q556" s="52"/>
      <c r="R556" s="52"/>
      <c r="S556" s="52"/>
      <c r="T556" s="52"/>
      <c r="U556" s="52"/>
      <c r="V556" s="52"/>
      <c r="W556" s="52"/>
      <c r="X556" s="52"/>
      <c r="Y556" s="52"/>
      <c r="Z556" s="52"/>
      <c r="AA556" s="52"/>
      <c r="AB556" s="52"/>
      <c r="AC556" s="52"/>
      <c r="AD556" s="52"/>
      <c r="AE556" s="52"/>
      <c r="AF556" s="52"/>
      <c r="AG556" s="52"/>
      <c r="AH556" s="52"/>
      <c r="AI556" s="52"/>
      <c r="AJ556" s="52"/>
      <c r="AK556" s="52"/>
      <c r="AL556" s="52"/>
      <c r="AM556" s="52"/>
      <c r="AN556" s="52"/>
      <c r="AO556" s="52"/>
      <c r="AP556" s="138"/>
      <c r="AQ556" s="138"/>
      <c r="AR556" s="52"/>
      <c r="AS556" s="52"/>
      <c r="AT556" s="52"/>
      <c r="AU556" s="139"/>
      <c r="AV556" s="138"/>
      <c r="AW556" s="141"/>
      <c r="AX556" s="52"/>
      <c r="AY556" s="52"/>
      <c r="AZ556" s="52"/>
      <c r="BA556" s="52"/>
      <c r="BB556" s="52"/>
    </row>
    <row r="557">
      <c r="A557" s="52"/>
      <c r="B557" s="133"/>
      <c r="C557" s="52"/>
      <c r="D557" s="52"/>
      <c r="E557" s="52"/>
      <c r="F557" s="52"/>
      <c r="G557" s="135"/>
      <c r="H557" s="52"/>
      <c r="I557" s="52"/>
      <c r="J557" s="136"/>
      <c r="K557" s="136"/>
      <c r="L557" s="136"/>
      <c r="M557" s="136"/>
      <c r="N557" s="52"/>
      <c r="O557" s="52"/>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138"/>
      <c r="AQ557" s="138"/>
      <c r="AR557" s="52"/>
      <c r="AS557" s="52"/>
      <c r="AT557" s="52"/>
      <c r="AU557" s="139"/>
      <c r="AV557" s="138"/>
      <c r="AW557" s="141"/>
      <c r="AX557" s="52"/>
      <c r="AY557" s="52"/>
      <c r="AZ557" s="52"/>
      <c r="BA557" s="52"/>
      <c r="BB557" s="52"/>
    </row>
    <row r="558">
      <c r="A558" s="52"/>
      <c r="B558" s="133"/>
      <c r="C558" s="52"/>
      <c r="D558" s="52"/>
      <c r="E558" s="52"/>
      <c r="F558" s="52"/>
      <c r="G558" s="135"/>
      <c r="H558" s="52"/>
      <c r="I558" s="52"/>
      <c r="J558" s="136"/>
      <c r="K558" s="136"/>
      <c r="L558" s="136"/>
      <c r="M558" s="136"/>
      <c r="N558" s="52"/>
      <c r="O558" s="52"/>
      <c r="P558" s="52"/>
      <c r="Q558" s="52"/>
      <c r="R558" s="52"/>
      <c r="S558" s="52"/>
      <c r="T558" s="52"/>
      <c r="U558" s="52"/>
      <c r="V558" s="52"/>
      <c r="W558" s="52"/>
      <c r="X558" s="52"/>
      <c r="Y558" s="52"/>
      <c r="Z558" s="52"/>
      <c r="AA558" s="52"/>
      <c r="AB558" s="52"/>
      <c r="AC558" s="52"/>
      <c r="AD558" s="52"/>
      <c r="AE558" s="52"/>
      <c r="AF558" s="52"/>
      <c r="AG558" s="52"/>
      <c r="AH558" s="52"/>
      <c r="AI558" s="52"/>
      <c r="AJ558" s="52"/>
      <c r="AK558" s="52"/>
      <c r="AL558" s="52"/>
      <c r="AM558" s="52"/>
      <c r="AN558" s="52"/>
      <c r="AO558" s="52"/>
      <c r="AP558" s="138"/>
      <c r="AQ558" s="138"/>
      <c r="AR558" s="52"/>
      <c r="AS558" s="52"/>
      <c r="AT558" s="52"/>
      <c r="AU558" s="139"/>
      <c r="AV558" s="138"/>
      <c r="AW558" s="141"/>
      <c r="AX558" s="52"/>
      <c r="AY558" s="52"/>
      <c r="AZ558" s="52"/>
      <c r="BA558" s="52"/>
      <c r="BB558" s="52"/>
    </row>
    <row r="559">
      <c r="A559" s="52"/>
      <c r="B559" s="133"/>
      <c r="C559" s="52"/>
      <c r="D559" s="52"/>
      <c r="E559" s="52"/>
      <c r="F559" s="52"/>
      <c r="G559" s="135"/>
      <c r="H559" s="52"/>
      <c r="I559" s="52"/>
      <c r="J559" s="136"/>
      <c r="K559" s="136"/>
      <c r="L559" s="136"/>
      <c r="M559" s="136"/>
      <c r="N559" s="52"/>
      <c r="O559" s="52"/>
      <c r="P559" s="52"/>
      <c r="Q559" s="52"/>
      <c r="R559" s="52"/>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52"/>
      <c r="AP559" s="138"/>
      <c r="AQ559" s="138"/>
      <c r="AR559" s="52"/>
      <c r="AS559" s="52"/>
      <c r="AT559" s="52"/>
      <c r="AU559" s="139"/>
      <c r="AV559" s="138"/>
      <c r="AW559" s="141"/>
      <c r="AX559" s="52"/>
      <c r="AY559" s="52"/>
      <c r="AZ559" s="52"/>
      <c r="BA559" s="52"/>
      <c r="BB559" s="52"/>
    </row>
    <row r="560">
      <c r="A560" s="52"/>
      <c r="B560" s="133"/>
      <c r="C560" s="52"/>
      <c r="D560" s="52"/>
      <c r="E560" s="52"/>
      <c r="F560" s="52"/>
      <c r="G560" s="135"/>
      <c r="H560" s="52"/>
      <c r="I560" s="52"/>
      <c r="J560" s="136"/>
      <c r="K560" s="136"/>
      <c r="L560" s="136"/>
      <c r="M560" s="136"/>
      <c r="N560" s="52"/>
      <c r="O560" s="52"/>
      <c r="P560" s="52"/>
      <c r="Q560" s="52"/>
      <c r="R560" s="52"/>
      <c r="S560" s="52"/>
      <c r="T560" s="52"/>
      <c r="U560" s="52"/>
      <c r="V560" s="52"/>
      <c r="W560" s="52"/>
      <c r="X560" s="52"/>
      <c r="Y560" s="52"/>
      <c r="Z560" s="52"/>
      <c r="AA560" s="52"/>
      <c r="AB560" s="52"/>
      <c r="AC560" s="52"/>
      <c r="AD560" s="52"/>
      <c r="AE560" s="52"/>
      <c r="AF560" s="52"/>
      <c r="AG560" s="52"/>
      <c r="AH560" s="52"/>
      <c r="AI560" s="52"/>
      <c r="AJ560" s="52"/>
      <c r="AK560" s="52"/>
      <c r="AL560" s="52"/>
      <c r="AM560" s="52"/>
      <c r="AN560" s="52"/>
      <c r="AO560" s="52"/>
      <c r="AP560" s="138"/>
      <c r="AQ560" s="138"/>
      <c r="AR560" s="52"/>
      <c r="AS560" s="52"/>
      <c r="AT560" s="52"/>
      <c r="AU560" s="139"/>
      <c r="AV560" s="138"/>
      <c r="AW560" s="141"/>
      <c r="AX560" s="52"/>
      <c r="AY560" s="52"/>
      <c r="AZ560" s="52"/>
      <c r="BA560" s="52"/>
      <c r="BB560" s="52"/>
    </row>
    <row r="561">
      <c r="A561" s="52"/>
      <c r="B561" s="133"/>
      <c r="C561" s="52"/>
      <c r="D561" s="52"/>
      <c r="E561" s="52"/>
      <c r="F561" s="52"/>
      <c r="G561" s="135"/>
      <c r="H561" s="52"/>
      <c r="I561" s="52"/>
      <c r="J561" s="136"/>
      <c r="K561" s="136"/>
      <c r="L561" s="136"/>
      <c r="M561" s="136"/>
      <c r="N561" s="52"/>
      <c r="O561" s="52"/>
      <c r="P561" s="52"/>
      <c r="Q561" s="52"/>
      <c r="R561" s="52"/>
      <c r="S561" s="52"/>
      <c r="T561" s="52"/>
      <c r="U561" s="52"/>
      <c r="V561" s="52"/>
      <c r="W561" s="52"/>
      <c r="X561" s="52"/>
      <c r="Y561" s="52"/>
      <c r="Z561" s="52"/>
      <c r="AA561" s="52"/>
      <c r="AB561" s="52"/>
      <c r="AC561" s="52"/>
      <c r="AD561" s="52"/>
      <c r="AE561" s="52"/>
      <c r="AF561" s="52"/>
      <c r="AG561" s="52"/>
      <c r="AH561" s="52"/>
      <c r="AI561" s="52"/>
      <c r="AJ561" s="52"/>
      <c r="AK561" s="52"/>
      <c r="AL561" s="52"/>
      <c r="AM561" s="52"/>
      <c r="AN561" s="52"/>
      <c r="AO561" s="52"/>
      <c r="AP561" s="138"/>
      <c r="AQ561" s="138"/>
      <c r="AR561" s="52"/>
      <c r="AS561" s="52"/>
      <c r="AT561" s="52"/>
      <c r="AU561" s="139"/>
      <c r="AV561" s="138"/>
      <c r="AW561" s="141"/>
      <c r="AX561" s="52"/>
      <c r="AY561" s="52"/>
      <c r="AZ561" s="52"/>
      <c r="BA561" s="52"/>
      <c r="BB561" s="52"/>
    </row>
    <row r="562">
      <c r="A562" s="52"/>
      <c r="B562" s="133"/>
      <c r="C562" s="52"/>
      <c r="D562" s="52"/>
      <c r="E562" s="52"/>
      <c r="F562" s="52"/>
      <c r="G562" s="135"/>
      <c r="H562" s="52"/>
      <c r="I562" s="52"/>
      <c r="J562" s="136"/>
      <c r="K562" s="136"/>
      <c r="L562" s="136"/>
      <c r="M562" s="136"/>
      <c r="N562" s="52"/>
      <c r="O562" s="52"/>
      <c r="P562" s="52"/>
      <c r="Q562" s="52"/>
      <c r="R562" s="52"/>
      <c r="S562" s="52"/>
      <c r="T562" s="52"/>
      <c r="U562" s="52"/>
      <c r="V562" s="52"/>
      <c r="W562" s="52"/>
      <c r="X562" s="52"/>
      <c r="Y562" s="52"/>
      <c r="Z562" s="52"/>
      <c r="AA562" s="52"/>
      <c r="AB562" s="52"/>
      <c r="AC562" s="52"/>
      <c r="AD562" s="52"/>
      <c r="AE562" s="52"/>
      <c r="AF562" s="52"/>
      <c r="AG562" s="52"/>
      <c r="AH562" s="52"/>
      <c r="AI562" s="52"/>
      <c r="AJ562" s="52"/>
      <c r="AK562" s="52"/>
      <c r="AL562" s="52"/>
      <c r="AM562" s="52"/>
      <c r="AN562" s="52"/>
      <c r="AO562" s="52"/>
      <c r="AP562" s="138"/>
      <c r="AQ562" s="138"/>
      <c r="AR562" s="52"/>
      <c r="AS562" s="52"/>
      <c r="AT562" s="52"/>
      <c r="AU562" s="139"/>
      <c r="AV562" s="138"/>
      <c r="AW562" s="141"/>
      <c r="AX562" s="52"/>
      <c r="AY562" s="52"/>
      <c r="AZ562" s="52"/>
      <c r="BA562" s="52"/>
      <c r="BB562" s="52"/>
    </row>
    <row r="563">
      <c r="A563" s="52"/>
      <c r="B563" s="133"/>
      <c r="C563" s="52"/>
      <c r="D563" s="52"/>
      <c r="E563" s="52"/>
      <c r="F563" s="52"/>
      <c r="G563" s="135"/>
      <c r="H563" s="52"/>
      <c r="I563" s="52"/>
      <c r="J563" s="136"/>
      <c r="K563" s="136"/>
      <c r="L563" s="136"/>
      <c r="M563" s="136"/>
      <c r="N563" s="52"/>
      <c r="O563" s="52"/>
      <c r="P563" s="52"/>
      <c r="Q563" s="52"/>
      <c r="R563" s="52"/>
      <c r="S563" s="52"/>
      <c r="T563" s="52"/>
      <c r="U563" s="52"/>
      <c r="V563" s="52"/>
      <c r="W563" s="52"/>
      <c r="X563" s="52"/>
      <c r="Y563" s="52"/>
      <c r="Z563" s="52"/>
      <c r="AA563" s="52"/>
      <c r="AB563" s="52"/>
      <c r="AC563" s="52"/>
      <c r="AD563" s="52"/>
      <c r="AE563" s="52"/>
      <c r="AF563" s="52"/>
      <c r="AG563" s="52"/>
      <c r="AH563" s="52"/>
      <c r="AI563" s="52"/>
      <c r="AJ563" s="52"/>
      <c r="AK563" s="52"/>
      <c r="AL563" s="52"/>
      <c r="AM563" s="52"/>
      <c r="AN563" s="52"/>
      <c r="AO563" s="52"/>
      <c r="AP563" s="138"/>
      <c r="AQ563" s="138"/>
      <c r="AR563" s="52"/>
      <c r="AS563" s="52"/>
      <c r="AT563" s="52"/>
      <c r="AU563" s="139"/>
      <c r="AV563" s="138"/>
      <c r="AW563" s="141"/>
      <c r="AX563" s="52"/>
      <c r="AY563" s="52"/>
      <c r="AZ563" s="52"/>
      <c r="BA563" s="52"/>
      <c r="BB563" s="52"/>
    </row>
    <row r="564">
      <c r="A564" s="52"/>
      <c r="B564" s="133"/>
      <c r="C564" s="52"/>
      <c r="D564" s="52"/>
      <c r="E564" s="52"/>
      <c r="F564" s="52"/>
      <c r="G564" s="135"/>
      <c r="H564" s="52"/>
      <c r="I564" s="52"/>
      <c r="J564" s="136"/>
      <c r="K564" s="136"/>
      <c r="L564" s="136"/>
      <c r="M564" s="136"/>
      <c r="N564" s="52"/>
      <c r="O564" s="52"/>
      <c r="P564" s="52"/>
      <c r="Q564" s="52"/>
      <c r="R564" s="52"/>
      <c r="S564" s="52"/>
      <c r="T564" s="52"/>
      <c r="U564" s="52"/>
      <c r="V564" s="52"/>
      <c r="W564" s="52"/>
      <c r="X564" s="52"/>
      <c r="Y564" s="52"/>
      <c r="Z564" s="52"/>
      <c r="AA564" s="52"/>
      <c r="AB564" s="52"/>
      <c r="AC564" s="52"/>
      <c r="AD564" s="52"/>
      <c r="AE564" s="52"/>
      <c r="AF564" s="52"/>
      <c r="AG564" s="52"/>
      <c r="AH564" s="52"/>
      <c r="AI564" s="52"/>
      <c r="AJ564" s="52"/>
      <c r="AK564" s="52"/>
      <c r="AL564" s="52"/>
      <c r="AM564" s="52"/>
      <c r="AN564" s="52"/>
      <c r="AO564" s="52"/>
      <c r="AP564" s="138"/>
      <c r="AQ564" s="138"/>
      <c r="AR564" s="52"/>
      <c r="AS564" s="52"/>
      <c r="AT564" s="52"/>
      <c r="AU564" s="139"/>
      <c r="AV564" s="138"/>
      <c r="AW564" s="141"/>
      <c r="AX564" s="52"/>
      <c r="AY564" s="52"/>
      <c r="AZ564" s="52"/>
      <c r="BA564" s="52"/>
      <c r="BB564" s="52"/>
    </row>
    <row r="565">
      <c r="A565" s="52"/>
      <c r="B565" s="133"/>
      <c r="C565" s="52"/>
      <c r="D565" s="52"/>
      <c r="E565" s="52"/>
      <c r="F565" s="52"/>
      <c r="G565" s="135"/>
      <c r="H565" s="52"/>
      <c r="I565" s="52"/>
      <c r="J565" s="136"/>
      <c r="K565" s="136"/>
      <c r="L565" s="136"/>
      <c r="M565" s="136"/>
      <c r="N565" s="52"/>
      <c r="O565" s="52"/>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138"/>
      <c r="AQ565" s="138"/>
      <c r="AR565" s="52"/>
      <c r="AS565" s="52"/>
      <c r="AT565" s="52"/>
      <c r="AU565" s="139"/>
      <c r="AV565" s="138"/>
      <c r="AW565" s="141"/>
      <c r="AX565" s="52"/>
      <c r="AY565" s="52"/>
      <c r="AZ565" s="52"/>
      <c r="BA565" s="52"/>
      <c r="BB565" s="52"/>
    </row>
    <row r="566">
      <c r="A566" s="52"/>
      <c r="B566" s="133"/>
      <c r="C566" s="52"/>
      <c r="D566" s="52"/>
      <c r="E566" s="52"/>
      <c r="F566" s="52"/>
      <c r="G566" s="135"/>
      <c r="H566" s="52"/>
      <c r="I566" s="52"/>
      <c r="J566" s="136"/>
      <c r="K566" s="136"/>
      <c r="L566" s="136"/>
      <c r="M566" s="136"/>
      <c r="N566" s="52"/>
      <c r="O566" s="52"/>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138"/>
      <c r="AQ566" s="138"/>
      <c r="AR566" s="52"/>
      <c r="AS566" s="52"/>
      <c r="AT566" s="52"/>
      <c r="AU566" s="139"/>
      <c r="AV566" s="138"/>
      <c r="AW566" s="141"/>
      <c r="AX566" s="52"/>
      <c r="AY566" s="52"/>
      <c r="AZ566" s="52"/>
      <c r="BA566" s="52"/>
      <c r="BB566" s="52"/>
    </row>
    <row r="567">
      <c r="A567" s="52"/>
      <c r="B567" s="133"/>
      <c r="C567" s="52"/>
      <c r="D567" s="52"/>
      <c r="E567" s="52"/>
      <c r="F567" s="52"/>
      <c r="G567" s="135"/>
      <c r="H567" s="52"/>
      <c r="I567" s="52"/>
      <c r="J567" s="136"/>
      <c r="K567" s="136"/>
      <c r="L567" s="136"/>
      <c r="M567" s="136"/>
      <c r="N567" s="52"/>
      <c r="O567" s="52"/>
      <c r="P567" s="52"/>
      <c r="Q567" s="52"/>
      <c r="R567" s="52"/>
      <c r="S567" s="52"/>
      <c r="T567" s="52"/>
      <c r="U567" s="52"/>
      <c r="V567" s="52"/>
      <c r="W567" s="52"/>
      <c r="X567" s="52"/>
      <c r="Y567" s="52"/>
      <c r="Z567" s="52"/>
      <c r="AA567" s="52"/>
      <c r="AB567" s="52"/>
      <c r="AC567" s="52"/>
      <c r="AD567" s="52"/>
      <c r="AE567" s="52"/>
      <c r="AF567" s="52"/>
      <c r="AG567" s="52"/>
      <c r="AH567" s="52"/>
      <c r="AI567" s="52"/>
      <c r="AJ567" s="52"/>
      <c r="AK567" s="52"/>
      <c r="AL567" s="52"/>
      <c r="AM567" s="52"/>
      <c r="AN567" s="52"/>
      <c r="AO567" s="52"/>
      <c r="AP567" s="138"/>
      <c r="AQ567" s="138"/>
      <c r="AR567" s="52"/>
      <c r="AS567" s="52"/>
      <c r="AT567" s="52"/>
      <c r="AU567" s="139"/>
      <c r="AV567" s="138"/>
      <c r="AW567" s="141"/>
      <c r="AX567" s="52"/>
      <c r="AY567" s="52"/>
      <c r="AZ567" s="52"/>
      <c r="BA567" s="52"/>
      <c r="BB567" s="52"/>
    </row>
    <row r="568">
      <c r="A568" s="52"/>
      <c r="B568" s="133"/>
      <c r="C568" s="52"/>
      <c r="D568" s="52"/>
      <c r="E568" s="52"/>
      <c r="F568" s="52"/>
      <c r="G568" s="135"/>
      <c r="H568" s="52"/>
      <c r="I568" s="52"/>
      <c r="J568" s="136"/>
      <c r="K568" s="136"/>
      <c r="L568" s="136"/>
      <c r="M568" s="136"/>
      <c r="N568" s="52"/>
      <c r="O568" s="52"/>
      <c r="P568" s="52"/>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138"/>
      <c r="AQ568" s="138"/>
      <c r="AR568" s="52"/>
      <c r="AS568" s="52"/>
      <c r="AT568" s="52"/>
      <c r="AU568" s="139"/>
      <c r="AV568" s="138"/>
      <c r="AW568" s="141"/>
      <c r="AX568" s="52"/>
      <c r="AY568" s="52"/>
      <c r="AZ568" s="52"/>
      <c r="BA568" s="52"/>
      <c r="BB568" s="52"/>
    </row>
    <row r="569">
      <c r="A569" s="52"/>
      <c r="B569" s="133"/>
      <c r="C569" s="52"/>
      <c r="D569" s="52"/>
      <c r="E569" s="52"/>
      <c r="F569" s="52"/>
      <c r="G569" s="135"/>
      <c r="H569" s="52"/>
      <c r="I569" s="52"/>
      <c r="J569" s="136"/>
      <c r="K569" s="136"/>
      <c r="L569" s="136"/>
      <c r="M569" s="136"/>
      <c r="N569" s="52"/>
      <c r="O569" s="52"/>
      <c r="P569" s="52"/>
      <c r="Q569" s="52"/>
      <c r="R569" s="52"/>
      <c r="S569" s="52"/>
      <c r="T569" s="52"/>
      <c r="U569" s="52"/>
      <c r="V569" s="52"/>
      <c r="W569" s="52"/>
      <c r="X569" s="52"/>
      <c r="Y569" s="52"/>
      <c r="Z569" s="52"/>
      <c r="AA569" s="52"/>
      <c r="AB569" s="52"/>
      <c r="AC569" s="52"/>
      <c r="AD569" s="52"/>
      <c r="AE569" s="52"/>
      <c r="AF569" s="52"/>
      <c r="AG569" s="52"/>
      <c r="AH569" s="52"/>
      <c r="AI569" s="52"/>
      <c r="AJ569" s="52"/>
      <c r="AK569" s="52"/>
      <c r="AL569" s="52"/>
      <c r="AM569" s="52"/>
      <c r="AN569" s="52"/>
      <c r="AO569" s="52"/>
      <c r="AP569" s="138"/>
      <c r="AQ569" s="138"/>
      <c r="AR569" s="52"/>
      <c r="AS569" s="52"/>
      <c r="AT569" s="52"/>
      <c r="AU569" s="139"/>
      <c r="AV569" s="138"/>
      <c r="AW569" s="141"/>
      <c r="AX569" s="52"/>
      <c r="AY569" s="52"/>
      <c r="AZ569" s="52"/>
      <c r="BA569" s="52"/>
      <c r="BB569" s="52"/>
    </row>
    <row r="570">
      <c r="A570" s="52"/>
      <c r="B570" s="133"/>
      <c r="C570" s="52"/>
      <c r="D570" s="52"/>
      <c r="E570" s="52"/>
      <c r="F570" s="52"/>
      <c r="G570" s="135"/>
      <c r="H570" s="52"/>
      <c r="I570" s="52"/>
      <c r="J570" s="136"/>
      <c r="K570" s="136"/>
      <c r="L570" s="136"/>
      <c r="M570" s="136"/>
      <c r="N570" s="52"/>
      <c r="O570" s="52"/>
      <c r="P570" s="52"/>
      <c r="Q570" s="52"/>
      <c r="R570" s="52"/>
      <c r="S570" s="52"/>
      <c r="T570" s="52"/>
      <c r="U570" s="52"/>
      <c r="V570" s="52"/>
      <c r="W570" s="52"/>
      <c r="X570" s="52"/>
      <c r="Y570" s="52"/>
      <c r="Z570" s="52"/>
      <c r="AA570" s="52"/>
      <c r="AB570" s="52"/>
      <c r="AC570" s="52"/>
      <c r="AD570" s="52"/>
      <c r="AE570" s="52"/>
      <c r="AF570" s="52"/>
      <c r="AG570" s="52"/>
      <c r="AH570" s="52"/>
      <c r="AI570" s="52"/>
      <c r="AJ570" s="52"/>
      <c r="AK570" s="52"/>
      <c r="AL570" s="52"/>
      <c r="AM570" s="52"/>
      <c r="AN570" s="52"/>
      <c r="AO570" s="52"/>
      <c r="AP570" s="138"/>
      <c r="AQ570" s="138"/>
      <c r="AR570" s="52"/>
      <c r="AS570" s="52"/>
      <c r="AT570" s="52"/>
      <c r="AU570" s="139"/>
      <c r="AV570" s="138"/>
      <c r="AW570" s="141"/>
      <c r="AX570" s="52"/>
      <c r="AY570" s="52"/>
      <c r="AZ570" s="52"/>
      <c r="BA570" s="52"/>
      <c r="BB570" s="52"/>
    </row>
    <row r="571">
      <c r="A571" s="52"/>
      <c r="B571" s="133"/>
      <c r="C571" s="52"/>
      <c r="D571" s="52"/>
      <c r="E571" s="52"/>
      <c r="F571" s="52"/>
      <c r="G571" s="135"/>
      <c r="H571" s="52"/>
      <c r="I571" s="52"/>
      <c r="J571" s="136"/>
      <c r="K571" s="136"/>
      <c r="L571" s="136"/>
      <c r="M571" s="136"/>
      <c r="N571" s="52"/>
      <c r="O571" s="52"/>
      <c r="P571" s="52"/>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138"/>
      <c r="AQ571" s="138"/>
      <c r="AR571" s="52"/>
      <c r="AS571" s="52"/>
      <c r="AT571" s="52"/>
      <c r="AU571" s="139"/>
      <c r="AV571" s="138"/>
      <c r="AW571" s="141"/>
      <c r="AX571" s="52"/>
      <c r="AY571" s="52"/>
      <c r="AZ571" s="52"/>
      <c r="BA571" s="52"/>
      <c r="BB571" s="52"/>
    </row>
    <row r="572">
      <c r="A572" s="52"/>
      <c r="B572" s="133"/>
      <c r="C572" s="52"/>
      <c r="D572" s="52"/>
      <c r="E572" s="52"/>
      <c r="F572" s="52"/>
      <c r="G572" s="135"/>
      <c r="H572" s="52"/>
      <c r="I572" s="52"/>
      <c r="J572" s="136"/>
      <c r="K572" s="136"/>
      <c r="L572" s="136"/>
      <c r="M572" s="136"/>
      <c r="N572" s="52"/>
      <c r="O572" s="52"/>
      <c r="P572" s="52"/>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138"/>
      <c r="AQ572" s="138"/>
      <c r="AR572" s="52"/>
      <c r="AS572" s="52"/>
      <c r="AT572" s="52"/>
      <c r="AU572" s="139"/>
      <c r="AV572" s="138"/>
      <c r="AW572" s="141"/>
      <c r="AX572" s="52"/>
      <c r="AY572" s="52"/>
      <c r="AZ572" s="52"/>
      <c r="BA572" s="52"/>
      <c r="BB572" s="52"/>
    </row>
    <row r="573">
      <c r="A573" s="52"/>
      <c r="B573" s="133"/>
      <c r="C573" s="52"/>
      <c r="D573" s="52"/>
      <c r="E573" s="52"/>
      <c r="F573" s="52"/>
      <c r="G573" s="135"/>
      <c r="H573" s="52"/>
      <c r="I573" s="52"/>
      <c r="J573" s="136"/>
      <c r="K573" s="136"/>
      <c r="L573" s="136"/>
      <c r="M573" s="136"/>
      <c r="N573" s="52"/>
      <c r="O573" s="52"/>
      <c r="P573" s="52"/>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138"/>
      <c r="AQ573" s="138"/>
      <c r="AR573" s="52"/>
      <c r="AS573" s="52"/>
      <c r="AT573" s="52"/>
      <c r="AU573" s="139"/>
      <c r="AV573" s="138"/>
      <c r="AW573" s="141"/>
      <c r="AX573" s="52"/>
      <c r="AY573" s="52"/>
      <c r="AZ573" s="52"/>
      <c r="BA573" s="52"/>
      <c r="BB573" s="52"/>
    </row>
    <row r="574">
      <c r="A574" s="52"/>
      <c r="B574" s="133"/>
      <c r="C574" s="52"/>
      <c r="D574" s="52"/>
      <c r="E574" s="52"/>
      <c r="F574" s="52"/>
      <c r="G574" s="135"/>
      <c r="H574" s="52"/>
      <c r="I574" s="52"/>
      <c r="J574" s="136"/>
      <c r="K574" s="136"/>
      <c r="L574" s="136"/>
      <c r="M574" s="136"/>
      <c r="N574" s="52"/>
      <c r="O574" s="52"/>
      <c r="P574" s="52"/>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138"/>
      <c r="AQ574" s="138"/>
      <c r="AR574" s="52"/>
      <c r="AS574" s="52"/>
      <c r="AT574" s="52"/>
      <c r="AU574" s="139"/>
      <c r="AV574" s="138"/>
      <c r="AW574" s="141"/>
      <c r="AX574" s="52"/>
      <c r="AY574" s="52"/>
      <c r="AZ574" s="52"/>
      <c r="BA574" s="52"/>
      <c r="BB574" s="52"/>
    </row>
    <row r="575">
      <c r="A575" s="52"/>
      <c r="B575" s="133"/>
      <c r="C575" s="52"/>
      <c r="D575" s="52"/>
      <c r="E575" s="52"/>
      <c r="F575" s="52"/>
      <c r="G575" s="135"/>
      <c r="H575" s="52"/>
      <c r="I575" s="52"/>
      <c r="J575" s="136"/>
      <c r="K575" s="136"/>
      <c r="L575" s="136"/>
      <c r="M575" s="136"/>
      <c r="N575" s="52"/>
      <c r="O575" s="52"/>
      <c r="P575" s="52"/>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138"/>
      <c r="AQ575" s="138"/>
      <c r="AR575" s="52"/>
      <c r="AS575" s="52"/>
      <c r="AT575" s="52"/>
      <c r="AU575" s="139"/>
      <c r="AV575" s="138"/>
      <c r="AW575" s="141"/>
      <c r="AX575" s="52"/>
      <c r="AY575" s="52"/>
      <c r="AZ575" s="52"/>
      <c r="BA575" s="52"/>
      <c r="BB575" s="52"/>
    </row>
    <row r="576">
      <c r="A576" s="52"/>
      <c r="B576" s="133"/>
      <c r="C576" s="52"/>
      <c r="D576" s="52"/>
      <c r="E576" s="52"/>
      <c r="F576" s="52"/>
      <c r="G576" s="135"/>
      <c r="H576" s="52"/>
      <c r="I576" s="52"/>
      <c r="J576" s="136"/>
      <c r="K576" s="136"/>
      <c r="L576" s="136"/>
      <c r="M576" s="136"/>
      <c r="N576" s="52"/>
      <c r="O576" s="52"/>
      <c r="P576" s="52"/>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138"/>
      <c r="AQ576" s="138"/>
      <c r="AR576" s="52"/>
      <c r="AS576" s="52"/>
      <c r="AT576" s="52"/>
      <c r="AU576" s="139"/>
      <c r="AV576" s="138"/>
      <c r="AW576" s="141"/>
      <c r="AX576" s="52"/>
      <c r="AY576" s="52"/>
      <c r="AZ576" s="52"/>
      <c r="BA576" s="52"/>
      <c r="BB576" s="52"/>
    </row>
    <row r="577">
      <c r="A577" s="52"/>
      <c r="B577" s="133"/>
      <c r="C577" s="52"/>
      <c r="D577" s="52"/>
      <c r="E577" s="52"/>
      <c r="F577" s="52"/>
      <c r="G577" s="135"/>
      <c r="H577" s="52"/>
      <c r="I577" s="52"/>
      <c r="J577" s="136"/>
      <c r="K577" s="136"/>
      <c r="L577" s="136"/>
      <c r="M577" s="136"/>
      <c r="N577" s="52"/>
      <c r="O577" s="52"/>
      <c r="P577" s="52"/>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138"/>
      <c r="AQ577" s="138"/>
      <c r="AR577" s="52"/>
      <c r="AS577" s="52"/>
      <c r="AT577" s="52"/>
      <c r="AU577" s="139"/>
      <c r="AV577" s="138"/>
      <c r="AW577" s="141"/>
      <c r="AX577" s="52"/>
      <c r="AY577" s="52"/>
      <c r="AZ577" s="52"/>
      <c r="BA577" s="52"/>
      <c r="BB577" s="52"/>
    </row>
    <row r="578">
      <c r="A578" s="52"/>
      <c r="B578" s="133"/>
      <c r="C578" s="52"/>
      <c r="D578" s="52"/>
      <c r="E578" s="52"/>
      <c r="F578" s="52"/>
      <c r="G578" s="135"/>
      <c r="H578" s="52"/>
      <c r="I578" s="52"/>
      <c r="J578" s="136"/>
      <c r="K578" s="136"/>
      <c r="L578" s="136"/>
      <c r="M578" s="136"/>
      <c r="N578" s="52"/>
      <c r="O578" s="52"/>
      <c r="P578" s="52"/>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138"/>
      <c r="AQ578" s="138"/>
      <c r="AR578" s="52"/>
      <c r="AS578" s="52"/>
      <c r="AT578" s="52"/>
      <c r="AU578" s="139"/>
      <c r="AV578" s="138"/>
      <c r="AW578" s="141"/>
      <c r="AX578" s="52"/>
      <c r="AY578" s="52"/>
      <c r="AZ578" s="52"/>
      <c r="BA578" s="52"/>
      <c r="BB578" s="52"/>
    </row>
    <row r="579">
      <c r="A579" s="52"/>
      <c r="B579" s="133"/>
      <c r="C579" s="52"/>
      <c r="D579" s="52"/>
      <c r="E579" s="52"/>
      <c r="F579" s="52"/>
      <c r="G579" s="135"/>
      <c r="H579" s="52"/>
      <c r="I579" s="52"/>
      <c r="J579" s="136"/>
      <c r="K579" s="136"/>
      <c r="L579" s="136"/>
      <c r="M579" s="136"/>
      <c r="N579" s="52"/>
      <c r="O579" s="52"/>
      <c r="P579" s="52"/>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138"/>
      <c r="AQ579" s="138"/>
      <c r="AR579" s="52"/>
      <c r="AS579" s="52"/>
      <c r="AT579" s="52"/>
      <c r="AU579" s="139"/>
      <c r="AV579" s="138"/>
      <c r="AW579" s="141"/>
      <c r="AX579" s="52"/>
      <c r="AY579" s="52"/>
      <c r="AZ579" s="52"/>
      <c r="BA579" s="52"/>
      <c r="BB579" s="52"/>
    </row>
    <row r="580">
      <c r="A580" s="52"/>
      <c r="B580" s="133"/>
      <c r="C580" s="52"/>
      <c r="D580" s="52"/>
      <c r="E580" s="52"/>
      <c r="F580" s="52"/>
      <c r="G580" s="135"/>
      <c r="H580" s="52"/>
      <c r="I580" s="52"/>
      <c r="J580" s="136"/>
      <c r="K580" s="136"/>
      <c r="L580" s="136"/>
      <c r="M580" s="136"/>
      <c r="N580" s="52"/>
      <c r="O580" s="52"/>
      <c r="P580" s="52"/>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138"/>
      <c r="AQ580" s="138"/>
      <c r="AR580" s="52"/>
      <c r="AS580" s="52"/>
      <c r="AT580" s="52"/>
      <c r="AU580" s="139"/>
      <c r="AV580" s="138"/>
      <c r="AW580" s="141"/>
      <c r="AX580" s="52"/>
      <c r="AY580" s="52"/>
      <c r="AZ580" s="52"/>
      <c r="BA580" s="52"/>
      <c r="BB580" s="52"/>
    </row>
    <row r="581">
      <c r="A581" s="52"/>
      <c r="B581" s="133"/>
      <c r="C581" s="52"/>
      <c r="D581" s="52"/>
      <c r="E581" s="52"/>
      <c r="F581" s="52"/>
      <c r="G581" s="135"/>
      <c r="H581" s="52"/>
      <c r="I581" s="52"/>
      <c r="J581" s="136"/>
      <c r="K581" s="136"/>
      <c r="L581" s="136"/>
      <c r="M581" s="136"/>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138"/>
      <c r="AQ581" s="138"/>
      <c r="AR581" s="52"/>
      <c r="AS581" s="52"/>
      <c r="AT581" s="52"/>
      <c r="AU581" s="139"/>
      <c r="AV581" s="138"/>
      <c r="AW581" s="141"/>
      <c r="AX581" s="52"/>
      <c r="AY581" s="52"/>
      <c r="AZ581" s="52"/>
      <c r="BA581" s="52"/>
      <c r="BB581" s="52"/>
    </row>
    <row r="582">
      <c r="A582" s="52"/>
      <c r="B582" s="133"/>
      <c r="C582" s="52"/>
      <c r="D582" s="52"/>
      <c r="E582" s="52"/>
      <c r="F582" s="52"/>
      <c r="G582" s="135"/>
      <c r="H582" s="52"/>
      <c r="I582" s="52"/>
      <c r="J582" s="136"/>
      <c r="K582" s="136"/>
      <c r="L582" s="136"/>
      <c r="M582" s="136"/>
      <c r="N582" s="52"/>
      <c r="O582" s="52"/>
      <c r="P582" s="52"/>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138"/>
      <c r="AQ582" s="138"/>
      <c r="AR582" s="52"/>
      <c r="AS582" s="52"/>
      <c r="AT582" s="52"/>
      <c r="AU582" s="139"/>
      <c r="AV582" s="138"/>
      <c r="AW582" s="141"/>
      <c r="AX582" s="52"/>
      <c r="AY582" s="52"/>
      <c r="AZ582" s="52"/>
      <c r="BA582" s="52"/>
      <c r="BB582" s="52"/>
    </row>
    <row r="583">
      <c r="A583" s="52"/>
      <c r="B583" s="133"/>
      <c r="C583" s="52"/>
      <c r="D583" s="52"/>
      <c r="E583" s="52"/>
      <c r="F583" s="52"/>
      <c r="G583" s="135"/>
      <c r="H583" s="52"/>
      <c r="I583" s="52"/>
      <c r="J583" s="136"/>
      <c r="K583" s="136"/>
      <c r="L583" s="136"/>
      <c r="M583" s="136"/>
      <c r="N583" s="52"/>
      <c r="O583" s="52"/>
      <c r="P583" s="52"/>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138"/>
      <c r="AQ583" s="138"/>
      <c r="AR583" s="52"/>
      <c r="AS583" s="52"/>
      <c r="AT583" s="52"/>
      <c r="AU583" s="139"/>
      <c r="AV583" s="138"/>
      <c r="AW583" s="141"/>
      <c r="AX583" s="52"/>
      <c r="AY583" s="52"/>
      <c r="AZ583" s="52"/>
      <c r="BA583" s="52"/>
      <c r="BB583" s="52"/>
    </row>
    <row r="584">
      <c r="A584" s="52"/>
      <c r="B584" s="133"/>
      <c r="C584" s="52"/>
      <c r="D584" s="52"/>
      <c r="E584" s="52"/>
      <c r="F584" s="52"/>
      <c r="G584" s="135"/>
      <c r="H584" s="52"/>
      <c r="I584" s="52"/>
      <c r="J584" s="136"/>
      <c r="K584" s="136"/>
      <c r="L584" s="136"/>
      <c r="M584" s="136"/>
      <c r="N584" s="52"/>
      <c r="O584" s="52"/>
      <c r="P584" s="52"/>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138"/>
      <c r="AQ584" s="138"/>
      <c r="AR584" s="52"/>
      <c r="AS584" s="52"/>
      <c r="AT584" s="52"/>
      <c r="AU584" s="139"/>
      <c r="AV584" s="138"/>
      <c r="AW584" s="141"/>
      <c r="AX584" s="52"/>
      <c r="AY584" s="52"/>
      <c r="AZ584" s="52"/>
      <c r="BA584" s="52"/>
      <c r="BB584" s="52"/>
    </row>
    <row r="585">
      <c r="A585" s="52"/>
      <c r="B585" s="133"/>
      <c r="C585" s="52"/>
      <c r="D585" s="52"/>
      <c r="E585" s="52"/>
      <c r="F585" s="52"/>
      <c r="G585" s="135"/>
      <c r="H585" s="52"/>
      <c r="I585" s="52"/>
      <c r="J585" s="136"/>
      <c r="K585" s="136"/>
      <c r="L585" s="136"/>
      <c r="M585" s="136"/>
      <c r="N585" s="52"/>
      <c r="O585" s="52"/>
      <c r="P585" s="52"/>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138"/>
      <c r="AQ585" s="138"/>
      <c r="AR585" s="52"/>
      <c r="AS585" s="52"/>
      <c r="AT585" s="52"/>
      <c r="AU585" s="139"/>
      <c r="AV585" s="138"/>
      <c r="AW585" s="141"/>
      <c r="AX585" s="52"/>
      <c r="AY585" s="52"/>
      <c r="AZ585" s="52"/>
      <c r="BA585" s="52"/>
      <c r="BB585" s="52"/>
    </row>
    <row r="586">
      <c r="A586" s="52"/>
      <c r="B586" s="133"/>
      <c r="C586" s="52"/>
      <c r="D586" s="52"/>
      <c r="E586" s="52"/>
      <c r="F586" s="52"/>
      <c r="G586" s="135"/>
      <c r="H586" s="52"/>
      <c r="I586" s="52"/>
      <c r="J586" s="136"/>
      <c r="K586" s="136"/>
      <c r="L586" s="136"/>
      <c r="M586" s="136"/>
      <c r="N586" s="52"/>
      <c r="O586" s="52"/>
      <c r="P586" s="52"/>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138"/>
      <c r="AQ586" s="138"/>
      <c r="AR586" s="52"/>
      <c r="AS586" s="52"/>
      <c r="AT586" s="52"/>
      <c r="AU586" s="139"/>
      <c r="AV586" s="138"/>
      <c r="AW586" s="141"/>
      <c r="AX586" s="52"/>
      <c r="AY586" s="52"/>
      <c r="AZ586" s="52"/>
      <c r="BA586" s="52"/>
      <c r="BB586" s="52"/>
    </row>
    <row r="587">
      <c r="A587" s="52"/>
      <c r="B587" s="133"/>
      <c r="C587" s="52"/>
      <c r="D587" s="52"/>
      <c r="E587" s="52"/>
      <c r="F587" s="52"/>
      <c r="G587" s="135"/>
      <c r="H587" s="52"/>
      <c r="I587" s="52"/>
      <c r="J587" s="136"/>
      <c r="K587" s="136"/>
      <c r="L587" s="136"/>
      <c r="M587" s="136"/>
      <c r="N587" s="52"/>
      <c r="O587" s="52"/>
      <c r="P587" s="52"/>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138"/>
      <c r="AQ587" s="138"/>
      <c r="AR587" s="52"/>
      <c r="AS587" s="52"/>
      <c r="AT587" s="52"/>
      <c r="AU587" s="139"/>
      <c r="AV587" s="138"/>
      <c r="AW587" s="141"/>
      <c r="AX587" s="52"/>
      <c r="AY587" s="52"/>
      <c r="AZ587" s="52"/>
      <c r="BA587" s="52"/>
      <c r="BB587" s="52"/>
    </row>
    <row r="588">
      <c r="A588" s="52"/>
      <c r="B588" s="133"/>
      <c r="C588" s="52"/>
      <c r="D588" s="52"/>
      <c r="E588" s="52"/>
      <c r="F588" s="52"/>
      <c r="G588" s="135"/>
      <c r="H588" s="52"/>
      <c r="I588" s="52"/>
      <c r="J588" s="136"/>
      <c r="K588" s="136"/>
      <c r="L588" s="136"/>
      <c r="M588" s="136"/>
      <c r="N588" s="52"/>
      <c r="O588" s="52"/>
      <c r="P588" s="52"/>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138"/>
      <c r="AQ588" s="138"/>
      <c r="AR588" s="52"/>
      <c r="AS588" s="52"/>
      <c r="AT588" s="52"/>
      <c r="AU588" s="139"/>
      <c r="AV588" s="138"/>
      <c r="AW588" s="141"/>
      <c r="AX588" s="52"/>
      <c r="AY588" s="52"/>
      <c r="AZ588" s="52"/>
      <c r="BA588" s="52"/>
      <c r="BB588" s="52"/>
    </row>
    <row r="589">
      <c r="A589" s="52"/>
      <c r="B589" s="133"/>
      <c r="C589" s="52"/>
      <c r="D589" s="52"/>
      <c r="E589" s="52"/>
      <c r="F589" s="52"/>
      <c r="G589" s="135"/>
      <c r="H589" s="52"/>
      <c r="I589" s="52"/>
      <c r="J589" s="136"/>
      <c r="K589" s="136"/>
      <c r="L589" s="136"/>
      <c r="M589" s="136"/>
      <c r="N589" s="52"/>
      <c r="O589" s="52"/>
      <c r="P589" s="52"/>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138"/>
      <c r="AQ589" s="138"/>
      <c r="AR589" s="52"/>
      <c r="AS589" s="52"/>
      <c r="AT589" s="52"/>
      <c r="AU589" s="139"/>
      <c r="AV589" s="138"/>
      <c r="AW589" s="141"/>
      <c r="AX589" s="52"/>
      <c r="AY589" s="52"/>
      <c r="AZ589" s="52"/>
      <c r="BA589" s="52"/>
      <c r="BB589" s="52"/>
    </row>
    <row r="590">
      <c r="A590" s="52"/>
      <c r="B590" s="133"/>
      <c r="C590" s="52"/>
      <c r="D590" s="52"/>
      <c r="E590" s="52"/>
      <c r="F590" s="52"/>
      <c r="G590" s="135"/>
      <c r="H590" s="52"/>
      <c r="I590" s="52"/>
      <c r="J590" s="136"/>
      <c r="K590" s="136"/>
      <c r="L590" s="136"/>
      <c r="M590" s="136"/>
      <c r="N590" s="52"/>
      <c r="O590" s="52"/>
      <c r="P590" s="52"/>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138"/>
      <c r="AQ590" s="138"/>
      <c r="AR590" s="52"/>
      <c r="AS590" s="52"/>
      <c r="AT590" s="52"/>
      <c r="AU590" s="139"/>
      <c r="AV590" s="138"/>
      <c r="AW590" s="141"/>
      <c r="AX590" s="52"/>
      <c r="AY590" s="52"/>
      <c r="AZ590" s="52"/>
      <c r="BA590" s="52"/>
      <c r="BB590" s="52"/>
    </row>
    <row r="591">
      <c r="A591" s="52"/>
      <c r="B591" s="133"/>
      <c r="C591" s="52"/>
      <c r="D591" s="52"/>
      <c r="E591" s="52"/>
      <c r="F591" s="52"/>
      <c r="G591" s="135"/>
      <c r="H591" s="52"/>
      <c r="I591" s="52"/>
      <c r="J591" s="136"/>
      <c r="K591" s="136"/>
      <c r="L591" s="136"/>
      <c r="M591" s="136"/>
      <c r="N591" s="52"/>
      <c r="O591" s="52"/>
      <c r="P591" s="52"/>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138"/>
      <c r="AQ591" s="138"/>
      <c r="AR591" s="52"/>
      <c r="AS591" s="52"/>
      <c r="AT591" s="52"/>
      <c r="AU591" s="139"/>
      <c r="AV591" s="138"/>
      <c r="AW591" s="141"/>
      <c r="AX591" s="52"/>
      <c r="AY591" s="52"/>
      <c r="AZ591" s="52"/>
      <c r="BA591" s="52"/>
      <c r="BB591" s="52"/>
    </row>
    <row r="592">
      <c r="A592" s="52"/>
      <c r="B592" s="26"/>
      <c r="C592" s="52"/>
      <c r="D592" s="52"/>
      <c r="E592" s="52"/>
      <c r="F592" s="52"/>
      <c r="G592" s="135"/>
      <c r="H592" s="52"/>
      <c r="I592" s="52"/>
      <c r="J592" s="136"/>
      <c r="K592" s="136"/>
      <c r="L592" s="136"/>
      <c r="M592" s="136"/>
      <c r="N592" s="52"/>
      <c r="O592" s="52"/>
      <c r="P592" s="52"/>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138"/>
      <c r="AQ592" s="138"/>
      <c r="AR592" s="52"/>
      <c r="AS592" s="52"/>
      <c r="AT592" s="52"/>
      <c r="AU592" s="139"/>
      <c r="AV592" s="138"/>
      <c r="AW592" s="141"/>
      <c r="AX592" s="52"/>
      <c r="AY592" s="52"/>
      <c r="AZ592" s="52"/>
      <c r="BA592" s="52"/>
      <c r="BB592" s="52"/>
    </row>
    <row r="593">
      <c r="A593" s="52"/>
      <c r="B593" s="26"/>
      <c r="C593" s="52"/>
      <c r="D593" s="52"/>
      <c r="E593" s="52"/>
      <c r="F593" s="52"/>
      <c r="G593" s="135"/>
      <c r="H593" s="52"/>
      <c r="I593" s="52"/>
      <c r="J593" s="136"/>
      <c r="K593" s="136"/>
      <c r="L593" s="136"/>
      <c r="M593" s="136"/>
      <c r="N593" s="52"/>
      <c r="O593" s="52"/>
      <c r="P593" s="52"/>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138"/>
      <c r="AQ593" s="138"/>
      <c r="AR593" s="52"/>
      <c r="AS593" s="52"/>
      <c r="AT593" s="52"/>
      <c r="AU593" s="139"/>
      <c r="AV593" s="138"/>
      <c r="AW593" s="141"/>
      <c r="AX593" s="52"/>
      <c r="AY593" s="52"/>
      <c r="AZ593" s="52"/>
      <c r="BA593" s="52"/>
      <c r="BB593" s="52"/>
    </row>
    <row r="594">
      <c r="A594" s="52"/>
      <c r="B594" s="26"/>
      <c r="C594" s="52"/>
      <c r="D594" s="52"/>
      <c r="E594" s="52"/>
      <c r="F594" s="52"/>
      <c r="G594" s="135"/>
      <c r="H594" s="52"/>
      <c r="I594" s="52"/>
      <c r="J594" s="136"/>
      <c r="K594" s="136"/>
      <c r="L594" s="136"/>
      <c r="M594" s="136"/>
      <c r="N594" s="52"/>
      <c r="O594" s="52"/>
      <c r="P594" s="52"/>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138"/>
      <c r="AQ594" s="138"/>
      <c r="AR594" s="52"/>
      <c r="AS594" s="52"/>
      <c r="AT594" s="52"/>
      <c r="AU594" s="139"/>
      <c r="AV594" s="138"/>
      <c r="AW594" s="141"/>
      <c r="AX594" s="52"/>
      <c r="AY594" s="52"/>
      <c r="AZ594" s="52"/>
      <c r="BA594" s="52"/>
      <c r="BB594" s="52"/>
    </row>
    <row r="595">
      <c r="A595" s="52"/>
      <c r="B595" s="26"/>
      <c r="C595" s="52"/>
      <c r="D595" s="52"/>
      <c r="E595" s="52"/>
      <c r="F595" s="52"/>
      <c r="G595" s="135"/>
      <c r="H595" s="52"/>
      <c r="I595" s="52"/>
      <c r="J595" s="136"/>
      <c r="K595" s="136"/>
      <c r="L595" s="136"/>
      <c r="M595" s="136"/>
      <c r="N595" s="52"/>
      <c r="O595" s="52"/>
      <c r="P595" s="52"/>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138"/>
      <c r="AQ595" s="138"/>
      <c r="AR595" s="52"/>
      <c r="AS595" s="52"/>
      <c r="AT595" s="52"/>
      <c r="AU595" s="139"/>
      <c r="AV595" s="138"/>
      <c r="AW595" s="141"/>
      <c r="AX595" s="52"/>
      <c r="AY595" s="52"/>
      <c r="AZ595" s="52"/>
      <c r="BA595" s="52"/>
      <c r="BB595" s="52"/>
    </row>
    <row r="596">
      <c r="A596" s="52"/>
      <c r="B596" s="26"/>
      <c r="C596" s="52"/>
      <c r="D596" s="52"/>
      <c r="E596" s="52"/>
      <c r="F596" s="52"/>
      <c r="G596" s="135"/>
      <c r="H596" s="52"/>
      <c r="I596" s="52"/>
      <c r="J596" s="136"/>
      <c r="K596" s="136"/>
      <c r="L596" s="136"/>
      <c r="M596" s="136"/>
      <c r="N596" s="52"/>
      <c r="O596" s="52"/>
      <c r="P596" s="52"/>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138"/>
      <c r="AQ596" s="138"/>
      <c r="AR596" s="52"/>
      <c r="AS596" s="52"/>
      <c r="AT596" s="52"/>
      <c r="AU596" s="139"/>
      <c r="AV596" s="138"/>
      <c r="AW596" s="141"/>
      <c r="AX596" s="52"/>
      <c r="AY596" s="52"/>
      <c r="AZ596" s="52"/>
      <c r="BA596" s="52"/>
      <c r="BB596" s="52"/>
    </row>
    <row r="597">
      <c r="A597" s="52"/>
      <c r="B597" s="26"/>
      <c r="C597" s="52"/>
      <c r="D597" s="52"/>
      <c r="E597" s="52"/>
      <c r="F597" s="52"/>
      <c r="G597" s="135"/>
      <c r="H597" s="52"/>
      <c r="I597" s="52"/>
      <c r="J597" s="136"/>
      <c r="K597" s="136"/>
      <c r="L597" s="136"/>
      <c r="M597" s="136"/>
      <c r="N597" s="52"/>
      <c r="O597" s="52"/>
      <c r="P597" s="52"/>
      <c r="Q597" s="52"/>
      <c r="R597" s="52"/>
      <c r="S597" s="52"/>
      <c r="T597" s="52"/>
      <c r="U597" s="52"/>
      <c r="V597" s="52"/>
      <c r="W597" s="52"/>
      <c r="X597" s="52"/>
      <c r="Y597" s="52"/>
      <c r="Z597" s="52"/>
      <c r="AA597" s="52"/>
      <c r="AB597" s="52"/>
      <c r="AC597" s="52"/>
      <c r="AD597" s="52"/>
      <c r="AE597" s="52"/>
      <c r="AF597" s="52"/>
      <c r="AG597" s="52"/>
      <c r="AH597" s="52"/>
      <c r="AI597" s="52"/>
      <c r="AJ597" s="52"/>
      <c r="AK597" s="52"/>
      <c r="AL597" s="52"/>
      <c r="AM597" s="52"/>
      <c r="AN597" s="52"/>
      <c r="AO597" s="52"/>
      <c r="AP597" s="138"/>
      <c r="AQ597" s="138"/>
      <c r="AR597" s="52"/>
      <c r="AS597" s="52"/>
      <c r="AT597" s="52"/>
      <c r="AU597" s="139"/>
      <c r="AV597" s="138"/>
      <c r="AW597" s="141"/>
      <c r="AX597" s="52"/>
      <c r="AY597" s="52"/>
      <c r="AZ597" s="52"/>
      <c r="BA597" s="52"/>
      <c r="BB597" s="52"/>
    </row>
    <row r="598">
      <c r="A598" s="52"/>
      <c r="B598" s="26"/>
      <c r="C598" s="52"/>
      <c r="D598" s="52"/>
      <c r="E598" s="52"/>
      <c r="F598" s="52"/>
      <c r="G598" s="135"/>
      <c r="H598" s="52"/>
      <c r="I598" s="52"/>
      <c r="J598" s="136"/>
      <c r="K598" s="136"/>
      <c r="L598" s="136"/>
      <c r="M598" s="136"/>
      <c r="N598" s="52"/>
      <c r="O598" s="52"/>
      <c r="P598" s="52"/>
      <c r="Q598" s="52"/>
      <c r="R598" s="52"/>
      <c r="S598" s="52"/>
      <c r="T598" s="52"/>
      <c r="U598" s="52"/>
      <c r="V598" s="52"/>
      <c r="W598" s="52"/>
      <c r="X598" s="52"/>
      <c r="Y598" s="52"/>
      <c r="Z598" s="52"/>
      <c r="AA598" s="52"/>
      <c r="AB598" s="52"/>
      <c r="AC598" s="52"/>
      <c r="AD598" s="52"/>
      <c r="AE598" s="52"/>
      <c r="AF598" s="52"/>
      <c r="AG598" s="52"/>
      <c r="AH598" s="52"/>
      <c r="AI598" s="52"/>
      <c r="AJ598" s="52"/>
      <c r="AK598" s="52"/>
      <c r="AL598" s="52"/>
      <c r="AM598" s="52"/>
      <c r="AN598" s="52"/>
      <c r="AO598" s="52"/>
      <c r="AP598" s="138"/>
      <c r="AQ598" s="138"/>
      <c r="AR598" s="52"/>
      <c r="AS598" s="52"/>
      <c r="AT598" s="52"/>
      <c r="AU598" s="139"/>
      <c r="AV598" s="138"/>
      <c r="AW598" s="141"/>
      <c r="AX598" s="52"/>
      <c r="AY598" s="52"/>
      <c r="AZ598" s="52"/>
      <c r="BA598" s="52"/>
      <c r="BB598" s="52"/>
    </row>
    <row r="599">
      <c r="A599" s="52"/>
      <c r="B599" s="26"/>
      <c r="C599" s="52"/>
      <c r="D599" s="52"/>
      <c r="E599" s="52"/>
      <c r="F599" s="52"/>
      <c r="G599" s="135"/>
      <c r="H599" s="52"/>
      <c r="I599" s="52"/>
      <c r="J599" s="136"/>
      <c r="K599" s="136"/>
      <c r="L599" s="136"/>
      <c r="M599" s="136"/>
      <c r="N599" s="52"/>
      <c r="O599" s="52"/>
      <c r="P599" s="52"/>
      <c r="Q599" s="52"/>
      <c r="R599" s="52"/>
      <c r="S599" s="52"/>
      <c r="T599" s="52"/>
      <c r="U599" s="52"/>
      <c r="V599" s="52"/>
      <c r="W599" s="52"/>
      <c r="X599" s="52"/>
      <c r="Y599" s="52"/>
      <c r="Z599" s="52"/>
      <c r="AA599" s="52"/>
      <c r="AB599" s="52"/>
      <c r="AC599" s="52"/>
      <c r="AD599" s="52"/>
      <c r="AE599" s="52"/>
      <c r="AF599" s="52"/>
      <c r="AG599" s="52"/>
      <c r="AH599" s="52"/>
      <c r="AI599" s="52"/>
      <c r="AJ599" s="52"/>
      <c r="AK599" s="52"/>
      <c r="AL599" s="52"/>
      <c r="AM599" s="52"/>
      <c r="AN599" s="52"/>
      <c r="AO599" s="52"/>
      <c r="AP599" s="138"/>
      <c r="AQ599" s="138"/>
      <c r="AR599" s="52"/>
      <c r="AS599" s="52"/>
      <c r="AT599" s="52"/>
      <c r="AU599" s="139"/>
      <c r="AV599" s="138"/>
      <c r="AW599" s="141"/>
      <c r="AX599" s="52"/>
      <c r="AY599" s="52"/>
      <c r="AZ599" s="52"/>
      <c r="BA599" s="52"/>
      <c r="BB599" s="52"/>
    </row>
    <row r="600">
      <c r="A600" s="52"/>
      <c r="B600" s="26"/>
      <c r="C600" s="52"/>
      <c r="D600" s="52"/>
      <c r="E600" s="52"/>
      <c r="F600" s="52"/>
      <c r="G600" s="135"/>
      <c r="H600" s="52"/>
      <c r="I600" s="52"/>
      <c r="J600" s="136"/>
      <c r="K600" s="136"/>
      <c r="L600" s="136"/>
      <c r="M600" s="136"/>
      <c r="N600" s="52"/>
      <c r="O600" s="52"/>
      <c r="P600" s="52"/>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138"/>
      <c r="AQ600" s="138"/>
      <c r="AR600" s="52"/>
      <c r="AS600" s="52"/>
      <c r="AT600" s="52"/>
      <c r="AU600" s="139"/>
      <c r="AV600" s="138"/>
      <c r="AW600" s="141"/>
      <c r="AX600" s="52"/>
      <c r="AY600" s="52"/>
      <c r="AZ600" s="52"/>
      <c r="BA600" s="52"/>
      <c r="BB600" s="52"/>
    </row>
    <row r="601">
      <c r="A601" s="52"/>
      <c r="B601" s="26"/>
      <c r="C601" s="52"/>
      <c r="D601" s="52"/>
      <c r="E601" s="52"/>
      <c r="F601" s="52"/>
      <c r="G601" s="135"/>
      <c r="H601" s="52"/>
      <c r="I601" s="52"/>
      <c r="J601" s="136"/>
      <c r="K601" s="136"/>
      <c r="L601" s="136"/>
      <c r="M601" s="136"/>
      <c r="N601" s="52"/>
      <c r="O601" s="52"/>
      <c r="P601" s="52"/>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138"/>
      <c r="AQ601" s="138"/>
      <c r="AR601" s="52"/>
      <c r="AS601" s="52"/>
      <c r="AT601" s="52"/>
      <c r="AU601" s="139"/>
      <c r="AV601" s="138"/>
      <c r="AW601" s="141"/>
      <c r="AX601" s="52"/>
      <c r="AY601" s="52"/>
      <c r="AZ601" s="52"/>
      <c r="BA601" s="52"/>
      <c r="BB601" s="52"/>
    </row>
    <row r="602">
      <c r="A602" s="52"/>
      <c r="B602" s="26"/>
      <c r="C602" s="52"/>
      <c r="D602" s="52"/>
      <c r="E602" s="52"/>
      <c r="F602" s="52"/>
      <c r="G602" s="135"/>
      <c r="H602" s="52"/>
      <c r="I602" s="52"/>
      <c r="J602" s="136"/>
      <c r="K602" s="136"/>
      <c r="L602" s="136"/>
      <c r="M602" s="136"/>
      <c r="N602" s="52"/>
      <c r="O602" s="52"/>
      <c r="P602" s="52"/>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138"/>
      <c r="AQ602" s="138"/>
      <c r="AR602" s="52"/>
      <c r="AS602" s="52"/>
      <c r="AT602" s="52"/>
      <c r="AU602" s="139"/>
      <c r="AV602" s="138"/>
      <c r="AW602" s="141"/>
      <c r="AX602" s="52"/>
      <c r="AY602" s="52"/>
      <c r="AZ602" s="52"/>
      <c r="BA602" s="52"/>
      <c r="BB602" s="52"/>
    </row>
    <row r="603">
      <c r="A603" s="52"/>
      <c r="B603" s="26"/>
      <c r="C603" s="52"/>
      <c r="D603" s="52"/>
      <c r="E603" s="52"/>
      <c r="F603" s="52"/>
      <c r="G603" s="135"/>
      <c r="H603" s="52"/>
      <c r="I603" s="52"/>
      <c r="J603" s="136"/>
      <c r="K603" s="136"/>
      <c r="L603" s="136"/>
      <c r="M603" s="136"/>
      <c r="N603" s="52"/>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138"/>
      <c r="AQ603" s="138"/>
      <c r="AR603" s="52"/>
      <c r="AS603" s="52"/>
      <c r="AT603" s="52"/>
      <c r="AU603" s="139"/>
      <c r="AV603" s="138"/>
      <c r="AW603" s="141"/>
      <c r="AX603" s="52"/>
      <c r="AY603" s="52"/>
      <c r="AZ603" s="52"/>
      <c r="BA603" s="52"/>
      <c r="BB603" s="52"/>
    </row>
    <row r="604">
      <c r="A604" s="52"/>
      <c r="B604" s="26"/>
      <c r="C604" s="52"/>
      <c r="D604" s="52"/>
      <c r="E604" s="52"/>
      <c r="F604" s="52"/>
      <c r="G604" s="135"/>
      <c r="H604" s="52"/>
      <c r="I604" s="52"/>
      <c r="J604" s="136"/>
      <c r="K604" s="136"/>
      <c r="L604" s="136"/>
      <c r="M604" s="136"/>
      <c r="N604" s="52"/>
      <c r="O604" s="52"/>
      <c r="P604" s="52"/>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138"/>
      <c r="AQ604" s="138"/>
      <c r="AR604" s="52"/>
      <c r="AS604" s="52"/>
      <c r="AT604" s="52"/>
      <c r="AU604" s="139"/>
      <c r="AV604" s="138"/>
      <c r="AW604" s="141"/>
      <c r="AX604" s="52"/>
      <c r="AY604" s="52"/>
      <c r="AZ604" s="52"/>
      <c r="BA604" s="52"/>
      <c r="BB604" s="52"/>
    </row>
    <row r="605">
      <c r="A605" s="52"/>
      <c r="B605" s="26"/>
      <c r="C605" s="52"/>
      <c r="D605" s="52"/>
      <c r="E605" s="52"/>
      <c r="F605" s="52"/>
      <c r="G605" s="135"/>
      <c r="H605" s="52"/>
      <c r="I605" s="52"/>
      <c r="J605" s="136"/>
      <c r="K605" s="136"/>
      <c r="L605" s="136"/>
      <c r="M605" s="136"/>
      <c r="N605" s="52"/>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138"/>
      <c r="AQ605" s="138"/>
      <c r="AR605" s="52"/>
      <c r="AS605" s="52"/>
      <c r="AT605" s="52"/>
      <c r="AU605" s="139"/>
      <c r="AV605" s="138"/>
      <c r="AW605" s="141"/>
      <c r="AX605" s="52"/>
      <c r="AY605" s="52"/>
      <c r="AZ605" s="52"/>
      <c r="BA605" s="52"/>
      <c r="BB605" s="52"/>
    </row>
    <row r="606">
      <c r="A606" s="52"/>
      <c r="B606" s="26"/>
      <c r="C606" s="52"/>
      <c r="D606" s="52"/>
      <c r="E606" s="52"/>
      <c r="F606" s="52"/>
      <c r="G606" s="135"/>
      <c r="H606" s="52"/>
      <c r="I606" s="52"/>
      <c r="J606" s="136"/>
      <c r="K606" s="136"/>
      <c r="L606" s="136"/>
      <c r="M606" s="136"/>
      <c r="N606" s="52"/>
      <c r="O606" s="52"/>
      <c r="P606" s="52"/>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138"/>
      <c r="AQ606" s="138"/>
      <c r="AR606" s="52"/>
      <c r="AS606" s="52"/>
      <c r="AT606" s="52"/>
      <c r="AU606" s="139"/>
      <c r="AV606" s="138"/>
      <c r="AW606" s="141"/>
      <c r="AX606" s="52"/>
      <c r="AY606" s="52"/>
      <c r="AZ606" s="52"/>
      <c r="BA606" s="52"/>
      <c r="BB606" s="52"/>
    </row>
    <row r="607">
      <c r="A607" s="52"/>
      <c r="B607" s="26"/>
      <c r="C607" s="52"/>
      <c r="D607" s="52"/>
      <c r="E607" s="52"/>
      <c r="F607" s="52"/>
      <c r="G607" s="135"/>
      <c r="H607" s="52"/>
      <c r="I607" s="52"/>
      <c r="J607" s="136"/>
      <c r="K607" s="136"/>
      <c r="L607" s="136"/>
      <c r="M607" s="136"/>
      <c r="N607" s="52"/>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138"/>
      <c r="AQ607" s="138"/>
      <c r="AR607" s="52"/>
      <c r="AS607" s="52"/>
      <c r="AT607" s="52"/>
      <c r="AU607" s="139"/>
      <c r="AV607" s="138"/>
      <c r="AW607" s="141"/>
      <c r="AX607" s="52"/>
      <c r="AY607" s="52"/>
      <c r="AZ607" s="52"/>
      <c r="BA607" s="52"/>
      <c r="BB607" s="52"/>
    </row>
    <row r="608">
      <c r="A608" s="52"/>
      <c r="B608" s="26"/>
      <c r="C608" s="52"/>
      <c r="D608" s="52"/>
      <c r="E608" s="52"/>
      <c r="F608" s="52"/>
      <c r="G608" s="135"/>
      <c r="H608" s="52"/>
      <c r="I608" s="52"/>
      <c r="J608" s="136"/>
      <c r="K608" s="136"/>
      <c r="L608" s="136"/>
      <c r="M608" s="136"/>
      <c r="N608" s="52"/>
      <c r="O608" s="52"/>
      <c r="P608" s="52"/>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138"/>
      <c r="AQ608" s="138"/>
      <c r="AR608" s="52"/>
      <c r="AS608" s="52"/>
      <c r="AT608" s="52"/>
      <c r="AU608" s="139"/>
      <c r="AV608" s="138"/>
      <c r="AW608" s="141"/>
      <c r="AX608" s="52"/>
      <c r="AY608" s="52"/>
      <c r="AZ608" s="52"/>
      <c r="BA608" s="52"/>
      <c r="BB608" s="52"/>
    </row>
    <row r="609">
      <c r="A609" s="52"/>
      <c r="B609" s="26"/>
      <c r="C609" s="52"/>
      <c r="D609" s="52"/>
      <c r="E609" s="52"/>
      <c r="F609" s="52"/>
      <c r="G609" s="135"/>
      <c r="H609" s="52"/>
      <c r="I609" s="52"/>
      <c r="J609" s="136"/>
      <c r="K609" s="136"/>
      <c r="L609" s="136"/>
      <c r="M609" s="136"/>
      <c r="N609" s="52"/>
      <c r="O609" s="52"/>
      <c r="P609" s="52"/>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138"/>
      <c r="AQ609" s="138"/>
      <c r="AR609" s="52"/>
      <c r="AS609" s="52"/>
      <c r="AT609" s="52"/>
      <c r="AU609" s="139"/>
      <c r="AV609" s="138"/>
      <c r="AW609" s="141"/>
      <c r="AX609" s="52"/>
      <c r="AY609" s="52"/>
      <c r="AZ609" s="52"/>
      <c r="BA609" s="52"/>
      <c r="BB609" s="52"/>
    </row>
    <row r="610">
      <c r="A610" s="52"/>
      <c r="B610" s="26"/>
      <c r="C610" s="52"/>
      <c r="D610" s="52"/>
      <c r="E610" s="52"/>
      <c r="F610" s="52"/>
      <c r="G610" s="135"/>
      <c r="H610" s="52"/>
      <c r="I610" s="52"/>
      <c r="J610" s="136"/>
      <c r="K610" s="136"/>
      <c r="L610" s="136"/>
      <c r="M610" s="136"/>
      <c r="N610" s="52"/>
      <c r="O610" s="52"/>
      <c r="P610" s="52"/>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138"/>
      <c r="AQ610" s="138"/>
      <c r="AR610" s="52"/>
      <c r="AS610" s="52"/>
      <c r="AT610" s="52"/>
      <c r="AU610" s="139"/>
      <c r="AV610" s="138"/>
      <c r="AW610" s="141"/>
      <c r="AX610" s="52"/>
      <c r="AY610" s="52"/>
      <c r="AZ610" s="52"/>
      <c r="BA610" s="52"/>
      <c r="BB610" s="52"/>
    </row>
    <row r="611">
      <c r="A611" s="52"/>
      <c r="B611" s="26"/>
      <c r="C611" s="52"/>
      <c r="D611" s="52"/>
      <c r="E611" s="52"/>
      <c r="F611" s="52"/>
      <c r="G611" s="135"/>
      <c r="H611" s="52"/>
      <c r="I611" s="52"/>
      <c r="J611" s="136"/>
      <c r="K611" s="136"/>
      <c r="L611" s="136"/>
      <c r="M611" s="136"/>
      <c r="N611" s="52"/>
      <c r="O611" s="52"/>
      <c r="P611" s="52"/>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138"/>
      <c r="AQ611" s="138"/>
      <c r="AR611" s="52"/>
      <c r="AS611" s="52"/>
      <c r="AT611" s="52"/>
      <c r="AU611" s="139"/>
      <c r="AV611" s="138"/>
      <c r="AW611" s="141"/>
      <c r="AX611" s="52"/>
      <c r="AY611" s="52"/>
      <c r="AZ611" s="52"/>
      <c r="BA611" s="52"/>
      <c r="BB611" s="52"/>
    </row>
    <row r="612">
      <c r="A612" s="52"/>
      <c r="B612" s="26"/>
      <c r="C612" s="52"/>
      <c r="D612" s="52"/>
      <c r="E612" s="52"/>
      <c r="F612" s="52"/>
      <c r="G612" s="135"/>
      <c r="H612" s="52"/>
      <c r="I612" s="52"/>
      <c r="J612" s="136"/>
      <c r="K612" s="136"/>
      <c r="L612" s="136"/>
      <c r="M612" s="136"/>
      <c r="N612" s="52"/>
      <c r="O612" s="52"/>
      <c r="P612" s="52"/>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138"/>
      <c r="AQ612" s="138"/>
      <c r="AR612" s="52"/>
      <c r="AS612" s="52"/>
      <c r="AT612" s="52"/>
      <c r="AU612" s="139"/>
      <c r="AV612" s="138"/>
      <c r="AW612" s="141"/>
      <c r="AX612" s="52"/>
      <c r="AY612" s="52"/>
      <c r="AZ612" s="52"/>
      <c r="BA612" s="52"/>
      <c r="BB612" s="52"/>
    </row>
    <row r="613">
      <c r="A613" s="52"/>
      <c r="B613" s="26"/>
      <c r="C613" s="52"/>
      <c r="D613" s="52"/>
      <c r="E613" s="52"/>
      <c r="F613" s="52"/>
      <c r="G613" s="135"/>
      <c r="H613" s="52"/>
      <c r="I613" s="52"/>
      <c r="J613" s="136"/>
      <c r="K613" s="136"/>
      <c r="L613" s="136"/>
      <c r="M613" s="136"/>
      <c r="N613" s="52"/>
      <c r="O613" s="52"/>
      <c r="P613" s="52"/>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138"/>
      <c r="AQ613" s="138"/>
      <c r="AR613" s="52"/>
      <c r="AS613" s="52"/>
      <c r="AT613" s="52"/>
      <c r="AU613" s="139"/>
      <c r="AV613" s="138"/>
      <c r="AW613" s="141"/>
      <c r="AX613" s="52"/>
      <c r="AY613" s="52"/>
      <c r="AZ613" s="52"/>
      <c r="BA613" s="52"/>
      <c r="BB613" s="52"/>
    </row>
    <row r="614">
      <c r="A614" s="52"/>
      <c r="B614" s="26"/>
      <c r="C614" s="52"/>
      <c r="D614" s="52"/>
      <c r="E614" s="52"/>
      <c r="F614" s="52"/>
      <c r="G614" s="135"/>
      <c r="H614" s="52"/>
      <c r="I614" s="52"/>
      <c r="J614" s="136"/>
      <c r="K614" s="136"/>
      <c r="L614" s="136"/>
      <c r="M614" s="136"/>
      <c r="N614" s="52"/>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138"/>
      <c r="AQ614" s="138"/>
      <c r="AR614" s="52"/>
      <c r="AS614" s="52"/>
      <c r="AT614" s="52"/>
      <c r="AU614" s="139"/>
      <c r="AV614" s="138"/>
      <c r="AW614" s="141"/>
      <c r="AX614" s="52"/>
      <c r="AY614" s="52"/>
      <c r="AZ614" s="52"/>
      <c r="BA614" s="52"/>
      <c r="BB614" s="52"/>
    </row>
    <row r="615">
      <c r="A615" s="52"/>
      <c r="B615" s="26"/>
      <c r="C615" s="52"/>
      <c r="D615" s="52"/>
      <c r="E615" s="52"/>
      <c r="F615" s="52"/>
      <c r="G615" s="135"/>
      <c r="H615" s="52"/>
      <c r="I615" s="52"/>
      <c r="J615" s="136"/>
      <c r="K615" s="136"/>
      <c r="L615" s="136"/>
      <c r="M615" s="136"/>
      <c r="N615" s="52"/>
      <c r="O615" s="52"/>
      <c r="P615" s="52"/>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138"/>
      <c r="AQ615" s="138"/>
      <c r="AR615" s="52"/>
      <c r="AS615" s="52"/>
      <c r="AT615" s="52"/>
      <c r="AU615" s="139"/>
      <c r="AV615" s="138"/>
      <c r="AW615" s="141"/>
      <c r="AX615" s="52"/>
      <c r="AY615" s="52"/>
      <c r="AZ615" s="52"/>
      <c r="BA615" s="52"/>
      <c r="BB615" s="52"/>
    </row>
    <row r="616">
      <c r="A616" s="52"/>
      <c r="B616" s="26"/>
      <c r="C616" s="52"/>
      <c r="D616" s="52"/>
      <c r="E616" s="52"/>
      <c r="F616" s="52"/>
      <c r="G616" s="135"/>
      <c r="H616" s="52"/>
      <c r="I616" s="52"/>
      <c r="J616" s="136"/>
      <c r="K616" s="136"/>
      <c r="L616" s="136"/>
      <c r="M616" s="136"/>
      <c r="N616" s="52"/>
      <c r="O616" s="52"/>
      <c r="P616" s="52"/>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138"/>
      <c r="AQ616" s="138"/>
      <c r="AR616" s="52"/>
      <c r="AS616" s="52"/>
      <c r="AT616" s="52"/>
      <c r="AU616" s="139"/>
      <c r="AV616" s="138"/>
      <c r="AW616" s="141"/>
      <c r="AX616" s="52"/>
      <c r="AY616" s="52"/>
      <c r="AZ616" s="52"/>
      <c r="BA616" s="52"/>
      <c r="BB616" s="52"/>
    </row>
    <row r="617">
      <c r="A617" s="52"/>
      <c r="B617" s="26"/>
      <c r="C617" s="52"/>
      <c r="D617" s="52"/>
      <c r="E617" s="52"/>
      <c r="F617" s="52"/>
      <c r="G617" s="135"/>
      <c r="H617" s="52"/>
      <c r="I617" s="52"/>
      <c r="J617" s="136"/>
      <c r="K617" s="136"/>
      <c r="L617" s="136"/>
      <c r="M617" s="136"/>
      <c r="N617" s="52"/>
      <c r="O617" s="52"/>
      <c r="P617" s="52"/>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138"/>
      <c r="AQ617" s="138"/>
      <c r="AR617" s="52"/>
      <c r="AS617" s="52"/>
      <c r="AT617" s="52"/>
      <c r="AU617" s="139"/>
      <c r="AV617" s="138"/>
      <c r="AW617" s="141"/>
      <c r="AX617" s="52"/>
      <c r="AY617" s="52"/>
      <c r="AZ617" s="52"/>
      <c r="BA617" s="52"/>
      <c r="BB617" s="52"/>
    </row>
    <row r="618">
      <c r="A618" s="52"/>
      <c r="B618" s="26"/>
      <c r="C618" s="52"/>
      <c r="D618" s="52"/>
      <c r="E618" s="52"/>
      <c r="F618" s="52"/>
      <c r="G618" s="135"/>
      <c r="H618" s="52"/>
      <c r="I618" s="52"/>
      <c r="J618" s="136"/>
      <c r="K618" s="136"/>
      <c r="L618" s="136"/>
      <c r="M618" s="136"/>
      <c r="N618" s="52"/>
      <c r="O618" s="52"/>
      <c r="P618" s="52"/>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138"/>
      <c r="AQ618" s="138"/>
      <c r="AR618" s="52"/>
      <c r="AS618" s="52"/>
      <c r="AT618" s="52"/>
      <c r="AU618" s="139"/>
      <c r="AV618" s="138"/>
      <c r="AW618" s="141"/>
      <c r="AX618" s="52"/>
      <c r="AY618" s="52"/>
      <c r="AZ618" s="52"/>
      <c r="BA618" s="52"/>
      <c r="BB618" s="52"/>
    </row>
    <row r="619">
      <c r="A619" s="52"/>
      <c r="B619" s="26"/>
      <c r="C619" s="52"/>
      <c r="D619" s="52"/>
      <c r="E619" s="52"/>
      <c r="F619" s="52"/>
      <c r="G619" s="135"/>
      <c r="H619" s="52"/>
      <c r="I619" s="52"/>
      <c r="J619" s="136"/>
      <c r="K619" s="136"/>
      <c r="L619" s="136"/>
      <c r="M619" s="136"/>
      <c r="N619" s="52"/>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138"/>
      <c r="AQ619" s="138"/>
      <c r="AR619" s="52"/>
      <c r="AS619" s="52"/>
      <c r="AT619" s="52"/>
      <c r="AU619" s="139"/>
      <c r="AV619" s="138"/>
      <c r="AW619" s="141"/>
      <c r="AX619" s="52"/>
      <c r="AY619" s="52"/>
      <c r="AZ619" s="52"/>
      <c r="BA619" s="52"/>
      <c r="BB619" s="52"/>
    </row>
    <row r="620">
      <c r="A620" s="52"/>
      <c r="B620" s="26"/>
      <c r="C620" s="52"/>
      <c r="D620" s="52"/>
      <c r="E620" s="52"/>
      <c r="F620" s="52"/>
      <c r="G620" s="135"/>
      <c r="H620" s="52"/>
      <c r="I620" s="52"/>
      <c r="J620" s="136"/>
      <c r="K620" s="136"/>
      <c r="L620" s="136"/>
      <c r="M620" s="136"/>
      <c r="N620" s="52"/>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138"/>
      <c r="AQ620" s="138"/>
      <c r="AR620" s="52"/>
      <c r="AS620" s="52"/>
      <c r="AT620" s="52"/>
      <c r="AU620" s="139"/>
      <c r="AV620" s="138"/>
      <c r="AW620" s="141"/>
      <c r="AX620" s="52"/>
      <c r="AY620" s="52"/>
      <c r="AZ620" s="52"/>
      <c r="BA620" s="52"/>
      <c r="BB620" s="52"/>
    </row>
    <row r="621">
      <c r="A621" s="52"/>
      <c r="B621" s="26"/>
      <c r="C621" s="52"/>
      <c r="D621" s="52"/>
      <c r="E621" s="52"/>
      <c r="F621" s="52"/>
      <c r="G621" s="135"/>
      <c r="H621" s="52"/>
      <c r="I621" s="52"/>
      <c r="J621" s="136"/>
      <c r="K621" s="136"/>
      <c r="L621" s="136"/>
      <c r="M621" s="136"/>
      <c r="N621" s="52"/>
      <c r="O621" s="52"/>
      <c r="P621" s="52"/>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138"/>
      <c r="AQ621" s="138"/>
      <c r="AR621" s="52"/>
      <c r="AS621" s="52"/>
      <c r="AT621" s="52"/>
      <c r="AU621" s="139"/>
      <c r="AV621" s="138"/>
      <c r="AW621" s="141"/>
      <c r="AX621" s="52"/>
      <c r="AY621" s="52"/>
      <c r="AZ621" s="52"/>
      <c r="BA621" s="52"/>
      <c r="BB621" s="52"/>
    </row>
    <row r="622">
      <c r="A622" s="52"/>
      <c r="B622" s="26"/>
      <c r="C622" s="52"/>
      <c r="D622" s="52"/>
      <c r="E622" s="52"/>
      <c r="F622" s="52"/>
      <c r="G622" s="135"/>
      <c r="H622" s="52"/>
      <c r="I622" s="52"/>
      <c r="J622" s="136"/>
      <c r="K622" s="136"/>
      <c r="L622" s="136"/>
      <c r="M622" s="136"/>
      <c r="N622" s="52"/>
      <c r="O622" s="52"/>
      <c r="P622" s="52"/>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138"/>
      <c r="AQ622" s="138"/>
      <c r="AR622" s="52"/>
      <c r="AS622" s="52"/>
      <c r="AT622" s="52"/>
      <c r="AU622" s="139"/>
      <c r="AV622" s="138"/>
      <c r="AW622" s="141"/>
      <c r="AX622" s="52"/>
      <c r="AY622" s="52"/>
      <c r="AZ622" s="52"/>
      <c r="BA622" s="52"/>
      <c r="BB622" s="52"/>
    </row>
    <row r="623">
      <c r="A623" s="52"/>
      <c r="B623" s="26"/>
      <c r="C623" s="52"/>
      <c r="D623" s="52"/>
      <c r="E623" s="52"/>
      <c r="F623" s="52"/>
      <c r="G623" s="135"/>
      <c r="H623" s="52"/>
      <c r="I623" s="52"/>
      <c r="J623" s="136"/>
      <c r="K623" s="136"/>
      <c r="L623" s="136"/>
      <c r="M623" s="136"/>
      <c r="N623" s="52"/>
      <c r="O623" s="52"/>
      <c r="P623" s="52"/>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138"/>
      <c r="AQ623" s="138"/>
      <c r="AR623" s="52"/>
      <c r="AS623" s="52"/>
      <c r="AT623" s="52"/>
      <c r="AU623" s="139"/>
      <c r="AV623" s="138"/>
      <c r="AW623" s="141"/>
      <c r="AX623" s="52"/>
      <c r="AY623" s="52"/>
      <c r="AZ623" s="52"/>
      <c r="BA623" s="52"/>
      <c r="BB623" s="52"/>
    </row>
    <row r="624">
      <c r="A624" s="52"/>
      <c r="B624" s="26"/>
      <c r="C624" s="52"/>
      <c r="D624" s="52"/>
      <c r="E624" s="52"/>
      <c r="F624" s="52"/>
      <c r="G624" s="135"/>
      <c r="H624" s="52"/>
      <c r="I624" s="52"/>
      <c r="J624" s="136"/>
      <c r="K624" s="136"/>
      <c r="L624" s="136"/>
      <c r="M624" s="136"/>
      <c r="N624" s="52"/>
      <c r="O624" s="52"/>
      <c r="P624" s="52"/>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138"/>
      <c r="AQ624" s="138"/>
      <c r="AR624" s="52"/>
      <c r="AS624" s="52"/>
      <c r="AT624" s="52"/>
      <c r="AU624" s="139"/>
      <c r="AV624" s="138"/>
      <c r="AW624" s="141"/>
      <c r="AX624" s="52"/>
      <c r="AY624" s="52"/>
      <c r="AZ624" s="52"/>
      <c r="BA624" s="52"/>
      <c r="BB624" s="52"/>
    </row>
    <row r="625">
      <c r="A625" s="52"/>
      <c r="B625" s="26"/>
      <c r="C625" s="52"/>
      <c r="D625" s="52"/>
      <c r="E625" s="52"/>
      <c r="F625" s="52"/>
      <c r="G625" s="135"/>
      <c r="H625" s="52"/>
      <c r="I625" s="52"/>
      <c r="J625" s="136"/>
      <c r="K625" s="136"/>
      <c r="L625" s="136"/>
      <c r="M625" s="136"/>
      <c r="N625" s="52"/>
      <c r="O625" s="52"/>
      <c r="P625" s="52"/>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138"/>
      <c r="AQ625" s="138"/>
      <c r="AR625" s="52"/>
      <c r="AS625" s="52"/>
      <c r="AT625" s="52"/>
      <c r="AU625" s="139"/>
      <c r="AV625" s="138"/>
      <c r="AW625" s="141"/>
      <c r="AX625" s="52"/>
      <c r="AY625" s="52"/>
      <c r="AZ625" s="52"/>
      <c r="BA625" s="52"/>
      <c r="BB625" s="52"/>
    </row>
    <row r="626">
      <c r="A626" s="52"/>
      <c r="B626" s="26"/>
      <c r="C626" s="52"/>
      <c r="D626" s="52"/>
      <c r="E626" s="52"/>
      <c r="F626" s="52"/>
      <c r="G626" s="135"/>
      <c r="H626" s="52"/>
      <c r="I626" s="52"/>
      <c r="J626" s="136"/>
      <c r="K626" s="136"/>
      <c r="L626" s="136"/>
      <c r="M626" s="136"/>
      <c r="N626" s="52"/>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138"/>
      <c r="AQ626" s="138"/>
      <c r="AR626" s="52"/>
      <c r="AS626" s="52"/>
      <c r="AT626" s="52"/>
      <c r="AU626" s="139"/>
      <c r="AV626" s="138"/>
      <c r="AW626" s="141"/>
      <c r="AX626" s="52"/>
      <c r="AY626" s="52"/>
      <c r="AZ626" s="52"/>
      <c r="BA626" s="52"/>
      <c r="BB626" s="52"/>
    </row>
    <row r="627">
      <c r="A627" s="52"/>
      <c r="B627" s="26"/>
      <c r="C627" s="52"/>
      <c r="D627" s="52"/>
      <c r="E627" s="52"/>
      <c r="F627" s="52"/>
      <c r="G627" s="135"/>
      <c r="H627" s="52"/>
      <c r="I627" s="52"/>
      <c r="J627" s="136"/>
      <c r="K627" s="136"/>
      <c r="L627" s="136"/>
      <c r="M627" s="136"/>
      <c r="N627" s="52"/>
      <c r="O627" s="52"/>
      <c r="P627" s="52"/>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138"/>
      <c r="AQ627" s="138"/>
      <c r="AR627" s="52"/>
      <c r="AS627" s="52"/>
      <c r="AT627" s="52"/>
      <c r="AU627" s="139"/>
      <c r="AV627" s="138"/>
      <c r="AW627" s="141"/>
      <c r="AX627" s="52"/>
      <c r="AY627" s="52"/>
      <c r="AZ627" s="52"/>
      <c r="BA627" s="52"/>
      <c r="BB627" s="52"/>
    </row>
    <row r="628">
      <c r="A628" s="52"/>
      <c r="B628" s="26"/>
      <c r="C628" s="52"/>
      <c r="D628" s="52"/>
      <c r="E628" s="52"/>
      <c r="F628" s="52"/>
      <c r="G628" s="135"/>
      <c r="H628" s="52"/>
      <c r="I628" s="52"/>
      <c r="J628" s="136"/>
      <c r="K628" s="136"/>
      <c r="L628" s="136"/>
      <c r="M628" s="136"/>
      <c r="N628" s="52"/>
      <c r="O628" s="52"/>
      <c r="P628" s="52"/>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138"/>
      <c r="AQ628" s="138"/>
      <c r="AR628" s="52"/>
      <c r="AS628" s="52"/>
      <c r="AT628" s="52"/>
      <c r="AU628" s="139"/>
      <c r="AV628" s="138"/>
      <c r="AW628" s="141"/>
      <c r="AX628" s="52"/>
      <c r="AY628" s="52"/>
      <c r="AZ628" s="52"/>
      <c r="BA628" s="52"/>
      <c r="BB628" s="52"/>
    </row>
    <row r="629">
      <c r="A629" s="52"/>
      <c r="B629" s="26"/>
      <c r="C629" s="52"/>
      <c r="D629" s="52"/>
      <c r="E629" s="52"/>
      <c r="F629" s="52"/>
      <c r="G629" s="135"/>
      <c r="H629" s="52"/>
      <c r="I629" s="52"/>
      <c r="J629" s="136"/>
      <c r="K629" s="136"/>
      <c r="L629" s="136"/>
      <c r="M629" s="136"/>
      <c r="N629" s="52"/>
      <c r="O629" s="52"/>
      <c r="P629" s="52"/>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138"/>
      <c r="AQ629" s="138"/>
      <c r="AR629" s="52"/>
      <c r="AS629" s="52"/>
      <c r="AT629" s="52"/>
      <c r="AU629" s="139"/>
      <c r="AV629" s="138"/>
      <c r="AW629" s="141"/>
      <c r="AX629" s="52"/>
      <c r="AY629" s="52"/>
      <c r="AZ629" s="52"/>
      <c r="BA629" s="52"/>
      <c r="BB629" s="52"/>
    </row>
    <row r="630">
      <c r="A630" s="52"/>
      <c r="B630" s="26"/>
      <c r="C630" s="52"/>
      <c r="D630" s="52"/>
      <c r="E630" s="52"/>
      <c r="F630" s="52"/>
      <c r="G630" s="135"/>
      <c r="H630" s="52"/>
      <c r="I630" s="52"/>
      <c r="J630" s="136"/>
      <c r="K630" s="136"/>
      <c r="L630" s="136"/>
      <c r="M630" s="136"/>
      <c r="N630" s="52"/>
      <c r="O630" s="52"/>
      <c r="P630" s="52"/>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138"/>
      <c r="AQ630" s="138"/>
      <c r="AR630" s="52"/>
      <c r="AS630" s="52"/>
      <c r="AT630" s="52"/>
      <c r="AU630" s="139"/>
      <c r="AV630" s="138"/>
      <c r="AW630" s="141"/>
      <c r="AX630" s="52"/>
      <c r="AY630" s="52"/>
      <c r="AZ630" s="52"/>
      <c r="BA630" s="52"/>
      <c r="BB630" s="52"/>
    </row>
    <row r="631">
      <c r="A631" s="52"/>
      <c r="B631" s="26"/>
      <c r="C631" s="52"/>
      <c r="D631" s="52"/>
      <c r="E631" s="52"/>
      <c r="F631" s="52"/>
      <c r="G631" s="135"/>
      <c r="H631" s="52"/>
      <c r="I631" s="52"/>
      <c r="J631" s="136"/>
      <c r="K631" s="136"/>
      <c r="L631" s="136"/>
      <c r="M631" s="136"/>
      <c r="N631" s="52"/>
      <c r="O631" s="52"/>
      <c r="P631" s="52"/>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138"/>
      <c r="AQ631" s="138"/>
      <c r="AR631" s="52"/>
      <c r="AS631" s="52"/>
      <c r="AT631" s="52"/>
      <c r="AU631" s="139"/>
      <c r="AV631" s="138"/>
      <c r="AW631" s="141"/>
      <c r="AX631" s="52"/>
      <c r="AY631" s="52"/>
      <c r="AZ631" s="52"/>
      <c r="BA631" s="52"/>
      <c r="BB631" s="52"/>
    </row>
    <row r="632">
      <c r="A632" s="52"/>
      <c r="B632" s="26"/>
      <c r="C632" s="52"/>
      <c r="D632" s="52"/>
      <c r="E632" s="52"/>
      <c r="F632" s="52"/>
      <c r="G632" s="135"/>
      <c r="H632" s="52"/>
      <c r="I632" s="52"/>
      <c r="J632" s="136"/>
      <c r="K632" s="136"/>
      <c r="L632" s="136"/>
      <c r="M632" s="136"/>
      <c r="N632" s="52"/>
      <c r="O632" s="52"/>
      <c r="P632" s="52"/>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138"/>
      <c r="AQ632" s="138"/>
      <c r="AR632" s="52"/>
      <c r="AS632" s="52"/>
      <c r="AT632" s="52"/>
      <c r="AU632" s="139"/>
      <c r="AV632" s="138"/>
      <c r="AW632" s="141"/>
      <c r="AX632" s="52"/>
      <c r="AY632" s="52"/>
      <c r="AZ632" s="52"/>
      <c r="BA632" s="52"/>
      <c r="BB632" s="52"/>
    </row>
    <row r="633">
      <c r="A633" s="52"/>
      <c r="B633" s="26"/>
      <c r="C633" s="52"/>
      <c r="D633" s="52"/>
      <c r="E633" s="52"/>
      <c r="F633" s="52"/>
      <c r="G633" s="135"/>
      <c r="H633" s="52"/>
      <c r="I633" s="52"/>
      <c r="J633" s="136"/>
      <c r="K633" s="136"/>
      <c r="L633" s="136"/>
      <c r="M633" s="136"/>
      <c r="N633" s="52"/>
      <c r="O633" s="52"/>
      <c r="P633" s="52"/>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138"/>
      <c r="AQ633" s="138"/>
      <c r="AR633" s="52"/>
      <c r="AS633" s="52"/>
      <c r="AT633" s="52"/>
      <c r="AU633" s="139"/>
      <c r="AV633" s="138"/>
      <c r="AW633" s="141"/>
      <c r="AX633" s="52"/>
      <c r="AY633" s="52"/>
      <c r="AZ633" s="52"/>
      <c r="BA633" s="52"/>
      <c r="BB633" s="52"/>
    </row>
    <row r="634">
      <c r="A634" s="52"/>
      <c r="B634" s="26"/>
      <c r="C634" s="52"/>
      <c r="D634" s="52"/>
      <c r="E634" s="52"/>
      <c r="F634" s="52"/>
      <c r="G634" s="135"/>
      <c r="H634" s="52"/>
      <c r="I634" s="52"/>
      <c r="J634" s="136"/>
      <c r="K634" s="136"/>
      <c r="L634" s="136"/>
      <c r="M634" s="136"/>
      <c r="N634" s="52"/>
      <c r="O634" s="52"/>
      <c r="P634" s="52"/>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138"/>
      <c r="AQ634" s="138"/>
      <c r="AR634" s="52"/>
      <c r="AS634" s="52"/>
      <c r="AT634" s="52"/>
      <c r="AU634" s="139"/>
      <c r="AV634" s="138"/>
      <c r="AW634" s="141"/>
      <c r="AX634" s="52"/>
      <c r="AY634" s="52"/>
      <c r="AZ634" s="52"/>
      <c r="BA634" s="52"/>
      <c r="BB634" s="52"/>
    </row>
    <row r="635">
      <c r="A635" s="52"/>
      <c r="B635" s="26"/>
      <c r="C635" s="52"/>
      <c r="D635" s="52"/>
      <c r="E635" s="52"/>
      <c r="F635" s="52"/>
      <c r="G635" s="135"/>
      <c r="H635" s="52"/>
      <c r="I635" s="52"/>
      <c r="J635" s="136"/>
      <c r="K635" s="136"/>
      <c r="L635" s="136"/>
      <c r="M635" s="136"/>
      <c r="N635" s="52"/>
      <c r="O635" s="52"/>
      <c r="P635" s="52"/>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138"/>
      <c r="AQ635" s="138"/>
      <c r="AR635" s="52"/>
      <c r="AS635" s="52"/>
      <c r="AT635" s="52"/>
      <c r="AU635" s="139"/>
      <c r="AV635" s="138"/>
      <c r="AW635" s="141"/>
      <c r="AX635" s="52"/>
      <c r="AY635" s="52"/>
      <c r="AZ635" s="52"/>
      <c r="BA635" s="52"/>
      <c r="BB635" s="52"/>
    </row>
    <row r="636">
      <c r="A636" s="52"/>
      <c r="B636" s="26"/>
      <c r="C636" s="52"/>
      <c r="D636" s="52"/>
      <c r="E636" s="52"/>
      <c r="F636" s="52"/>
      <c r="G636" s="135"/>
      <c r="H636" s="52"/>
      <c r="I636" s="52"/>
      <c r="J636" s="136"/>
      <c r="K636" s="136"/>
      <c r="L636" s="136"/>
      <c r="M636" s="136"/>
      <c r="N636" s="52"/>
      <c r="O636" s="52"/>
      <c r="P636" s="52"/>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138"/>
      <c r="AQ636" s="138"/>
      <c r="AR636" s="52"/>
      <c r="AS636" s="52"/>
      <c r="AT636" s="52"/>
      <c r="AU636" s="139"/>
      <c r="AV636" s="138"/>
      <c r="AW636" s="141"/>
      <c r="AX636" s="52"/>
      <c r="AY636" s="52"/>
      <c r="AZ636" s="52"/>
      <c r="BA636" s="52"/>
      <c r="BB636" s="52"/>
    </row>
    <row r="637">
      <c r="A637" s="52"/>
      <c r="B637" s="26"/>
      <c r="C637" s="52"/>
      <c r="D637" s="52"/>
      <c r="E637" s="52"/>
      <c r="F637" s="52"/>
      <c r="G637" s="135"/>
      <c r="H637" s="52"/>
      <c r="I637" s="52"/>
      <c r="J637" s="136"/>
      <c r="K637" s="136"/>
      <c r="L637" s="136"/>
      <c r="M637" s="136"/>
      <c r="N637" s="52"/>
      <c r="O637" s="52"/>
      <c r="P637" s="52"/>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138"/>
      <c r="AQ637" s="138"/>
      <c r="AR637" s="52"/>
      <c r="AS637" s="52"/>
      <c r="AT637" s="52"/>
      <c r="AU637" s="139"/>
      <c r="AV637" s="138"/>
      <c r="AW637" s="141"/>
      <c r="AX637" s="52"/>
      <c r="AY637" s="52"/>
      <c r="AZ637" s="52"/>
      <c r="BA637" s="52"/>
      <c r="BB637" s="52"/>
    </row>
    <row r="638">
      <c r="A638" s="52"/>
      <c r="B638" s="26"/>
      <c r="C638" s="52"/>
      <c r="D638" s="52"/>
      <c r="E638" s="52"/>
      <c r="F638" s="52"/>
      <c r="G638" s="135"/>
      <c r="H638" s="52"/>
      <c r="I638" s="52"/>
      <c r="J638" s="136"/>
      <c r="K638" s="136"/>
      <c r="L638" s="136"/>
      <c r="M638" s="136"/>
      <c r="N638" s="52"/>
      <c r="O638" s="52"/>
      <c r="P638" s="52"/>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138"/>
      <c r="AQ638" s="138"/>
      <c r="AR638" s="52"/>
      <c r="AS638" s="52"/>
      <c r="AT638" s="52"/>
      <c r="AU638" s="139"/>
      <c r="AV638" s="138"/>
      <c r="AW638" s="141"/>
      <c r="AX638" s="52"/>
      <c r="AY638" s="52"/>
      <c r="AZ638" s="52"/>
      <c r="BA638" s="52"/>
      <c r="BB638" s="52"/>
    </row>
    <row r="639">
      <c r="A639" s="52"/>
      <c r="B639" s="26"/>
      <c r="C639" s="52"/>
      <c r="D639" s="52"/>
      <c r="E639" s="52"/>
      <c r="F639" s="52"/>
      <c r="G639" s="135"/>
      <c r="H639" s="52"/>
      <c r="I639" s="52"/>
      <c r="J639" s="136"/>
      <c r="K639" s="136"/>
      <c r="L639" s="136"/>
      <c r="M639" s="136"/>
      <c r="N639" s="52"/>
      <c r="O639" s="52"/>
      <c r="P639" s="52"/>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138"/>
      <c r="AQ639" s="138"/>
      <c r="AR639" s="52"/>
      <c r="AS639" s="52"/>
      <c r="AT639" s="52"/>
      <c r="AU639" s="139"/>
      <c r="AV639" s="138"/>
      <c r="AW639" s="141"/>
      <c r="AX639" s="52"/>
      <c r="AY639" s="52"/>
      <c r="AZ639" s="52"/>
      <c r="BA639" s="52"/>
      <c r="BB639" s="52"/>
    </row>
    <row r="640">
      <c r="A640" s="52"/>
      <c r="B640" s="26"/>
      <c r="C640" s="52"/>
      <c r="D640" s="52"/>
      <c r="E640" s="52"/>
      <c r="F640" s="52"/>
      <c r="G640" s="135"/>
      <c r="H640" s="52"/>
      <c r="I640" s="52"/>
      <c r="J640" s="136"/>
      <c r="K640" s="136"/>
      <c r="L640" s="136"/>
      <c r="M640" s="136"/>
      <c r="N640" s="52"/>
      <c r="O640" s="52"/>
      <c r="P640" s="52"/>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138"/>
      <c r="AQ640" s="138"/>
      <c r="AR640" s="52"/>
      <c r="AS640" s="52"/>
      <c r="AT640" s="52"/>
      <c r="AU640" s="139"/>
      <c r="AV640" s="138"/>
      <c r="AW640" s="141"/>
      <c r="AX640" s="52"/>
      <c r="AY640" s="52"/>
      <c r="AZ640" s="52"/>
      <c r="BA640" s="52"/>
      <c r="BB640" s="52"/>
    </row>
    <row r="641">
      <c r="A641" s="52"/>
      <c r="B641" s="26"/>
      <c r="C641" s="52"/>
      <c r="D641" s="52"/>
      <c r="E641" s="52"/>
      <c r="F641" s="52"/>
      <c r="G641" s="135"/>
      <c r="H641" s="52"/>
      <c r="I641" s="52"/>
      <c r="J641" s="136"/>
      <c r="K641" s="136"/>
      <c r="L641" s="136"/>
      <c r="M641" s="136"/>
      <c r="N641" s="52"/>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138"/>
      <c r="AQ641" s="138"/>
      <c r="AR641" s="52"/>
      <c r="AS641" s="52"/>
      <c r="AT641" s="52"/>
      <c r="AU641" s="139"/>
      <c r="AV641" s="138"/>
      <c r="AW641" s="141"/>
      <c r="AX641" s="52"/>
      <c r="AY641" s="52"/>
      <c r="AZ641" s="52"/>
      <c r="BA641" s="52"/>
      <c r="BB641" s="52"/>
    </row>
    <row r="642">
      <c r="A642" s="52"/>
      <c r="B642" s="26"/>
      <c r="C642" s="52"/>
      <c r="D642" s="52"/>
      <c r="E642" s="52"/>
      <c r="F642" s="52"/>
      <c r="G642" s="135"/>
      <c r="H642" s="52"/>
      <c r="I642" s="52"/>
      <c r="J642" s="136"/>
      <c r="K642" s="136"/>
      <c r="L642" s="136"/>
      <c r="M642" s="136"/>
      <c r="N642" s="52"/>
      <c r="O642" s="52"/>
      <c r="P642" s="52"/>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138"/>
      <c r="AQ642" s="138"/>
      <c r="AR642" s="52"/>
      <c r="AS642" s="52"/>
      <c r="AT642" s="52"/>
      <c r="AU642" s="139"/>
      <c r="AV642" s="138"/>
      <c r="AW642" s="141"/>
      <c r="AX642" s="52"/>
      <c r="AY642" s="52"/>
      <c r="AZ642" s="52"/>
      <c r="BA642" s="52"/>
      <c r="BB642" s="52"/>
    </row>
    <row r="643">
      <c r="A643" s="52"/>
      <c r="B643" s="26"/>
      <c r="C643" s="52"/>
      <c r="D643" s="52"/>
      <c r="E643" s="52"/>
      <c r="F643" s="52"/>
      <c r="G643" s="135"/>
      <c r="H643" s="52"/>
      <c r="I643" s="52"/>
      <c r="J643" s="136"/>
      <c r="K643" s="136"/>
      <c r="L643" s="136"/>
      <c r="M643" s="136"/>
      <c r="N643" s="52"/>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138"/>
      <c r="AQ643" s="138"/>
      <c r="AR643" s="52"/>
      <c r="AS643" s="52"/>
      <c r="AT643" s="52"/>
      <c r="AU643" s="139"/>
      <c r="AV643" s="138"/>
      <c r="AW643" s="141"/>
      <c r="AX643" s="52"/>
      <c r="AY643" s="52"/>
      <c r="AZ643" s="52"/>
      <c r="BA643" s="52"/>
      <c r="BB643" s="52"/>
    </row>
    <row r="644">
      <c r="A644" s="52"/>
      <c r="B644" s="26"/>
      <c r="C644" s="52"/>
      <c r="D644" s="52"/>
      <c r="E644" s="52"/>
      <c r="F644" s="52"/>
      <c r="G644" s="135"/>
      <c r="H644" s="52"/>
      <c r="I644" s="52"/>
      <c r="J644" s="136"/>
      <c r="K644" s="136"/>
      <c r="L644" s="136"/>
      <c r="M644" s="136"/>
      <c r="N644" s="52"/>
      <c r="O644" s="52"/>
      <c r="P644" s="52"/>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138"/>
      <c r="AQ644" s="138"/>
      <c r="AR644" s="52"/>
      <c r="AS644" s="52"/>
      <c r="AT644" s="52"/>
      <c r="AU644" s="139"/>
      <c r="AV644" s="138"/>
      <c r="AW644" s="141"/>
      <c r="AX644" s="52"/>
      <c r="AY644" s="52"/>
      <c r="AZ644" s="52"/>
      <c r="BA644" s="52"/>
      <c r="BB644" s="52"/>
    </row>
    <row r="645">
      <c r="A645" s="52"/>
      <c r="B645" s="26"/>
      <c r="C645" s="52"/>
      <c r="D645" s="52"/>
      <c r="E645" s="52"/>
      <c r="F645" s="52"/>
      <c r="G645" s="135"/>
      <c r="H645" s="52"/>
      <c r="I645" s="52"/>
      <c r="J645" s="136"/>
      <c r="K645" s="136"/>
      <c r="L645" s="136"/>
      <c r="M645" s="136"/>
      <c r="N645" s="52"/>
      <c r="O645" s="52"/>
      <c r="P645" s="52"/>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138"/>
      <c r="AQ645" s="138"/>
      <c r="AR645" s="52"/>
      <c r="AS645" s="52"/>
      <c r="AT645" s="52"/>
      <c r="AU645" s="139"/>
      <c r="AV645" s="138"/>
      <c r="AW645" s="141"/>
      <c r="AX645" s="52"/>
      <c r="AY645" s="52"/>
      <c r="AZ645" s="52"/>
      <c r="BA645" s="52"/>
      <c r="BB645" s="52"/>
    </row>
    <row r="646">
      <c r="A646" s="52"/>
      <c r="B646" s="26"/>
      <c r="C646" s="52"/>
      <c r="D646" s="52"/>
      <c r="E646" s="52"/>
      <c r="F646" s="52"/>
      <c r="G646" s="135"/>
      <c r="H646" s="52"/>
      <c r="I646" s="52"/>
      <c r="J646" s="136"/>
      <c r="K646" s="136"/>
      <c r="L646" s="136"/>
      <c r="M646" s="136"/>
      <c r="N646" s="52"/>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138"/>
      <c r="AQ646" s="138"/>
      <c r="AR646" s="52"/>
      <c r="AS646" s="52"/>
      <c r="AT646" s="52"/>
      <c r="AU646" s="139"/>
      <c r="AV646" s="138"/>
      <c r="AW646" s="141"/>
      <c r="AX646" s="52"/>
      <c r="AY646" s="52"/>
      <c r="AZ646" s="52"/>
      <c r="BA646" s="52"/>
      <c r="BB646" s="52"/>
    </row>
    <row r="647">
      <c r="A647" s="52"/>
      <c r="B647" s="26"/>
      <c r="C647" s="52"/>
      <c r="D647" s="52"/>
      <c r="E647" s="52"/>
      <c r="F647" s="52"/>
      <c r="G647" s="135"/>
      <c r="H647" s="52"/>
      <c r="I647" s="52"/>
      <c r="J647" s="136"/>
      <c r="K647" s="136"/>
      <c r="L647" s="136"/>
      <c r="M647" s="136"/>
      <c r="N647" s="52"/>
      <c r="O647" s="52"/>
      <c r="P647" s="52"/>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138"/>
      <c r="AQ647" s="138"/>
      <c r="AR647" s="52"/>
      <c r="AS647" s="52"/>
      <c r="AT647" s="52"/>
      <c r="AU647" s="139"/>
      <c r="AV647" s="138"/>
      <c r="AW647" s="141"/>
      <c r="AX647" s="52"/>
      <c r="AY647" s="52"/>
      <c r="AZ647" s="52"/>
      <c r="BA647" s="52"/>
      <c r="BB647" s="52"/>
    </row>
    <row r="648">
      <c r="A648" s="52"/>
      <c r="B648" s="26"/>
      <c r="C648" s="52"/>
      <c r="D648" s="52"/>
      <c r="E648" s="52"/>
      <c r="F648" s="52"/>
      <c r="G648" s="135"/>
      <c r="H648" s="52"/>
      <c r="I648" s="52"/>
      <c r="J648" s="136"/>
      <c r="K648" s="136"/>
      <c r="L648" s="136"/>
      <c r="M648" s="136"/>
      <c r="N648" s="52"/>
      <c r="O648" s="52"/>
      <c r="P648" s="52"/>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138"/>
      <c r="AQ648" s="138"/>
      <c r="AR648" s="52"/>
      <c r="AS648" s="52"/>
      <c r="AT648" s="52"/>
      <c r="AU648" s="139"/>
      <c r="AV648" s="138"/>
      <c r="AW648" s="141"/>
      <c r="AX648" s="52"/>
      <c r="AY648" s="52"/>
      <c r="AZ648" s="52"/>
      <c r="BA648" s="52"/>
      <c r="BB648" s="52"/>
    </row>
    <row r="649">
      <c r="A649" s="52"/>
      <c r="B649" s="26"/>
      <c r="C649" s="52"/>
      <c r="D649" s="52"/>
      <c r="E649" s="52"/>
      <c r="F649" s="52"/>
      <c r="G649" s="135"/>
      <c r="H649" s="52"/>
      <c r="I649" s="52"/>
      <c r="J649" s="136"/>
      <c r="K649" s="136"/>
      <c r="L649" s="136"/>
      <c r="M649" s="136"/>
      <c r="N649" s="52"/>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138"/>
      <c r="AQ649" s="138"/>
      <c r="AR649" s="52"/>
      <c r="AS649" s="52"/>
      <c r="AT649" s="52"/>
      <c r="AU649" s="139"/>
      <c r="AV649" s="138"/>
      <c r="AW649" s="141"/>
      <c r="AX649" s="52"/>
      <c r="AY649" s="52"/>
      <c r="AZ649" s="52"/>
      <c r="BA649" s="52"/>
      <c r="BB649" s="52"/>
    </row>
    <row r="650">
      <c r="A650" s="52"/>
      <c r="B650" s="26"/>
      <c r="C650" s="52"/>
      <c r="D650" s="52"/>
      <c r="E650" s="52"/>
      <c r="F650" s="52"/>
      <c r="G650" s="135"/>
      <c r="H650" s="52"/>
      <c r="I650" s="52"/>
      <c r="J650" s="136"/>
      <c r="K650" s="136"/>
      <c r="L650" s="136"/>
      <c r="M650" s="136"/>
      <c r="N650" s="52"/>
      <c r="O650" s="52"/>
      <c r="P650" s="52"/>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138"/>
      <c r="AQ650" s="138"/>
      <c r="AR650" s="52"/>
      <c r="AS650" s="52"/>
      <c r="AT650" s="52"/>
      <c r="AU650" s="139"/>
      <c r="AV650" s="138"/>
      <c r="AW650" s="141"/>
      <c r="AX650" s="52"/>
      <c r="AY650" s="52"/>
      <c r="AZ650" s="52"/>
      <c r="BA650" s="52"/>
      <c r="BB650" s="52"/>
    </row>
    <row r="651">
      <c r="A651" s="52"/>
      <c r="B651" s="26"/>
      <c r="C651" s="52"/>
      <c r="D651" s="52"/>
      <c r="E651" s="52"/>
      <c r="F651" s="52"/>
      <c r="G651" s="135"/>
      <c r="H651" s="52"/>
      <c r="I651" s="52"/>
      <c r="J651" s="136"/>
      <c r="K651" s="136"/>
      <c r="L651" s="136"/>
      <c r="M651" s="136"/>
      <c r="N651" s="52"/>
      <c r="O651" s="52"/>
      <c r="P651" s="52"/>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138"/>
      <c r="AQ651" s="138"/>
      <c r="AR651" s="52"/>
      <c r="AS651" s="52"/>
      <c r="AT651" s="52"/>
      <c r="AU651" s="139"/>
      <c r="AV651" s="138"/>
      <c r="AW651" s="141"/>
      <c r="AX651" s="52"/>
      <c r="AY651" s="52"/>
      <c r="AZ651" s="52"/>
      <c r="BA651" s="52"/>
      <c r="BB651" s="52"/>
    </row>
    <row r="652">
      <c r="A652" s="52"/>
      <c r="B652" s="26"/>
      <c r="C652" s="52"/>
      <c r="D652" s="52"/>
      <c r="E652" s="52"/>
      <c r="F652" s="52"/>
      <c r="G652" s="135"/>
      <c r="H652" s="52"/>
      <c r="I652" s="52"/>
      <c r="J652" s="136"/>
      <c r="K652" s="136"/>
      <c r="L652" s="136"/>
      <c r="M652" s="136"/>
      <c r="N652" s="52"/>
      <c r="O652" s="52"/>
      <c r="P652" s="52"/>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138"/>
      <c r="AQ652" s="138"/>
      <c r="AR652" s="52"/>
      <c r="AS652" s="52"/>
      <c r="AT652" s="52"/>
      <c r="AU652" s="139"/>
      <c r="AV652" s="138"/>
      <c r="AW652" s="141"/>
      <c r="AX652" s="52"/>
      <c r="AY652" s="52"/>
      <c r="AZ652" s="52"/>
      <c r="BA652" s="52"/>
      <c r="BB652" s="52"/>
    </row>
    <row r="653">
      <c r="A653" s="52"/>
      <c r="B653" s="26"/>
      <c r="C653" s="52"/>
      <c r="D653" s="52"/>
      <c r="E653" s="52"/>
      <c r="F653" s="52"/>
      <c r="G653" s="135"/>
      <c r="H653" s="52"/>
      <c r="I653" s="52"/>
      <c r="J653" s="136"/>
      <c r="K653" s="136"/>
      <c r="L653" s="136"/>
      <c r="M653" s="136"/>
      <c r="N653" s="52"/>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138"/>
      <c r="AQ653" s="138"/>
      <c r="AR653" s="52"/>
      <c r="AS653" s="52"/>
      <c r="AT653" s="52"/>
      <c r="AU653" s="139"/>
      <c r="AV653" s="138"/>
      <c r="AW653" s="141"/>
      <c r="AX653" s="52"/>
      <c r="AY653" s="52"/>
      <c r="AZ653" s="52"/>
      <c r="BA653" s="52"/>
      <c r="BB653" s="52"/>
    </row>
    <row r="654">
      <c r="A654" s="52"/>
      <c r="B654" s="26"/>
      <c r="C654" s="52"/>
      <c r="D654" s="52"/>
      <c r="E654" s="52"/>
      <c r="F654" s="52"/>
      <c r="G654" s="135"/>
      <c r="H654" s="52"/>
      <c r="I654" s="52"/>
      <c r="J654" s="136"/>
      <c r="K654" s="136"/>
      <c r="L654" s="136"/>
      <c r="M654" s="136"/>
      <c r="N654" s="52"/>
      <c r="O654" s="52"/>
      <c r="P654" s="52"/>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138"/>
      <c r="AQ654" s="138"/>
      <c r="AR654" s="52"/>
      <c r="AS654" s="52"/>
      <c r="AT654" s="52"/>
      <c r="AU654" s="139"/>
      <c r="AV654" s="138"/>
      <c r="AW654" s="141"/>
      <c r="AX654" s="52"/>
      <c r="AY654" s="52"/>
      <c r="AZ654" s="52"/>
      <c r="BA654" s="52"/>
      <c r="BB654" s="52"/>
    </row>
    <row r="655">
      <c r="A655" s="52"/>
      <c r="B655" s="26"/>
      <c r="C655" s="52"/>
      <c r="D655" s="52"/>
      <c r="E655" s="52"/>
      <c r="F655" s="52"/>
      <c r="G655" s="135"/>
      <c r="H655" s="52"/>
      <c r="I655" s="52"/>
      <c r="J655" s="136"/>
      <c r="K655" s="136"/>
      <c r="L655" s="136"/>
      <c r="M655" s="136"/>
      <c r="N655" s="52"/>
      <c r="O655" s="52"/>
      <c r="P655" s="52"/>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138"/>
      <c r="AQ655" s="138"/>
      <c r="AR655" s="52"/>
      <c r="AS655" s="52"/>
      <c r="AT655" s="52"/>
      <c r="AU655" s="139"/>
      <c r="AV655" s="138"/>
      <c r="AW655" s="141"/>
      <c r="AX655" s="52"/>
      <c r="AY655" s="52"/>
      <c r="AZ655" s="52"/>
      <c r="BA655" s="52"/>
      <c r="BB655" s="52"/>
    </row>
    <row r="656">
      <c r="A656" s="52"/>
      <c r="B656" s="26"/>
      <c r="C656" s="52"/>
      <c r="D656" s="52"/>
      <c r="E656" s="52"/>
      <c r="F656" s="52"/>
      <c r="G656" s="135"/>
      <c r="H656" s="52"/>
      <c r="I656" s="52"/>
      <c r="J656" s="136"/>
      <c r="K656" s="136"/>
      <c r="L656" s="136"/>
      <c r="M656" s="136"/>
      <c r="N656" s="52"/>
      <c r="O656" s="52"/>
      <c r="P656" s="52"/>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138"/>
      <c r="AQ656" s="138"/>
      <c r="AR656" s="52"/>
      <c r="AS656" s="52"/>
      <c r="AT656" s="52"/>
      <c r="AU656" s="139"/>
      <c r="AV656" s="138"/>
      <c r="AW656" s="141"/>
      <c r="AX656" s="52"/>
      <c r="AY656" s="52"/>
      <c r="AZ656" s="52"/>
      <c r="BA656" s="52"/>
      <c r="BB656" s="52"/>
    </row>
    <row r="657">
      <c r="A657" s="52"/>
      <c r="B657" s="26"/>
      <c r="C657" s="52"/>
      <c r="D657" s="52"/>
      <c r="E657" s="52"/>
      <c r="F657" s="52"/>
      <c r="G657" s="135"/>
      <c r="H657" s="52"/>
      <c r="I657" s="52"/>
      <c r="J657" s="136"/>
      <c r="K657" s="136"/>
      <c r="L657" s="136"/>
      <c r="M657" s="136"/>
      <c r="N657" s="52"/>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138"/>
      <c r="AQ657" s="138"/>
      <c r="AR657" s="52"/>
      <c r="AS657" s="52"/>
      <c r="AT657" s="52"/>
      <c r="AU657" s="139"/>
      <c r="AV657" s="138"/>
      <c r="AW657" s="141"/>
      <c r="AX657" s="52"/>
      <c r="AY657" s="52"/>
      <c r="AZ657" s="52"/>
      <c r="BA657" s="52"/>
      <c r="BB657" s="52"/>
    </row>
    <row r="658">
      <c r="A658" s="52"/>
      <c r="B658" s="26"/>
      <c r="C658" s="52"/>
      <c r="D658" s="52"/>
      <c r="E658" s="52"/>
      <c r="F658" s="52"/>
      <c r="G658" s="135"/>
      <c r="H658" s="52"/>
      <c r="I658" s="52"/>
      <c r="J658" s="136"/>
      <c r="K658" s="136"/>
      <c r="L658" s="136"/>
      <c r="M658" s="136"/>
      <c r="N658" s="52"/>
      <c r="O658" s="52"/>
      <c r="P658" s="52"/>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138"/>
      <c r="AQ658" s="138"/>
      <c r="AR658" s="52"/>
      <c r="AS658" s="52"/>
      <c r="AT658" s="52"/>
      <c r="AU658" s="139"/>
      <c r="AV658" s="138"/>
      <c r="AW658" s="141"/>
      <c r="AX658" s="52"/>
      <c r="AY658" s="52"/>
      <c r="AZ658" s="52"/>
      <c r="BA658" s="52"/>
      <c r="BB658" s="52"/>
    </row>
    <row r="659">
      <c r="A659" s="52"/>
      <c r="B659" s="26"/>
      <c r="C659" s="52"/>
      <c r="D659" s="52"/>
      <c r="E659" s="52"/>
      <c r="F659" s="52"/>
      <c r="G659" s="135"/>
      <c r="H659" s="52"/>
      <c r="I659" s="52"/>
      <c r="J659" s="136"/>
      <c r="K659" s="136"/>
      <c r="L659" s="136"/>
      <c r="M659" s="136"/>
      <c r="N659" s="52"/>
      <c r="O659" s="52"/>
      <c r="P659" s="52"/>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138"/>
      <c r="AQ659" s="138"/>
      <c r="AR659" s="52"/>
      <c r="AS659" s="52"/>
      <c r="AT659" s="52"/>
      <c r="AU659" s="139"/>
      <c r="AV659" s="138"/>
      <c r="AW659" s="141"/>
      <c r="AX659" s="52"/>
      <c r="AY659" s="52"/>
      <c r="AZ659" s="52"/>
      <c r="BA659" s="52"/>
      <c r="BB659" s="52"/>
    </row>
    <row r="660">
      <c r="A660" s="52"/>
      <c r="B660" s="26"/>
      <c r="C660" s="52"/>
      <c r="D660" s="52"/>
      <c r="E660" s="52"/>
      <c r="F660" s="52"/>
      <c r="G660" s="135"/>
      <c r="H660" s="52"/>
      <c r="I660" s="52"/>
      <c r="J660" s="136"/>
      <c r="K660" s="136"/>
      <c r="L660" s="136"/>
      <c r="M660" s="136"/>
      <c r="N660" s="52"/>
      <c r="O660" s="52"/>
      <c r="P660" s="52"/>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138"/>
      <c r="AQ660" s="138"/>
      <c r="AR660" s="52"/>
      <c r="AS660" s="52"/>
      <c r="AT660" s="52"/>
      <c r="AU660" s="139"/>
      <c r="AV660" s="138"/>
      <c r="AW660" s="141"/>
      <c r="AX660" s="52"/>
      <c r="AY660" s="52"/>
      <c r="AZ660" s="52"/>
      <c r="BA660" s="52"/>
      <c r="BB660" s="52"/>
    </row>
    <row r="661">
      <c r="A661" s="52"/>
      <c r="B661" s="26"/>
      <c r="C661" s="52"/>
      <c r="D661" s="52"/>
      <c r="E661" s="52"/>
      <c r="F661" s="52"/>
      <c r="G661" s="135"/>
      <c r="H661" s="52"/>
      <c r="I661" s="52"/>
      <c r="J661" s="136"/>
      <c r="K661" s="136"/>
      <c r="L661" s="136"/>
      <c r="M661" s="136"/>
      <c r="N661" s="52"/>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138"/>
      <c r="AQ661" s="138"/>
      <c r="AR661" s="52"/>
      <c r="AS661" s="52"/>
      <c r="AT661" s="52"/>
      <c r="AU661" s="139"/>
      <c r="AV661" s="138"/>
      <c r="AW661" s="141"/>
      <c r="AX661" s="52"/>
      <c r="AY661" s="52"/>
      <c r="AZ661" s="52"/>
      <c r="BA661" s="52"/>
      <c r="BB661" s="52"/>
    </row>
    <row r="662">
      <c r="A662" s="52"/>
      <c r="B662" s="26"/>
      <c r="C662" s="52"/>
      <c r="D662" s="52"/>
      <c r="E662" s="52"/>
      <c r="F662" s="52"/>
      <c r="G662" s="135"/>
      <c r="H662" s="52"/>
      <c r="I662" s="52"/>
      <c r="J662" s="136"/>
      <c r="K662" s="136"/>
      <c r="L662" s="136"/>
      <c r="M662" s="136"/>
      <c r="N662" s="52"/>
      <c r="O662" s="52"/>
      <c r="P662" s="52"/>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138"/>
      <c r="AQ662" s="138"/>
      <c r="AR662" s="52"/>
      <c r="AS662" s="52"/>
      <c r="AT662" s="52"/>
      <c r="AU662" s="139"/>
      <c r="AV662" s="138"/>
      <c r="AW662" s="141"/>
      <c r="AX662" s="52"/>
      <c r="AY662" s="52"/>
      <c r="AZ662" s="52"/>
      <c r="BA662" s="52"/>
      <c r="BB662" s="52"/>
    </row>
    <row r="663">
      <c r="A663" s="52"/>
      <c r="B663" s="26"/>
      <c r="C663" s="52"/>
      <c r="D663" s="52"/>
      <c r="E663" s="52"/>
      <c r="F663" s="52"/>
      <c r="G663" s="135"/>
      <c r="H663" s="52"/>
      <c r="I663" s="52"/>
      <c r="J663" s="136"/>
      <c r="K663" s="136"/>
      <c r="L663" s="136"/>
      <c r="M663" s="136"/>
      <c r="N663" s="52"/>
      <c r="O663" s="52"/>
      <c r="P663" s="52"/>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138"/>
      <c r="AQ663" s="138"/>
      <c r="AR663" s="52"/>
      <c r="AS663" s="52"/>
      <c r="AT663" s="52"/>
      <c r="AU663" s="139"/>
      <c r="AV663" s="138"/>
      <c r="AW663" s="141"/>
      <c r="AX663" s="52"/>
      <c r="AY663" s="52"/>
      <c r="AZ663" s="52"/>
      <c r="BA663" s="52"/>
      <c r="BB663" s="52"/>
    </row>
    <row r="664">
      <c r="A664" s="52"/>
      <c r="B664" s="26"/>
      <c r="C664" s="52"/>
      <c r="D664" s="52"/>
      <c r="E664" s="52"/>
      <c r="F664" s="52"/>
      <c r="G664" s="135"/>
      <c r="H664" s="52"/>
      <c r="I664" s="52"/>
      <c r="J664" s="136"/>
      <c r="K664" s="136"/>
      <c r="L664" s="136"/>
      <c r="M664" s="136"/>
      <c r="N664" s="52"/>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138"/>
      <c r="AQ664" s="138"/>
      <c r="AR664" s="52"/>
      <c r="AS664" s="52"/>
      <c r="AT664" s="52"/>
      <c r="AU664" s="139"/>
      <c r="AV664" s="138"/>
      <c r="AW664" s="141"/>
      <c r="AX664" s="52"/>
      <c r="AY664" s="52"/>
      <c r="AZ664" s="52"/>
      <c r="BA664" s="52"/>
      <c r="BB664" s="52"/>
    </row>
    <row r="665">
      <c r="A665" s="52"/>
      <c r="B665" s="26"/>
      <c r="C665" s="52"/>
      <c r="D665" s="52"/>
      <c r="E665" s="52"/>
      <c r="F665" s="52"/>
      <c r="G665" s="135"/>
      <c r="H665" s="52"/>
      <c r="I665" s="52"/>
      <c r="J665" s="136"/>
      <c r="K665" s="136"/>
      <c r="L665" s="136"/>
      <c r="M665" s="136"/>
      <c r="N665" s="52"/>
      <c r="O665" s="52"/>
      <c r="P665" s="52"/>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138"/>
      <c r="AQ665" s="138"/>
      <c r="AR665" s="52"/>
      <c r="AS665" s="52"/>
      <c r="AT665" s="52"/>
      <c r="AU665" s="139"/>
      <c r="AV665" s="138"/>
      <c r="AW665" s="141"/>
      <c r="AX665" s="52"/>
      <c r="AY665" s="52"/>
      <c r="AZ665" s="52"/>
      <c r="BA665" s="52"/>
      <c r="BB665" s="52"/>
    </row>
    <row r="666">
      <c r="A666" s="52"/>
      <c r="B666" s="26"/>
      <c r="C666" s="52"/>
      <c r="D666" s="52"/>
      <c r="E666" s="52"/>
      <c r="F666" s="52"/>
      <c r="G666" s="135"/>
      <c r="H666" s="52"/>
      <c r="I666" s="52"/>
      <c r="J666" s="136"/>
      <c r="K666" s="136"/>
      <c r="L666" s="136"/>
      <c r="M666" s="136"/>
      <c r="N666" s="52"/>
      <c r="O666" s="52"/>
      <c r="P666" s="52"/>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138"/>
      <c r="AQ666" s="138"/>
      <c r="AR666" s="52"/>
      <c r="AS666" s="52"/>
      <c r="AT666" s="52"/>
      <c r="AU666" s="139"/>
      <c r="AV666" s="138"/>
      <c r="AW666" s="141"/>
      <c r="AX666" s="52"/>
      <c r="AY666" s="52"/>
      <c r="AZ666" s="52"/>
      <c r="BA666" s="52"/>
      <c r="BB666" s="52"/>
    </row>
    <row r="667">
      <c r="A667" s="52"/>
      <c r="B667" s="26"/>
      <c r="C667" s="52"/>
      <c r="D667" s="52"/>
      <c r="E667" s="52"/>
      <c r="F667" s="52"/>
      <c r="G667" s="135"/>
      <c r="H667" s="52"/>
      <c r="I667" s="52"/>
      <c r="J667" s="136"/>
      <c r="K667" s="136"/>
      <c r="L667" s="136"/>
      <c r="M667" s="136"/>
      <c r="N667" s="52"/>
      <c r="O667" s="52"/>
      <c r="P667" s="52"/>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138"/>
      <c r="AQ667" s="138"/>
      <c r="AR667" s="52"/>
      <c r="AS667" s="52"/>
      <c r="AT667" s="52"/>
      <c r="AU667" s="139"/>
      <c r="AV667" s="138"/>
      <c r="AW667" s="141"/>
      <c r="AX667" s="52"/>
      <c r="AY667" s="52"/>
      <c r="AZ667" s="52"/>
      <c r="BA667" s="52"/>
      <c r="BB667" s="52"/>
    </row>
    <row r="668">
      <c r="A668" s="52"/>
      <c r="B668" s="26"/>
      <c r="C668" s="52"/>
      <c r="D668" s="52"/>
      <c r="E668" s="52"/>
      <c r="F668" s="52"/>
      <c r="G668" s="135"/>
      <c r="H668" s="52"/>
      <c r="I668" s="52"/>
      <c r="J668" s="136"/>
      <c r="K668" s="136"/>
      <c r="L668" s="136"/>
      <c r="M668" s="136"/>
      <c r="N668" s="52"/>
      <c r="O668" s="52"/>
      <c r="P668" s="52"/>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138"/>
      <c r="AQ668" s="138"/>
      <c r="AR668" s="52"/>
      <c r="AS668" s="52"/>
      <c r="AT668" s="52"/>
      <c r="AU668" s="139"/>
      <c r="AV668" s="138"/>
      <c r="AW668" s="141"/>
      <c r="AX668" s="52"/>
      <c r="AY668" s="52"/>
      <c r="AZ668" s="52"/>
      <c r="BA668" s="52"/>
      <c r="BB668" s="52"/>
    </row>
    <row r="669">
      <c r="A669" s="52"/>
      <c r="B669" s="26"/>
      <c r="C669" s="52"/>
      <c r="D669" s="52"/>
      <c r="E669" s="52"/>
      <c r="F669" s="52"/>
      <c r="G669" s="135"/>
      <c r="H669" s="52"/>
      <c r="I669" s="52"/>
      <c r="J669" s="136"/>
      <c r="K669" s="136"/>
      <c r="L669" s="136"/>
      <c r="M669" s="136"/>
      <c r="N669" s="52"/>
      <c r="O669" s="52"/>
      <c r="P669" s="52"/>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138"/>
      <c r="AQ669" s="138"/>
      <c r="AR669" s="52"/>
      <c r="AS669" s="52"/>
      <c r="AT669" s="52"/>
      <c r="AU669" s="139"/>
      <c r="AV669" s="138"/>
      <c r="AW669" s="141"/>
      <c r="AX669" s="52"/>
      <c r="AY669" s="52"/>
      <c r="AZ669" s="52"/>
      <c r="BA669" s="52"/>
      <c r="BB669" s="52"/>
    </row>
    <row r="670">
      <c r="A670" s="52"/>
      <c r="B670" s="26"/>
      <c r="C670" s="52"/>
      <c r="D670" s="52"/>
      <c r="E670" s="52"/>
      <c r="F670" s="52"/>
      <c r="G670" s="135"/>
      <c r="H670" s="52"/>
      <c r="I670" s="52"/>
      <c r="J670" s="136"/>
      <c r="K670" s="136"/>
      <c r="L670" s="136"/>
      <c r="M670" s="136"/>
      <c r="N670" s="52"/>
      <c r="O670" s="52"/>
      <c r="P670" s="52"/>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138"/>
      <c r="AQ670" s="138"/>
      <c r="AR670" s="52"/>
      <c r="AS670" s="52"/>
      <c r="AT670" s="52"/>
      <c r="AU670" s="139"/>
      <c r="AV670" s="138"/>
      <c r="AW670" s="141"/>
      <c r="AX670" s="52"/>
      <c r="AY670" s="52"/>
      <c r="AZ670" s="52"/>
      <c r="BA670" s="52"/>
      <c r="BB670" s="52"/>
    </row>
    <row r="671">
      <c r="A671" s="52"/>
      <c r="B671" s="26"/>
      <c r="C671" s="52"/>
      <c r="D671" s="52"/>
      <c r="E671" s="52"/>
      <c r="F671" s="52"/>
      <c r="G671" s="135"/>
      <c r="H671" s="52"/>
      <c r="I671" s="52"/>
      <c r="J671" s="136"/>
      <c r="K671" s="136"/>
      <c r="L671" s="136"/>
      <c r="M671" s="136"/>
      <c r="N671" s="52"/>
      <c r="O671" s="52"/>
      <c r="P671" s="52"/>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138"/>
      <c r="AQ671" s="138"/>
      <c r="AR671" s="52"/>
      <c r="AS671" s="52"/>
      <c r="AT671" s="52"/>
      <c r="AU671" s="139"/>
      <c r="AV671" s="138"/>
      <c r="AW671" s="141"/>
      <c r="AX671" s="52"/>
      <c r="AY671" s="52"/>
      <c r="AZ671" s="52"/>
      <c r="BA671" s="52"/>
      <c r="BB671" s="52"/>
    </row>
    <row r="672">
      <c r="A672" s="52"/>
      <c r="B672" s="26"/>
      <c r="C672" s="52"/>
      <c r="D672" s="52"/>
      <c r="E672" s="52"/>
      <c r="F672" s="52"/>
      <c r="G672" s="135"/>
      <c r="H672" s="52"/>
      <c r="I672" s="52"/>
      <c r="J672" s="136"/>
      <c r="K672" s="136"/>
      <c r="L672" s="136"/>
      <c r="M672" s="136"/>
      <c r="N672" s="52"/>
      <c r="O672" s="52"/>
      <c r="P672" s="52"/>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138"/>
      <c r="AQ672" s="138"/>
      <c r="AR672" s="52"/>
      <c r="AS672" s="52"/>
      <c r="AT672" s="52"/>
      <c r="AU672" s="139"/>
      <c r="AV672" s="138"/>
      <c r="AW672" s="141"/>
      <c r="AX672" s="52"/>
      <c r="AY672" s="52"/>
      <c r="AZ672" s="52"/>
      <c r="BA672" s="52"/>
      <c r="BB672" s="52"/>
    </row>
    <row r="673">
      <c r="A673" s="52"/>
      <c r="B673" s="26"/>
      <c r="C673" s="52"/>
      <c r="D673" s="52"/>
      <c r="E673" s="52"/>
      <c r="F673" s="52"/>
      <c r="G673" s="135"/>
      <c r="H673" s="52"/>
      <c r="I673" s="52"/>
      <c r="J673" s="136"/>
      <c r="K673" s="136"/>
      <c r="L673" s="136"/>
      <c r="M673" s="136"/>
      <c r="N673" s="52"/>
      <c r="O673" s="52"/>
      <c r="P673" s="52"/>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138"/>
      <c r="AQ673" s="138"/>
      <c r="AR673" s="52"/>
      <c r="AS673" s="52"/>
      <c r="AT673" s="52"/>
      <c r="AU673" s="139"/>
      <c r="AV673" s="138"/>
      <c r="AW673" s="141"/>
      <c r="AX673" s="52"/>
      <c r="AY673" s="52"/>
      <c r="AZ673" s="52"/>
      <c r="BA673" s="52"/>
      <c r="BB673" s="52"/>
    </row>
    <row r="674">
      <c r="A674" s="52"/>
      <c r="B674" s="26"/>
      <c r="C674" s="52"/>
      <c r="D674" s="52"/>
      <c r="E674" s="52"/>
      <c r="F674" s="52"/>
      <c r="G674" s="135"/>
      <c r="H674" s="52"/>
      <c r="I674" s="52"/>
      <c r="J674" s="136"/>
      <c r="K674" s="136"/>
      <c r="L674" s="136"/>
      <c r="M674" s="136"/>
      <c r="N674" s="52"/>
      <c r="O674" s="52"/>
      <c r="P674" s="52"/>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138"/>
      <c r="AQ674" s="138"/>
      <c r="AR674" s="52"/>
      <c r="AS674" s="52"/>
      <c r="AT674" s="52"/>
      <c r="AU674" s="139"/>
      <c r="AV674" s="138"/>
      <c r="AW674" s="141"/>
      <c r="AX674" s="52"/>
      <c r="AY674" s="52"/>
      <c r="AZ674" s="52"/>
      <c r="BA674" s="52"/>
      <c r="BB674" s="52"/>
    </row>
    <row r="675">
      <c r="A675" s="52"/>
      <c r="B675" s="26"/>
      <c r="C675" s="52"/>
      <c r="D675" s="52"/>
      <c r="E675" s="52"/>
      <c r="F675" s="52"/>
      <c r="G675" s="135"/>
      <c r="H675" s="52"/>
      <c r="I675" s="52"/>
      <c r="J675" s="136"/>
      <c r="K675" s="136"/>
      <c r="L675" s="136"/>
      <c r="M675" s="136"/>
      <c r="N675" s="52"/>
      <c r="O675" s="52"/>
      <c r="P675" s="52"/>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138"/>
      <c r="AQ675" s="138"/>
      <c r="AR675" s="52"/>
      <c r="AS675" s="52"/>
      <c r="AT675" s="52"/>
      <c r="AU675" s="139"/>
      <c r="AV675" s="138"/>
      <c r="AW675" s="141"/>
      <c r="AX675" s="52"/>
      <c r="AY675" s="52"/>
      <c r="AZ675" s="52"/>
      <c r="BA675" s="52"/>
      <c r="BB675" s="52"/>
    </row>
    <row r="676">
      <c r="A676" s="52"/>
      <c r="B676" s="26"/>
      <c r="C676" s="52"/>
      <c r="D676" s="52"/>
      <c r="E676" s="52"/>
      <c r="F676" s="52"/>
      <c r="G676" s="135"/>
      <c r="H676" s="52"/>
      <c r="I676" s="52"/>
      <c r="J676" s="136"/>
      <c r="K676" s="136"/>
      <c r="L676" s="136"/>
      <c r="M676" s="136"/>
      <c r="N676" s="52"/>
      <c r="O676" s="52"/>
      <c r="P676" s="52"/>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138"/>
      <c r="AQ676" s="138"/>
      <c r="AR676" s="52"/>
      <c r="AS676" s="52"/>
      <c r="AT676" s="52"/>
      <c r="AU676" s="139"/>
      <c r="AV676" s="138"/>
      <c r="AW676" s="141"/>
      <c r="AX676" s="52"/>
      <c r="AY676" s="52"/>
      <c r="AZ676" s="52"/>
      <c r="BA676" s="52"/>
      <c r="BB676" s="52"/>
    </row>
    <row r="677">
      <c r="A677" s="52"/>
      <c r="B677" s="26"/>
      <c r="C677" s="52"/>
      <c r="D677" s="52"/>
      <c r="E677" s="52"/>
      <c r="F677" s="52"/>
      <c r="G677" s="135"/>
      <c r="H677" s="52"/>
      <c r="I677" s="52"/>
      <c r="J677" s="136"/>
      <c r="K677" s="136"/>
      <c r="L677" s="136"/>
      <c r="M677" s="136"/>
      <c r="N677" s="52"/>
      <c r="O677" s="52"/>
      <c r="P677" s="52"/>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138"/>
      <c r="AQ677" s="138"/>
      <c r="AR677" s="52"/>
      <c r="AS677" s="52"/>
      <c r="AT677" s="52"/>
      <c r="AU677" s="139"/>
      <c r="AV677" s="138"/>
      <c r="AW677" s="141"/>
      <c r="AX677" s="52"/>
      <c r="AY677" s="52"/>
      <c r="AZ677" s="52"/>
      <c r="BA677" s="52"/>
      <c r="BB677" s="52"/>
    </row>
    <row r="678">
      <c r="A678" s="52"/>
      <c r="B678" s="26"/>
      <c r="C678" s="52"/>
      <c r="D678" s="52"/>
      <c r="E678" s="52"/>
      <c r="F678" s="52"/>
      <c r="G678" s="135"/>
      <c r="H678" s="52"/>
      <c r="I678" s="52"/>
      <c r="J678" s="136"/>
      <c r="K678" s="136"/>
      <c r="L678" s="136"/>
      <c r="M678" s="136"/>
      <c r="N678" s="52"/>
      <c r="O678" s="52"/>
      <c r="P678" s="52"/>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138"/>
      <c r="AQ678" s="138"/>
      <c r="AR678" s="52"/>
      <c r="AS678" s="52"/>
      <c r="AT678" s="52"/>
      <c r="AU678" s="139"/>
      <c r="AV678" s="138"/>
      <c r="AW678" s="141"/>
      <c r="AX678" s="52"/>
      <c r="AY678" s="52"/>
      <c r="AZ678" s="52"/>
      <c r="BA678" s="52"/>
      <c r="BB678" s="52"/>
    </row>
    <row r="679">
      <c r="A679" s="52"/>
      <c r="B679" s="26"/>
      <c r="C679" s="52"/>
      <c r="D679" s="52"/>
      <c r="E679" s="52"/>
      <c r="F679" s="52"/>
      <c r="G679" s="135"/>
      <c r="H679" s="52"/>
      <c r="I679" s="52"/>
      <c r="J679" s="136"/>
      <c r="K679" s="136"/>
      <c r="L679" s="136"/>
      <c r="M679" s="136"/>
      <c r="N679" s="52"/>
      <c r="O679" s="52"/>
      <c r="P679" s="52"/>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138"/>
      <c r="AQ679" s="138"/>
      <c r="AR679" s="52"/>
      <c r="AS679" s="52"/>
      <c r="AT679" s="52"/>
      <c r="AU679" s="139"/>
      <c r="AV679" s="138"/>
      <c r="AW679" s="141"/>
      <c r="AX679" s="52"/>
      <c r="AY679" s="52"/>
      <c r="AZ679" s="52"/>
      <c r="BA679" s="52"/>
      <c r="BB679" s="52"/>
    </row>
    <row r="680">
      <c r="A680" s="52"/>
      <c r="B680" s="26"/>
      <c r="C680" s="52"/>
      <c r="D680" s="52"/>
      <c r="E680" s="52"/>
      <c r="F680" s="52"/>
      <c r="G680" s="135"/>
      <c r="H680" s="52"/>
      <c r="I680" s="52"/>
      <c r="J680" s="136"/>
      <c r="K680" s="136"/>
      <c r="L680" s="136"/>
      <c r="M680" s="136"/>
      <c r="N680" s="52"/>
      <c r="O680" s="52"/>
      <c r="P680" s="52"/>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138"/>
      <c r="AQ680" s="138"/>
      <c r="AR680" s="52"/>
      <c r="AS680" s="52"/>
      <c r="AT680" s="52"/>
      <c r="AU680" s="139"/>
      <c r="AV680" s="138"/>
      <c r="AW680" s="141"/>
      <c r="AX680" s="52"/>
      <c r="AY680" s="52"/>
      <c r="AZ680" s="52"/>
      <c r="BA680" s="52"/>
      <c r="BB680" s="52"/>
    </row>
    <row r="681">
      <c r="A681" s="52"/>
      <c r="B681" s="26"/>
      <c r="C681" s="52"/>
      <c r="D681" s="52"/>
      <c r="E681" s="52"/>
      <c r="F681" s="52"/>
      <c r="G681" s="135"/>
      <c r="H681" s="52"/>
      <c r="I681" s="52"/>
      <c r="J681" s="136"/>
      <c r="K681" s="136"/>
      <c r="L681" s="136"/>
      <c r="M681" s="136"/>
      <c r="N681" s="52"/>
      <c r="O681" s="52"/>
      <c r="P681" s="52"/>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138"/>
      <c r="AQ681" s="138"/>
      <c r="AR681" s="52"/>
      <c r="AS681" s="52"/>
      <c r="AT681" s="52"/>
      <c r="AU681" s="139"/>
      <c r="AV681" s="138"/>
      <c r="AW681" s="141"/>
      <c r="AX681" s="52"/>
      <c r="AY681" s="52"/>
      <c r="AZ681" s="52"/>
      <c r="BA681" s="52"/>
      <c r="BB681" s="52"/>
    </row>
    <row r="682">
      <c r="A682" s="52"/>
      <c r="B682" s="26"/>
      <c r="C682" s="52"/>
      <c r="D682" s="52"/>
      <c r="E682" s="52"/>
      <c r="F682" s="52"/>
      <c r="G682" s="135"/>
      <c r="H682" s="52"/>
      <c r="I682" s="52"/>
      <c r="J682" s="136"/>
      <c r="K682" s="136"/>
      <c r="L682" s="136"/>
      <c r="M682" s="136"/>
      <c r="N682" s="52"/>
      <c r="O682" s="52"/>
      <c r="P682" s="52"/>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138"/>
      <c r="AQ682" s="138"/>
      <c r="AR682" s="52"/>
      <c r="AS682" s="52"/>
      <c r="AT682" s="52"/>
      <c r="AU682" s="139"/>
      <c r="AV682" s="138"/>
      <c r="AW682" s="141"/>
      <c r="AX682" s="52"/>
      <c r="AY682" s="52"/>
      <c r="AZ682" s="52"/>
      <c r="BA682" s="52"/>
      <c r="BB682" s="52"/>
    </row>
    <row r="683">
      <c r="A683" s="52"/>
      <c r="B683" s="26"/>
      <c r="C683" s="52"/>
      <c r="D683" s="52"/>
      <c r="E683" s="52"/>
      <c r="F683" s="52"/>
      <c r="G683" s="135"/>
      <c r="H683" s="52"/>
      <c r="I683" s="52"/>
      <c r="J683" s="136"/>
      <c r="K683" s="136"/>
      <c r="L683" s="136"/>
      <c r="M683" s="136"/>
      <c r="N683" s="52"/>
      <c r="O683" s="52"/>
      <c r="P683" s="52"/>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138"/>
      <c r="AQ683" s="138"/>
      <c r="AR683" s="52"/>
      <c r="AS683" s="52"/>
      <c r="AT683" s="52"/>
      <c r="AU683" s="139"/>
      <c r="AV683" s="138"/>
      <c r="AW683" s="141"/>
      <c r="AX683" s="52"/>
      <c r="AY683" s="52"/>
      <c r="AZ683" s="52"/>
      <c r="BA683" s="52"/>
      <c r="BB683" s="52"/>
    </row>
    <row r="684">
      <c r="A684" s="52"/>
      <c r="B684" s="26"/>
      <c r="C684" s="52"/>
      <c r="D684" s="52"/>
      <c r="E684" s="52"/>
      <c r="F684" s="52"/>
      <c r="G684" s="135"/>
      <c r="H684" s="52"/>
      <c r="I684" s="52"/>
      <c r="J684" s="136"/>
      <c r="K684" s="136"/>
      <c r="L684" s="136"/>
      <c r="M684" s="136"/>
      <c r="N684" s="52"/>
      <c r="O684" s="52"/>
      <c r="P684" s="52"/>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138"/>
      <c r="AQ684" s="138"/>
      <c r="AR684" s="52"/>
      <c r="AS684" s="52"/>
      <c r="AT684" s="52"/>
      <c r="AU684" s="139"/>
      <c r="AV684" s="138"/>
      <c r="AW684" s="141"/>
      <c r="AX684" s="52"/>
      <c r="AY684" s="52"/>
      <c r="AZ684" s="52"/>
      <c r="BA684" s="52"/>
      <c r="BB684" s="52"/>
    </row>
    <row r="685">
      <c r="A685" s="52"/>
      <c r="B685" s="26"/>
      <c r="C685" s="52"/>
      <c r="D685" s="52"/>
      <c r="E685" s="52"/>
      <c r="F685" s="52"/>
      <c r="G685" s="135"/>
      <c r="H685" s="52"/>
      <c r="I685" s="52"/>
      <c r="J685" s="136"/>
      <c r="K685" s="136"/>
      <c r="L685" s="136"/>
      <c r="M685" s="136"/>
      <c r="N685" s="52"/>
      <c r="O685" s="52"/>
      <c r="P685" s="52"/>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138"/>
      <c r="AQ685" s="138"/>
      <c r="AR685" s="52"/>
      <c r="AS685" s="52"/>
      <c r="AT685" s="52"/>
      <c r="AU685" s="139"/>
      <c r="AV685" s="138"/>
      <c r="AW685" s="141"/>
      <c r="AX685" s="52"/>
      <c r="AY685" s="52"/>
      <c r="AZ685" s="52"/>
      <c r="BA685" s="52"/>
      <c r="BB685" s="52"/>
    </row>
    <row r="686">
      <c r="A686" s="52"/>
      <c r="B686" s="26"/>
      <c r="C686" s="52"/>
      <c r="D686" s="52"/>
      <c r="E686" s="52"/>
      <c r="F686" s="52"/>
      <c r="G686" s="135"/>
      <c r="H686" s="52"/>
      <c r="I686" s="52"/>
      <c r="J686" s="136"/>
      <c r="K686" s="136"/>
      <c r="L686" s="136"/>
      <c r="M686" s="136"/>
      <c r="N686" s="52"/>
      <c r="O686" s="52"/>
      <c r="P686" s="52"/>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138"/>
      <c r="AQ686" s="138"/>
      <c r="AR686" s="52"/>
      <c r="AS686" s="52"/>
      <c r="AT686" s="52"/>
      <c r="AU686" s="139"/>
      <c r="AV686" s="138"/>
      <c r="AW686" s="141"/>
      <c r="AX686" s="52"/>
      <c r="AY686" s="52"/>
      <c r="AZ686" s="52"/>
      <c r="BA686" s="52"/>
      <c r="BB686" s="52"/>
    </row>
    <row r="687">
      <c r="A687" s="52"/>
      <c r="B687" s="26"/>
      <c r="C687" s="52"/>
      <c r="D687" s="52"/>
      <c r="E687" s="52"/>
      <c r="F687" s="52"/>
      <c r="G687" s="135"/>
      <c r="H687" s="52"/>
      <c r="I687" s="52"/>
      <c r="J687" s="136"/>
      <c r="K687" s="136"/>
      <c r="L687" s="136"/>
      <c r="M687" s="136"/>
      <c r="N687" s="52"/>
      <c r="O687" s="52"/>
      <c r="P687" s="52"/>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138"/>
      <c r="AQ687" s="138"/>
      <c r="AR687" s="52"/>
      <c r="AS687" s="52"/>
      <c r="AT687" s="52"/>
      <c r="AU687" s="139"/>
      <c r="AV687" s="138"/>
      <c r="AW687" s="141"/>
      <c r="AX687" s="52"/>
      <c r="AY687" s="52"/>
      <c r="AZ687" s="52"/>
      <c r="BA687" s="52"/>
      <c r="BB687" s="52"/>
    </row>
    <row r="688">
      <c r="A688" s="52"/>
      <c r="B688" s="26"/>
      <c r="C688" s="52"/>
      <c r="D688" s="52"/>
      <c r="E688" s="52"/>
      <c r="F688" s="52"/>
      <c r="G688" s="135"/>
      <c r="H688" s="52"/>
      <c r="I688" s="52"/>
      <c r="J688" s="136"/>
      <c r="K688" s="136"/>
      <c r="L688" s="136"/>
      <c r="M688" s="136"/>
      <c r="N688" s="52"/>
      <c r="O688" s="52"/>
      <c r="P688" s="52"/>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138"/>
      <c r="AQ688" s="138"/>
      <c r="AR688" s="52"/>
      <c r="AS688" s="52"/>
      <c r="AT688" s="52"/>
      <c r="AU688" s="139"/>
      <c r="AV688" s="138"/>
      <c r="AW688" s="141"/>
      <c r="AX688" s="52"/>
      <c r="AY688" s="52"/>
      <c r="AZ688" s="52"/>
      <c r="BA688" s="52"/>
      <c r="BB688" s="52"/>
    </row>
    <row r="689">
      <c r="A689" s="52"/>
      <c r="B689" s="26"/>
      <c r="C689" s="52"/>
      <c r="D689" s="52"/>
      <c r="E689" s="52"/>
      <c r="F689" s="52"/>
      <c r="G689" s="135"/>
      <c r="H689" s="52"/>
      <c r="I689" s="52"/>
      <c r="J689" s="136"/>
      <c r="K689" s="136"/>
      <c r="L689" s="136"/>
      <c r="M689" s="136"/>
      <c r="N689" s="52"/>
      <c r="O689" s="52"/>
      <c r="P689" s="52"/>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138"/>
      <c r="AQ689" s="138"/>
      <c r="AR689" s="52"/>
      <c r="AS689" s="52"/>
      <c r="AT689" s="52"/>
      <c r="AU689" s="139"/>
      <c r="AV689" s="138"/>
      <c r="AW689" s="141"/>
      <c r="AX689" s="52"/>
      <c r="AY689" s="52"/>
      <c r="AZ689" s="52"/>
      <c r="BA689" s="52"/>
      <c r="BB689" s="52"/>
    </row>
    <row r="690">
      <c r="A690" s="52"/>
      <c r="B690" s="26"/>
      <c r="C690" s="52"/>
      <c r="D690" s="52"/>
      <c r="E690" s="52"/>
      <c r="F690" s="52"/>
      <c r="G690" s="135"/>
      <c r="H690" s="52"/>
      <c r="I690" s="52"/>
      <c r="J690" s="136"/>
      <c r="K690" s="136"/>
      <c r="L690" s="136"/>
      <c r="M690" s="136"/>
      <c r="N690" s="52"/>
      <c r="O690" s="52"/>
      <c r="P690" s="52"/>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138"/>
      <c r="AQ690" s="138"/>
      <c r="AR690" s="52"/>
      <c r="AS690" s="52"/>
      <c r="AT690" s="52"/>
      <c r="AU690" s="139"/>
      <c r="AV690" s="138"/>
      <c r="AW690" s="141"/>
      <c r="AX690" s="52"/>
      <c r="AY690" s="52"/>
      <c r="AZ690" s="52"/>
      <c r="BA690" s="52"/>
      <c r="BB690" s="52"/>
    </row>
    <row r="691">
      <c r="A691" s="52"/>
      <c r="B691" s="26"/>
      <c r="C691" s="52"/>
      <c r="D691" s="52"/>
      <c r="E691" s="52"/>
      <c r="F691" s="52"/>
      <c r="G691" s="135"/>
      <c r="H691" s="52"/>
      <c r="I691" s="52"/>
      <c r="J691" s="136"/>
      <c r="K691" s="136"/>
      <c r="L691" s="136"/>
      <c r="M691" s="136"/>
      <c r="N691" s="52"/>
      <c r="O691" s="52"/>
      <c r="P691" s="52"/>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138"/>
      <c r="AQ691" s="138"/>
      <c r="AR691" s="52"/>
      <c r="AS691" s="52"/>
      <c r="AT691" s="52"/>
      <c r="AU691" s="139"/>
      <c r="AV691" s="138"/>
      <c r="AW691" s="141"/>
      <c r="AX691" s="52"/>
      <c r="AY691" s="52"/>
      <c r="AZ691" s="52"/>
      <c r="BA691" s="52"/>
      <c r="BB691" s="52"/>
    </row>
    <row r="692">
      <c r="A692" s="52"/>
      <c r="B692" s="26"/>
      <c r="C692" s="52"/>
      <c r="D692" s="52"/>
      <c r="E692" s="52"/>
      <c r="F692" s="52"/>
      <c r="G692" s="135"/>
      <c r="H692" s="52"/>
      <c r="I692" s="52"/>
      <c r="J692" s="136"/>
      <c r="K692" s="136"/>
      <c r="L692" s="136"/>
      <c r="M692" s="136"/>
      <c r="N692" s="52"/>
      <c r="O692" s="52"/>
      <c r="P692" s="52"/>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138"/>
      <c r="AQ692" s="138"/>
      <c r="AR692" s="52"/>
      <c r="AS692" s="52"/>
      <c r="AT692" s="52"/>
      <c r="AU692" s="139"/>
      <c r="AV692" s="138"/>
      <c r="AW692" s="141"/>
      <c r="AX692" s="52"/>
      <c r="AY692" s="52"/>
      <c r="AZ692" s="52"/>
      <c r="BA692" s="52"/>
      <c r="BB692" s="52"/>
    </row>
    <row r="693">
      <c r="A693" s="52"/>
      <c r="B693" s="26"/>
      <c r="C693" s="52"/>
      <c r="D693" s="52"/>
      <c r="E693" s="52"/>
      <c r="F693" s="52"/>
      <c r="G693" s="135"/>
      <c r="H693" s="52"/>
      <c r="I693" s="52"/>
      <c r="J693" s="136"/>
      <c r="K693" s="136"/>
      <c r="L693" s="136"/>
      <c r="M693" s="136"/>
      <c r="N693" s="52"/>
      <c r="O693" s="52"/>
      <c r="P693" s="52"/>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138"/>
      <c r="AQ693" s="138"/>
      <c r="AR693" s="52"/>
      <c r="AS693" s="52"/>
      <c r="AT693" s="52"/>
      <c r="AU693" s="139"/>
      <c r="AV693" s="138"/>
      <c r="AW693" s="141"/>
      <c r="AX693" s="52"/>
      <c r="AY693" s="52"/>
      <c r="AZ693" s="52"/>
      <c r="BA693" s="52"/>
      <c r="BB693" s="52"/>
    </row>
    <row r="694">
      <c r="A694" s="52"/>
      <c r="B694" s="26"/>
      <c r="C694" s="52"/>
      <c r="D694" s="52"/>
      <c r="E694" s="52"/>
      <c r="F694" s="52"/>
      <c r="G694" s="135"/>
      <c r="H694" s="52"/>
      <c r="I694" s="52"/>
      <c r="J694" s="136"/>
      <c r="K694" s="136"/>
      <c r="L694" s="136"/>
      <c r="M694" s="136"/>
      <c r="N694" s="52"/>
      <c r="O694" s="52"/>
      <c r="P694" s="52"/>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138"/>
      <c r="AQ694" s="138"/>
      <c r="AR694" s="52"/>
      <c r="AS694" s="52"/>
      <c r="AT694" s="52"/>
      <c r="AU694" s="139"/>
      <c r="AV694" s="138"/>
      <c r="AW694" s="141"/>
      <c r="AX694" s="52"/>
      <c r="AY694" s="52"/>
      <c r="AZ694" s="52"/>
      <c r="BA694" s="52"/>
      <c r="BB694" s="52"/>
    </row>
    <row r="695">
      <c r="A695" s="52"/>
      <c r="B695" s="26"/>
      <c r="C695" s="52"/>
      <c r="D695" s="52"/>
      <c r="E695" s="52"/>
      <c r="F695" s="52"/>
      <c r="G695" s="135"/>
      <c r="H695" s="52"/>
      <c r="I695" s="52"/>
      <c r="J695" s="136"/>
      <c r="K695" s="136"/>
      <c r="L695" s="136"/>
      <c r="M695" s="136"/>
      <c r="N695" s="52"/>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138"/>
      <c r="AQ695" s="138"/>
      <c r="AR695" s="52"/>
      <c r="AS695" s="52"/>
      <c r="AT695" s="52"/>
      <c r="AU695" s="139"/>
      <c r="AV695" s="138"/>
      <c r="AW695" s="141"/>
      <c r="AX695" s="52"/>
      <c r="AY695" s="52"/>
      <c r="AZ695" s="52"/>
      <c r="BA695" s="52"/>
      <c r="BB695" s="52"/>
    </row>
    <row r="696">
      <c r="A696" s="52"/>
      <c r="B696" s="26"/>
      <c r="C696" s="52"/>
      <c r="D696" s="52"/>
      <c r="E696" s="52"/>
      <c r="F696" s="52"/>
      <c r="G696" s="135"/>
      <c r="H696" s="52"/>
      <c r="I696" s="52"/>
      <c r="J696" s="136"/>
      <c r="K696" s="136"/>
      <c r="L696" s="136"/>
      <c r="M696" s="136"/>
      <c r="N696" s="52"/>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138"/>
      <c r="AQ696" s="138"/>
      <c r="AR696" s="52"/>
      <c r="AS696" s="52"/>
      <c r="AT696" s="52"/>
      <c r="AU696" s="139"/>
      <c r="AV696" s="138"/>
      <c r="AW696" s="141"/>
      <c r="AX696" s="52"/>
      <c r="AY696" s="52"/>
      <c r="AZ696" s="52"/>
      <c r="BA696" s="52"/>
      <c r="BB696" s="52"/>
    </row>
    <row r="697">
      <c r="A697" s="52"/>
      <c r="B697" s="26"/>
      <c r="C697" s="52"/>
      <c r="D697" s="52"/>
      <c r="E697" s="52"/>
      <c r="F697" s="52"/>
      <c r="G697" s="135"/>
      <c r="H697" s="52"/>
      <c r="I697" s="52"/>
      <c r="J697" s="136"/>
      <c r="K697" s="136"/>
      <c r="L697" s="136"/>
      <c r="M697" s="136"/>
      <c r="N697" s="52"/>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138"/>
      <c r="AQ697" s="138"/>
      <c r="AR697" s="52"/>
      <c r="AS697" s="52"/>
      <c r="AT697" s="52"/>
      <c r="AU697" s="139"/>
      <c r="AV697" s="138"/>
      <c r="AW697" s="141"/>
      <c r="AX697" s="52"/>
      <c r="AY697" s="52"/>
      <c r="AZ697" s="52"/>
      <c r="BA697" s="52"/>
      <c r="BB697" s="52"/>
    </row>
    <row r="698">
      <c r="A698" s="52"/>
      <c r="B698" s="26"/>
      <c r="C698" s="52"/>
      <c r="D698" s="52"/>
      <c r="E698" s="52"/>
      <c r="F698" s="52"/>
      <c r="G698" s="135"/>
      <c r="H698" s="52"/>
      <c r="I698" s="52"/>
      <c r="J698" s="136"/>
      <c r="K698" s="136"/>
      <c r="L698" s="136"/>
      <c r="M698" s="136"/>
      <c r="N698" s="52"/>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138"/>
      <c r="AQ698" s="138"/>
      <c r="AR698" s="52"/>
      <c r="AS698" s="52"/>
      <c r="AT698" s="52"/>
      <c r="AU698" s="139"/>
      <c r="AV698" s="138"/>
      <c r="AW698" s="141"/>
      <c r="AX698" s="52"/>
      <c r="AY698" s="52"/>
      <c r="AZ698" s="52"/>
      <c r="BA698" s="52"/>
      <c r="BB698" s="52"/>
    </row>
    <row r="699">
      <c r="A699" s="52"/>
      <c r="B699" s="26"/>
      <c r="C699" s="52"/>
      <c r="D699" s="52"/>
      <c r="E699" s="52"/>
      <c r="F699" s="52"/>
      <c r="G699" s="135"/>
      <c r="H699" s="52"/>
      <c r="I699" s="52"/>
      <c r="J699" s="136"/>
      <c r="K699" s="136"/>
      <c r="L699" s="136"/>
      <c r="M699" s="136"/>
      <c r="N699" s="52"/>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138"/>
      <c r="AQ699" s="138"/>
      <c r="AR699" s="52"/>
      <c r="AS699" s="52"/>
      <c r="AT699" s="52"/>
      <c r="AU699" s="139"/>
      <c r="AV699" s="138"/>
      <c r="AW699" s="141"/>
      <c r="AX699" s="52"/>
      <c r="AY699" s="52"/>
      <c r="AZ699" s="52"/>
      <c r="BA699" s="52"/>
      <c r="BB699" s="52"/>
    </row>
    <row r="700">
      <c r="A700" s="52"/>
      <c r="B700" s="26"/>
      <c r="C700" s="52"/>
      <c r="D700" s="52"/>
      <c r="E700" s="52"/>
      <c r="F700" s="52"/>
      <c r="G700" s="135"/>
      <c r="H700" s="52"/>
      <c r="I700" s="52"/>
      <c r="J700" s="136"/>
      <c r="K700" s="136"/>
      <c r="L700" s="136"/>
      <c r="M700" s="136"/>
      <c r="N700" s="52"/>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138"/>
      <c r="AQ700" s="138"/>
      <c r="AR700" s="52"/>
      <c r="AS700" s="52"/>
      <c r="AT700" s="52"/>
      <c r="AU700" s="139"/>
      <c r="AV700" s="138"/>
      <c r="AW700" s="141"/>
      <c r="AX700" s="52"/>
      <c r="AY700" s="52"/>
      <c r="AZ700" s="52"/>
      <c r="BA700" s="52"/>
      <c r="BB700" s="52"/>
    </row>
    <row r="701">
      <c r="A701" s="52"/>
      <c r="B701" s="26"/>
      <c r="C701" s="52"/>
      <c r="D701" s="52"/>
      <c r="E701" s="52"/>
      <c r="F701" s="52"/>
      <c r="G701" s="135"/>
      <c r="H701" s="52"/>
      <c r="I701" s="52"/>
      <c r="J701" s="136"/>
      <c r="K701" s="136"/>
      <c r="L701" s="136"/>
      <c r="M701" s="136"/>
      <c r="N701" s="52"/>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138"/>
      <c r="AQ701" s="138"/>
      <c r="AR701" s="52"/>
      <c r="AS701" s="52"/>
      <c r="AT701" s="52"/>
      <c r="AU701" s="139"/>
      <c r="AV701" s="138"/>
      <c r="AW701" s="141"/>
      <c r="AX701" s="52"/>
      <c r="AY701" s="52"/>
      <c r="AZ701" s="52"/>
      <c r="BA701" s="52"/>
      <c r="BB701" s="52"/>
    </row>
    <row r="702">
      <c r="A702" s="52"/>
      <c r="B702" s="26"/>
      <c r="C702" s="52"/>
      <c r="D702" s="52"/>
      <c r="E702" s="52"/>
      <c r="F702" s="52"/>
      <c r="G702" s="135"/>
      <c r="H702" s="52"/>
      <c r="I702" s="52"/>
      <c r="J702" s="136"/>
      <c r="K702" s="136"/>
      <c r="L702" s="136"/>
      <c r="M702" s="136"/>
      <c r="N702" s="52"/>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138"/>
      <c r="AQ702" s="138"/>
      <c r="AR702" s="52"/>
      <c r="AS702" s="52"/>
      <c r="AT702" s="52"/>
      <c r="AU702" s="139"/>
      <c r="AV702" s="138"/>
      <c r="AW702" s="141"/>
      <c r="AX702" s="52"/>
      <c r="AY702" s="52"/>
      <c r="AZ702" s="52"/>
      <c r="BA702" s="52"/>
      <c r="BB702" s="52"/>
    </row>
    <row r="703">
      <c r="A703" s="52"/>
      <c r="B703" s="26"/>
      <c r="C703" s="52"/>
      <c r="D703" s="52"/>
      <c r="E703" s="52"/>
      <c r="F703" s="52"/>
      <c r="G703" s="135"/>
      <c r="H703" s="52"/>
      <c r="I703" s="52"/>
      <c r="J703" s="136"/>
      <c r="K703" s="136"/>
      <c r="L703" s="136"/>
      <c r="M703" s="136"/>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138"/>
      <c r="AQ703" s="138"/>
      <c r="AR703" s="52"/>
      <c r="AS703" s="52"/>
      <c r="AT703" s="52"/>
      <c r="AU703" s="139"/>
      <c r="AV703" s="138"/>
      <c r="AW703" s="141"/>
      <c r="AX703" s="52"/>
      <c r="AY703" s="52"/>
      <c r="AZ703" s="52"/>
      <c r="BA703" s="52"/>
      <c r="BB703" s="52"/>
    </row>
    <row r="704">
      <c r="A704" s="52"/>
      <c r="B704" s="26"/>
      <c r="C704" s="52"/>
      <c r="D704" s="52"/>
      <c r="E704" s="52"/>
      <c r="F704" s="52"/>
      <c r="G704" s="135"/>
      <c r="H704" s="52"/>
      <c r="I704" s="52"/>
      <c r="J704" s="136"/>
      <c r="K704" s="136"/>
      <c r="L704" s="136"/>
      <c r="M704" s="136"/>
      <c r="N704" s="52"/>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138"/>
      <c r="AQ704" s="138"/>
      <c r="AR704" s="52"/>
      <c r="AS704" s="52"/>
      <c r="AT704" s="52"/>
      <c r="AU704" s="139"/>
      <c r="AV704" s="138"/>
      <c r="AW704" s="141"/>
      <c r="AX704" s="52"/>
      <c r="AY704" s="52"/>
      <c r="AZ704" s="52"/>
      <c r="BA704" s="52"/>
      <c r="BB704" s="52"/>
    </row>
    <row r="705">
      <c r="A705" s="52"/>
      <c r="B705" s="26"/>
      <c r="C705" s="52"/>
      <c r="D705" s="52"/>
      <c r="E705" s="52"/>
      <c r="F705" s="52"/>
      <c r="G705" s="135"/>
      <c r="H705" s="52"/>
      <c r="I705" s="52"/>
      <c r="J705" s="136"/>
      <c r="K705" s="136"/>
      <c r="L705" s="136"/>
      <c r="M705" s="136"/>
      <c r="N705" s="52"/>
      <c r="O705" s="52"/>
      <c r="P705" s="52"/>
      <c r="Q705" s="52"/>
      <c r="R705" s="52"/>
      <c r="S705" s="52"/>
      <c r="T705" s="52"/>
      <c r="U705" s="52"/>
      <c r="V705" s="52"/>
      <c r="W705" s="52"/>
      <c r="X705" s="52"/>
      <c r="Y705" s="52"/>
      <c r="Z705" s="52"/>
      <c r="AA705" s="52"/>
      <c r="AB705" s="52"/>
      <c r="AC705" s="52"/>
      <c r="AD705" s="52"/>
      <c r="AE705" s="52"/>
      <c r="AF705" s="52"/>
      <c r="AG705" s="52"/>
      <c r="AH705" s="52"/>
      <c r="AI705" s="52"/>
      <c r="AJ705" s="52"/>
      <c r="AK705" s="52"/>
      <c r="AL705" s="52"/>
      <c r="AM705" s="52"/>
      <c r="AN705" s="52"/>
      <c r="AO705" s="52"/>
      <c r="AP705" s="138"/>
      <c r="AQ705" s="138"/>
      <c r="AR705" s="52"/>
      <c r="AS705" s="52"/>
      <c r="AT705" s="52"/>
      <c r="AU705" s="139"/>
      <c r="AV705" s="138"/>
      <c r="AW705" s="141"/>
      <c r="AX705" s="52"/>
      <c r="AY705" s="52"/>
      <c r="AZ705" s="52"/>
      <c r="BA705" s="52"/>
      <c r="BB705" s="52"/>
    </row>
    <row r="706">
      <c r="A706" s="52"/>
      <c r="B706" s="26"/>
      <c r="C706" s="52"/>
      <c r="D706" s="52"/>
      <c r="E706" s="52"/>
      <c r="F706" s="52"/>
      <c r="G706" s="135"/>
      <c r="H706" s="52"/>
      <c r="I706" s="52"/>
      <c r="J706" s="136"/>
      <c r="K706" s="136"/>
      <c r="L706" s="136"/>
      <c r="M706" s="136"/>
      <c r="N706" s="52"/>
      <c r="O706" s="52"/>
      <c r="P706" s="52"/>
      <c r="Q706" s="52"/>
      <c r="R706" s="52"/>
      <c r="S706" s="52"/>
      <c r="T706" s="52"/>
      <c r="U706" s="52"/>
      <c r="V706" s="52"/>
      <c r="W706" s="52"/>
      <c r="X706" s="52"/>
      <c r="Y706" s="52"/>
      <c r="Z706" s="52"/>
      <c r="AA706" s="52"/>
      <c r="AB706" s="52"/>
      <c r="AC706" s="52"/>
      <c r="AD706" s="52"/>
      <c r="AE706" s="52"/>
      <c r="AF706" s="52"/>
      <c r="AG706" s="52"/>
      <c r="AH706" s="52"/>
      <c r="AI706" s="52"/>
      <c r="AJ706" s="52"/>
      <c r="AK706" s="52"/>
      <c r="AL706" s="52"/>
      <c r="AM706" s="52"/>
      <c r="AN706" s="52"/>
      <c r="AO706" s="52"/>
      <c r="AP706" s="138"/>
      <c r="AQ706" s="138"/>
      <c r="AR706" s="52"/>
      <c r="AS706" s="52"/>
      <c r="AT706" s="52"/>
      <c r="AU706" s="139"/>
      <c r="AV706" s="138"/>
      <c r="AW706" s="141"/>
      <c r="AX706" s="52"/>
      <c r="AY706" s="52"/>
      <c r="AZ706" s="52"/>
      <c r="BA706" s="52"/>
      <c r="BB706" s="52"/>
    </row>
    <row r="707">
      <c r="A707" s="52"/>
      <c r="B707" s="26"/>
      <c r="C707" s="52"/>
      <c r="D707" s="52"/>
      <c r="E707" s="52"/>
      <c r="F707" s="52"/>
      <c r="G707" s="135"/>
      <c r="H707" s="52"/>
      <c r="I707" s="52"/>
      <c r="J707" s="136"/>
      <c r="K707" s="136"/>
      <c r="L707" s="136"/>
      <c r="M707" s="136"/>
      <c r="N707" s="52"/>
      <c r="O707" s="52"/>
      <c r="P707" s="52"/>
      <c r="Q707" s="52"/>
      <c r="R707" s="52"/>
      <c r="S707" s="52"/>
      <c r="T707" s="52"/>
      <c r="U707" s="52"/>
      <c r="V707" s="52"/>
      <c r="W707" s="52"/>
      <c r="X707" s="52"/>
      <c r="Y707" s="52"/>
      <c r="Z707" s="52"/>
      <c r="AA707" s="52"/>
      <c r="AB707" s="52"/>
      <c r="AC707" s="52"/>
      <c r="AD707" s="52"/>
      <c r="AE707" s="52"/>
      <c r="AF707" s="52"/>
      <c r="AG707" s="52"/>
      <c r="AH707" s="52"/>
      <c r="AI707" s="52"/>
      <c r="AJ707" s="52"/>
      <c r="AK707" s="52"/>
      <c r="AL707" s="52"/>
      <c r="AM707" s="52"/>
      <c r="AN707" s="52"/>
      <c r="AO707" s="52"/>
      <c r="AP707" s="138"/>
      <c r="AQ707" s="138"/>
      <c r="AR707" s="52"/>
      <c r="AS707" s="52"/>
      <c r="AT707" s="52"/>
      <c r="AU707" s="139"/>
      <c r="AV707" s="138"/>
      <c r="AW707" s="141"/>
      <c r="AX707" s="52"/>
      <c r="AY707" s="52"/>
      <c r="AZ707" s="52"/>
      <c r="BA707" s="52"/>
      <c r="BB707" s="52"/>
    </row>
    <row r="708">
      <c r="A708" s="52"/>
      <c r="B708" s="26"/>
      <c r="C708" s="52"/>
      <c r="D708" s="52"/>
      <c r="E708" s="52"/>
      <c r="F708" s="52"/>
      <c r="G708" s="135"/>
      <c r="H708" s="52"/>
      <c r="I708" s="52"/>
      <c r="J708" s="136"/>
      <c r="K708" s="136"/>
      <c r="L708" s="136"/>
      <c r="M708" s="136"/>
      <c r="N708" s="52"/>
      <c r="O708" s="52"/>
      <c r="P708" s="52"/>
      <c r="Q708" s="52"/>
      <c r="R708" s="52"/>
      <c r="S708" s="52"/>
      <c r="T708" s="52"/>
      <c r="U708" s="52"/>
      <c r="V708" s="52"/>
      <c r="W708" s="52"/>
      <c r="X708" s="52"/>
      <c r="Y708" s="52"/>
      <c r="Z708" s="52"/>
      <c r="AA708" s="52"/>
      <c r="AB708" s="52"/>
      <c r="AC708" s="52"/>
      <c r="AD708" s="52"/>
      <c r="AE708" s="52"/>
      <c r="AF708" s="52"/>
      <c r="AG708" s="52"/>
      <c r="AH708" s="52"/>
      <c r="AI708" s="52"/>
      <c r="AJ708" s="52"/>
      <c r="AK708" s="52"/>
      <c r="AL708" s="52"/>
      <c r="AM708" s="52"/>
      <c r="AN708" s="52"/>
      <c r="AO708" s="52"/>
      <c r="AP708" s="138"/>
      <c r="AQ708" s="138"/>
      <c r="AR708" s="52"/>
      <c r="AS708" s="52"/>
      <c r="AT708" s="52"/>
      <c r="AU708" s="139"/>
      <c r="AV708" s="138"/>
      <c r="AW708" s="141"/>
      <c r="AX708" s="52"/>
      <c r="AY708" s="52"/>
      <c r="AZ708" s="52"/>
      <c r="BA708" s="52"/>
      <c r="BB708" s="52"/>
    </row>
    <row r="709">
      <c r="A709" s="52"/>
      <c r="B709" s="26"/>
      <c r="C709" s="52"/>
      <c r="D709" s="52"/>
      <c r="E709" s="52"/>
      <c r="F709" s="52"/>
      <c r="G709" s="135"/>
      <c r="H709" s="52"/>
      <c r="I709" s="52"/>
      <c r="J709" s="136"/>
      <c r="K709" s="136"/>
      <c r="L709" s="136"/>
      <c r="M709" s="136"/>
      <c r="N709" s="52"/>
      <c r="O709" s="52"/>
      <c r="P709" s="52"/>
      <c r="Q709" s="52"/>
      <c r="R709" s="52"/>
      <c r="S709" s="52"/>
      <c r="T709" s="52"/>
      <c r="U709" s="52"/>
      <c r="V709" s="52"/>
      <c r="W709" s="52"/>
      <c r="X709" s="52"/>
      <c r="Y709" s="52"/>
      <c r="Z709" s="52"/>
      <c r="AA709" s="52"/>
      <c r="AB709" s="52"/>
      <c r="AC709" s="52"/>
      <c r="AD709" s="52"/>
      <c r="AE709" s="52"/>
      <c r="AF709" s="52"/>
      <c r="AG709" s="52"/>
      <c r="AH709" s="52"/>
      <c r="AI709" s="52"/>
      <c r="AJ709" s="52"/>
      <c r="AK709" s="52"/>
      <c r="AL709" s="52"/>
      <c r="AM709" s="52"/>
      <c r="AN709" s="52"/>
      <c r="AO709" s="52"/>
      <c r="AP709" s="138"/>
      <c r="AQ709" s="138"/>
      <c r="AR709" s="52"/>
      <c r="AS709" s="52"/>
      <c r="AT709" s="52"/>
      <c r="AU709" s="139"/>
      <c r="AV709" s="138"/>
      <c r="AW709" s="141"/>
      <c r="AX709" s="52"/>
      <c r="AY709" s="52"/>
      <c r="AZ709" s="52"/>
      <c r="BA709" s="52"/>
      <c r="BB709" s="52"/>
    </row>
    <row r="710">
      <c r="A710" s="52"/>
      <c r="B710" s="26"/>
      <c r="C710" s="52"/>
      <c r="D710" s="52"/>
      <c r="E710" s="52"/>
      <c r="F710" s="52"/>
      <c r="G710" s="135"/>
      <c r="H710" s="52"/>
      <c r="I710" s="52"/>
      <c r="J710" s="136"/>
      <c r="K710" s="136"/>
      <c r="L710" s="136"/>
      <c r="M710" s="136"/>
      <c r="N710" s="52"/>
      <c r="O710" s="52"/>
      <c r="P710" s="52"/>
      <c r="Q710" s="52"/>
      <c r="R710" s="52"/>
      <c r="S710" s="52"/>
      <c r="T710" s="52"/>
      <c r="U710" s="52"/>
      <c r="V710" s="52"/>
      <c r="W710" s="52"/>
      <c r="X710" s="52"/>
      <c r="Y710" s="52"/>
      <c r="Z710" s="52"/>
      <c r="AA710" s="52"/>
      <c r="AB710" s="52"/>
      <c r="AC710" s="52"/>
      <c r="AD710" s="52"/>
      <c r="AE710" s="52"/>
      <c r="AF710" s="52"/>
      <c r="AG710" s="52"/>
      <c r="AH710" s="52"/>
      <c r="AI710" s="52"/>
      <c r="AJ710" s="52"/>
      <c r="AK710" s="52"/>
      <c r="AL710" s="52"/>
      <c r="AM710" s="52"/>
      <c r="AN710" s="52"/>
      <c r="AO710" s="52"/>
      <c r="AP710" s="138"/>
      <c r="AQ710" s="138"/>
      <c r="AR710" s="52"/>
      <c r="AS710" s="52"/>
      <c r="AT710" s="52"/>
      <c r="AU710" s="139"/>
      <c r="AV710" s="138"/>
      <c r="AW710" s="141"/>
      <c r="AX710" s="52"/>
      <c r="AY710" s="52"/>
      <c r="AZ710" s="52"/>
      <c r="BA710" s="52"/>
      <c r="BB710" s="52"/>
    </row>
    <row r="711">
      <c r="A711" s="52"/>
      <c r="B711" s="26"/>
      <c r="C711" s="52"/>
      <c r="D711" s="52"/>
      <c r="E711" s="52"/>
      <c r="F711" s="52"/>
      <c r="G711" s="135"/>
      <c r="H711" s="52"/>
      <c r="I711" s="52"/>
      <c r="J711" s="136"/>
      <c r="K711" s="136"/>
      <c r="L711" s="136"/>
      <c r="M711" s="136"/>
      <c r="N711" s="52"/>
      <c r="O711" s="52"/>
      <c r="P711" s="52"/>
      <c r="Q711" s="52"/>
      <c r="R711" s="52"/>
      <c r="S711" s="52"/>
      <c r="T711" s="52"/>
      <c r="U711" s="52"/>
      <c r="V711" s="52"/>
      <c r="W711" s="52"/>
      <c r="X711" s="52"/>
      <c r="Y711" s="52"/>
      <c r="Z711" s="52"/>
      <c r="AA711" s="52"/>
      <c r="AB711" s="52"/>
      <c r="AC711" s="52"/>
      <c r="AD711" s="52"/>
      <c r="AE711" s="52"/>
      <c r="AF711" s="52"/>
      <c r="AG711" s="52"/>
      <c r="AH711" s="52"/>
      <c r="AI711" s="52"/>
      <c r="AJ711" s="52"/>
      <c r="AK711" s="52"/>
      <c r="AL711" s="52"/>
      <c r="AM711" s="52"/>
      <c r="AN711" s="52"/>
      <c r="AO711" s="52"/>
      <c r="AP711" s="138"/>
      <c r="AQ711" s="138"/>
      <c r="AR711" s="52"/>
      <c r="AS711" s="52"/>
      <c r="AT711" s="52"/>
      <c r="AU711" s="139"/>
      <c r="AV711" s="138"/>
      <c r="AW711" s="141"/>
      <c r="AX711" s="52"/>
      <c r="AY711" s="52"/>
      <c r="AZ711" s="52"/>
      <c r="BA711" s="52"/>
      <c r="BB711" s="52"/>
    </row>
    <row r="712">
      <c r="A712" s="52"/>
      <c r="B712" s="26"/>
      <c r="C712" s="52"/>
      <c r="D712" s="52"/>
      <c r="E712" s="52"/>
      <c r="F712" s="52"/>
      <c r="G712" s="135"/>
      <c r="H712" s="52"/>
      <c r="I712" s="52"/>
      <c r="J712" s="136"/>
      <c r="K712" s="136"/>
      <c r="L712" s="136"/>
      <c r="M712" s="136"/>
      <c r="N712" s="52"/>
      <c r="O712" s="52"/>
      <c r="P712" s="52"/>
      <c r="Q712" s="52"/>
      <c r="R712" s="52"/>
      <c r="S712" s="52"/>
      <c r="T712" s="52"/>
      <c r="U712" s="52"/>
      <c r="V712" s="52"/>
      <c r="W712" s="52"/>
      <c r="X712" s="52"/>
      <c r="Y712" s="52"/>
      <c r="Z712" s="52"/>
      <c r="AA712" s="52"/>
      <c r="AB712" s="52"/>
      <c r="AC712" s="52"/>
      <c r="AD712" s="52"/>
      <c r="AE712" s="52"/>
      <c r="AF712" s="52"/>
      <c r="AG712" s="52"/>
      <c r="AH712" s="52"/>
      <c r="AI712" s="52"/>
      <c r="AJ712" s="52"/>
      <c r="AK712" s="52"/>
      <c r="AL712" s="52"/>
      <c r="AM712" s="52"/>
      <c r="AN712" s="52"/>
      <c r="AO712" s="52"/>
      <c r="AP712" s="138"/>
      <c r="AQ712" s="138"/>
      <c r="AR712" s="52"/>
      <c r="AS712" s="52"/>
      <c r="AT712" s="52"/>
      <c r="AU712" s="139"/>
      <c r="AV712" s="138"/>
      <c r="AW712" s="141"/>
      <c r="AX712" s="52"/>
      <c r="AY712" s="52"/>
      <c r="AZ712" s="52"/>
      <c r="BA712" s="52"/>
      <c r="BB712" s="52"/>
    </row>
    <row r="713">
      <c r="A713" s="52"/>
      <c r="B713" s="26"/>
      <c r="C713" s="52"/>
      <c r="D713" s="52"/>
      <c r="E713" s="52"/>
      <c r="F713" s="52"/>
      <c r="G713" s="135"/>
      <c r="H713" s="52"/>
      <c r="I713" s="52"/>
      <c r="J713" s="136"/>
      <c r="K713" s="136"/>
      <c r="L713" s="136"/>
      <c r="M713" s="136"/>
      <c r="N713" s="52"/>
      <c r="O713" s="52"/>
      <c r="P713" s="52"/>
      <c r="Q713" s="52"/>
      <c r="R713" s="52"/>
      <c r="S713" s="52"/>
      <c r="T713" s="52"/>
      <c r="U713" s="52"/>
      <c r="V713" s="52"/>
      <c r="W713" s="52"/>
      <c r="X713" s="52"/>
      <c r="Y713" s="52"/>
      <c r="Z713" s="52"/>
      <c r="AA713" s="52"/>
      <c r="AB713" s="52"/>
      <c r="AC713" s="52"/>
      <c r="AD713" s="52"/>
      <c r="AE713" s="52"/>
      <c r="AF713" s="52"/>
      <c r="AG713" s="52"/>
      <c r="AH713" s="52"/>
      <c r="AI713" s="52"/>
      <c r="AJ713" s="52"/>
      <c r="AK713" s="52"/>
      <c r="AL713" s="52"/>
      <c r="AM713" s="52"/>
      <c r="AN713" s="52"/>
      <c r="AO713" s="52"/>
      <c r="AP713" s="138"/>
      <c r="AQ713" s="138"/>
      <c r="AR713" s="52"/>
      <c r="AS713" s="52"/>
      <c r="AT713" s="52"/>
      <c r="AU713" s="139"/>
      <c r="AV713" s="138"/>
      <c r="AW713" s="141"/>
      <c r="AX713" s="52"/>
      <c r="AY713" s="52"/>
      <c r="AZ713" s="52"/>
      <c r="BA713" s="52"/>
      <c r="BB713" s="52"/>
    </row>
    <row r="714">
      <c r="A714" s="52"/>
      <c r="B714" s="26"/>
      <c r="C714" s="52"/>
      <c r="D714" s="52"/>
      <c r="E714" s="52"/>
      <c r="F714" s="52"/>
      <c r="G714" s="135"/>
      <c r="H714" s="52"/>
      <c r="I714" s="52"/>
      <c r="J714" s="136"/>
      <c r="K714" s="136"/>
      <c r="L714" s="136"/>
      <c r="M714" s="136"/>
      <c r="N714" s="52"/>
      <c r="O714" s="52"/>
      <c r="P714" s="52"/>
      <c r="Q714" s="52"/>
      <c r="R714" s="52"/>
      <c r="S714" s="52"/>
      <c r="T714" s="52"/>
      <c r="U714" s="52"/>
      <c r="V714" s="52"/>
      <c r="W714" s="52"/>
      <c r="X714" s="52"/>
      <c r="Y714" s="52"/>
      <c r="Z714" s="52"/>
      <c r="AA714" s="52"/>
      <c r="AB714" s="52"/>
      <c r="AC714" s="52"/>
      <c r="AD714" s="52"/>
      <c r="AE714" s="52"/>
      <c r="AF714" s="52"/>
      <c r="AG714" s="52"/>
      <c r="AH714" s="52"/>
      <c r="AI714" s="52"/>
      <c r="AJ714" s="52"/>
      <c r="AK714" s="52"/>
      <c r="AL714" s="52"/>
      <c r="AM714" s="52"/>
      <c r="AN714" s="52"/>
      <c r="AO714" s="52"/>
      <c r="AP714" s="138"/>
      <c r="AQ714" s="138"/>
      <c r="AR714" s="52"/>
      <c r="AS714" s="52"/>
      <c r="AT714" s="52"/>
      <c r="AU714" s="139"/>
      <c r="AV714" s="138"/>
      <c r="AW714" s="141"/>
      <c r="AX714" s="52"/>
      <c r="AY714" s="52"/>
      <c r="AZ714" s="52"/>
      <c r="BA714" s="52"/>
      <c r="BB714" s="52"/>
    </row>
    <row r="715">
      <c r="A715" s="52"/>
      <c r="B715" s="26"/>
      <c r="C715" s="52"/>
      <c r="D715" s="52"/>
      <c r="E715" s="52"/>
      <c r="F715" s="52"/>
      <c r="G715" s="135"/>
      <c r="H715" s="52"/>
      <c r="I715" s="52"/>
      <c r="J715" s="136"/>
      <c r="K715" s="136"/>
      <c r="L715" s="136"/>
      <c r="M715" s="136"/>
      <c r="N715" s="52"/>
      <c r="O715" s="52"/>
      <c r="P715" s="52"/>
      <c r="Q715" s="52"/>
      <c r="R715" s="52"/>
      <c r="S715" s="52"/>
      <c r="T715" s="52"/>
      <c r="U715" s="52"/>
      <c r="V715" s="52"/>
      <c r="W715" s="52"/>
      <c r="X715" s="52"/>
      <c r="Y715" s="52"/>
      <c r="Z715" s="52"/>
      <c r="AA715" s="52"/>
      <c r="AB715" s="52"/>
      <c r="AC715" s="52"/>
      <c r="AD715" s="52"/>
      <c r="AE715" s="52"/>
      <c r="AF715" s="52"/>
      <c r="AG715" s="52"/>
      <c r="AH715" s="52"/>
      <c r="AI715" s="52"/>
      <c r="AJ715" s="52"/>
      <c r="AK715" s="52"/>
      <c r="AL715" s="52"/>
      <c r="AM715" s="52"/>
      <c r="AN715" s="52"/>
      <c r="AO715" s="52"/>
      <c r="AP715" s="138"/>
      <c r="AQ715" s="138"/>
      <c r="AR715" s="52"/>
      <c r="AS715" s="52"/>
      <c r="AT715" s="52"/>
      <c r="AU715" s="139"/>
      <c r="AV715" s="138"/>
      <c r="AW715" s="141"/>
      <c r="AX715" s="52"/>
      <c r="AY715" s="52"/>
      <c r="AZ715" s="52"/>
      <c r="BA715" s="52"/>
      <c r="BB715" s="52"/>
    </row>
    <row r="716">
      <c r="A716" s="52"/>
      <c r="B716" s="26"/>
      <c r="C716" s="52"/>
      <c r="D716" s="52"/>
      <c r="E716" s="52"/>
      <c r="F716" s="52"/>
      <c r="G716" s="135"/>
      <c r="H716" s="52"/>
      <c r="I716" s="52"/>
      <c r="J716" s="136"/>
      <c r="K716" s="136"/>
      <c r="L716" s="136"/>
      <c r="M716" s="136"/>
      <c r="N716" s="52"/>
      <c r="O716" s="52"/>
      <c r="P716" s="52"/>
      <c r="Q716" s="52"/>
      <c r="R716" s="52"/>
      <c r="S716" s="52"/>
      <c r="T716" s="52"/>
      <c r="U716" s="52"/>
      <c r="V716" s="52"/>
      <c r="W716" s="52"/>
      <c r="X716" s="52"/>
      <c r="Y716" s="52"/>
      <c r="Z716" s="52"/>
      <c r="AA716" s="52"/>
      <c r="AB716" s="52"/>
      <c r="AC716" s="52"/>
      <c r="AD716" s="52"/>
      <c r="AE716" s="52"/>
      <c r="AF716" s="52"/>
      <c r="AG716" s="52"/>
      <c r="AH716" s="52"/>
      <c r="AI716" s="52"/>
      <c r="AJ716" s="52"/>
      <c r="AK716" s="52"/>
      <c r="AL716" s="52"/>
      <c r="AM716" s="52"/>
      <c r="AN716" s="52"/>
      <c r="AO716" s="52"/>
      <c r="AP716" s="138"/>
      <c r="AQ716" s="138"/>
      <c r="AR716" s="52"/>
      <c r="AS716" s="52"/>
      <c r="AT716" s="52"/>
      <c r="AU716" s="139"/>
      <c r="AV716" s="138"/>
      <c r="AW716" s="141"/>
      <c r="AX716" s="52"/>
      <c r="AY716" s="52"/>
      <c r="AZ716" s="52"/>
      <c r="BA716" s="52"/>
      <c r="BB716" s="52"/>
    </row>
    <row r="717">
      <c r="A717" s="52"/>
      <c r="B717" s="26"/>
      <c r="C717" s="52"/>
      <c r="D717" s="52"/>
      <c r="E717" s="52"/>
      <c r="F717" s="52"/>
      <c r="G717" s="135"/>
      <c r="H717" s="52"/>
      <c r="I717" s="52"/>
      <c r="J717" s="136"/>
      <c r="K717" s="136"/>
      <c r="L717" s="136"/>
      <c r="M717" s="136"/>
      <c r="N717" s="52"/>
      <c r="O717" s="52"/>
      <c r="P717" s="52"/>
      <c r="Q717" s="52"/>
      <c r="R717" s="52"/>
      <c r="S717" s="52"/>
      <c r="T717" s="52"/>
      <c r="U717" s="52"/>
      <c r="V717" s="52"/>
      <c r="W717" s="52"/>
      <c r="X717" s="52"/>
      <c r="Y717" s="52"/>
      <c r="Z717" s="52"/>
      <c r="AA717" s="52"/>
      <c r="AB717" s="52"/>
      <c r="AC717" s="52"/>
      <c r="AD717" s="52"/>
      <c r="AE717" s="52"/>
      <c r="AF717" s="52"/>
      <c r="AG717" s="52"/>
      <c r="AH717" s="52"/>
      <c r="AI717" s="52"/>
      <c r="AJ717" s="52"/>
      <c r="AK717" s="52"/>
      <c r="AL717" s="52"/>
      <c r="AM717" s="52"/>
      <c r="AN717" s="52"/>
      <c r="AO717" s="52"/>
      <c r="AP717" s="138"/>
      <c r="AQ717" s="138"/>
      <c r="AR717" s="52"/>
      <c r="AS717" s="52"/>
      <c r="AT717" s="52"/>
      <c r="AU717" s="139"/>
      <c r="AV717" s="138"/>
      <c r="AW717" s="141"/>
      <c r="AX717" s="52"/>
      <c r="AY717" s="52"/>
      <c r="AZ717" s="52"/>
      <c r="BA717" s="52"/>
      <c r="BB717" s="52"/>
    </row>
    <row r="718">
      <c r="A718" s="52"/>
      <c r="B718" s="26"/>
      <c r="C718" s="52"/>
      <c r="D718" s="52"/>
      <c r="E718" s="52"/>
      <c r="F718" s="52"/>
      <c r="G718" s="135"/>
      <c r="H718" s="52"/>
      <c r="I718" s="52"/>
      <c r="J718" s="136"/>
      <c r="K718" s="136"/>
      <c r="L718" s="136"/>
      <c r="M718" s="136"/>
      <c r="N718" s="52"/>
      <c r="O718" s="52"/>
      <c r="P718" s="52"/>
      <c r="Q718" s="52"/>
      <c r="R718" s="52"/>
      <c r="S718" s="52"/>
      <c r="T718" s="52"/>
      <c r="U718" s="52"/>
      <c r="V718" s="52"/>
      <c r="W718" s="52"/>
      <c r="X718" s="52"/>
      <c r="Y718" s="52"/>
      <c r="Z718" s="52"/>
      <c r="AA718" s="52"/>
      <c r="AB718" s="52"/>
      <c r="AC718" s="52"/>
      <c r="AD718" s="52"/>
      <c r="AE718" s="52"/>
      <c r="AF718" s="52"/>
      <c r="AG718" s="52"/>
      <c r="AH718" s="52"/>
      <c r="AI718" s="52"/>
      <c r="AJ718" s="52"/>
      <c r="AK718" s="52"/>
      <c r="AL718" s="52"/>
      <c r="AM718" s="52"/>
      <c r="AN718" s="52"/>
      <c r="AO718" s="52"/>
      <c r="AP718" s="138"/>
      <c r="AQ718" s="138"/>
      <c r="AR718" s="52"/>
      <c r="AS718" s="52"/>
      <c r="AT718" s="52"/>
      <c r="AU718" s="139"/>
      <c r="AV718" s="138"/>
      <c r="AW718" s="141"/>
      <c r="AX718" s="52"/>
      <c r="AY718" s="52"/>
      <c r="AZ718" s="52"/>
      <c r="BA718" s="52"/>
      <c r="BB718" s="52"/>
    </row>
    <row r="719">
      <c r="A719" s="52"/>
      <c r="B719" s="26"/>
      <c r="C719" s="52"/>
      <c r="D719" s="52"/>
      <c r="E719" s="52"/>
      <c r="F719" s="52"/>
      <c r="G719" s="135"/>
      <c r="H719" s="52"/>
      <c r="I719" s="52"/>
      <c r="J719" s="136"/>
      <c r="K719" s="136"/>
      <c r="L719" s="136"/>
      <c r="M719" s="136"/>
      <c r="N719" s="52"/>
      <c r="O719" s="52"/>
      <c r="P719" s="52"/>
      <c r="Q719" s="52"/>
      <c r="R719" s="52"/>
      <c r="S719" s="52"/>
      <c r="T719" s="52"/>
      <c r="U719" s="52"/>
      <c r="V719" s="52"/>
      <c r="W719" s="52"/>
      <c r="X719" s="52"/>
      <c r="Y719" s="52"/>
      <c r="Z719" s="52"/>
      <c r="AA719" s="52"/>
      <c r="AB719" s="52"/>
      <c r="AC719" s="52"/>
      <c r="AD719" s="52"/>
      <c r="AE719" s="52"/>
      <c r="AF719" s="52"/>
      <c r="AG719" s="52"/>
      <c r="AH719" s="52"/>
      <c r="AI719" s="52"/>
      <c r="AJ719" s="52"/>
      <c r="AK719" s="52"/>
      <c r="AL719" s="52"/>
      <c r="AM719" s="52"/>
      <c r="AN719" s="52"/>
      <c r="AO719" s="52"/>
      <c r="AP719" s="138"/>
      <c r="AQ719" s="138"/>
      <c r="AR719" s="52"/>
      <c r="AS719" s="52"/>
      <c r="AT719" s="52"/>
      <c r="AU719" s="139"/>
      <c r="AV719" s="138"/>
      <c r="AW719" s="141"/>
      <c r="AX719" s="52"/>
      <c r="AY719" s="52"/>
      <c r="AZ719" s="52"/>
      <c r="BA719" s="52"/>
      <c r="BB719" s="52"/>
    </row>
    <row r="720">
      <c r="A720" s="52"/>
      <c r="B720" s="26"/>
      <c r="C720" s="52"/>
      <c r="D720" s="52"/>
      <c r="E720" s="52"/>
      <c r="F720" s="52"/>
      <c r="G720" s="135"/>
      <c r="H720" s="52"/>
      <c r="I720" s="52"/>
      <c r="J720" s="136"/>
      <c r="K720" s="136"/>
      <c r="L720" s="136"/>
      <c r="M720" s="136"/>
      <c r="N720" s="52"/>
      <c r="O720" s="52"/>
      <c r="P720" s="52"/>
      <c r="Q720" s="52"/>
      <c r="R720" s="52"/>
      <c r="S720" s="52"/>
      <c r="T720" s="52"/>
      <c r="U720" s="52"/>
      <c r="V720" s="52"/>
      <c r="W720" s="52"/>
      <c r="X720" s="52"/>
      <c r="Y720" s="52"/>
      <c r="Z720" s="52"/>
      <c r="AA720" s="52"/>
      <c r="AB720" s="52"/>
      <c r="AC720" s="52"/>
      <c r="AD720" s="52"/>
      <c r="AE720" s="52"/>
      <c r="AF720" s="52"/>
      <c r="AG720" s="52"/>
      <c r="AH720" s="52"/>
      <c r="AI720" s="52"/>
      <c r="AJ720" s="52"/>
      <c r="AK720" s="52"/>
      <c r="AL720" s="52"/>
      <c r="AM720" s="52"/>
      <c r="AN720" s="52"/>
      <c r="AO720" s="52"/>
      <c r="AP720" s="138"/>
      <c r="AQ720" s="138"/>
      <c r="AR720" s="52"/>
      <c r="AS720" s="52"/>
      <c r="AT720" s="52"/>
      <c r="AU720" s="139"/>
      <c r="AV720" s="138"/>
      <c r="AW720" s="141"/>
      <c r="AX720" s="52"/>
      <c r="AY720" s="52"/>
      <c r="AZ720" s="52"/>
      <c r="BA720" s="52"/>
      <c r="BB720" s="52"/>
    </row>
    <row r="721">
      <c r="A721" s="52"/>
      <c r="B721" s="26"/>
      <c r="C721" s="52"/>
      <c r="D721" s="52"/>
      <c r="E721" s="52"/>
      <c r="F721" s="52"/>
      <c r="G721" s="135"/>
      <c r="H721" s="52"/>
      <c r="I721" s="52"/>
      <c r="J721" s="136"/>
      <c r="K721" s="136"/>
      <c r="L721" s="136"/>
      <c r="M721" s="136"/>
      <c r="N721" s="52"/>
      <c r="O721" s="52"/>
      <c r="P721" s="52"/>
      <c r="Q721" s="52"/>
      <c r="R721" s="52"/>
      <c r="S721" s="52"/>
      <c r="T721" s="52"/>
      <c r="U721" s="52"/>
      <c r="V721" s="52"/>
      <c r="W721" s="52"/>
      <c r="X721" s="52"/>
      <c r="Y721" s="52"/>
      <c r="Z721" s="52"/>
      <c r="AA721" s="52"/>
      <c r="AB721" s="52"/>
      <c r="AC721" s="52"/>
      <c r="AD721" s="52"/>
      <c r="AE721" s="52"/>
      <c r="AF721" s="52"/>
      <c r="AG721" s="52"/>
      <c r="AH721" s="52"/>
      <c r="AI721" s="52"/>
      <c r="AJ721" s="52"/>
      <c r="AK721" s="52"/>
      <c r="AL721" s="52"/>
      <c r="AM721" s="52"/>
      <c r="AN721" s="52"/>
      <c r="AO721" s="52"/>
      <c r="AP721" s="138"/>
      <c r="AQ721" s="138"/>
      <c r="AR721" s="52"/>
      <c r="AS721" s="52"/>
      <c r="AT721" s="52"/>
      <c r="AU721" s="139"/>
      <c r="AV721" s="138"/>
      <c r="AW721" s="141"/>
      <c r="AX721" s="52"/>
      <c r="AY721" s="52"/>
      <c r="AZ721" s="52"/>
      <c r="BA721" s="52"/>
      <c r="BB721" s="52"/>
    </row>
    <row r="722">
      <c r="A722" s="52"/>
      <c r="B722" s="26"/>
      <c r="C722" s="52"/>
      <c r="D722" s="52"/>
      <c r="E722" s="52"/>
      <c r="F722" s="52"/>
      <c r="G722" s="135"/>
      <c r="H722" s="52"/>
      <c r="I722" s="52"/>
      <c r="J722" s="136"/>
      <c r="K722" s="136"/>
      <c r="L722" s="136"/>
      <c r="M722" s="136"/>
      <c r="N722" s="52"/>
      <c r="O722" s="52"/>
      <c r="P722" s="52"/>
      <c r="Q722" s="52"/>
      <c r="R722" s="52"/>
      <c r="S722" s="52"/>
      <c r="T722" s="52"/>
      <c r="U722" s="52"/>
      <c r="V722" s="52"/>
      <c r="W722" s="52"/>
      <c r="X722" s="52"/>
      <c r="Y722" s="52"/>
      <c r="Z722" s="52"/>
      <c r="AA722" s="52"/>
      <c r="AB722" s="52"/>
      <c r="AC722" s="52"/>
      <c r="AD722" s="52"/>
      <c r="AE722" s="52"/>
      <c r="AF722" s="52"/>
      <c r="AG722" s="52"/>
      <c r="AH722" s="52"/>
      <c r="AI722" s="52"/>
      <c r="AJ722" s="52"/>
      <c r="AK722" s="52"/>
      <c r="AL722" s="52"/>
      <c r="AM722" s="52"/>
      <c r="AN722" s="52"/>
      <c r="AO722" s="52"/>
      <c r="AP722" s="138"/>
      <c r="AQ722" s="138"/>
      <c r="AR722" s="52"/>
      <c r="AS722" s="52"/>
      <c r="AT722" s="52"/>
      <c r="AU722" s="139"/>
      <c r="AV722" s="138"/>
      <c r="AW722" s="141"/>
      <c r="AX722" s="52"/>
      <c r="AY722" s="52"/>
      <c r="AZ722" s="52"/>
      <c r="BA722" s="52"/>
      <c r="BB722" s="52"/>
    </row>
    <row r="723">
      <c r="A723" s="52"/>
      <c r="B723" s="26"/>
      <c r="C723" s="52"/>
      <c r="D723" s="52"/>
      <c r="E723" s="52"/>
      <c r="F723" s="52"/>
      <c r="G723" s="135"/>
      <c r="H723" s="52"/>
      <c r="I723" s="52"/>
      <c r="J723" s="136"/>
      <c r="K723" s="136"/>
      <c r="L723" s="136"/>
      <c r="M723" s="136"/>
      <c r="N723" s="52"/>
      <c r="O723" s="52"/>
      <c r="P723" s="52"/>
      <c r="Q723" s="52"/>
      <c r="R723" s="52"/>
      <c r="S723" s="52"/>
      <c r="T723" s="52"/>
      <c r="U723" s="52"/>
      <c r="V723" s="52"/>
      <c r="W723" s="52"/>
      <c r="X723" s="52"/>
      <c r="Y723" s="52"/>
      <c r="Z723" s="52"/>
      <c r="AA723" s="52"/>
      <c r="AB723" s="52"/>
      <c r="AC723" s="52"/>
      <c r="AD723" s="52"/>
      <c r="AE723" s="52"/>
      <c r="AF723" s="52"/>
      <c r="AG723" s="52"/>
      <c r="AH723" s="52"/>
      <c r="AI723" s="52"/>
      <c r="AJ723" s="52"/>
      <c r="AK723" s="52"/>
      <c r="AL723" s="52"/>
      <c r="AM723" s="52"/>
      <c r="AN723" s="52"/>
      <c r="AO723" s="52"/>
      <c r="AP723" s="138"/>
      <c r="AQ723" s="138"/>
      <c r="AR723" s="52"/>
      <c r="AS723" s="52"/>
      <c r="AT723" s="52"/>
      <c r="AU723" s="139"/>
      <c r="AV723" s="138"/>
      <c r="AW723" s="141"/>
      <c r="AX723" s="52"/>
      <c r="AY723" s="52"/>
      <c r="AZ723" s="52"/>
      <c r="BA723" s="52"/>
      <c r="BB723" s="52"/>
    </row>
    <row r="724">
      <c r="A724" s="52"/>
      <c r="B724" s="26"/>
      <c r="C724" s="52"/>
      <c r="D724" s="52"/>
      <c r="E724" s="52"/>
      <c r="F724" s="52"/>
      <c r="G724" s="135"/>
      <c r="H724" s="52"/>
      <c r="I724" s="52"/>
      <c r="J724" s="136"/>
      <c r="K724" s="136"/>
      <c r="L724" s="136"/>
      <c r="M724" s="136"/>
      <c r="N724" s="52"/>
      <c r="O724" s="52"/>
      <c r="P724" s="52"/>
      <c r="Q724" s="52"/>
      <c r="R724" s="52"/>
      <c r="S724" s="52"/>
      <c r="T724" s="52"/>
      <c r="U724" s="52"/>
      <c r="V724" s="52"/>
      <c r="W724" s="52"/>
      <c r="X724" s="52"/>
      <c r="Y724" s="52"/>
      <c r="Z724" s="52"/>
      <c r="AA724" s="52"/>
      <c r="AB724" s="52"/>
      <c r="AC724" s="52"/>
      <c r="AD724" s="52"/>
      <c r="AE724" s="52"/>
      <c r="AF724" s="52"/>
      <c r="AG724" s="52"/>
      <c r="AH724" s="52"/>
      <c r="AI724" s="52"/>
      <c r="AJ724" s="52"/>
      <c r="AK724" s="52"/>
      <c r="AL724" s="52"/>
      <c r="AM724" s="52"/>
      <c r="AN724" s="52"/>
      <c r="AO724" s="52"/>
      <c r="AP724" s="138"/>
      <c r="AQ724" s="138"/>
      <c r="AR724" s="52"/>
      <c r="AS724" s="52"/>
      <c r="AT724" s="52"/>
      <c r="AU724" s="139"/>
      <c r="AV724" s="138"/>
      <c r="AW724" s="141"/>
      <c r="AX724" s="52"/>
      <c r="AY724" s="52"/>
      <c r="AZ724" s="52"/>
      <c r="BA724" s="52"/>
      <c r="BB724" s="52"/>
    </row>
    <row r="725">
      <c r="A725" s="52"/>
      <c r="B725" s="26"/>
      <c r="C725" s="52"/>
      <c r="D725" s="52"/>
      <c r="E725" s="52"/>
      <c r="F725" s="52"/>
      <c r="G725" s="135"/>
      <c r="H725" s="52"/>
      <c r="I725" s="52"/>
      <c r="J725" s="136"/>
      <c r="K725" s="136"/>
      <c r="L725" s="136"/>
      <c r="M725" s="136"/>
      <c r="N725" s="52"/>
      <c r="O725" s="52"/>
      <c r="P725" s="52"/>
      <c r="Q725" s="52"/>
      <c r="R725" s="52"/>
      <c r="S725" s="52"/>
      <c r="T725" s="52"/>
      <c r="U725" s="52"/>
      <c r="V725" s="52"/>
      <c r="W725" s="52"/>
      <c r="X725" s="52"/>
      <c r="Y725" s="52"/>
      <c r="Z725" s="52"/>
      <c r="AA725" s="52"/>
      <c r="AB725" s="52"/>
      <c r="AC725" s="52"/>
      <c r="AD725" s="52"/>
      <c r="AE725" s="52"/>
      <c r="AF725" s="52"/>
      <c r="AG725" s="52"/>
      <c r="AH725" s="52"/>
      <c r="AI725" s="52"/>
      <c r="AJ725" s="52"/>
      <c r="AK725" s="52"/>
      <c r="AL725" s="52"/>
      <c r="AM725" s="52"/>
      <c r="AN725" s="52"/>
      <c r="AO725" s="52"/>
      <c r="AP725" s="138"/>
      <c r="AQ725" s="138"/>
      <c r="AR725" s="52"/>
      <c r="AS725" s="52"/>
      <c r="AT725" s="52"/>
      <c r="AU725" s="139"/>
      <c r="AV725" s="138"/>
      <c r="AW725" s="141"/>
      <c r="AX725" s="52"/>
      <c r="AY725" s="52"/>
      <c r="AZ725" s="52"/>
      <c r="BA725" s="52"/>
      <c r="BB725" s="52"/>
    </row>
    <row r="726">
      <c r="A726" s="52"/>
      <c r="B726" s="26"/>
      <c r="C726" s="52"/>
      <c r="D726" s="52"/>
      <c r="E726" s="52"/>
      <c r="F726" s="52"/>
      <c r="G726" s="135"/>
      <c r="H726" s="52"/>
      <c r="I726" s="52"/>
      <c r="J726" s="136"/>
      <c r="K726" s="136"/>
      <c r="L726" s="136"/>
      <c r="M726" s="136"/>
      <c r="N726" s="52"/>
      <c r="O726" s="52"/>
      <c r="P726" s="52"/>
      <c r="Q726" s="52"/>
      <c r="R726" s="52"/>
      <c r="S726" s="52"/>
      <c r="T726" s="52"/>
      <c r="U726" s="52"/>
      <c r="V726" s="52"/>
      <c r="W726" s="52"/>
      <c r="X726" s="52"/>
      <c r="Y726" s="52"/>
      <c r="Z726" s="52"/>
      <c r="AA726" s="52"/>
      <c r="AB726" s="52"/>
      <c r="AC726" s="52"/>
      <c r="AD726" s="52"/>
      <c r="AE726" s="52"/>
      <c r="AF726" s="52"/>
      <c r="AG726" s="52"/>
      <c r="AH726" s="52"/>
      <c r="AI726" s="52"/>
      <c r="AJ726" s="52"/>
      <c r="AK726" s="52"/>
      <c r="AL726" s="52"/>
      <c r="AM726" s="52"/>
      <c r="AN726" s="52"/>
      <c r="AO726" s="52"/>
      <c r="AP726" s="138"/>
      <c r="AQ726" s="138"/>
      <c r="AR726" s="52"/>
      <c r="AS726" s="52"/>
      <c r="AT726" s="52"/>
      <c r="AU726" s="139"/>
      <c r="AV726" s="138"/>
      <c r="AW726" s="141"/>
      <c r="AX726" s="52"/>
      <c r="AY726" s="52"/>
      <c r="AZ726" s="52"/>
      <c r="BA726" s="52"/>
      <c r="BB726" s="52"/>
    </row>
    <row r="727">
      <c r="A727" s="52"/>
      <c r="B727" s="26"/>
      <c r="C727" s="52"/>
      <c r="D727" s="52"/>
      <c r="E727" s="52"/>
      <c r="F727" s="52"/>
      <c r="G727" s="135"/>
      <c r="H727" s="52"/>
      <c r="I727" s="52"/>
      <c r="J727" s="136"/>
      <c r="K727" s="136"/>
      <c r="L727" s="136"/>
      <c r="M727" s="136"/>
      <c r="N727" s="52"/>
      <c r="O727" s="52"/>
      <c r="P727" s="52"/>
      <c r="Q727" s="52"/>
      <c r="R727" s="52"/>
      <c r="S727" s="52"/>
      <c r="T727" s="52"/>
      <c r="U727" s="52"/>
      <c r="V727" s="52"/>
      <c r="W727" s="52"/>
      <c r="X727" s="52"/>
      <c r="Y727" s="52"/>
      <c r="Z727" s="52"/>
      <c r="AA727" s="52"/>
      <c r="AB727" s="52"/>
      <c r="AC727" s="52"/>
      <c r="AD727" s="52"/>
      <c r="AE727" s="52"/>
      <c r="AF727" s="52"/>
      <c r="AG727" s="52"/>
      <c r="AH727" s="52"/>
      <c r="AI727" s="52"/>
      <c r="AJ727" s="52"/>
      <c r="AK727" s="52"/>
      <c r="AL727" s="52"/>
      <c r="AM727" s="52"/>
      <c r="AN727" s="52"/>
      <c r="AO727" s="52"/>
      <c r="AP727" s="138"/>
      <c r="AQ727" s="138"/>
      <c r="AR727" s="52"/>
      <c r="AS727" s="52"/>
      <c r="AT727" s="52"/>
      <c r="AU727" s="139"/>
      <c r="AV727" s="138"/>
      <c r="AW727" s="141"/>
      <c r="AX727" s="52"/>
      <c r="AY727" s="52"/>
      <c r="AZ727" s="52"/>
      <c r="BA727" s="52"/>
      <c r="BB727" s="52"/>
    </row>
    <row r="728">
      <c r="A728" s="52"/>
      <c r="B728" s="26"/>
      <c r="C728" s="52"/>
      <c r="D728" s="52"/>
      <c r="E728" s="52"/>
      <c r="F728" s="52"/>
      <c r="G728" s="135"/>
      <c r="H728" s="52"/>
      <c r="I728" s="52"/>
      <c r="J728" s="136"/>
      <c r="K728" s="136"/>
      <c r="L728" s="136"/>
      <c r="M728" s="136"/>
      <c r="N728" s="52"/>
      <c r="O728" s="52"/>
      <c r="P728" s="52"/>
      <c r="Q728" s="52"/>
      <c r="R728" s="52"/>
      <c r="S728" s="52"/>
      <c r="T728" s="52"/>
      <c r="U728" s="52"/>
      <c r="V728" s="52"/>
      <c r="W728" s="52"/>
      <c r="X728" s="52"/>
      <c r="Y728" s="52"/>
      <c r="Z728" s="52"/>
      <c r="AA728" s="52"/>
      <c r="AB728" s="52"/>
      <c r="AC728" s="52"/>
      <c r="AD728" s="52"/>
      <c r="AE728" s="52"/>
      <c r="AF728" s="52"/>
      <c r="AG728" s="52"/>
      <c r="AH728" s="52"/>
      <c r="AI728" s="52"/>
      <c r="AJ728" s="52"/>
      <c r="AK728" s="52"/>
      <c r="AL728" s="52"/>
      <c r="AM728" s="52"/>
      <c r="AN728" s="52"/>
      <c r="AO728" s="52"/>
      <c r="AP728" s="138"/>
      <c r="AQ728" s="138"/>
      <c r="AR728" s="52"/>
      <c r="AS728" s="52"/>
      <c r="AT728" s="52"/>
      <c r="AU728" s="139"/>
      <c r="AV728" s="138"/>
      <c r="AW728" s="141"/>
      <c r="AX728" s="52"/>
      <c r="AY728" s="52"/>
      <c r="AZ728" s="52"/>
      <c r="BA728" s="52"/>
      <c r="BB728" s="52"/>
    </row>
    <row r="729">
      <c r="A729" s="52"/>
      <c r="B729" s="26"/>
      <c r="C729" s="52"/>
      <c r="D729" s="52"/>
      <c r="E729" s="52"/>
      <c r="F729" s="52"/>
      <c r="G729" s="135"/>
      <c r="H729" s="52"/>
      <c r="I729" s="52"/>
      <c r="J729" s="136"/>
      <c r="K729" s="136"/>
      <c r="L729" s="136"/>
      <c r="M729" s="136"/>
      <c r="N729" s="52"/>
      <c r="O729" s="52"/>
      <c r="P729" s="52"/>
      <c r="Q729" s="52"/>
      <c r="R729" s="52"/>
      <c r="S729" s="52"/>
      <c r="T729" s="52"/>
      <c r="U729" s="52"/>
      <c r="V729" s="52"/>
      <c r="W729" s="52"/>
      <c r="X729" s="52"/>
      <c r="Y729" s="52"/>
      <c r="Z729" s="52"/>
      <c r="AA729" s="52"/>
      <c r="AB729" s="52"/>
      <c r="AC729" s="52"/>
      <c r="AD729" s="52"/>
      <c r="AE729" s="52"/>
      <c r="AF729" s="52"/>
      <c r="AG729" s="52"/>
      <c r="AH729" s="52"/>
      <c r="AI729" s="52"/>
      <c r="AJ729" s="52"/>
      <c r="AK729" s="52"/>
      <c r="AL729" s="52"/>
      <c r="AM729" s="52"/>
      <c r="AN729" s="52"/>
      <c r="AO729" s="52"/>
      <c r="AP729" s="138"/>
      <c r="AQ729" s="138"/>
      <c r="AR729" s="52"/>
      <c r="AS729" s="52"/>
      <c r="AT729" s="52"/>
      <c r="AU729" s="139"/>
      <c r="AV729" s="138"/>
      <c r="AW729" s="141"/>
      <c r="AX729" s="52"/>
      <c r="AY729" s="52"/>
      <c r="AZ729" s="52"/>
      <c r="BA729" s="52"/>
      <c r="BB729" s="52"/>
    </row>
    <row r="730">
      <c r="A730" s="52"/>
      <c r="B730" s="26"/>
      <c r="C730" s="52"/>
      <c r="D730" s="52"/>
      <c r="E730" s="52"/>
      <c r="F730" s="52"/>
      <c r="G730" s="135"/>
      <c r="H730" s="52"/>
      <c r="I730" s="52"/>
      <c r="J730" s="136"/>
      <c r="K730" s="136"/>
      <c r="L730" s="136"/>
      <c r="M730" s="136"/>
      <c r="N730" s="52"/>
      <c r="O730" s="52"/>
      <c r="P730" s="52"/>
      <c r="Q730" s="52"/>
      <c r="R730" s="52"/>
      <c r="S730" s="52"/>
      <c r="T730" s="52"/>
      <c r="U730" s="52"/>
      <c r="V730" s="52"/>
      <c r="W730" s="52"/>
      <c r="X730" s="52"/>
      <c r="Y730" s="52"/>
      <c r="Z730" s="52"/>
      <c r="AA730" s="52"/>
      <c r="AB730" s="52"/>
      <c r="AC730" s="52"/>
      <c r="AD730" s="52"/>
      <c r="AE730" s="52"/>
      <c r="AF730" s="52"/>
      <c r="AG730" s="52"/>
      <c r="AH730" s="52"/>
      <c r="AI730" s="52"/>
      <c r="AJ730" s="52"/>
      <c r="AK730" s="52"/>
      <c r="AL730" s="52"/>
      <c r="AM730" s="52"/>
      <c r="AN730" s="52"/>
      <c r="AO730" s="52"/>
      <c r="AP730" s="138"/>
      <c r="AQ730" s="138"/>
      <c r="AR730" s="52"/>
      <c r="AS730" s="52"/>
      <c r="AT730" s="52"/>
      <c r="AU730" s="139"/>
      <c r="AV730" s="138"/>
      <c r="AW730" s="141"/>
      <c r="AX730" s="52"/>
      <c r="AY730" s="52"/>
      <c r="AZ730" s="52"/>
      <c r="BA730" s="52"/>
      <c r="BB730" s="52"/>
    </row>
    <row r="731">
      <c r="A731" s="52"/>
      <c r="B731" s="26"/>
      <c r="C731" s="52"/>
      <c r="D731" s="52"/>
      <c r="E731" s="52"/>
      <c r="F731" s="52"/>
      <c r="G731" s="135"/>
      <c r="H731" s="52"/>
      <c r="I731" s="52"/>
      <c r="J731" s="136"/>
      <c r="K731" s="136"/>
      <c r="L731" s="136"/>
      <c r="M731" s="136"/>
      <c r="N731" s="52"/>
      <c r="O731" s="52"/>
      <c r="P731" s="52"/>
      <c r="Q731" s="52"/>
      <c r="R731" s="52"/>
      <c r="S731" s="52"/>
      <c r="T731" s="52"/>
      <c r="U731" s="52"/>
      <c r="V731" s="52"/>
      <c r="W731" s="52"/>
      <c r="X731" s="52"/>
      <c r="Y731" s="52"/>
      <c r="Z731" s="52"/>
      <c r="AA731" s="52"/>
      <c r="AB731" s="52"/>
      <c r="AC731" s="52"/>
      <c r="AD731" s="52"/>
      <c r="AE731" s="52"/>
      <c r="AF731" s="52"/>
      <c r="AG731" s="52"/>
      <c r="AH731" s="52"/>
      <c r="AI731" s="52"/>
      <c r="AJ731" s="52"/>
      <c r="AK731" s="52"/>
      <c r="AL731" s="52"/>
      <c r="AM731" s="52"/>
      <c r="AN731" s="52"/>
      <c r="AO731" s="52"/>
      <c r="AP731" s="138"/>
      <c r="AQ731" s="138"/>
      <c r="AR731" s="52"/>
      <c r="AS731" s="52"/>
      <c r="AT731" s="52"/>
      <c r="AU731" s="139"/>
      <c r="AV731" s="138"/>
      <c r="AW731" s="141"/>
      <c r="AX731" s="52"/>
      <c r="AY731" s="52"/>
      <c r="AZ731" s="52"/>
      <c r="BA731" s="52"/>
      <c r="BB731" s="52"/>
    </row>
    <row r="732">
      <c r="A732" s="52"/>
      <c r="B732" s="26"/>
      <c r="C732" s="52"/>
      <c r="D732" s="52"/>
      <c r="E732" s="52"/>
      <c r="F732" s="52"/>
      <c r="G732" s="135"/>
      <c r="H732" s="52"/>
      <c r="I732" s="52"/>
      <c r="J732" s="136"/>
      <c r="K732" s="136"/>
      <c r="L732" s="136"/>
      <c r="M732" s="136"/>
      <c r="N732" s="52"/>
      <c r="O732" s="52"/>
      <c r="P732" s="52"/>
      <c r="Q732" s="52"/>
      <c r="R732" s="52"/>
      <c r="S732" s="52"/>
      <c r="T732" s="52"/>
      <c r="U732" s="52"/>
      <c r="V732" s="52"/>
      <c r="W732" s="52"/>
      <c r="X732" s="52"/>
      <c r="Y732" s="52"/>
      <c r="Z732" s="52"/>
      <c r="AA732" s="52"/>
      <c r="AB732" s="52"/>
      <c r="AC732" s="52"/>
      <c r="AD732" s="52"/>
      <c r="AE732" s="52"/>
      <c r="AF732" s="52"/>
      <c r="AG732" s="52"/>
      <c r="AH732" s="52"/>
      <c r="AI732" s="52"/>
      <c r="AJ732" s="52"/>
      <c r="AK732" s="52"/>
      <c r="AL732" s="52"/>
      <c r="AM732" s="52"/>
      <c r="AN732" s="52"/>
      <c r="AO732" s="52"/>
      <c r="AP732" s="138"/>
      <c r="AQ732" s="138"/>
      <c r="AR732" s="52"/>
      <c r="AS732" s="52"/>
      <c r="AT732" s="52"/>
      <c r="AU732" s="139"/>
      <c r="AV732" s="138"/>
      <c r="AW732" s="141"/>
      <c r="AX732" s="52"/>
      <c r="AY732" s="52"/>
      <c r="AZ732" s="52"/>
      <c r="BA732" s="52"/>
      <c r="BB732" s="52"/>
    </row>
    <row r="733">
      <c r="A733" s="52"/>
      <c r="B733" s="26"/>
      <c r="C733" s="52"/>
      <c r="D733" s="52"/>
      <c r="E733" s="52"/>
      <c r="F733" s="52"/>
      <c r="G733" s="135"/>
      <c r="H733" s="52"/>
      <c r="I733" s="52"/>
      <c r="J733" s="136"/>
      <c r="K733" s="136"/>
      <c r="L733" s="136"/>
      <c r="M733" s="136"/>
      <c r="N733" s="52"/>
      <c r="O733" s="52"/>
      <c r="P733" s="52"/>
      <c r="Q733" s="52"/>
      <c r="R733" s="52"/>
      <c r="S733" s="52"/>
      <c r="T733" s="52"/>
      <c r="U733" s="52"/>
      <c r="V733" s="52"/>
      <c r="W733" s="52"/>
      <c r="X733" s="52"/>
      <c r="Y733" s="52"/>
      <c r="Z733" s="52"/>
      <c r="AA733" s="52"/>
      <c r="AB733" s="52"/>
      <c r="AC733" s="52"/>
      <c r="AD733" s="52"/>
      <c r="AE733" s="52"/>
      <c r="AF733" s="52"/>
      <c r="AG733" s="52"/>
      <c r="AH733" s="52"/>
      <c r="AI733" s="52"/>
      <c r="AJ733" s="52"/>
      <c r="AK733" s="52"/>
      <c r="AL733" s="52"/>
      <c r="AM733" s="52"/>
      <c r="AN733" s="52"/>
      <c r="AO733" s="52"/>
      <c r="AP733" s="138"/>
      <c r="AQ733" s="138"/>
      <c r="AR733" s="52"/>
      <c r="AS733" s="52"/>
      <c r="AT733" s="52"/>
      <c r="AU733" s="139"/>
      <c r="AV733" s="138"/>
      <c r="AW733" s="141"/>
      <c r="AX733" s="52"/>
      <c r="AY733" s="52"/>
      <c r="AZ733" s="52"/>
      <c r="BA733" s="52"/>
      <c r="BB733" s="52"/>
    </row>
    <row r="734">
      <c r="A734" s="52"/>
      <c r="B734" s="26"/>
      <c r="C734" s="52"/>
      <c r="D734" s="52"/>
      <c r="E734" s="52"/>
      <c r="F734" s="52"/>
      <c r="G734" s="135"/>
      <c r="H734" s="52"/>
      <c r="I734" s="52"/>
      <c r="J734" s="136"/>
      <c r="K734" s="136"/>
      <c r="L734" s="136"/>
      <c r="M734" s="136"/>
      <c r="N734" s="52"/>
      <c r="O734" s="52"/>
      <c r="P734" s="52"/>
      <c r="Q734" s="52"/>
      <c r="R734" s="52"/>
      <c r="S734" s="52"/>
      <c r="T734" s="52"/>
      <c r="U734" s="52"/>
      <c r="V734" s="52"/>
      <c r="W734" s="52"/>
      <c r="X734" s="52"/>
      <c r="Y734" s="52"/>
      <c r="Z734" s="52"/>
      <c r="AA734" s="52"/>
      <c r="AB734" s="52"/>
      <c r="AC734" s="52"/>
      <c r="AD734" s="52"/>
      <c r="AE734" s="52"/>
      <c r="AF734" s="52"/>
      <c r="AG734" s="52"/>
      <c r="AH734" s="52"/>
      <c r="AI734" s="52"/>
      <c r="AJ734" s="52"/>
      <c r="AK734" s="52"/>
      <c r="AL734" s="52"/>
      <c r="AM734" s="52"/>
      <c r="AN734" s="52"/>
      <c r="AO734" s="52"/>
      <c r="AP734" s="138"/>
      <c r="AQ734" s="138"/>
      <c r="AR734" s="52"/>
      <c r="AS734" s="52"/>
      <c r="AT734" s="52"/>
      <c r="AU734" s="139"/>
      <c r="AV734" s="138"/>
      <c r="AW734" s="141"/>
      <c r="AX734" s="52"/>
      <c r="AY734" s="52"/>
      <c r="AZ734" s="52"/>
      <c r="BA734" s="52"/>
      <c r="BB734" s="52"/>
    </row>
    <row r="735">
      <c r="A735" s="52"/>
      <c r="B735" s="26"/>
      <c r="C735" s="52"/>
      <c r="D735" s="52"/>
      <c r="E735" s="52"/>
      <c r="F735" s="52"/>
      <c r="G735" s="135"/>
      <c r="H735" s="52"/>
      <c r="I735" s="52"/>
      <c r="J735" s="136"/>
      <c r="K735" s="136"/>
      <c r="L735" s="136"/>
      <c r="M735" s="136"/>
      <c r="N735" s="52"/>
      <c r="O735" s="52"/>
      <c r="P735" s="52"/>
      <c r="Q735" s="52"/>
      <c r="R735" s="52"/>
      <c r="S735" s="52"/>
      <c r="T735" s="52"/>
      <c r="U735" s="52"/>
      <c r="V735" s="52"/>
      <c r="W735" s="52"/>
      <c r="X735" s="52"/>
      <c r="Y735" s="52"/>
      <c r="Z735" s="52"/>
      <c r="AA735" s="52"/>
      <c r="AB735" s="52"/>
      <c r="AC735" s="52"/>
      <c r="AD735" s="52"/>
      <c r="AE735" s="52"/>
      <c r="AF735" s="52"/>
      <c r="AG735" s="52"/>
      <c r="AH735" s="52"/>
      <c r="AI735" s="52"/>
      <c r="AJ735" s="52"/>
      <c r="AK735" s="52"/>
      <c r="AL735" s="52"/>
      <c r="AM735" s="52"/>
      <c r="AN735" s="52"/>
      <c r="AO735" s="52"/>
      <c r="AP735" s="138"/>
      <c r="AQ735" s="138"/>
      <c r="AR735" s="52"/>
      <c r="AS735" s="52"/>
      <c r="AT735" s="52"/>
      <c r="AU735" s="139"/>
      <c r="AV735" s="138"/>
      <c r="AW735" s="141"/>
      <c r="AX735" s="52"/>
      <c r="AY735" s="52"/>
      <c r="AZ735" s="52"/>
      <c r="BA735" s="52"/>
      <c r="BB735" s="52"/>
    </row>
    <row r="736">
      <c r="A736" s="52"/>
      <c r="B736" s="26"/>
      <c r="C736" s="52"/>
      <c r="D736" s="52"/>
      <c r="E736" s="52"/>
      <c r="F736" s="52"/>
      <c r="G736" s="135"/>
      <c r="H736" s="52"/>
      <c r="I736" s="52"/>
      <c r="J736" s="136"/>
      <c r="K736" s="136"/>
      <c r="L736" s="136"/>
      <c r="M736" s="136"/>
      <c r="N736" s="52"/>
      <c r="O736" s="52"/>
      <c r="P736" s="52"/>
      <c r="Q736" s="52"/>
      <c r="R736" s="52"/>
      <c r="S736" s="52"/>
      <c r="T736" s="52"/>
      <c r="U736" s="52"/>
      <c r="V736" s="52"/>
      <c r="W736" s="52"/>
      <c r="X736" s="52"/>
      <c r="Y736" s="52"/>
      <c r="Z736" s="52"/>
      <c r="AA736" s="52"/>
      <c r="AB736" s="52"/>
      <c r="AC736" s="52"/>
      <c r="AD736" s="52"/>
      <c r="AE736" s="52"/>
      <c r="AF736" s="52"/>
      <c r="AG736" s="52"/>
      <c r="AH736" s="52"/>
      <c r="AI736" s="52"/>
      <c r="AJ736" s="52"/>
      <c r="AK736" s="52"/>
      <c r="AL736" s="52"/>
      <c r="AM736" s="52"/>
      <c r="AN736" s="52"/>
      <c r="AO736" s="52"/>
      <c r="AP736" s="138"/>
      <c r="AQ736" s="138"/>
      <c r="AR736" s="52"/>
      <c r="AS736" s="52"/>
      <c r="AT736" s="52"/>
      <c r="AU736" s="139"/>
      <c r="AV736" s="138"/>
      <c r="AW736" s="141"/>
      <c r="AX736" s="52"/>
      <c r="AY736" s="52"/>
      <c r="AZ736" s="52"/>
      <c r="BA736" s="52"/>
      <c r="BB736" s="52"/>
    </row>
    <row r="737">
      <c r="A737" s="52"/>
      <c r="B737" s="26"/>
      <c r="C737" s="52"/>
      <c r="D737" s="52"/>
      <c r="E737" s="52"/>
      <c r="F737" s="52"/>
      <c r="G737" s="135"/>
      <c r="H737" s="52"/>
      <c r="I737" s="52"/>
      <c r="J737" s="136"/>
      <c r="K737" s="136"/>
      <c r="L737" s="136"/>
      <c r="M737" s="136"/>
      <c r="N737" s="52"/>
      <c r="O737" s="52"/>
      <c r="P737" s="52"/>
      <c r="Q737" s="52"/>
      <c r="R737" s="52"/>
      <c r="S737" s="52"/>
      <c r="T737" s="52"/>
      <c r="U737" s="52"/>
      <c r="V737" s="52"/>
      <c r="W737" s="52"/>
      <c r="X737" s="52"/>
      <c r="Y737" s="52"/>
      <c r="Z737" s="52"/>
      <c r="AA737" s="52"/>
      <c r="AB737" s="52"/>
      <c r="AC737" s="52"/>
      <c r="AD737" s="52"/>
      <c r="AE737" s="52"/>
      <c r="AF737" s="52"/>
      <c r="AG737" s="52"/>
      <c r="AH737" s="52"/>
      <c r="AI737" s="52"/>
      <c r="AJ737" s="52"/>
      <c r="AK737" s="52"/>
      <c r="AL737" s="52"/>
      <c r="AM737" s="52"/>
      <c r="AN737" s="52"/>
      <c r="AO737" s="52"/>
      <c r="AP737" s="138"/>
      <c r="AQ737" s="138"/>
      <c r="AR737" s="52"/>
      <c r="AS737" s="52"/>
      <c r="AT737" s="52"/>
      <c r="AU737" s="139"/>
      <c r="AV737" s="138"/>
      <c r="AW737" s="141"/>
      <c r="AX737" s="52"/>
      <c r="AY737" s="52"/>
      <c r="AZ737" s="52"/>
      <c r="BA737" s="52"/>
      <c r="BB737" s="52"/>
    </row>
    <row r="738">
      <c r="A738" s="52"/>
      <c r="B738" s="26"/>
      <c r="C738" s="52"/>
      <c r="D738" s="52"/>
      <c r="E738" s="52"/>
      <c r="F738" s="52"/>
      <c r="G738" s="135"/>
      <c r="H738" s="52"/>
      <c r="I738" s="52"/>
      <c r="J738" s="136"/>
      <c r="K738" s="136"/>
      <c r="L738" s="136"/>
      <c r="M738" s="136"/>
      <c r="N738" s="52"/>
      <c r="O738" s="52"/>
      <c r="P738" s="52"/>
      <c r="Q738" s="52"/>
      <c r="R738" s="52"/>
      <c r="S738" s="52"/>
      <c r="T738" s="52"/>
      <c r="U738" s="52"/>
      <c r="V738" s="52"/>
      <c r="W738" s="52"/>
      <c r="X738" s="52"/>
      <c r="Y738" s="52"/>
      <c r="Z738" s="52"/>
      <c r="AA738" s="52"/>
      <c r="AB738" s="52"/>
      <c r="AC738" s="52"/>
      <c r="AD738" s="52"/>
      <c r="AE738" s="52"/>
      <c r="AF738" s="52"/>
      <c r="AG738" s="52"/>
      <c r="AH738" s="52"/>
      <c r="AI738" s="52"/>
      <c r="AJ738" s="52"/>
      <c r="AK738" s="52"/>
      <c r="AL738" s="52"/>
      <c r="AM738" s="52"/>
      <c r="AN738" s="52"/>
      <c r="AO738" s="52"/>
      <c r="AP738" s="138"/>
      <c r="AQ738" s="138"/>
      <c r="AR738" s="52"/>
      <c r="AS738" s="52"/>
      <c r="AT738" s="52"/>
      <c r="AU738" s="139"/>
      <c r="AV738" s="138"/>
      <c r="AW738" s="141"/>
      <c r="AX738" s="52"/>
      <c r="AY738" s="52"/>
      <c r="AZ738" s="52"/>
      <c r="BA738" s="52"/>
      <c r="BB738" s="52"/>
    </row>
    <row r="739">
      <c r="A739" s="52"/>
      <c r="B739" s="26"/>
      <c r="C739" s="52"/>
      <c r="D739" s="52"/>
      <c r="E739" s="52"/>
      <c r="F739" s="52"/>
      <c r="G739" s="135"/>
      <c r="H739" s="52"/>
      <c r="I739" s="52"/>
      <c r="J739" s="136"/>
      <c r="K739" s="136"/>
      <c r="L739" s="136"/>
      <c r="M739" s="136"/>
      <c r="N739" s="52"/>
      <c r="O739" s="52"/>
      <c r="P739" s="52"/>
      <c r="Q739" s="52"/>
      <c r="R739" s="52"/>
      <c r="S739" s="52"/>
      <c r="T739" s="52"/>
      <c r="U739" s="52"/>
      <c r="V739" s="52"/>
      <c r="W739" s="52"/>
      <c r="X739" s="52"/>
      <c r="Y739" s="52"/>
      <c r="Z739" s="52"/>
      <c r="AA739" s="52"/>
      <c r="AB739" s="52"/>
      <c r="AC739" s="52"/>
      <c r="AD739" s="52"/>
      <c r="AE739" s="52"/>
      <c r="AF739" s="52"/>
      <c r="AG739" s="52"/>
      <c r="AH739" s="52"/>
      <c r="AI739" s="52"/>
      <c r="AJ739" s="52"/>
      <c r="AK739" s="52"/>
      <c r="AL739" s="52"/>
      <c r="AM739" s="52"/>
      <c r="AN739" s="52"/>
      <c r="AO739" s="52"/>
      <c r="AP739" s="138"/>
      <c r="AQ739" s="138"/>
      <c r="AR739" s="52"/>
      <c r="AS739" s="52"/>
      <c r="AT739" s="52"/>
      <c r="AU739" s="139"/>
      <c r="AV739" s="138"/>
      <c r="AW739" s="141"/>
      <c r="AX739" s="52"/>
      <c r="AY739" s="52"/>
      <c r="AZ739" s="52"/>
      <c r="BA739" s="52"/>
      <c r="BB739" s="52"/>
    </row>
    <row r="740">
      <c r="A740" s="52"/>
      <c r="B740" s="26"/>
      <c r="C740" s="52"/>
      <c r="D740" s="52"/>
      <c r="E740" s="52"/>
      <c r="F740" s="52"/>
      <c r="G740" s="135"/>
      <c r="H740" s="52"/>
      <c r="I740" s="52"/>
      <c r="J740" s="136"/>
      <c r="K740" s="136"/>
      <c r="L740" s="136"/>
      <c r="M740" s="136"/>
      <c r="N740" s="52"/>
      <c r="O740" s="52"/>
      <c r="P740" s="52"/>
      <c r="Q740" s="52"/>
      <c r="R740" s="52"/>
      <c r="S740" s="52"/>
      <c r="T740" s="52"/>
      <c r="U740" s="52"/>
      <c r="V740" s="52"/>
      <c r="W740" s="52"/>
      <c r="X740" s="52"/>
      <c r="Y740" s="52"/>
      <c r="Z740" s="52"/>
      <c r="AA740" s="52"/>
      <c r="AB740" s="52"/>
      <c r="AC740" s="52"/>
      <c r="AD740" s="52"/>
      <c r="AE740" s="52"/>
      <c r="AF740" s="52"/>
      <c r="AG740" s="52"/>
      <c r="AH740" s="52"/>
      <c r="AI740" s="52"/>
      <c r="AJ740" s="52"/>
      <c r="AK740" s="52"/>
      <c r="AL740" s="52"/>
      <c r="AM740" s="52"/>
      <c r="AN740" s="52"/>
      <c r="AO740" s="52"/>
      <c r="AP740" s="138"/>
      <c r="AQ740" s="138"/>
      <c r="AR740" s="52"/>
      <c r="AS740" s="52"/>
      <c r="AT740" s="52"/>
      <c r="AU740" s="139"/>
      <c r="AV740" s="138"/>
      <c r="AW740" s="141"/>
      <c r="AX740" s="52"/>
      <c r="AY740" s="52"/>
      <c r="AZ740" s="52"/>
      <c r="BA740" s="52"/>
      <c r="BB740" s="52"/>
    </row>
    <row r="741">
      <c r="A741" s="52"/>
      <c r="B741" s="26"/>
      <c r="C741" s="52"/>
      <c r="D741" s="52"/>
      <c r="E741" s="52"/>
      <c r="F741" s="52"/>
      <c r="G741" s="135"/>
      <c r="H741" s="52"/>
      <c r="I741" s="52"/>
      <c r="J741" s="136"/>
      <c r="K741" s="136"/>
      <c r="L741" s="136"/>
      <c r="M741" s="136"/>
      <c r="N741" s="52"/>
      <c r="O741" s="52"/>
      <c r="P741" s="52"/>
      <c r="Q741" s="52"/>
      <c r="R741" s="52"/>
      <c r="S741" s="52"/>
      <c r="T741" s="52"/>
      <c r="U741" s="52"/>
      <c r="V741" s="52"/>
      <c r="W741" s="52"/>
      <c r="X741" s="52"/>
      <c r="Y741" s="52"/>
      <c r="Z741" s="52"/>
      <c r="AA741" s="52"/>
      <c r="AB741" s="52"/>
      <c r="AC741" s="52"/>
      <c r="AD741" s="52"/>
      <c r="AE741" s="52"/>
      <c r="AF741" s="52"/>
      <c r="AG741" s="52"/>
      <c r="AH741" s="52"/>
      <c r="AI741" s="52"/>
      <c r="AJ741" s="52"/>
      <c r="AK741" s="52"/>
      <c r="AL741" s="52"/>
      <c r="AM741" s="52"/>
      <c r="AN741" s="52"/>
      <c r="AO741" s="52"/>
      <c r="AP741" s="138"/>
      <c r="AQ741" s="138"/>
      <c r="AR741" s="52"/>
      <c r="AS741" s="52"/>
      <c r="AT741" s="52"/>
      <c r="AU741" s="139"/>
      <c r="AV741" s="138"/>
      <c r="AW741" s="141"/>
      <c r="AX741" s="52"/>
      <c r="AY741" s="52"/>
      <c r="AZ741" s="52"/>
      <c r="BA741" s="52"/>
      <c r="BB741" s="52"/>
    </row>
    <row r="742">
      <c r="A742" s="52"/>
      <c r="B742" s="26"/>
      <c r="C742" s="52"/>
      <c r="D742" s="52"/>
      <c r="E742" s="52"/>
      <c r="F742" s="52"/>
      <c r="G742" s="135"/>
      <c r="H742" s="52"/>
      <c r="I742" s="52"/>
      <c r="J742" s="136"/>
      <c r="K742" s="136"/>
      <c r="L742" s="136"/>
      <c r="M742" s="136"/>
      <c r="N742" s="52"/>
      <c r="O742" s="52"/>
      <c r="P742" s="52"/>
      <c r="Q742" s="52"/>
      <c r="R742" s="52"/>
      <c r="S742" s="52"/>
      <c r="T742" s="52"/>
      <c r="U742" s="52"/>
      <c r="V742" s="52"/>
      <c r="W742" s="52"/>
      <c r="X742" s="52"/>
      <c r="Y742" s="52"/>
      <c r="Z742" s="52"/>
      <c r="AA742" s="52"/>
      <c r="AB742" s="52"/>
      <c r="AC742" s="52"/>
      <c r="AD742" s="52"/>
      <c r="AE742" s="52"/>
      <c r="AF742" s="52"/>
      <c r="AG742" s="52"/>
      <c r="AH742" s="52"/>
      <c r="AI742" s="52"/>
      <c r="AJ742" s="52"/>
      <c r="AK742" s="52"/>
      <c r="AL742" s="52"/>
      <c r="AM742" s="52"/>
      <c r="AN742" s="52"/>
      <c r="AO742" s="52"/>
      <c r="AP742" s="138"/>
      <c r="AQ742" s="138"/>
      <c r="AR742" s="52"/>
      <c r="AS742" s="52"/>
      <c r="AT742" s="52"/>
      <c r="AU742" s="139"/>
      <c r="AV742" s="138"/>
      <c r="AW742" s="141"/>
      <c r="AX742" s="52"/>
      <c r="AY742" s="52"/>
      <c r="AZ742" s="52"/>
      <c r="BA742" s="52"/>
      <c r="BB742" s="52"/>
    </row>
    <row r="743">
      <c r="A743" s="52"/>
      <c r="B743" s="26"/>
      <c r="C743" s="52"/>
      <c r="D743" s="52"/>
      <c r="E743" s="52"/>
      <c r="F743" s="52"/>
      <c r="G743" s="135"/>
      <c r="H743" s="52"/>
      <c r="I743" s="52"/>
      <c r="J743" s="136"/>
      <c r="K743" s="136"/>
      <c r="L743" s="136"/>
      <c r="M743" s="136"/>
      <c r="N743" s="52"/>
      <c r="O743" s="52"/>
      <c r="P743" s="52"/>
      <c r="Q743" s="52"/>
      <c r="R743" s="52"/>
      <c r="S743" s="52"/>
      <c r="T743" s="52"/>
      <c r="U743" s="52"/>
      <c r="V743" s="52"/>
      <c r="W743" s="52"/>
      <c r="X743" s="52"/>
      <c r="Y743" s="52"/>
      <c r="Z743" s="52"/>
      <c r="AA743" s="52"/>
      <c r="AB743" s="52"/>
      <c r="AC743" s="52"/>
      <c r="AD743" s="52"/>
      <c r="AE743" s="52"/>
      <c r="AF743" s="52"/>
      <c r="AG743" s="52"/>
      <c r="AH743" s="52"/>
      <c r="AI743" s="52"/>
      <c r="AJ743" s="52"/>
      <c r="AK743" s="52"/>
      <c r="AL743" s="52"/>
      <c r="AM743" s="52"/>
      <c r="AN743" s="52"/>
      <c r="AO743" s="52"/>
      <c r="AP743" s="138"/>
      <c r="AQ743" s="138"/>
      <c r="AR743" s="52"/>
      <c r="AS743" s="52"/>
      <c r="AT743" s="52"/>
      <c r="AU743" s="139"/>
      <c r="AV743" s="138"/>
      <c r="AW743" s="141"/>
      <c r="AX743" s="52"/>
      <c r="AY743" s="52"/>
      <c r="AZ743" s="52"/>
      <c r="BA743" s="52"/>
      <c r="BB743" s="52"/>
    </row>
    <row r="744">
      <c r="A744" s="52"/>
      <c r="B744" s="26"/>
      <c r="C744" s="52"/>
      <c r="D744" s="52"/>
      <c r="E744" s="52"/>
      <c r="F744" s="52"/>
      <c r="G744" s="135"/>
      <c r="H744" s="52"/>
      <c r="I744" s="52"/>
      <c r="J744" s="136"/>
      <c r="K744" s="136"/>
      <c r="L744" s="136"/>
      <c r="M744" s="136"/>
      <c r="N744" s="52"/>
      <c r="O744" s="52"/>
      <c r="P744" s="52"/>
      <c r="Q744" s="52"/>
      <c r="R744" s="52"/>
      <c r="S744" s="52"/>
      <c r="T744" s="52"/>
      <c r="U744" s="52"/>
      <c r="V744" s="52"/>
      <c r="W744" s="52"/>
      <c r="X744" s="52"/>
      <c r="Y744" s="52"/>
      <c r="Z744" s="52"/>
      <c r="AA744" s="52"/>
      <c r="AB744" s="52"/>
      <c r="AC744" s="52"/>
      <c r="AD744" s="52"/>
      <c r="AE744" s="52"/>
      <c r="AF744" s="52"/>
      <c r="AG744" s="52"/>
      <c r="AH744" s="52"/>
      <c r="AI744" s="52"/>
      <c r="AJ744" s="52"/>
      <c r="AK744" s="52"/>
      <c r="AL744" s="52"/>
      <c r="AM744" s="52"/>
      <c r="AN744" s="52"/>
      <c r="AO744" s="52"/>
      <c r="AP744" s="138"/>
      <c r="AQ744" s="138"/>
      <c r="AR744" s="52"/>
      <c r="AS744" s="52"/>
      <c r="AT744" s="52"/>
      <c r="AU744" s="139"/>
      <c r="AV744" s="138"/>
      <c r="AW744" s="141"/>
      <c r="AX744" s="52"/>
      <c r="AY744" s="52"/>
      <c r="AZ744" s="52"/>
      <c r="BA744" s="52"/>
      <c r="BB744" s="52"/>
    </row>
    <row r="745">
      <c r="A745" s="52"/>
      <c r="B745" s="26"/>
      <c r="C745" s="52"/>
      <c r="D745" s="52"/>
      <c r="E745" s="52"/>
      <c r="F745" s="52"/>
      <c r="G745" s="135"/>
      <c r="H745" s="52"/>
      <c r="I745" s="52"/>
      <c r="J745" s="136"/>
      <c r="K745" s="136"/>
      <c r="L745" s="136"/>
      <c r="M745" s="136"/>
      <c r="N745" s="52"/>
      <c r="O745" s="52"/>
      <c r="P745" s="52"/>
      <c r="Q745" s="52"/>
      <c r="R745" s="52"/>
      <c r="S745" s="52"/>
      <c r="T745" s="52"/>
      <c r="U745" s="52"/>
      <c r="V745" s="52"/>
      <c r="W745" s="52"/>
      <c r="X745" s="52"/>
      <c r="Y745" s="52"/>
      <c r="Z745" s="52"/>
      <c r="AA745" s="52"/>
      <c r="AB745" s="52"/>
      <c r="AC745" s="52"/>
      <c r="AD745" s="52"/>
      <c r="AE745" s="52"/>
      <c r="AF745" s="52"/>
      <c r="AG745" s="52"/>
      <c r="AH745" s="52"/>
      <c r="AI745" s="52"/>
      <c r="AJ745" s="52"/>
      <c r="AK745" s="52"/>
      <c r="AL745" s="52"/>
      <c r="AM745" s="52"/>
      <c r="AN745" s="52"/>
      <c r="AO745" s="52"/>
      <c r="AP745" s="138"/>
      <c r="AQ745" s="138"/>
      <c r="AR745" s="52"/>
      <c r="AS745" s="52"/>
      <c r="AT745" s="52"/>
      <c r="AU745" s="139"/>
      <c r="AV745" s="138"/>
      <c r="AW745" s="141"/>
      <c r="AX745" s="52"/>
      <c r="AY745" s="52"/>
      <c r="AZ745" s="52"/>
      <c r="BA745" s="52"/>
      <c r="BB745" s="52"/>
    </row>
    <row r="746">
      <c r="A746" s="52"/>
      <c r="B746" s="26"/>
      <c r="C746" s="52"/>
      <c r="D746" s="52"/>
      <c r="E746" s="52"/>
      <c r="F746" s="52"/>
      <c r="G746" s="135"/>
      <c r="H746" s="52"/>
      <c r="I746" s="52"/>
      <c r="J746" s="136"/>
      <c r="K746" s="136"/>
      <c r="L746" s="136"/>
      <c r="M746" s="136"/>
      <c r="N746" s="52"/>
      <c r="O746" s="52"/>
      <c r="P746" s="52"/>
      <c r="Q746" s="52"/>
      <c r="R746" s="52"/>
      <c r="S746" s="52"/>
      <c r="T746" s="52"/>
      <c r="U746" s="52"/>
      <c r="V746" s="52"/>
      <c r="W746" s="52"/>
      <c r="X746" s="52"/>
      <c r="Y746" s="52"/>
      <c r="Z746" s="52"/>
      <c r="AA746" s="52"/>
      <c r="AB746" s="52"/>
      <c r="AC746" s="52"/>
      <c r="AD746" s="52"/>
      <c r="AE746" s="52"/>
      <c r="AF746" s="52"/>
      <c r="AG746" s="52"/>
      <c r="AH746" s="52"/>
      <c r="AI746" s="52"/>
      <c r="AJ746" s="52"/>
      <c r="AK746" s="52"/>
      <c r="AL746" s="52"/>
      <c r="AM746" s="52"/>
      <c r="AN746" s="52"/>
      <c r="AO746" s="52"/>
      <c r="AP746" s="138"/>
      <c r="AQ746" s="138"/>
      <c r="AR746" s="52"/>
      <c r="AS746" s="52"/>
      <c r="AT746" s="52"/>
      <c r="AU746" s="139"/>
      <c r="AV746" s="138"/>
      <c r="AW746" s="141"/>
      <c r="AX746" s="52"/>
      <c r="AY746" s="52"/>
      <c r="AZ746" s="52"/>
      <c r="BA746" s="52"/>
      <c r="BB746" s="52"/>
    </row>
    <row r="747">
      <c r="A747" s="52"/>
      <c r="B747" s="26"/>
      <c r="C747" s="52"/>
      <c r="D747" s="52"/>
      <c r="E747" s="52"/>
      <c r="F747" s="52"/>
      <c r="G747" s="135"/>
      <c r="H747" s="52"/>
      <c r="I747" s="52"/>
      <c r="J747" s="136"/>
      <c r="K747" s="136"/>
      <c r="L747" s="136"/>
      <c r="M747" s="136"/>
      <c r="N747" s="52"/>
      <c r="O747" s="52"/>
      <c r="P747" s="52"/>
      <c r="Q747" s="52"/>
      <c r="R747" s="52"/>
      <c r="S747" s="52"/>
      <c r="T747" s="52"/>
      <c r="U747" s="52"/>
      <c r="V747" s="52"/>
      <c r="W747" s="52"/>
      <c r="X747" s="52"/>
      <c r="Y747" s="52"/>
      <c r="Z747" s="52"/>
      <c r="AA747" s="52"/>
      <c r="AB747" s="52"/>
      <c r="AC747" s="52"/>
      <c r="AD747" s="52"/>
      <c r="AE747" s="52"/>
      <c r="AF747" s="52"/>
      <c r="AG747" s="52"/>
      <c r="AH747" s="52"/>
      <c r="AI747" s="52"/>
      <c r="AJ747" s="52"/>
      <c r="AK747" s="52"/>
      <c r="AL747" s="52"/>
      <c r="AM747" s="52"/>
      <c r="AN747" s="52"/>
      <c r="AO747" s="52"/>
      <c r="AP747" s="138"/>
      <c r="AQ747" s="138"/>
      <c r="AR747" s="52"/>
      <c r="AS747" s="52"/>
      <c r="AT747" s="52"/>
      <c r="AU747" s="139"/>
      <c r="AV747" s="138"/>
      <c r="AW747" s="141"/>
      <c r="AX747" s="52"/>
      <c r="AY747" s="52"/>
      <c r="AZ747" s="52"/>
      <c r="BA747" s="52"/>
      <c r="BB747" s="52"/>
    </row>
    <row r="748">
      <c r="A748" s="52"/>
      <c r="B748" s="26"/>
      <c r="C748" s="52"/>
      <c r="D748" s="52"/>
      <c r="E748" s="52"/>
      <c r="F748" s="52"/>
      <c r="G748" s="135"/>
      <c r="H748" s="52"/>
      <c r="I748" s="52"/>
      <c r="J748" s="136"/>
      <c r="K748" s="136"/>
      <c r="L748" s="136"/>
      <c r="M748" s="136"/>
      <c r="N748" s="52"/>
      <c r="O748" s="52"/>
      <c r="P748" s="52"/>
      <c r="Q748" s="52"/>
      <c r="R748" s="52"/>
      <c r="S748" s="52"/>
      <c r="T748" s="52"/>
      <c r="U748" s="52"/>
      <c r="V748" s="52"/>
      <c r="W748" s="52"/>
      <c r="X748" s="52"/>
      <c r="Y748" s="52"/>
      <c r="Z748" s="52"/>
      <c r="AA748" s="52"/>
      <c r="AB748" s="52"/>
      <c r="AC748" s="52"/>
      <c r="AD748" s="52"/>
      <c r="AE748" s="52"/>
      <c r="AF748" s="52"/>
      <c r="AG748" s="52"/>
      <c r="AH748" s="52"/>
      <c r="AI748" s="52"/>
      <c r="AJ748" s="52"/>
      <c r="AK748" s="52"/>
      <c r="AL748" s="52"/>
      <c r="AM748" s="52"/>
      <c r="AN748" s="52"/>
      <c r="AO748" s="52"/>
      <c r="AP748" s="138"/>
      <c r="AQ748" s="138"/>
      <c r="AR748" s="52"/>
      <c r="AS748" s="52"/>
      <c r="AT748" s="52"/>
      <c r="AU748" s="139"/>
      <c r="AV748" s="138"/>
      <c r="AW748" s="141"/>
      <c r="AX748" s="52"/>
      <c r="AY748" s="52"/>
      <c r="AZ748" s="52"/>
      <c r="BA748" s="52"/>
      <c r="BB748" s="52"/>
    </row>
    <row r="749">
      <c r="A749" s="52"/>
      <c r="B749" s="26"/>
      <c r="C749" s="52"/>
      <c r="D749" s="52"/>
      <c r="E749" s="52"/>
      <c r="F749" s="52"/>
      <c r="G749" s="135"/>
      <c r="H749" s="52"/>
      <c r="I749" s="52"/>
      <c r="J749" s="136"/>
      <c r="K749" s="136"/>
      <c r="L749" s="136"/>
      <c r="M749" s="136"/>
      <c r="N749" s="52"/>
      <c r="O749" s="52"/>
      <c r="P749" s="52"/>
      <c r="Q749" s="52"/>
      <c r="R749" s="52"/>
      <c r="S749" s="52"/>
      <c r="T749" s="52"/>
      <c r="U749" s="52"/>
      <c r="V749" s="52"/>
      <c r="W749" s="52"/>
      <c r="X749" s="52"/>
      <c r="Y749" s="52"/>
      <c r="Z749" s="52"/>
      <c r="AA749" s="52"/>
      <c r="AB749" s="52"/>
      <c r="AC749" s="52"/>
      <c r="AD749" s="52"/>
      <c r="AE749" s="52"/>
      <c r="AF749" s="52"/>
      <c r="AG749" s="52"/>
      <c r="AH749" s="52"/>
      <c r="AI749" s="52"/>
      <c r="AJ749" s="52"/>
      <c r="AK749" s="52"/>
      <c r="AL749" s="52"/>
      <c r="AM749" s="52"/>
      <c r="AN749" s="52"/>
      <c r="AO749" s="52"/>
      <c r="AP749" s="138"/>
      <c r="AQ749" s="138"/>
      <c r="AR749" s="52"/>
      <c r="AS749" s="52"/>
      <c r="AT749" s="52"/>
      <c r="AU749" s="139"/>
      <c r="AV749" s="138"/>
      <c r="AW749" s="141"/>
      <c r="AX749" s="52"/>
      <c r="AY749" s="52"/>
      <c r="AZ749" s="52"/>
      <c r="BA749" s="52"/>
      <c r="BB749" s="52"/>
    </row>
    <row r="750">
      <c r="A750" s="52"/>
      <c r="B750" s="26"/>
      <c r="C750" s="52"/>
      <c r="D750" s="52"/>
      <c r="E750" s="52"/>
      <c r="F750" s="52"/>
      <c r="G750" s="135"/>
      <c r="H750" s="52"/>
      <c r="I750" s="52"/>
      <c r="J750" s="136"/>
      <c r="K750" s="136"/>
      <c r="L750" s="136"/>
      <c r="M750" s="136"/>
      <c r="N750" s="52"/>
      <c r="O750" s="52"/>
      <c r="P750" s="52"/>
      <c r="Q750" s="52"/>
      <c r="R750" s="52"/>
      <c r="S750" s="52"/>
      <c r="T750" s="52"/>
      <c r="U750" s="52"/>
      <c r="V750" s="52"/>
      <c r="W750" s="52"/>
      <c r="X750" s="52"/>
      <c r="Y750" s="52"/>
      <c r="Z750" s="52"/>
      <c r="AA750" s="52"/>
      <c r="AB750" s="52"/>
      <c r="AC750" s="52"/>
      <c r="AD750" s="52"/>
      <c r="AE750" s="52"/>
      <c r="AF750" s="52"/>
      <c r="AG750" s="52"/>
      <c r="AH750" s="52"/>
      <c r="AI750" s="52"/>
      <c r="AJ750" s="52"/>
      <c r="AK750" s="52"/>
      <c r="AL750" s="52"/>
      <c r="AM750" s="52"/>
      <c r="AN750" s="52"/>
      <c r="AO750" s="52"/>
      <c r="AP750" s="138"/>
      <c r="AQ750" s="138"/>
      <c r="AR750" s="52"/>
      <c r="AS750" s="52"/>
      <c r="AT750" s="52"/>
      <c r="AU750" s="139"/>
      <c r="AV750" s="138"/>
      <c r="AW750" s="141"/>
      <c r="AX750" s="52"/>
      <c r="AY750" s="52"/>
      <c r="AZ750" s="52"/>
      <c r="BA750" s="52"/>
      <c r="BB750" s="52"/>
    </row>
    <row r="751">
      <c r="A751" s="52"/>
      <c r="B751" s="26"/>
      <c r="C751" s="52"/>
      <c r="D751" s="52"/>
      <c r="E751" s="52"/>
      <c r="F751" s="52"/>
      <c r="G751" s="135"/>
      <c r="H751" s="52"/>
      <c r="I751" s="52"/>
      <c r="J751" s="136"/>
      <c r="K751" s="136"/>
      <c r="L751" s="136"/>
      <c r="M751" s="136"/>
      <c r="N751" s="52"/>
      <c r="O751" s="52"/>
      <c r="P751" s="52"/>
      <c r="Q751" s="52"/>
      <c r="R751" s="52"/>
      <c r="S751" s="52"/>
      <c r="T751" s="52"/>
      <c r="U751" s="52"/>
      <c r="V751" s="52"/>
      <c r="W751" s="52"/>
      <c r="X751" s="52"/>
      <c r="Y751" s="52"/>
      <c r="Z751" s="52"/>
      <c r="AA751" s="52"/>
      <c r="AB751" s="52"/>
      <c r="AC751" s="52"/>
      <c r="AD751" s="52"/>
      <c r="AE751" s="52"/>
      <c r="AF751" s="52"/>
      <c r="AG751" s="52"/>
      <c r="AH751" s="52"/>
      <c r="AI751" s="52"/>
      <c r="AJ751" s="52"/>
      <c r="AK751" s="52"/>
      <c r="AL751" s="52"/>
      <c r="AM751" s="52"/>
      <c r="AN751" s="52"/>
      <c r="AO751" s="52"/>
      <c r="AP751" s="138"/>
      <c r="AQ751" s="138"/>
      <c r="AR751" s="52"/>
      <c r="AS751" s="52"/>
      <c r="AT751" s="52"/>
      <c r="AU751" s="139"/>
      <c r="AV751" s="138"/>
      <c r="AW751" s="141"/>
      <c r="AX751" s="52"/>
      <c r="AY751" s="52"/>
      <c r="AZ751" s="52"/>
      <c r="BA751" s="52"/>
      <c r="BB751" s="52"/>
    </row>
    <row r="752">
      <c r="A752" s="52"/>
      <c r="B752" s="26"/>
      <c r="C752" s="52"/>
      <c r="D752" s="52"/>
      <c r="E752" s="52"/>
      <c r="F752" s="52"/>
      <c r="G752" s="135"/>
      <c r="H752" s="52"/>
      <c r="I752" s="52"/>
      <c r="J752" s="136"/>
      <c r="K752" s="136"/>
      <c r="L752" s="136"/>
      <c r="M752" s="136"/>
      <c r="N752" s="52"/>
      <c r="O752" s="52"/>
      <c r="P752" s="52"/>
      <c r="Q752" s="52"/>
      <c r="R752" s="52"/>
      <c r="S752" s="52"/>
      <c r="T752" s="52"/>
      <c r="U752" s="52"/>
      <c r="V752" s="52"/>
      <c r="W752" s="52"/>
      <c r="X752" s="52"/>
      <c r="Y752" s="52"/>
      <c r="Z752" s="52"/>
      <c r="AA752" s="52"/>
      <c r="AB752" s="52"/>
      <c r="AC752" s="52"/>
      <c r="AD752" s="52"/>
      <c r="AE752" s="52"/>
      <c r="AF752" s="52"/>
      <c r="AG752" s="52"/>
      <c r="AH752" s="52"/>
      <c r="AI752" s="52"/>
      <c r="AJ752" s="52"/>
      <c r="AK752" s="52"/>
      <c r="AL752" s="52"/>
      <c r="AM752" s="52"/>
      <c r="AN752" s="52"/>
      <c r="AO752" s="52"/>
      <c r="AP752" s="138"/>
      <c r="AQ752" s="138"/>
      <c r="AR752" s="52"/>
      <c r="AS752" s="52"/>
      <c r="AT752" s="52"/>
      <c r="AU752" s="139"/>
      <c r="AV752" s="138"/>
      <c r="AW752" s="141"/>
      <c r="AX752" s="52"/>
      <c r="AY752" s="52"/>
      <c r="AZ752" s="52"/>
      <c r="BA752" s="52"/>
      <c r="BB752" s="52"/>
    </row>
    <row r="753">
      <c r="A753" s="52"/>
      <c r="B753" s="26"/>
      <c r="C753" s="52"/>
      <c r="D753" s="52"/>
      <c r="E753" s="52"/>
      <c r="F753" s="52"/>
      <c r="G753" s="135"/>
      <c r="H753" s="52"/>
      <c r="I753" s="52"/>
      <c r="J753" s="136"/>
      <c r="K753" s="136"/>
      <c r="L753" s="136"/>
      <c r="M753" s="136"/>
      <c r="N753" s="52"/>
      <c r="O753" s="52"/>
      <c r="P753" s="52"/>
      <c r="Q753" s="52"/>
      <c r="R753" s="52"/>
      <c r="S753" s="52"/>
      <c r="T753" s="52"/>
      <c r="U753" s="52"/>
      <c r="V753" s="52"/>
      <c r="W753" s="52"/>
      <c r="X753" s="52"/>
      <c r="Y753" s="52"/>
      <c r="Z753" s="52"/>
      <c r="AA753" s="52"/>
      <c r="AB753" s="52"/>
      <c r="AC753" s="52"/>
      <c r="AD753" s="52"/>
      <c r="AE753" s="52"/>
      <c r="AF753" s="52"/>
      <c r="AG753" s="52"/>
      <c r="AH753" s="52"/>
      <c r="AI753" s="52"/>
      <c r="AJ753" s="52"/>
      <c r="AK753" s="52"/>
      <c r="AL753" s="52"/>
      <c r="AM753" s="52"/>
      <c r="AN753" s="52"/>
      <c r="AO753" s="52"/>
      <c r="AP753" s="138"/>
      <c r="AQ753" s="138"/>
      <c r="AR753" s="52"/>
      <c r="AS753" s="52"/>
      <c r="AT753" s="52"/>
      <c r="AU753" s="139"/>
      <c r="AV753" s="138"/>
      <c r="AW753" s="141"/>
      <c r="AX753" s="52"/>
      <c r="AY753" s="52"/>
      <c r="AZ753" s="52"/>
      <c r="BA753" s="52"/>
      <c r="BB753" s="52"/>
    </row>
    <row r="754">
      <c r="A754" s="52"/>
      <c r="B754" s="26"/>
      <c r="C754" s="52"/>
      <c r="D754" s="52"/>
      <c r="E754" s="52"/>
      <c r="F754" s="52"/>
      <c r="G754" s="135"/>
      <c r="H754" s="52"/>
      <c r="I754" s="52"/>
      <c r="J754" s="136"/>
      <c r="K754" s="136"/>
      <c r="L754" s="136"/>
      <c r="M754" s="136"/>
      <c r="N754" s="52"/>
      <c r="O754" s="52"/>
      <c r="P754" s="52"/>
      <c r="Q754" s="52"/>
      <c r="R754" s="52"/>
      <c r="S754" s="52"/>
      <c r="T754" s="52"/>
      <c r="U754" s="52"/>
      <c r="V754" s="52"/>
      <c r="W754" s="52"/>
      <c r="X754" s="52"/>
      <c r="Y754" s="52"/>
      <c r="Z754" s="52"/>
      <c r="AA754" s="52"/>
      <c r="AB754" s="52"/>
      <c r="AC754" s="52"/>
      <c r="AD754" s="52"/>
      <c r="AE754" s="52"/>
      <c r="AF754" s="52"/>
      <c r="AG754" s="52"/>
      <c r="AH754" s="52"/>
      <c r="AI754" s="52"/>
      <c r="AJ754" s="52"/>
      <c r="AK754" s="52"/>
      <c r="AL754" s="52"/>
      <c r="AM754" s="52"/>
      <c r="AN754" s="52"/>
      <c r="AO754" s="52"/>
      <c r="AP754" s="138"/>
      <c r="AQ754" s="138"/>
      <c r="AR754" s="52"/>
      <c r="AS754" s="52"/>
      <c r="AT754" s="52"/>
      <c r="AU754" s="139"/>
      <c r="AV754" s="138"/>
      <c r="AW754" s="141"/>
      <c r="AX754" s="52"/>
      <c r="AY754" s="52"/>
      <c r="AZ754" s="52"/>
      <c r="BA754" s="52"/>
      <c r="BB754" s="52"/>
    </row>
    <row r="755">
      <c r="A755" s="52"/>
      <c r="B755" s="26"/>
      <c r="C755" s="52"/>
      <c r="D755" s="52"/>
      <c r="E755" s="52"/>
      <c r="F755" s="52"/>
      <c r="G755" s="135"/>
      <c r="H755" s="52"/>
      <c r="I755" s="52"/>
      <c r="J755" s="136"/>
      <c r="K755" s="136"/>
      <c r="L755" s="136"/>
      <c r="M755" s="136"/>
      <c r="N755" s="52"/>
      <c r="O755" s="52"/>
      <c r="P755" s="52"/>
      <c r="Q755" s="52"/>
      <c r="R755" s="52"/>
      <c r="S755" s="52"/>
      <c r="T755" s="52"/>
      <c r="U755" s="52"/>
      <c r="V755" s="52"/>
      <c r="W755" s="52"/>
      <c r="X755" s="52"/>
      <c r="Y755" s="52"/>
      <c r="Z755" s="52"/>
      <c r="AA755" s="52"/>
      <c r="AB755" s="52"/>
      <c r="AC755" s="52"/>
      <c r="AD755" s="52"/>
      <c r="AE755" s="52"/>
      <c r="AF755" s="52"/>
      <c r="AG755" s="52"/>
      <c r="AH755" s="52"/>
      <c r="AI755" s="52"/>
      <c r="AJ755" s="52"/>
      <c r="AK755" s="52"/>
      <c r="AL755" s="52"/>
      <c r="AM755" s="52"/>
      <c r="AN755" s="52"/>
      <c r="AO755" s="52"/>
      <c r="AP755" s="138"/>
      <c r="AQ755" s="138"/>
      <c r="AR755" s="52"/>
      <c r="AS755" s="52"/>
      <c r="AT755" s="52"/>
      <c r="AU755" s="139"/>
      <c r="AV755" s="138"/>
      <c r="AW755" s="141"/>
      <c r="AX755" s="52"/>
      <c r="AY755" s="52"/>
      <c r="AZ755" s="52"/>
      <c r="BA755" s="52"/>
      <c r="BB755" s="52"/>
    </row>
    <row r="756">
      <c r="A756" s="52"/>
      <c r="B756" s="26"/>
      <c r="C756" s="52"/>
      <c r="D756" s="52"/>
      <c r="E756" s="52"/>
      <c r="F756" s="52"/>
      <c r="G756" s="135"/>
      <c r="H756" s="52"/>
      <c r="I756" s="52"/>
      <c r="J756" s="136"/>
      <c r="K756" s="136"/>
      <c r="L756" s="136"/>
      <c r="M756" s="136"/>
      <c r="N756" s="52"/>
      <c r="O756" s="52"/>
      <c r="P756" s="52"/>
      <c r="Q756" s="52"/>
      <c r="R756" s="52"/>
      <c r="S756" s="52"/>
      <c r="T756" s="52"/>
      <c r="U756" s="52"/>
      <c r="V756" s="52"/>
      <c r="W756" s="52"/>
      <c r="X756" s="52"/>
      <c r="Y756" s="52"/>
      <c r="Z756" s="52"/>
      <c r="AA756" s="52"/>
      <c r="AB756" s="52"/>
      <c r="AC756" s="52"/>
      <c r="AD756" s="52"/>
      <c r="AE756" s="52"/>
      <c r="AF756" s="52"/>
      <c r="AG756" s="52"/>
      <c r="AH756" s="52"/>
      <c r="AI756" s="52"/>
      <c r="AJ756" s="52"/>
      <c r="AK756" s="52"/>
      <c r="AL756" s="52"/>
      <c r="AM756" s="52"/>
      <c r="AN756" s="52"/>
      <c r="AO756" s="52"/>
      <c r="AP756" s="138"/>
      <c r="AQ756" s="138"/>
      <c r="AR756" s="52"/>
      <c r="AS756" s="52"/>
      <c r="AT756" s="52"/>
      <c r="AU756" s="139"/>
      <c r="AV756" s="138"/>
      <c r="AW756" s="141"/>
      <c r="AX756" s="52"/>
      <c r="AY756" s="52"/>
      <c r="AZ756" s="52"/>
      <c r="BA756" s="52"/>
      <c r="BB756" s="52"/>
    </row>
    <row r="757">
      <c r="A757" s="52"/>
      <c r="B757" s="26"/>
      <c r="C757" s="52"/>
      <c r="D757" s="52"/>
      <c r="E757" s="52"/>
      <c r="F757" s="52"/>
      <c r="G757" s="135"/>
      <c r="H757" s="52"/>
      <c r="I757" s="52"/>
      <c r="J757" s="136"/>
      <c r="K757" s="136"/>
      <c r="L757" s="136"/>
      <c r="M757" s="136"/>
      <c r="N757" s="52"/>
      <c r="O757" s="52"/>
      <c r="P757" s="52"/>
      <c r="Q757" s="52"/>
      <c r="R757" s="52"/>
      <c r="S757" s="52"/>
      <c r="T757" s="52"/>
      <c r="U757" s="52"/>
      <c r="V757" s="52"/>
      <c r="W757" s="52"/>
      <c r="X757" s="52"/>
      <c r="Y757" s="52"/>
      <c r="Z757" s="52"/>
      <c r="AA757" s="52"/>
      <c r="AB757" s="52"/>
      <c r="AC757" s="52"/>
      <c r="AD757" s="52"/>
      <c r="AE757" s="52"/>
      <c r="AF757" s="52"/>
      <c r="AG757" s="52"/>
      <c r="AH757" s="52"/>
      <c r="AI757" s="52"/>
      <c r="AJ757" s="52"/>
      <c r="AK757" s="52"/>
      <c r="AL757" s="52"/>
      <c r="AM757" s="52"/>
      <c r="AN757" s="52"/>
      <c r="AO757" s="52"/>
      <c r="AP757" s="138"/>
      <c r="AQ757" s="138"/>
      <c r="AR757" s="52"/>
      <c r="AS757" s="52"/>
      <c r="AT757" s="52"/>
      <c r="AU757" s="139"/>
      <c r="AV757" s="138"/>
      <c r="AW757" s="141"/>
      <c r="AX757" s="52"/>
      <c r="AY757" s="52"/>
      <c r="AZ757" s="52"/>
      <c r="BA757" s="52"/>
      <c r="BB757" s="52"/>
    </row>
    <row r="758">
      <c r="A758" s="52"/>
      <c r="B758" s="26"/>
      <c r="C758" s="52"/>
      <c r="D758" s="52"/>
      <c r="E758" s="52"/>
      <c r="F758" s="52"/>
      <c r="G758" s="135"/>
      <c r="H758" s="52"/>
      <c r="I758" s="52"/>
      <c r="J758" s="136"/>
      <c r="K758" s="136"/>
      <c r="L758" s="136"/>
      <c r="M758" s="136"/>
      <c r="N758" s="52"/>
      <c r="O758" s="52"/>
      <c r="P758" s="52"/>
      <c r="Q758" s="52"/>
      <c r="R758" s="52"/>
      <c r="S758" s="52"/>
      <c r="T758" s="52"/>
      <c r="U758" s="52"/>
      <c r="V758" s="52"/>
      <c r="W758" s="52"/>
      <c r="X758" s="52"/>
      <c r="Y758" s="52"/>
      <c r="Z758" s="52"/>
      <c r="AA758" s="52"/>
      <c r="AB758" s="52"/>
      <c r="AC758" s="52"/>
      <c r="AD758" s="52"/>
      <c r="AE758" s="52"/>
      <c r="AF758" s="52"/>
      <c r="AG758" s="52"/>
      <c r="AH758" s="52"/>
      <c r="AI758" s="52"/>
      <c r="AJ758" s="52"/>
      <c r="AK758" s="52"/>
      <c r="AL758" s="52"/>
      <c r="AM758" s="52"/>
      <c r="AN758" s="52"/>
      <c r="AO758" s="52"/>
      <c r="AP758" s="138"/>
      <c r="AQ758" s="138"/>
      <c r="AR758" s="52"/>
      <c r="AS758" s="52"/>
      <c r="AT758" s="52"/>
      <c r="AU758" s="139"/>
      <c r="AV758" s="138"/>
      <c r="AW758" s="141"/>
      <c r="AX758" s="52"/>
      <c r="AY758" s="52"/>
      <c r="AZ758" s="52"/>
      <c r="BA758" s="52"/>
      <c r="BB758" s="52"/>
    </row>
    <row r="759">
      <c r="A759" s="52"/>
      <c r="B759" s="26"/>
      <c r="C759" s="52"/>
      <c r="D759" s="52"/>
      <c r="E759" s="52"/>
      <c r="F759" s="52"/>
      <c r="G759" s="135"/>
      <c r="H759" s="52"/>
      <c r="I759" s="52"/>
      <c r="J759" s="136"/>
      <c r="K759" s="136"/>
      <c r="L759" s="136"/>
      <c r="M759" s="136"/>
      <c r="N759" s="52"/>
      <c r="O759" s="52"/>
      <c r="P759" s="52"/>
      <c r="Q759" s="52"/>
      <c r="R759" s="52"/>
      <c r="S759" s="52"/>
      <c r="T759" s="52"/>
      <c r="U759" s="52"/>
      <c r="V759" s="52"/>
      <c r="W759" s="52"/>
      <c r="X759" s="52"/>
      <c r="Y759" s="52"/>
      <c r="Z759" s="52"/>
      <c r="AA759" s="52"/>
      <c r="AB759" s="52"/>
      <c r="AC759" s="52"/>
      <c r="AD759" s="52"/>
      <c r="AE759" s="52"/>
      <c r="AF759" s="52"/>
      <c r="AG759" s="52"/>
      <c r="AH759" s="52"/>
      <c r="AI759" s="52"/>
      <c r="AJ759" s="52"/>
      <c r="AK759" s="52"/>
      <c r="AL759" s="52"/>
      <c r="AM759" s="52"/>
      <c r="AN759" s="52"/>
      <c r="AO759" s="52"/>
      <c r="AP759" s="138"/>
      <c r="AQ759" s="138"/>
      <c r="AR759" s="52"/>
      <c r="AS759" s="52"/>
      <c r="AT759" s="52"/>
      <c r="AU759" s="139"/>
      <c r="AV759" s="138"/>
      <c r="AW759" s="141"/>
      <c r="AX759" s="52"/>
      <c r="AY759" s="52"/>
      <c r="AZ759" s="52"/>
      <c r="BA759" s="52"/>
      <c r="BB759" s="52"/>
    </row>
    <row r="760">
      <c r="A760" s="52"/>
      <c r="B760" s="26"/>
      <c r="C760" s="52"/>
      <c r="D760" s="52"/>
      <c r="E760" s="52"/>
      <c r="F760" s="52"/>
      <c r="G760" s="135"/>
      <c r="H760" s="52"/>
      <c r="I760" s="52"/>
      <c r="J760" s="136"/>
      <c r="K760" s="136"/>
      <c r="L760" s="136"/>
      <c r="M760" s="136"/>
      <c r="N760" s="52"/>
      <c r="O760" s="52"/>
      <c r="P760" s="52"/>
      <c r="Q760" s="52"/>
      <c r="R760" s="52"/>
      <c r="S760" s="52"/>
      <c r="T760" s="52"/>
      <c r="U760" s="52"/>
      <c r="V760" s="52"/>
      <c r="W760" s="52"/>
      <c r="X760" s="52"/>
      <c r="Y760" s="52"/>
      <c r="Z760" s="52"/>
      <c r="AA760" s="52"/>
      <c r="AB760" s="52"/>
      <c r="AC760" s="52"/>
      <c r="AD760" s="52"/>
      <c r="AE760" s="52"/>
      <c r="AF760" s="52"/>
      <c r="AG760" s="52"/>
      <c r="AH760" s="52"/>
      <c r="AI760" s="52"/>
      <c r="AJ760" s="52"/>
      <c r="AK760" s="52"/>
      <c r="AL760" s="52"/>
      <c r="AM760" s="52"/>
      <c r="AN760" s="52"/>
      <c r="AO760" s="52"/>
      <c r="AP760" s="138"/>
      <c r="AQ760" s="138"/>
      <c r="AR760" s="52"/>
      <c r="AS760" s="52"/>
      <c r="AT760" s="52"/>
      <c r="AU760" s="139"/>
      <c r="AV760" s="138"/>
      <c r="AW760" s="141"/>
      <c r="AX760" s="52"/>
      <c r="AY760" s="52"/>
      <c r="AZ760" s="52"/>
      <c r="BA760" s="52"/>
      <c r="BB760" s="52"/>
    </row>
    <row r="761">
      <c r="A761" s="52"/>
      <c r="B761" s="26"/>
      <c r="C761" s="52"/>
      <c r="D761" s="52"/>
      <c r="E761" s="52"/>
      <c r="F761" s="52"/>
      <c r="G761" s="135"/>
      <c r="H761" s="52"/>
      <c r="I761" s="52"/>
      <c r="J761" s="136"/>
      <c r="K761" s="136"/>
      <c r="L761" s="136"/>
      <c r="M761" s="136"/>
      <c r="N761" s="52"/>
      <c r="O761" s="52"/>
      <c r="P761" s="52"/>
      <c r="Q761" s="52"/>
      <c r="R761" s="52"/>
      <c r="S761" s="52"/>
      <c r="T761" s="52"/>
      <c r="U761" s="52"/>
      <c r="V761" s="52"/>
      <c r="W761" s="52"/>
      <c r="X761" s="52"/>
      <c r="Y761" s="52"/>
      <c r="Z761" s="52"/>
      <c r="AA761" s="52"/>
      <c r="AB761" s="52"/>
      <c r="AC761" s="52"/>
      <c r="AD761" s="52"/>
      <c r="AE761" s="52"/>
      <c r="AF761" s="52"/>
      <c r="AG761" s="52"/>
      <c r="AH761" s="52"/>
      <c r="AI761" s="52"/>
      <c r="AJ761" s="52"/>
      <c r="AK761" s="52"/>
      <c r="AL761" s="52"/>
      <c r="AM761" s="52"/>
      <c r="AN761" s="52"/>
      <c r="AO761" s="52"/>
      <c r="AP761" s="138"/>
      <c r="AQ761" s="138"/>
      <c r="AR761" s="52"/>
      <c r="AS761" s="52"/>
      <c r="AT761" s="52"/>
      <c r="AU761" s="139"/>
      <c r="AV761" s="138"/>
      <c r="AW761" s="141"/>
      <c r="AX761" s="52"/>
      <c r="AY761" s="52"/>
      <c r="AZ761" s="52"/>
      <c r="BA761" s="52"/>
      <c r="BB761" s="52"/>
    </row>
    <row r="762">
      <c r="A762" s="52"/>
      <c r="B762" s="26"/>
      <c r="C762" s="52"/>
      <c r="D762" s="52"/>
      <c r="E762" s="52"/>
      <c r="F762" s="52"/>
      <c r="G762" s="135"/>
      <c r="H762" s="52"/>
      <c r="I762" s="52"/>
      <c r="J762" s="136"/>
      <c r="K762" s="136"/>
      <c r="L762" s="136"/>
      <c r="M762" s="136"/>
      <c r="N762" s="52"/>
      <c r="O762" s="52"/>
      <c r="P762" s="52"/>
      <c r="Q762" s="52"/>
      <c r="R762" s="52"/>
      <c r="S762" s="52"/>
      <c r="T762" s="52"/>
      <c r="U762" s="52"/>
      <c r="V762" s="52"/>
      <c r="W762" s="52"/>
      <c r="X762" s="52"/>
      <c r="Y762" s="52"/>
      <c r="Z762" s="52"/>
      <c r="AA762" s="52"/>
      <c r="AB762" s="52"/>
      <c r="AC762" s="52"/>
      <c r="AD762" s="52"/>
      <c r="AE762" s="52"/>
      <c r="AF762" s="52"/>
      <c r="AG762" s="52"/>
      <c r="AH762" s="52"/>
      <c r="AI762" s="52"/>
      <c r="AJ762" s="52"/>
      <c r="AK762" s="52"/>
      <c r="AL762" s="52"/>
      <c r="AM762" s="52"/>
      <c r="AN762" s="52"/>
      <c r="AO762" s="52"/>
      <c r="AP762" s="138"/>
      <c r="AQ762" s="138"/>
      <c r="AR762" s="52"/>
      <c r="AS762" s="52"/>
      <c r="AT762" s="52"/>
      <c r="AU762" s="139"/>
      <c r="AV762" s="138"/>
      <c r="AW762" s="141"/>
      <c r="AX762" s="52"/>
      <c r="AY762" s="52"/>
      <c r="AZ762" s="52"/>
      <c r="BA762" s="52"/>
      <c r="BB762" s="52"/>
    </row>
    <row r="763">
      <c r="A763" s="52"/>
      <c r="B763" s="26"/>
      <c r="C763" s="52"/>
      <c r="D763" s="52"/>
      <c r="E763" s="52"/>
      <c r="F763" s="52"/>
      <c r="G763" s="135"/>
      <c r="H763" s="52"/>
      <c r="I763" s="52"/>
      <c r="J763" s="136"/>
      <c r="K763" s="136"/>
      <c r="L763" s="136"/>
      <c r="M763" s="136"/>
      <c r="N763" s="52"/>
      <c r="O763" s="52"/>
      <c r="P763" s="52"/>
      <c r="Q763" s="52"/>
      <c r="R763" s="52"/>
      <c r="S763" s="52"/>
      <c r="T763" s="52"/>
      <c r="U763" s="52"/>
      <c r="V763" s="52"/>
      <c r="W763" s="52"/>
      <c r="X763" s="52"/>
      <c r="Y763" s="52"/>
      <c r="Z763" s="52"/>
      <c r="AA763" s="52"/>
      <c r="AB763" s="52"/>
      <c r="AC763" s="52"/>
      <c r="AD763" s="52"/>
      <c r="AE763" s="52"/>
      <c r="AF763" s="52"/>
      <c r="AG763" s="52"/>
      <c r="AH763" s="52"/>
      <c r="AI763" s="52"/>
      <c r="AJ763" s="52"/>
      <c r="AK763" s="52"/>
      <c r="AL763" s="52"/>
      <c r="AM763" s="52"/>
      <c r="AN763" s="52"/>
      <c r="AO763" s="52"/>
      <c r="AP763" s="138"/>
      <c r="AQ763" s="138"/>
      <c r="AR763" s="52"/>
      <c r="AS763" s="52"/>
      <c r="AT763" s="52"/>
      <c r="AU763" s="139"/>
      <c r="AV763" s="138"/>
      <c r="AW763" s="141"/>
      <c r="AX763" s="52"/>
      <c r="AY763" s="52"/>
      <c r="AZ763" s="52"/>
      <c r="BA763" s="52"/>
      <c r="BB763" s="52"/>
    </row>
    <row r="764">
      <c r="A764" s="52"/>
      <c r="B764" s="26"/>
      <c r="C764" s="52"/>
      <c r="D764" s="52"/>
      <c r="E764" s="52"/>
      <c r="F764" s="52"/>
      <c r="G764" s="135"/>
      <c r="H764" s="52"/>
      <c r="I764" s="52"/>
      <c r="J764" s="136"/>
      <c r="K764" s="136"/>
      <c r="L764" s="136"/>
      <c r="M764" s="136"/>
      <c r="N764" s="52"/>
      <c r="O764" s="52"/>
      <c r="P764" s="52"/>
      <c r="Q764" s="52"/>
      <c r="R764" s="52"/>
      <c r="S764" s="52"/>
      <c r="T764" s="52"/>
      <c r="U764" s="52"/>
      <c r="V764" s="52"/>
      <c r="W764" s="52"/>
      <c r="X764" s="52"/>
      <c r="Y764" s="52"/>
      <c r="Z764" s="52"/>
      <c r="AA764" s="52"/>
      <c r="AB764" s="52"/>
      <c r="AC764" s="52"/>
      <c r="AD764" s="52"/>
      <c r="AE764" s="52"/>
      <c r="AF764" s="52"/>
      <c r="AG764" s="52"/>
      <c r="AH764" s="52"/>
      <c r="AI764" s="52"/>
      <c r="AJ764" s="52"/>
      <c r="AK764" s="52"/>
      <c r="AL764" s="52"/>
      <c r="AM764" s="52"/>
      <c r="AN764" s="52"/>
      <c r="AO764" s="52"/>
      <c r="AP764" s="138"/>
      <c r="AQ764" s="138"/>
      <c r="AR764" s="52"/>
      <c r="AS764" s="52"/>
      <c r="AT764" s="52"/>
      <c r="AU764" s="139"/>
      <c r="AV764" s="138"/>
      <c r="AW764" s="141"/>
      <c r="AX764" s="52"/>
      <c r="AY764" s="52"/>
      <c r="AZ764" s="52"/>
      <c r="BA764" s="52"/>
      <c r="BB764" s="52"/>
    </row>
    <row r="765">
      <c r="A765" s="52"/>
      <c r="B765" s="26"/>
      <c r="C765" s="52"/>
      <c r="D765" s="52"/>
      <c r="E765" s="52"/>
      <c r="F765" s="52"/>
      <c r="G765" s="135"/>
      <c r="H765" s="52"/>
      <c r="I765" s="52"/>
      <c r="J765" s="136"/>
      <c r="K765" s="136"/>
      <c r="L765" s="136"/>
      <c r="M765" s="136"/>
      <c r="N765" s="52"/>
      <c r="O765" s="52"/>
      <c r="P765" s="52"/>
      <c r="Q765" s="52"/>
      <c r="R765" s="52"/>
      <c r="S765" s="52"/>
      <c r="T765" s="52"/>
      <c r="U765" s="52"/>
      <c r="V765" s="52"/>
      <c r="W765" s="52"/>
      <c r="X765" s="52"/>
      <c r="Y765" s="52"/>
      <c r="Z765" s="52"/>
      <c r="AA765" s="52"/>
      <c r="AB765" s="52"/>
      <c r="AC765" s="52"/>
      <c r="AD765" s="52"/>
      <c r="AE765" s="52"/>
      <c r="AF765" s="52"/>
      <c r="AG765" s="52"/>
      <c r="AH765" s="52"/>
      <c r="AI765" s="52"/>
      <c r="AJ765" s="52"/>
      <c r="AK765" s="52"/>
      <c r="AL765" s="52"/>
      <c r="AM765" s="52"/>
      <c r="AN765" s="52"/>
      <c r="AO765" s="52"/>
      <c r="AP765" s="138"/>
      <c r="AQ765" s="138"/>
      <c r="AR765" s="52"/>
      <c r="AS765" s="52"/>
      <c r="AT765" s="52"/>
      <c r="AU765" s="139"/>
      <c r="AV765" s="138"/>
      <c r="AW765" s="141"/>
      <c r="AX765" s="52"/>
      <c r="AY765" s="52"/>
      <c r="AZ765" s="52"/>
      <c r="BA765" s="52"/>
      <c r="BB765" s="52"/>
    </row>
    <row r="766">
      <c r="A766" s="52"/>
      <c r="B766" s="26"/>
      <c r="C766" s="52"/>
      <c r="D766" s="52"/>
      <c r="E766" s="52"/>
      <c r="F766" s="52"/>
      <c r="G766" s="135"/>
      <c r="H766" s="52"/>
      <c r="I766" s="52"/>
      <c r="J766" s="136"/>
      <c r="K766" s="136"/>
      <c r="L766" s="136"/>
      <c r="M766" s="136"/>
      <c r="N766" s="52"/>
      <c r="O766" s="52"/>
      <c r="P766" s="52"/>
      <c r="Q766" s="52"/>
      <c r="R766" s="52"/>
      <c r="S766" s="52"/>
      <c r="T766" s="52"/>
      <c r="U766" s="52"/>
      <c r="V766" s="52"/>
      <c r="W766" s="52"/>
      <c r="X766" s="52"/>
      <c r="Y766" s="52"/>
      <c r="Z766" s="52"/>
      <c r="AA766" s="52"/>
      <c r="AB766" s="52"/>
      <c r="AC766" s="52"/>
      <c r="AD766" s="52"/>
      <c r="AE766" s="52"/>
      <c r="AF766" s="52"/>
      <c r="AG766" s="52"/>
      <c r="AH766" s="52"/>
      <c r="AI766" s="52"/>
      <c r="AJ766" s="52"/>
      <c r="AK766" s="52"/>
      <c r="AL766" s="52"/>
      <c r="AM766" s="52"/>
      <c r="AN766" s="52"/>
      <c r="AO766" s="52"/>
      <c r="AP766" s="138"/>
      <c r="AQ766" s="138"/>
      <c r="AR766" s="52"/>
      <c r="AS766" s="52"/>
      <c r="AT766" s="52"/>
      <c r="AU766" s="139"/>
      <c r="AV766" s="138"/>
      <c r="AW766" s="141"/>
      <c r="AX766" s="52"/>
      <c r="AY766" s="52"/>
      <c r="AZ766" s="52"/>
      <c r="BA766" s="52"/>
      <c r="BB766" s="52"/>
    </row>
    <row r="767">
      <c r="A767" s="52"/>
      <c r="B767" s="26"/>
      <c r="C767" s="52"/>
      <c r="D767" s="52"/>
      <c r="E767" s="52"/>
      <c r="F767" s="52"/>
      <c r="G767" s="135"/>
      <c r="H767" s="52"/>
      <c r="I767" s="52"/>
      <c r="J767" s="136"/>
      <c r="K767" s="136"/>
      <c r="L767" s="136"/>
      <c r="M767" s="136"/>
      <c r="N767" s="52"/>
      <c r="O767" s="52"/>
      <c r="P767" s="52"/>
      <c r="Q767" s="52"/>
      <c r="R767" s="52"/>
      <c r="S767" s="52"/>
      <c r="T767" s="52"/>
      <c r="U767" s="52"/>
      <c r="V767" s="52"/>
      <c r="W767" s="52"/>
      <c r="X767" s="52"/>
      <c r="Y767" s="52"/>
      <c r="Z767" s="52"/>
      <c r="AA767" s="52"/>
      <c r="AB767" s="52"/>
      <c r="AC767" s="52"/>
      <c r="AD767" s="52"/>
      <c r="AE767" s="52"/>
      <c r="AF767" s="52"/>
      <c r="AG767" s="52"/>
      <c r="AH767" s="52"/>
      <c r="AI767" s="52"/>
      <c r="AJ767" s="52"/>
      <c r="AK767" s="52"/>
      <c r="AL767" s="52"/>
      <c r="AM767" s="52"/>
      <c r="AN767" s="52"/>
      <c r="AO767" s="52"/>
      <c r="AP767" s="138"/>
      <c r="AQ767" s="138"/>
      <c r="AR767" s="52"/>
      <c r="AS767" s="52"/>
      <c r="AT767" s="52"/>
      <c r="AU767" s="139"/>
      <c r="AV767" s="138"/>
      <c r="AW767" s="141"/>
      <c r="AX767" s="52"/>
      <c r="AY767" s="52"/>
      <c r="AZ767" s="52"/>
      <c r="BA767" s="52"/>
      <c r="BB767" s="52"/>
    </row>
    <row r="768">
      <c r="A768" s="52"/>
      <c r="B768" s="26"/>
      <c r="C768" s="52"/>
      <c r="D768" s="52"/>
      <c r="E768" s="52"/>
      <c r="F768" s="52"/>
      <c r="G768" s="135"/>
      <c r="H768" s="52"/>
      <c r="I768" s="52"/>
      <c r="J768" s="136"/>
      <c r="K768" s="136"/>
      <c r="L768" s="136"/>
      <c r="M768" s="136"/>
      <c r="N768" s="52"/>
      <c r="O768" s="52"/>
      <c r="P768" s="52"/>
      <c r="Q768" s="52"/>
      <c r="R768" s="52"/>
      <c r="S768" s="52"/>
      <c r="T768" s="52"/>
      <c r="U768" s="52"/>
      <c r="V768" s="52"/>
      <c r="W768" s="52"/>
      <c r="X768" s="52"/>
      <c r="Y768" s="52"/>
      <c r="Z768" s="52"/>
      <c r="AA768" s="52"/>
      <c r="AB768" s="52"/>
      <c r="AC768" s="52"/>
      <c r="AD768" s="52"/>
      <c r="AE768" s="52"/>
      <c r="AF768" s="52"/>
      <c r="AG768" s="52"/>
      <c r="AH768" s="52"/>
      <c r="AI768" s="52"/>
      <c r="AJ768" s="52"/>
      <c r="AK768" s="52"/>
      <c r="AL768" s="52"/>
      <c r="AM768" s="52"/>
      <c r="AN768" s="52"/>
      <c r="AO768" s="52"/>
      <c r="AP768" s="138"/>
      <c r="AQ768" s="138"/>
      <c r="AR768" s="52"/>
      <c r="AS768" s="52"/>
      <c r="AT768" s="52"/>
      <c r="AU768" s="139"/>
      <c r="AV768" s="138"/>
      <c r="AW768" s="141"/>
      <c r="AX768" s="52"/>
      <c r="AY768" s="52"/>
      <c r="AZ768" s="52"/>
      <c r="BA768" s="52"/>
      <c r="BB768" s="52"/>
    </row>
    <row r="769">
      <c r="A769" s="52"/>
      <c r="B769" s="26"/>
      <c r="C769" s="52"/>
      <c r="D769" s="52"/>
      <c r="E769" s="52"/>
      <c r="F769" s="52"/>
      <c r="G769" s="135"/>
      <c r="H769" s="52"/>
      <c r="I769" s="52"/>
      <c r="J769" s="136"/>
      <c r="K769" s="136"/>
      <c r="L769" s="136"/>
      <c r="M769" s="136"/>
      <c r="N769" s="52"/>
      <c r="O769" s="52"/>
      <c r="P769" s="52"/>
      <c r="Q769" s="52"/>
      <c r="R769" s="52"/>
      <c r="S769" s="52"/>
      <c r="T769" s="52"/>
      <c r="U769" s="52"/>
      <c r="V769" s="52"/>
      <c r="W769" s="52"/>
      <c r="X769" s="52"/>
      <c r="Y769" s="52"/>
      <c r="Z769" s="52"/>
      <c r="AA769" s="52"/>
      <c r="AB769" s="52"/>
      <c r="AC769" s="52"/>
      <c r="AD769" s="52"/>
      <c r="AE769" s="52"/>
      <c r="AF769" s="52"/>
      <c r="AG769" s="52"/>
      <c r="AH769" s="52"/>
      <c r="AI769" s="52"/>
      <c r="AJ769" s="52"/>
      <c r="AK769" s="52"/>
      <c r="AL769" s="52"/>
      <c r="AM769" s="52"/>
      <c r="AN769" s="52"/>
      <c r="AO769" s="52"/>
      <c r="AP769" s="138"/>
      <c r="AQ769" s="138"/>
      <c r="AR769" s="52"/>
      <c r="AS769" s="52"/>
      <c r="AT769" s="52"/>
      <c r="AU769" s="139"/>
      <c r="AV769" s="138"/>
      <c r="AW769" s="141"/>
      <c r="AX769" s="52"/>
      <c r="AY769" s="52"/>
      <c r="AZ769" s="52"/>
      <c r="BA769" s="52"/>
      <c r="BB769" s="52"/>
    </row>
    <row r="770">
      <c r="A770" s="52"/>
      <c r="B770" s="26"/>
      <c r="C770" s="52"/>
      <c r="D770" s="52"/>
      <c r="E770" s="52"/>
      <c r="F770" s="52"/>
      <c r="G770" s="135"/>
      <c r="H770" s="52"/>
      <c r="I770" s="52"/>
      <c r="J770" s="136"/>
      <c r="K770" s="136"/>
      <c r="L770" s="136"/>
      <c r="M770" s="136"/>
      <c r="N770" s="52"/>
      <c r="O770" s="52"/>
      <c r="P770" s="52"/>
      <c r="Q770" s="52"/>
      <c r="R770" s="52"/>
      <c r="S770" s="52"/>
      <c r="T770" s="52"/>
      <c r="U770" s="52"/>
      <c r="V770" s="52"/>
      <c r="W770" s="52"/>
      <c r="X770" s="52"/>
      <c r="Y770" s="52"/>
      <c r="Z770" s="52"/>
      <c r="AA770" s="52"/>
      <c r="AB770" s="52"/>
      <c r="AC770" s="52"/>
      <c r="AD770" s="52"/>
      <c r="AE770" s="52"/>
      <c r="AF770" s="52"/>
      <c r="AG770" s="52"/>
      <c r="AH770" s="52"/>
      <c r="AI770" s="52"/>
      <c r="AJ770" s="52"/>
      <c r="AK770" s="52"/>
      <c r="AL770" s="52"/>
      <c r="AM770" s="52"/>
      <c r="AN770" s="52"/>
      <c r="AO770" s="52"/>
      <c r="AP770" s="138"/>
      <c r="AQ770" s="138"/>
      <c r="AR770" s="52"/>
      <c r="AS770" s="52"/>
      <c r="AT770" s="52"/>
      <c r="AU770" s="139"/>
      <c r="AV770" s="138"/>
      <c r="AW770" s="141"/>
      <c r="AX770" s="52"/>
      <c r="AY770" s="52"/>
      <c r="AZ770" s="52"/>
      <c r="BA770" s="52"/>
      <c r="BB770" s="52"/>
    </row>
    <row r="771">
      <c r="A771" s="52"/>
      <c r="B771" s="26"/>
      <c r="C771" s="52"/>
      <c r="D771" s="52"/>
      <c r="E771" s="52"/>
      <c r="F771" s="52"/>
      <c r="G771" s="135"/>
      <c r="H771" s="52"/>
      <c r="I771" s="52"/>
      <c r="J771" s="136"/>
      <c r="K771" s="136"/>
      <c r="L771" s="136"/>
      <c r="M771" s="136"/>
      <c r="N771" s="52"/>
      <c r="O771" s="52"/>
      <c r="P771" s="52"/>
      <c r="Q771" s="52"/>
      <c r="R771" s="52"/>
      <c r="S771" s="52"/>
      <c r="T771" s="52"/>
      <c r="U771" s="52"/>
      <c r="V771" s="52"/>
      <c r="W771" s="52"/>
      <c r="X771" s="52"/>
      <c r="Y771" s="52"/>
      <c r="Z771" s="52"/>
      <c r="AA771" s="52"/>
      <c r="AB771" s="52"/>
      <c r="AC771" s="52"/>
      <c r="AD771" s="52"/>
      <c r="AE771" s="52"/>
      <c r="AF771" s="52"/>
      <c r="AG771" s="52"/>
      <c r="AH771" s="52"/>
      <c r="AI771" s="52"/>
      <c r="AJ771" s="52"/>
      <c r="AK771" s="52"/>
      <c r="AL771" s="52"/>
      <c r="AM771" s="52"/>
      <c r="AN771" s="52"/>
      <c r="AO771" s="52"/>
      <c r="AP771" s="138"/>
      <c r="AQ771" s="138"/>
      <c r="AR771" s="52"/>
      <c r="AS771" s="52"/>
      <c r="AT771" s="52"/>
      <c r="AU771" s="139"/>
      <c r="AV771" s="138"/>
      <c r="AW771" s="141"/>
      <c r="AX771" s="52"/>
      <c r="AY771" s="52"/>
      <c r="AZ771" s="52"/>
      <c r="BA771" s="52"/>
      <c r="BB771" s="52"/>
    </row>
    <row r="772">
      <c r="A772" s="52"/>
      <c r="B772" s="26"/>
      <c r="C772" s="52"/>
      <c r="D772" s="52"/>
      <c r="E772" s="52"/>
      <c r="F772" s="52"/>
      <c r="G772" s="135"/>
      <c r="H772" s="52"/>
      <c r="I772" s="52"/>
      <c r="J772" s="136"/>
      <c r="K772" s="136"/>
      <c r="L772" s="136"/>
      <c r="M772" s="136"/>
      <c r="N772" s="52"/>
      <c r="O772" s="52"/>
      <c r="P772" s="52"/>
      <c r="Q772" s="52"/>
      <c r="R772" s="52"/>
      <c r="S772" s="52"/>
      <c r="T772" s="52"/>
      <c r="U772" s="52"/>
      <c r="V772" s="52"/>
      <c r="W772" s="52"/>
      <c r="X772" s="52"/>
      <c r="Y772" s="52"/>
      <c r="Z772" s="52"/>
      <c r="AA772" s="52"/>
      <c r="AB772" s="52"/>
      <c r="AC772" s="52"/>
      <c r="AD772" s="52"/>
      <c r="AE772" s="52"/>
      <c r="AF772" s="52"/>
      <c r="AG772" s="52"/>
      <c r="AH772" s="52"/>
      <c r="AI772" s="52"/>
      <c r="AJ772" s="52"/>
      <c r="AK772" s="52"/>
      <c r="AL772" s="52"/>
      <c r="AM772" s="52"/>
      <c r="AN772" s="52"/>
      <c r="AO772" s="52"/>
      <c r="AP772" s="138"/>
      <c r="AQ772" s="138"/>
      <c r="AR772" s="52"/>
      <c r="AS772" s="52"/>
      <c r="AT772" s="52"/>
      <c r="AU772" s="139"/>
      <c r="AV772" s="138"/>
      <c r="AW772" s="141"/>
      <c r="AX772" s="52"/>
      <c r="AY772" s="52"/>
      <c r="AZ772" s="52"/>
      <c r="BA772" s="52"/>
      <c r="BB772" s="52"/>
    </row>
    <row r="773">
      <c r="A773" s="52"/>
      <c r="B773" s="26"/>
      <c r="C773" s="52"/>
      <c r="D773" s="52"/>
      <c r="E773" s="52"/>
      <c r="F773" s="52"/>
      <c r="G773" s="135"/>
      <c r="H773" s="52"/>
      <c r="I773" s="52"/>
      <c r="J773" s="136"/>
      <c r="K773" s="136"/>
      <c r="L773" s="136"/>
      <c r="M773" s="136"/>
      <c r="N773" s="52"/>
      <c r="O773" s="52"/>
      <c r="P773" s="52"/>
      <c r="Q773" s="52"/>
      <c r="R773" s="52"/>
      <c r="S773" s="52"/>
      <c r="T773" s="52"/>
      <c r="U773" s="52"/>
      <c r="V773" s="52"/>
      <c r="W773" s="52"/>
      <c r="X773" s="52"/>
      <c r="Y773" s="52"/>
      <c r="Z773" s="52"/>
      <c r="AA773" s="52"/>
      <c r="AB773" s="52"/>
      <c r="AC773" s="52"/>
      <c r="AD773" s="52"/>
      <c r="AE773" s="52"/>
      <c r="AF773" s="52"/>
      <c r="AG773" s="52"/>
      <c r="AH773" s="52"/>
      <c r="AI773" s="52"/>
      <c r="AJ773" s="52"/>
      <c r="AK773" s="52"/>
      <c r="AL773" s="52"/>
      <c r="AM773" s="52"/>
      <c r="AN773" s="52"/>
      <c r="AO773" s="52"/>
      <c r="AP773" s="138"/>
      <c r="AQ773" s="138"/>
      <c r="AR773" s="52"/>
      <c r="AS773" s="52"/>
      <c r="AT773" s="52"/>
      <c r="AU773" s="139"/>
      <c r="AV773" s="138"/>
      <c r="AW773" s="141"/>
      <c r="AX773" s="52"/>
      <c r="AY773" s="52"/>
      <c r="AZ773" s="52"/>
      <c r="BA773" s="52"/>
      <c r="BB773" s="52"/>
    </row>
    <row r="774">
      <c r="A774" s="52"/>
      <c r="B774" s="26"/>
      <c r="C774" s="52"/>
      <c r="D774" s="52"/>
      <c r="E774" s="52"/>
      <c r="F774" s="52"/>
      <c r="G774" s="135"/>
      <c r="H774" s="52"/>
      <c r="I774" s="52"/>
      <c r="J774" s="136"/>
      <c r="K774" s="136"/>
      <c r="L774" s="136"/>
      <c r="M774" s="136"/>
      <c r="N774" s="52"/>
      <c r="O774" s="52"/>
      <c r="P774" s="52"/>
      <c r="Q774" s="52"/>
      <c r="R774" s="52"/>
      <c r="S774" s="52"/>
      <c r="T774" s="52"/>
      <c r="U774" s="52"/>
      <c r="V774" s="52"/>
      <c r="W774" s="52"/>
      <c r="X774" s="52"/>
      <c r="Y774" s="52"/>
      <c r="Z774" s="52"/>
      <c r="AA774" s="52"/>
      <c r="AB774" s="52"/>
      <c r="AC774" s="52"/>
      <c r="AD774" s="52"/>
      <c r="AE774" s="52"/>
      <c r="AF774" s="52"/>
      <c r="AG774" s="52"/>
      <c r="AH774" s="52"/>
      <c r="AI774" s="52"/>
      <c r="AJ774" s="52"/>
      <c r="AK774" s="52"/>
      <c r="AL774" s="52"/>
      <c r="AM774" s="52"/>
      <c r="AN774" s="52"/>
      <c r="AO774" s="52"/>
      <c r="AP774" s="138"/>
      <c r="AQ774" s="138"/>
      <c r="AR774" s="52"/>
      <c r="AS774" s="52"/>
      <c r="AT774" s="52"/>
      <c r="AU774" s="139"/>
      <c r="AV774" s="138"/>
      <c r="AW774" s="141"/>
      <c r="AX774" s="52"/>
      <c r="AY774" s="52"/>
      <c r="AZ774" s="52"/>
      <c r="BA774" s="52"/>
      <c r="BB774" s="52"/>
    </row>
    <row r="775">
      <c r="A775" s="52"/>
      <c r="B775" s="26"/>
      <c r="C775" s="52"/>
      <c r="D775" s="52"/>
      <c r="E775" s="52"/>
      <c r="F775" s="52"/>
      <c r="G775" s="135"/>
      <c r="H775" s="52"/>
      <c r="I775" s="52"/>
      <c r="J775" s="136"/>
      <c r="K775" s="136"/>
      <c r="L775" s="136"/>
      <c r="M775" s="136"/>
      <c r="N775" s="52"/>
      <c r="O775" s="52"/>
      <c r="P775" s="52"/>
      <c r="Q775" s="52"/>
      <c r="R775" s="52"/>
      <c r="S775" s="52"/>
      <c r="T775" s="52"/>
      <c r="U775" s="52"/>
      <c r="V775" s="52"/>
      <c r="W775" s="52"/>
      <c r="X775" s="52"/>
      <c r="Y775" s="52"/>
      <c r="Z775" s="52"/>
      <c r="AA775" s="52"/>
      <c r="AB775" s="52"/>
      <c r="AC775" s="52"/>
      <c r="AD775" s="52"/>
      <c r="AE775" s="52"/>
      <c r="AF775" s="52"/>
      <c r="AG775" s="52"/>
      <c r="AH775" s="52"/>
      <c r="AI775" s="52"/>
      <c r="AJ775" s="52"/>
      <c r="AK775" s="52"/>
      <c r="AL775" s="52"/>
      <c r="AM775" s="52"/>
      <c r="AN775" s="52"/>
      <c r="AO775" s="52"/>
      <c r="AP775" s="138"/>
      <c r="AQ775" s="138"/>
      <c r="AR775" s="52"/>
      <c r="AS775" s="52"/>
      <c r="AT775" s="52"/>
      <c r="AU775" s="139"/>
      <c r="AV775" s="138"/>
      <c r="AW775" s="141"/>
      <c r="AX775" s="52"/>
      <c r="AY775" s="52"/>
      <c r="AZ775" s="52"/>
      <c r="BA775" s="52"/>
      <c r="BB775" s="52"/>
    </row>
    <row r="776">
      <c r="A776" s="52"/>
      <c r="B776" s="26"/>
      <c r="C776" s="52"/>
      <c r="D776" s="52"/>
      <c r="E776" s="52"/>
      <c r="F776" s="52"/>
      <c r="G776" s="135"/>
      <c r="H776" s="52"/>
      <c r="I776" s="52"/>
      <c r="J776" s="136"/>
      <c r="K776" s="136"/>
      <c r="L776" s="136"/>
      <c r="M776" s="136"/>
      <c r="N776" s="52"/>
      <c r="O776" s="52"/>
      <c r="P776" s="52"/>
      <c r="Q776" s="52"/>
      <c r="R776" s="52"/>
      <c r="S776" s="52"/>
      <c r="T776" s="52"/>
      <c r="U776" s="52"/>
      <c r="V776" s="52"/>
      <c r="W776" s="52"/>
      <c r="X776" s="52"/>
      <c r="Y776" s="52"/>
      <c r="Z776" s="52"/>
      <c r="AA776" s="52"/>
      <c r="AB776" s="52"/>
      <c r="AC776" s="52"/>
      <c r="AD776" s="52"/>
      <c r="AE776" s="52"/>
      <c r="AF776" s="52"/>
      <c r="AG776" s="52"/>
      <c r="AH776" s="52"/>
      <c r="AI776" s="52"/>
      <c r="AJ776" s="52"/>
      <c r="AK776" s="52"/>
      <c r="AL776" s="52"/>
      <c r="AM776" s="52"/>
      <c r="AN776" s="52"/>
      <c r="AO776" s="52"/>
      <c r="AP776" s="138"/>
      <c r="AQ776" s="138"/>
      <c r="AR776" s="52"/>
      <c r="AS776" s="52"/>
      <c r="AT776" s="52"/>
      <c r="AU776" s="139"/>
      <c r="AV776" s="138"/>
      <c r="AW776" s="141"/>
      <c r="AX776" s="52"/>
      <c r="AY776" s="52"/>
      <c r="AZ776" s="52"/>
      <c r="BA776" s="52"/>
      <c r="BB776" s="52"/>
    </row>
    <row r="777">
      <c r="A777" s="52"/>
      <c r="B777" s="26"/>
      <c r="C777" s="52"/>
      <c r="D777" s="52"/>
      <c r="E777" s="52"/>
      <c r="F777" s="52"/>
      <c r="G777" s="135"/>
      <c r="H777" s="52"/>
      <c r="I777" s="52"/>
      <c r="J777" s="136"/>
      <c r="K777" s="136"/>
      <c r="L777" s="136"/>
      <c r="M777" s="136"/>
      <c r="N777" s="52"/>
      <c r="O777" s="52"/>
      <c r="P777" s="52"/>
      <c r="Q777" s="52"/>
      <c r="R777" s="52"/>
      <c r="S777" s="52"/>
      <c r="T777" s="52"/>
      <c r="U777" s="52"/>
      <c r="V777" s="52"/>
      <c r="W777" s="52"/>
      <c r="X777" s="52"/>
      <c r="Y777" s="52"/>
      <c r="Z777" s="52"/>
      <c r="AA777" s="52"/>
      <c r="AB777" s="52"/>
      <c r="AC777" s="52"/>
      <c r="AD777" s="52"/>
      <c r="AE777" s="52"/>
      <c r="AF777" s="52"/>
      <c r="AG777" s="52"/>
      <c r="AH777" s="52"/>
      <c r="AI777" s="52"/>
      <c r="AJ777" s="52"/>
      <c r="AK777" s="52"/>
      <c r="AL777" s="52"/>
      <c r="AM777" s="52"/>
      <c r="AN777" s="52"/>
      <c r="AO777" s="52"/>
      <c r="AP777" s="138"/>
      <c r="AQ777" s="138"/>
      <c r="AR777" s="52"/>
      <c r="AS777" s="52"/>
      <c r="AT777" s="52"/>
      <c r="AU777" s="139"/>
      <c r="AV777" s="138"/>
      <c r="AW777" s="141"/>
      <c r="AX777" s="52"/>
      <c r="AY777" s="52"/>
      <c r="AZ777" s="52"/>
      <c r="BA777" s="52"/>
      <c r="BB777" s="52"/>
    </row>
    <row r="778">
      <c r="A778" s="52"/>
      <c r="B778" s="26"/>
      <c r="C778" s="52"/>
      <c r="D778" s="52"/>
      <c r="E778" s="52"/>
      <c r="F778" s="52"/>
      <c r="G778" s="135"/>
      <c r="H778" s="52"/>
      <c r="I778" s="52"/>
      <c r="J778" s="136"/>
      <c r="K778" s="136"/>
      <c r="L778" s="136"/>
      <c r="M778" s="136"/>
      <c r="N778" s="52"/>
      <c r="O778" s="52"/>
      <c r="P778" s="52"/>
      <c r="Q778" s="52"/>
      <c r="R778" s="52"/>
      <c r="S778" s="52"/>
      <c r="T778" s="52"/>
      <c r="U778" s="52"/>
      <c r="V778" s="52"/>
      <c r="W778" s="52"/>
      <c r="X778" s="52"/>
      <c r="Y778" s="52"/>
      <c r="Z778" s="52"/>
      <c r="AA778" s="52"/>
      <c r="AB778" s="52"/>
      <c r="AC778" s="52"/>
      <c r="AD778" s="52"/>
      <c r="AE778" s="52"/>
      <c r="AF778" s="52"/>
      <c r="AG778" s="52"/>
      <c r="AH778" s="52"/>
      <c r="AI778" s="52"/>
      <c r="AJ778" s="52"/>
      <c r="AK778" s="52"/>
      <c r="AL778" s="52"/>
      <c r="AM778" s="52"/>
      <c r="AN778" s="52"/>
      <c r="AO778" s="52"/>
      <c r="AP778" s="138"/>
      <c r="AQ778" s="138"/>
      <c r="AR778" s="52"/>
      <c r="AS778" s="52"/>
      <c r="AT778" s="52"/>
      <c r="AU778" s="139"/>
      <c r="AV778" s="138"/>
      <c r="AW778" s="141"/>
      <c r="AX778" s="52"/>
      <c r="AY778" s="52"/>
      <c r="AZ778" s="52"/>
      <c r="BA778" s="52"/>
      <c r="BB778" s="52"/>
    </row>
    <row r="779">
      <c r="A779" s="52"/>
      <c r="B779" s="26"/>
      <c r="C779" s="52"/>
      <c r="D779" s="52"/>
      <c r="E779" s="52"/>
      <c r="F779" s="52"/>
      <c r="G779" s="135"/>
      <c r="H779" s="52"/>
      <c r="I779" s="52"/>
      <c r="J779" s="136"/>
      <c r="K779" s="136"/>
      <c r="L779" s="136"/>
      <c r="M779" s="136"/>
      <c r="N779" s="52"/>
      <c r="O779" s="52"/>
      <c r="P779" s="52"/>
      <c r="Q779" s="52"/>
      <c r="R779" s="52"/>
      <c r="S779" s="52"/>
      <c r="T779" s="52"/>
      <c r="U779" s="52"/>
      <c r="V779" s="52"/>
      <c r="W779" s="52"/>
      <c r="X779" s="52"/>
      <c r="Y779" s="52"/>
      <c r="Z779" s="52"/>
      <c r="AA779" s="52"/>
      <c r="AB779" s="52"/>
      <c r="AC779" s="52"/>
      <c r="AD779" s="52"/>
      <c r="AE779" s="52"/>
      <c r="AF779" s="52"/>
      <c r="AG779" s="52"/>
      <c r="AH779" s="52"/>
      <c r="AI779" s="52"/>
      <c r="AJ779" s="52"/>
      <c r="AK779" s="52"/>
      <c r="AL779" s="52"/>
      <c r="AM779" s="52"/>
      <c r="AN779" s="52"/>
      <c r="AO779" s="52"/>
      <c r="AP779" s="138"/>
      <c r="AQ779" s="138"/>
      <c r="AR779" s="52"/>
      <c r="AS779" s="52"/>
      <c r="AT779" s="52"/>
      <c r="AU779" s="139"/>
      <c r="AV779" s="138"/>
      <c r="AW779" s="141"/>
      <c r="AX779" s="52"/>
      <c r="AY779" s="52"/>
      <c r="AZ779" s="52"/>
      <c r="BA779" s="52"/>
      <c r="BB779" s="52"/>
    </row>
    <row r="780">
      <c r="A780" s="52"/>
      <c r="B780" s="26"/>
      <c r="C780" s="52"/>
      <c r="D780" s="52"/>
      <c r="E780" s="52"/>
      <c r="F780" s="52"/>
      <c r="G780" s="135"/>
      <c r="H780" s="52"/>
      <c r="I780" s="52"/>
      <c r="J780" s="136"/>
      <c r="K780" s="136"/>
      <c r="L780" s="136"/>
      <c r="M780" s="136"/>
      <c r="N780" s="52"/>
      <c r="O780" s="52"/>
      <c r="P780" s="52"/>
      <c r="Q780" s="52"/>
      <c r="R780" s="52"/>
      <c r="S780" s="52"/>
      <c r="T780" s="52"/>
      <c r="U780" s="52"/>
      <c r="V780" s="52"/>
      <c r="W780" s="52"/>
      <c r="X780" s="52"/>
      <c r="Y780" s="52"/>
      <c r="Z780" s="52"/>
      <c r="AA780" s="52"/>
      <c r="AB780" s="52"/>
      <c r="AC780" s="52"/>
      <c r="AD780" s="52"/>
      <c r="AE780" s="52"/>
      <c r="AF780" s="52"/>
      <c r="AG780" s="52"/>
      <c r="AH780" s="52"/>
      <c r="AI780" s="52"/>
      <c r="AJ780" s="52"/>
      <c r="AK780" s="52"/>
      <c r="AL780" s="52"/>
      <c r="AM780" s="52"/>
      <c r="AN780" s="52"/>
      <c r="AO780" s="52"/>
      <c r="AP780" s="138"/>
      <c r="AQ780" s="138"/>
      <c r="AR780" s="52"/>
      <c r="AS780" s="52"/>
      <c r="AT780" s="52"/>
      <c r="AU780" s="139"/>
      <c r="AV780" s="138"/>
      <c r="AW780" s="141"/>
      <c r="AX780" s="52"/>
      <c r="AY780" s="52"/>
      <c r="AZ780" s="52"/>
      <c r="BA780" s="52"/>
      <c r="BB780" s="52"/>
    </row>
    <row r="781">
      <c r="A781" s="52"/>
      <c r="B781" s="26"/>
      <c r="C781" s="52"/>
      <c r="D781" s="52"/>
      <c r="E781" s="52"/>
      <c r="F781" s="52"/>
      <c r="G781" s="135"/>
      <c r="H781" s="52"/>
      <c r="I781" s="52"/>
      <c r="J781" s="136"/>
      <c r="K781" s="136"/>
      <c r="L781" s="136"/>
      <c r="M781" s="136"/>
      <c r="N781" s="52"/>
      <c r="O781" s="52"/>
      <c r="P781" s="52"/>
      <c r="Q781" s="52"/>
      <c r="R781" s="52"/>
      <c r="S781" s="52"/>
      <c r="T781" s="52"/>
      <c r="U781" s="52"/>
      <c r="V781" s="52"/>
      <c r="W781" s="52"/>
      <c r="X781" s="52"/>
      <c r="Y781" s="52"/>
      <c r="Z781" s="52"/>
      <c r="AA781" s="52"/>
      <c r="AB781" s="52"/>
      <c r="AC781" s="52"/>
      <c r="AD781" s="52"/>
      <c r="AE781" s="52"/>
      <c r="AF781" s="52"/>
      <c r="AG781" s="52"/>
      <c r="AH781" s="52"/>
      <c r="AI781" s="52"/>
      <c r="AJ781" s="52"/>
      <c r="AK781" s="52"/>
      <c r="AL781" s="52"/>
      <c r="AM781" s="52"/>
      <c r="AN781" s="52"/>
      <c r="AO781" s="52"/>
      <c r="AP781" s="138"/>
      <c r="AQ781" s="138"/>
      <c r="AR781" s="52"/>
      <c r="AS781" s="52"/>
      <c r="AT781" s="52"/>
      <c r="AU781" s="139"/>
      <c r="AV781" s="138"/>
      <c r="AW781" s="141"/>
      <c r="AX781" s="52"/>
      <c r="AY781" s="52"/>
      <c r="AZ781" s="52"/>
      <c r="BA781" s="52"/>
      <c r="BB781" s="52"/>
    </row>
    <row r="782">
      <c r="A782" s="52"/>
      <c r="B782" s="26"/>
      <c r="C782" s="52"/>
      <c r="D782" s="52"/>
      <c r="E782" s="52"/>
      <c r="F782" s="52"/>
      <c r="G782" s="135"/>
      <c r="H782" s="52"/>
      <c r="I782" s="52"/>
      <c r="J782" s="136"/>
      <c r="K782" s="136"/>
      <c r="L782" s="136"/>
      <c r="M782" s="136"/>
      <c r="N782" s="52"/>
      <c r="O782" s="52"/>
      <c r="P782" s="52"/>
      <c r="Q782" s="52"/>
      <c r="R782" s="52"/>
      <c r="S782" s="52"/>
      <c r="T782" s="52"/>
      <c r="U782" s="52"/>
      <c r="V782" s="52"/>
      <c r="W782" s="52"/>
      <c r="X782" s="52"/>
      <c r="Y782" s="52"/>
      <c r="Z782" s="52"/>
      <c r="AA782" s="52"/>
      <c r="AB782" s="52"/>
      <c r="AC782" s="52"/>
      <c r="AD782" s="52"/>
      <c r="AE782" s="52"/>
      <c r="AF782" s="52"/>
      <c r="AG782" s="52"/>
      <c r="AH782" s="52"/>
      <c r="AI782" s="52"/>
      <c r="AJ782" s="52"/>
      <c r="AK782" s="52"/>
      <c r="AL782" s="52"/>
      <c r="AM782" s="52"/>
      <c r="AN782" s="52"/>
      <c r="AO782" s="52"/>
      <c r="AP782" s="138"/>
      <c r="AQ782" s="138"/>
      <c r="AR782" s="52"/>
      <c r="AS782" s="52"/>
      <c r="AT782" s="52"/>
      <c r="AU782" s="139"/>
      <c r="AV782" s="138"/>
      <c r="AW782" s="141"/>
      <c r="AX782" s="52"/>
      <c r="AY782" s="52"/>
      <c r="AZ782" s="52"/>
      <c r="BA782" s="52"/>
      <c r="BB782" s="52"/>
    </row>
    <row r="783">
      <c r="A783" s="52"/>
      <c r="B783" s="26"/>
      <c r="C783" s="52"/>
      <c r="D783" s="52"/>
      <c r="E783" s="52"/>
      <c r="F783" s="52"/>
      <c r="G783" s="135"/>
      <c r="H783" s="52"/>
      <c r="I783" s="52"/>
      <c r="J783" s="136"/>
      <c r="K783" s="136"/>
      <c r="L783" s="136"/>
      <c r="M783" s="136"/>
      <c r="N783" s="52"/>
      <c r="O783" s="52"/>
      <c r="P783" s="52"/>
      <c r="Q783" s="52"/>
      <c r="R783" s="52"/>
      <c r="S783" s="52"/>
      <c r="T783" s="52"/>
      <c r="U783" s="52"/>
      <c r="V783" s="52"/>
      <c r="W783" s="52"/>
      <c r="X783" s="52"/>
      <c r="Y783" s="52"/>
      <c r="Z783" s="52"/>
      <c r="AA783" s="52"/>
      <c r="AB783" s="52"/>
      <c r="AC783" s="52"/>
      <c r="AD783" s="52"/>
      <c r="AE783" s="52"/>
      <c r="AF783" s="52"/>
      <c r="AG783" s="52"/>
      <c r="AH783" s="52"/>
      <c r="AI783" s="52"/>
      <c r="AJ783" s="52"/>
      <c r="AK783" s="52"/>
      <c r="AL783" s="52"/>
      <c r="AM783" s="52"/>
      <c r="AN783" s="52"/>
      <c r="AO783" s="52"/>
      <c r="AP783" s="138"/>
      <c r="AQ783" s="138"/>
      <c r="AR783" s="52"/>
      <c r="AS783" s="52"/>
      <c r="AT783" s="52"/>
      <c r="AU783" s="139"/>
      <c r="AV783" s="138"/>
      <c r="AW783" s="141"/>
      <c r="AX783" s="52"/>
      <c r="AY783" s="52"/>
      <c r="AZ783" s="52"/>
      <c r="BA783" s="52"/>
      <c r="BB783" s="52"/>
    </row>
    <row r="784">
      <c r="A784" s="52"/>
      <c r="B784" s="26"/>
      <c r="C784" s="52"/>
      <c r="D784" s="52"/>
      <c r="E784" s="52"/>
      <c r="F784" s="52"/>
      <c r="G784" s="135"/>
      <c r="H784" s="52"/>
      <c r="I784" s="52"/>
      <c r="J784" s="136"/>
      <c r="K784" s="136"/>
      <c r="L784" s="136"/>
      <c r="M784" s="136"/>
      <c r="N784" s="52"/>
      <c r="O784" s="52"/>
      <c r="P784" s="52"/>
      <c r="Q784" s="52"/>
      <c r="R784" s="52"/>
      <c r="S784" s="52"/>
      <c r="T784" s="52"/>
      <c r="U784" s="52"/>
      <c r="V784" s="52"/>
      <c r="W784" s="52"/>
      <c r="X784" s="52"/>
      <c r="Y784" s="52"/>
      <c r="Z784" s="52"/>
      <c r="AA784" s="52"/>
      <c r="AB784" s="52"/>
      <c r="AC784" s="52"/>
      <c r="AD784" s="52"/>
      <c r="AE784" s="52"/>
      <c r="AF784" s="52"/>
      <c r="AG784" s="52"/>
      <c r="AH784" s="52"/>
      <c r="AI784" s="52"/>
      <c r="AJ784" s="52"/>
      <c r="AK784" s="52"/>
      <c r="AL784" s="52"/>
      <c r="AM784" s="52"/>
      <c r="AN784" s="52"/>
      <c r="AO784" s="52"/>
      <c r="AP784" s="138"/>
      <c r="AQ784" s="138"/>
      <c r="AR784" s="52"/>
      <c r="AS784" s="52"/>
      <c r="AT784" s="52"/>
      <c r="AU784" s="139"/>
      <c r="AV784" s="138"/>
      <c r="AW784" s="141"/>
      <c r="AX784" s="52"/>
      <c r="AY784" s="52"/>
      <c r="AZ784" s="52"/>
      <c r="BA784" s="52"/>
      <c r="BB784" s="52"/>
    </row>
    <row r="785">
      <c r="A785" s="52"/>
      <c r="B785" s="26"/>
      <c r="C785" s="52"/>
      <c r="D785" s="52"/>
      <c r="E785" s="52"/>
      <c r="F785" s="52"/>
      <c r="G785" s="135"/>
      <c r="H785" s="52"/>
      <c r="I785" s="52"/>
      <c r="J785" s="136"/>
      <c r="K785" s="136"/>
      <c r="L785" s="136"/>
      <c r="M785" s="136"/>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138"/>
      <c r="AQ785" s="138"/>
      <c r="AR785" s="52"/>
      <c r="AS785" s="52"/>
      <c r="AT785" s="52"/>
      <c r="AU785" s="139"/>
      <c r="AV785" s="138"/>
      <c r="AW785" s="141"/>
      <c r="AX785" s="52"/>
      <c r="AY785" s="52"/>
      <c r="AZ785" s="52"/>
      <c r="BA785" s="52"/>
      <c r="BB785" s="52"/>
    </row>
    <row r="786">
      <c r="A786" s="52"/>
      <c r="B786" s="26"/>
      <c r="C786" s="52"/>
      <c r="D786" s="52"/>
      <c r="E786" s="52"/>
      <c r="F786" s="52"/>
      <c r="G786" s="135"/>
      <c r="H786" s="52"/>
      <c r="I786" s="52"/>
      <c r="J786" s="136"/>
      <c r="K786" s="136"/>
      <c r="L786" s="136"/>
      <c r="M786" s="136"/>
      <c r="N786" s="52"/>
      <c r="O786" s="52"/>
      <c r="P786" s="52"/>
      <c r="Q786" s="52"/>
      <c r="R786" s="52"/>
      <c r="S786" s="52"/>
      <c r="T786" s="52"/>
      <c r="U786" s="52"/>
      <c r="V786" s="52"/>
      <c r="W786" s="52"/>
      <c r="X786" s="52"/>
      <c r="Y786" s="52"/>
      <c r="Z786" s="52"/>
      <c r="AA786" s="52"/>
      <c r="AB786" s="52"/>
      <c r="AC786" s="52"/>
      <c r="AD786" s="52"/>
      <c r="AE786" s="52"/>
      <c r="AF786" s="52"/>
      <c r="AG786" s="52"/>
      <c r="AH786" s="52"/>
      <c r="AI786" s="52"/>
      <c r="AJ786" s="52"/>
      <c r="AK786" s="52"/>
      <c r="AL786" s="52"/>
      <c r="AM786" s="52"/>
      <c r="AN786" s="52"/>
      <c r="AO786" s="52"/>
      <c r="AP786" s="138"/>
      <c r="AQ786" s="138"/>
      <c r="AR786" s="52"/>
      <c r="AS786" s="52"/>
      <c r="AT786" s="52"/>
      <c r="AU786" s="139"/>
      <c r="AV786" s="138"/>
      <c r="AW786" s="141"/>
      <c r="AX786" s="52"/>
      <c r="AY786" s="52"/>
      <c r="AZ786" s="52"/>
      <c r="BA786" s="52"/>
      <c r="BB786" s="52"/>
    </row>
    <row r="787">
      <c r="A787" s="52"/>
      <c r="B787" s="26"/>
      <c r="C787" s="52"/>
      <c r="D787" s="52"/>
      <c r="E787" s="52"/>
      <c r="F787" s="52"/>
      <c r="G787" s="135"/>
      <c r="H787" s="52"/>
      <c r="I787" s="52"/>
      <c r="J787" s="136"/>
      <c r="K787" s="136"/>
      <c r="L787" s="136"/>
      <c r="M787" s="136"/>
      <c r="N787" s="52"/>
      <c r="O787" s="52"/>
      <c r="P787" s="52"/>
      <c r="Q787" s="52"/>
      <c r="R787" s="52"/>
      <c r="S787" s="52"/>
      <c r="T787" s="52"/>
      <c r="U787" s="52"/>
      <c r="V787" s="52"/>
      <c r="W787" s="52"/>
      <c r="X787" s="52"/>
      <c r="Y787" s="52"/>
      <c r="Z787" s="52"/>
      <c r="AA787" s="52"/>
      <c r="AB787" s="52"/>
      <c r="AC787" s="52"/>
      <c r="AD787" s="52"/>
      <c r="AE787" s="52"/>
      <c r="AF787" s="52"/>
      <c r="AG787" s="52"/>
      <c r="AH787" s="52"/>
      <c r="AI787" s="52"/>
      <c r="AJ787" s="52"/>
      <c r="AK787" s="52"/>
      <c r="AL787" s="52"/>
      <c r="AM787" s="52"/>
      <c r="AN787" s="52"/>
      <c r="AO787" s="52"/>
      <c r="AP787" s="138"/>
      <c r="AQ787" s="138"/>
      <c r="AR787" s="52"/>
      <c r="AS787" s="52"/>
      <c r="AT787" s="52"/>
      <c r="AU787" s="139"/>
      <c r="AV787" s="138"/>
      <c r="AW787" s="141"/>
      <c r="AX787" s="52"/>
      <c r="AY787" s="52"/>
      <c r="AZ787" s="52"/>
      <c r="BA787" s="52"/>
      <c r="BB787" s="52"/>
    </row>
    <row r="788">
      <c r="A788" s="52"/>
      <c r="B788" s="26"/>
      <c r="C788" s="52"/>
      <c r="D788" s="52"/>
      <c r="E788" s="52"/>
      <c r="F788" s="52"/>
      <c r="G788" s="135"/>
      <c r="H788" s="52"/>
      <c r="I788" s="52"/>
      <c r="J788" s="136"/>
      <c r="K788" s="136"/>
      <c r="L788" s="136"/>
      <c r="M788" s="136"/>
      <c r="N788" s="52"/>
      <c r="O788" s="52"/>
      <c r="P788" s="52"/>
      <c r="Q788" s="52"/>
      <c r="R788" s="52"/>
      <c r="S788" s="52"/>
      <c r="T788" s="52"/>
      <c r="U788" s="52"/>
      <c r="V788" s="52"/>
      <c r="W788" s="52"/>
      <c r="X788" s="52"/>
      <c r="Y788" s="52"/>
      <c r="Z788" s="52"/>
      <c r="AA788" s="52"/>
      <c r="AB788" s="52"/>
      <c r="AC788" s="52"/>
      <c r="AD788" s="52"/>
      <c r="AE788" s="52"/>
      <c r="AF788" s="52"/>
      <c r="AG788" s="52"/>
      <c r="AH788" s="52"/>
      <c r="AI788" s="52"/>
      <c r="AJ788" s="52"/>
      <c r="AK788" s="52"/>
      <c r="AL788" s="52"/>
      <c r="AM788" s="52"/>
      <c r="AN788" s="52"/>
      <c r="AO788" s="52"/>
      <c r="AP788" s="138"/>
      <c r="AQ788" s="138"/>
      <c r="AR788" s="52"/>
      <c r="AS788" s="52"/>
      <c r="AT788" s="52"/>
      <c r="AU788" s="139"/>
      <c r="AV788" s="138"/>
      <c r="AW788" s="141"/>
      <c r="AX788" s="52"/>
      <c r="AY788" s="52"/>
      <c r="AZ788" s="52"/>
      <c r="BA788" s="52"/>
      <c r="BB788" s="52"/>
    </row>
    <row r="789">
      <c r="A789" s="52"/>
      <c r="B789" s="26"/>
      <c r="C789" s="52"/>
      <c r="D789" s="52"/>
      <c r="E789" s="52"/>
      <c r="F789" s="52"/>
      <c r="G789" s="135"/>
      <c r="H789" s="52"/>
      <c r="I789" s="52"/>
      <c r="J789" s="136"/>
      <c r="K789" s="136"/>
      <c r="L789" s="136"/>
      <c r="M789" s="136"/>
      <c r="N789" s="52"/>
      <c r="O789" s="52"/>
      <c r="P789" s="52"/>
      <c r="Q789" s="52"/>
      <c r="R789" s="52"/>
      <c r="S789" s="52"/>
      <c r="T789" s="52"/>
      <c r="U789" s="52"/>
      <c r="V789" s="52"/>
      <c r="W789" s="52"/>
      <c r="X789" s="52"/>
      <c r="Y789" s="52"/>
      <c r="Z789" s="52"/>
      <c r="AA789" s="52"/>
      <c r="AB789" s="52"/>
      <c r="AC789" s="52"/>
      <c r="AD789" s="52"/>
      <c r="AE789" s="52"/>
      <c r="AF789" s="52"/>
      <c r="AG789" s="52"/>
      <c r="AH789" s="52"/>
      <c r="AI789" s="52"/>
      <c r="AJ789" s="52"/>
      <c r="AK789" s="52"/>
      <c r="AL789" s="52"/>
      <c r="AM789" s="52"/>
      <c r="AN789" s="52"/>
      <c r="AO789" s="52"/>
      <c r="AP789" s="138"/>
      <c r="AQ789" s="138"/>
      <c r="AR789" s="52"/>
      <c r="AS789" s="52"/>
      <c r="AT789" s="52"/>
      <c r="AU789" s="139"/>
      <c r="AV789" s="138"/>
      <c r="AW789" s="141"/>
      <c r="AX789" s="52"/>
      <c r="AY789" s="52"/>
      <c r="AZ789" s="52"/>
      <c r="BA789" s="52"/>
      <c r="BB789" s="52"/>
    </row>
    <row r="790">
      <c r="A790" s="52"/>
      <c r="B790" s="26"/>
      <c r="C790" s="52"/>
      <c r="D790" s="52"/>
      <c r="E790" s="52"/>
      <c r="F790" s="52"/>
      <c r="G790" s="135"/>
      <c r="H790" s="52"/>
      <c r="I790" s="52"/>
      <c r="J790" s="136"/>
      <c r="K790" s="136"/>
      <c r="L790" s="136"/>
      <c r="M790" s="136"/>
      <c r="N790" s="52"/>
      <c r="O790" s="52"/>
      <c r="P790" s="52"/>
      <c r="Q790" s="52"/>
      <c r="R790" s="52"/>
      <c r="S790" s="52"/>
      <c r="T790" s="52"/>
      <c r="U790" s="52"/>
      <c r="V790" s="52"/>
      <c r="W790" s="52"/>
      <c r="X790" s="52"/>
      <c r="Y790" s="52"/>
      <c r="Z790" s="52"/>
      <c r="AA790" s="52"/>
      <c r="AB790" s="52"/>
      <c r="AC790" s="52"/>
      <c r="AD790" s="52"/>
      <c r="AE790" s="52"/>
      <c r="AF790" s="52"/>
      <c r="AG790" s="52"/>
      <c r="AH790" s="52"/>
      <c r="AI790" s="52"/>
      <c r="AJ790" s="52"/>
      <c r="AK790" s="52"/>
      <c r="AL790" s="52"/>
      <c r="AM790" s="52"/>
      <c r="AN790" s="52"/>
      <c r="AO790" s="52"/>
      <c r="AP790" s="138"/>
      <c r="AQ790" s="138"/>
      <c r="AR790" s="52"/>
      <c r="AS790" s="52"/>
      <c r="AT790" s="52"/>
      <c r="AU790" s="139"/>
      <c r="AV790" s="138"/>
      <c r="AW790" s="141"/>
      <c r="AX790" s="52"/>
      <c r="AY790" s="52"/>
      <c r="AZ790" s="52"/>
      <c r="BA790" s="52"/>
      <c r="BB790" s="52"/>
    </row>
    <row r="791">
      <c r="A791" s="52"/>
      <c r="B791" s="26"/>
      <c r="C791" s="52"/>
      <c r="D791" s="52"/>
      <c r="E791" s="52"/>
      <c r="F791" s="52"/>
      <c r="G791" s="135"/>
      <c r="H791" s="52"/>
      <c r="I791" s="52"/>
      <c r="J791" s="136"/>
      <c r="K791" s="136"/>
      <c r="L791" s="136"/>
      <c r="M791" s="136"/>
      <c r="N791" s="52"/>
      <c r="O791" s="52"/>
      <c r="P791" s="52"/>
      <c r="Q791" s="52"/>
      <c r="R791" s="52"/>
      <c r="S791" s="52"/>
      <c r="T791" s="52"/>
      <c r="U791" s="52"/>
      <c r="V791" s="52"/>
      <c r="W791" s="52"/>
      <c r="X791" s="52"/>
      <c r="Y791" s="52"/>
      <c r="Z791" s="52"/>
      <c r="AA791" s="52"/>
      <c r="AB791" s="52"/>
      <c r="AC791" s="52"/>
      <c r="AD791" s="52"/>
      <c r="AE791" s="52"/>
      <c r="AF791" s="52"/>
      <c r="AG791" s="52"/>
      <c r="AH791" s="52"/>
      <c r="AI791" s="52"/>
      <c r="AJ791" s="52"/>
      <c r="AK791" s="52"/>
      <c r="AL791" s="52"/>
      <c r="AM791" s="52"/>
      <c r="AN791" s="52"/>
      <c r="AO791" s="52"/>
      <c r="AP791" s="138"/>
      <c r="AQ791" s="138"/>
      <c r="AR791" s="52"/>
      <c r="AS791" s="52"/>
      <c r="AT791" s="52"/>
      <c r="AU791" s="139"/>
      <c r="AV791" s="138"/>
      <c r="AW791" s="141"/>
      <c r="AX791" s="52"/>
      <c r="AY791" s="52"/>
      <c r="AZ791" s="52"/>
      <c r="BA791" s="52"/>
      <c r="BB791" s="52"/>
    </row>
    <row r="792">
      <c r="A792" s="52"/>
      <c r="B792" s="26"/>
      <c r="C792" s="52"/>
      <c r="D792" s="52"/>
      <c r="E792" s="52"/>
      <c r="F792" s="52"/>
      <c r="G792" s="135"/>
      <c r="H792" s="52"/>
      <c r="I792" s="52"/>
      <c r="J792" s="136"/>
      <c r="K792" s="136"/>
      <c r="L792" s="136"/>
      <c r="M792" s="136"/>
      <c r="N792" s="52"/>
      <c r="O792" s="52"/>
      <c r="P792" s="52"/>
      <c r="Q792" s="52"/>
      <c r="R792" s="52"/>
      <c r="S792" s="52"/>
      <c r="T792" s="52"/>
      <c r="U792" s="52"/>
      <c r="V792" s="52"/>
      <c r="W792" s="52"/>
      <c r="X792" s="52"/>
      <c r="Y792" s="52"/>
      <c r="Z792" s="52"/>
      <c r="AA792" s="52"/>
      <c r="AB792" s="52"/>
      <c r="AC792" s="52"/>
      <c r="AD792" s="52"/>
      <c r="AE792" s="52"/>
      <c r="AF792" s="52"/>
      <c r="AG792" s="52"/>
      <c r="AH792" s="52"/>
      <c r="AI792" s="52"/>
      <c r="AJ792" s="52"/>
      <c r="AK792" s="52"/>
      <c r="AL792" s="52"/>
      <c r="AM792" s="52"/>
      <c r="AN792" s="52"/>
      <c r="AO792" s="52"/>
      <c r="AP792" s="138"/>
      <c r="AQ792" s="138"/>
      <c r="AR792" s="52"/>
      <c r="AS792" s="52"/>
      <c r="AT792" s="52"/>
      <c r="AU792" s="139"/>
      <c r="AV792" s="138"/>
      <c r="AW792" s="141"/>
      <c r="AX792" s="52"/>
      <c r="AY792" s="52"/>
      <c r="AZ792" s="52"/>
      <c r="BA792" s="52"/>
      <c r="BB792" s="52"/>
    </row>
    <row r="793">
      <c r="A793" s="52"/>
      <c r="B793" s="26"/>
      <c r="C793" s="52"/>
      <c r="D793" s="52"/>
      <c r="E793" s="52"/>
      <c r="F793" s="52"/>
      <c r="G793" s="135"/>
      <c r="H793" s="52"/>
      <c r="I793" s="52"/>
      <c r="J793" s="136"/>
      <c r="K793" s="136"/>
      <c r="L793" s="136"/>
      <c r="M793" s="136"/>
      <c r="N793" s="52"/>
      <c r="O793" s="52"/>
      <c r="P793" s="52"/>
      <c r="Q793" s="52"/>
      <c r="R793" s="52"/>
      <c r="S793" s="52"/>
      <c r="T793" s="52"/>
      <c r="U793" s="52"/>
      <c r="V793" s="52"/>
      <c r="W793" s="52"/>
      <c r="X793" s="52"/>
      <c r="Y793" s="52"/>
      <c r="Z793" s="52"/>
      <c r="AA793" s="52"/>
      <c r="AB793" s="52"/>
      <c r="AC793" s="52"/>
      <c r="AD793" s="52"/>
      <c r="AE793" s="52"/>
      <c r="AF793" s="52"/>
      <c r="AG793" s="52"/>
      <c r="AH793" s="52"/>
      <c r="AI793" s="52"/>
      <c r="AJ793" s="52"/>
      <c r="AK793" s="52"/>
      <c r="AL793" s="52"/>
      <c r="AM793" s="52"/>
      <c r="AN793" s="52"/>
      <c r="AO793" s="52"/>
      <c r="AP793" s="138"/>
      <c r="AQ793" s="138"/>
      <c r="AR793" s="52"/>
      <c r="AS793" s="52"/>
      <c r="AT793" s="52"/>
      <c r="AU793" s="139"/>
      <c r="AV793" s="138"/>
      <c r="AW793" s="141"/>
      <c r="AX793" s="52"/>
      <c r="AY793" s="52"/>
      <c r="AZ793" s="52"/>
      <c r="BA793" s="52"/>
      <c r="BB793" s="52"/>
    </row>
    <row r="794">
      <c r="A794" s="52"/>
      <c r="B794" s="26"/>
      <c r="C794" s="52"/>
      <c r="D794" s="52"/>
      <c r="E794" s="52"/>
      <c r="F794" s="52"/>
      <c r="G794" s="135"/>
      <c r="H794" s="52"/>
      <c r="I794" s="52"/>
      <c r="J794" s="136"/>
      <c r="K794" s="136"/>
      <c r="L794" s="136"/>
      <c r="M794" s="136"/>
      <c r="N794" s="52"/>
      <c r="O794" s="52"/>
      <c r="P794" s="52"/>
      <c r="Q794" s="52"/>
      <c r="R794" s="52"/>
      <c r="S794" s="52"/>
      <c r="T794" s="52"/>
      <c r="U794" s="52"/>
      <c r="V794" s="52"/>
      <c r="W794" s="52"/>
      <c r="X794" s="52"/>
      <c r="Y794" s="52"/>
      <c r="Z794" s="52"/>
      <c r="AA794" s="52"/>
      <c r="AB794" s="52"/>
      <c r="AC794" s="52"/>
      <c r="AD794" s="52"/>
      <c r="AE794" s="52"/>
      <c r="AF794" s="52"/>
      <c r="AG794" s="52"/>
      <c r="AH794" s="52"/>
      <c r="AI794" s="52"/>
      <c r="AJ794" s="52"/>
      <c r="AK794" s="52"/>
      <c r="AL794" s="52"/>
      <c r="AM794" s="52"/>
      <c r="AN794" s="52"/>
      <c r="AO794" s="52"/>
      <c r="AP794" s="138"/>
      <c r="AQ794" s="138"/>
      <c r="AR794" s="52"/>
      <c r="AS794" s="52"/>
      <c r="AT794" s="52"/>
      <c r="AU794" s="139"/>
      <c r="AV794" s="138"/>
      <c r="AW794" s="141"/>
      <c r="AX794" s="52"/>
      <c r="AY794" s="52"/>
      <c r="AZ794" s="52"/>
      <c r="BA794" s="52"/>
      <c r="BB794" s="52"/>
    </row>
    <row r="795">
      <c r="A795" s="52"/>
      <c r="B795" s="26"/>
      <c r="C795" s="52"/>
      <c r="D795" s="52"/>
      <c r="E795" s="52"/>
      <c r="F795" s="52"/>
      <c r="G795" s="135"/>
      <c r="H795" s="52"/>
      <c r="I795" s="52"/>
      <c r="J795" s="136"/>
      <c r="K795" s="136"/>
      <c r="L795" s="136"/>
      <c r="M795" s="136"/>
      <c r="N795" s="52"/>
      <c r="O795" s="52"/>
      <c r="P795" s="52"/>
      <c r="Q795" s="52"/>
      <c r="R795" s="52"/>
      <c r="S795" s="52"/>
      <c r="T795" s="52"/>
      <c r="U795" s="52"/>
      <c r="V795" s="52"/>
      <c r="W795" s="52"/>
      <c r="X795" s="52"/>
      <c r="Y795" s="52"/>
      <c r="Z795" s="52"/>
      <c r="AA795" s="52"/>
      <c r="AB795" s="52"/>
      <c r="AC795" s="52"/>
      <c r="AD795" s="52"/>
      <c r="AE795" s="52"/>
      <c r="AF795" s="52"/>
      <c r="AG795" s="52"/>
      <c r="AH795" s="52"/>
      <c r="AI795" s="52"/>
      <c r="AJ795" s="52"/>
      <c r="AK795" s="52"/>
      <c r="AL795" s="52"/>
      <c r="AM795" s="52"/>
      <c r="AN795" s="52"/>
      <c r="AO795" s="52"/>
      <c r="AP795" s="138"/>
      <c r="AQ795" s="138"/>
      <c r="AR795" s="52"/>
      <c r="AS795" s="52"/>
      <c r="AT795" s="52"/>
      <c r="AU795" s="139"/>
      <c r="AV795" s="138"/>
      <c r="AW795" s="141"/>
      <c r="AX795" s="52"/>
      <c r="AY795" s="52"/>
      <c r="AZ795" s="52"/>
      <c r="BA795" s="52"/>
      <c r="BB795" s="52"/>
    </row>
    <row r="796">
      <c r="A796" s="52"/>
      <c r="B796" s="26"/>
      <c r="C796" s="52"/>
      <c r="D796" s="52"/>
      <c r="E796" s="52"/>
      <c r="F796" s="52"/>
      <c r="G796" s="135"/>
      <c r="H796" s="52"/>
      <c r="I796" s="52"/>
      <c r="J796" s="136"/>
      <c r="K796" s="136"/>
      <c r="L796" s="136"/>
      <c r="M796" s="136"/>
      <c r="N796" s="52"/>
      <c r="O796" s="52"/>
      <c r="P796" s="52"/>
      <c r="Q796" s="52"/>
      <c r="R796" s="52"/>
      <c r="S796" s="52"/>
      <c r="T796" s="52"/>
      <c r="U796" s="52"/>
      <c r="V796" s="52"/>
      <c r="W796" s="52"/>
      <c r="X796" s="52"/>
      <c r="Y796" s="52"/>
      <c r="Z796" s="52"/>
      <c r="AA796" s="52"/>
      <c r="AB796" s="52"/>
      <c r="AC796" s="52"/>
      <c r="AD796" s="52"/>
      <c r="AE796" s="52"/>
      <c r="AF796" s="52"/>
      <c r="AG796" s="52"/>
      <c r="AH796" s="52"/>
      <c r="AI796" s="52"/>
      <c r="AJ796" s="52"/>
      <c r="AK796" s="52"/>
      <c r="AL796" s="52"/>
      <c r="AM796" s="52"/>
      <c r="AN796" s="52"/>
      <c r="AO796" s="52"/>
      <c r="AP796" s="138"/>
      <c r="AQ796" s="138"/>
      <c r="AR796" s="52"/>
      <c r="AS796" s="52"/>
      <c r="AT796" s="52"/>
      <c r="AU796" s="139"/>
      <c r="AV796" s="138"/>
      <c r="AW796" s="141"/>
      <c r="AX796" s="52"/>
      <c r="AY796" s="52"/>
      <c r="AZ796" s="52"/>
      <c r="BA796" s="52"/>
      <c r="BB796" s="52"/>
    </row>
    <row r="797">
      <c r="A797" s="52"/>
      <c r="B797" s="26"/>
      <c r="C797" s="52"/>
      <c r="D797" s="52"/>
      <c r="E797" s="52"/>
      <c r="F797" s="52"/>
      <c r="G797" s="135"/>
      <c r="H797" s="52"/>
      <c r="I797" s="52"/>
      <c r="J797" s="136"/>
      <c r="K797" s="136"/>
      <c r="L797" s="136"/>
      <c r="M797" s="136"/>
      <c r="N797" s="52"/>
      <c r="O797" s="52"/>
      <c r="P797" s="52"/>
      <c r="Q797" s="52"/>
      <c r="R797" s="52"/>
      <c r="S797" s="52"/>
      <c r="T797" s="52"/>
      <c r="U797" s="52"/>
      <c r="V797" s="52"/>
      <c r="W797" s="52"/>
      <c r="X797" s="52"/>
      <c r="Y797" s="52"/>
      <c r="Z797" s="52"/>
      <c r="AA797" s="52"/>
      <c r="AB797" s="52"/>
      <c r="AC797" s="52"/>
      <c r="AD797" s="52"/>
      <c r="AE797" s="52"/>
      <c r="AF797" s="52"/>
      <c r="AG797" s="52"/>
      <c r="AH797" s="52"/>
      <c r="AI797" s="52"/>
      <c r="AJ797" s="52"/>
      <c r="AK797" s="52"/>
      <c r="AL797" s="52"/>
      <c r="AM797" s="52"/>
      <c r="AN797" s="52"/>
      <c r="AO797" s="52"/>
      <c r="AP797" s="138"/>
      <c r="AQ797" s="138"/>
      <c r="AR797" s="52"/>
      <c r="AS797" s="52"/>
      <c r="AT797" s="52"/>
      <c r="AU797" s="139"/>
      <c r="AV797" s="138"/>
      <c r="AW797" s="141"/>
      <c r="AX797" s="52"/>
      <c r="AY797" s="52"/>
      <c r="AZ797" s="52"/>
      <c r="BA797" s="52"/>
      <c r="BB797" s="52"/>
    </row>
    <row r="798">
      <c r="A798" s="52"/>
      <c r="B798" s="26"/>
      <c r="C798" s="52"/>
      <c r="D798" s="52"/>
      <c r="E798" s="52"/>
      <c r="F798" s="52"/>
      <c r="G798" s="135"/>
      <c r="H798" s="52"/>
      <c r="I798" s="52"/>
      <c r="J798" s="136"/>
      <c r="K798" s="136"/>
      <c r="L798" s="136"/>
      <c r="M798" s="136"/>
      <c r="N798" s="52"/>
      <c r="O798" s="52"/>
      <c r="P798" s="52"/>
      <c r="Q798" s="52"/>
      <c r="R798" s="52"/>
      <c r="S798" s="52"/>
      <c r="T798" s="52"/>
      <c r="U798" s="52"/>
      <c r="V798" s="52"/>
      <c r="W798" s="52"/>
      <c r="X798" s="52"/>
      <c r="Y798" s="52"/>
      <c r="Z798" s="52"/>
      <c r="AA798" s="52"/>
      <c r="AB798" s="52"/>
      <c r="AC798" s="52"/>
      <c r="AD798" s="52"/>
      <c r="AE798" s="52"/>
      <c r="AF798" s="52"/>
      <c r="AG798" s="52"/>
      <c r="AH798" s="52"/>
      <c r="AI798" s="52"/>
      <c r="AJ798" s="52"/>
      <c r="AK798" s="52"/>
      <c r="AL798" s="52"/>
      <c r="AM798" s="52"/>
      <c r="AN798" s="52"/>
      <c r="AO798" s="52"/>
      <c r="AP798" s="138"/>
      <c r="AQ798" s="138"/>
      <c r="AR798" s="52"/>
      <c r="AS798" s="52"/>
      <c r="AT798" s="52"/>
      <c r="AU798" s="139"/>
      <c r="AV798" s="138"/>
      <c r="AW798" s="141"/>
      <c r="AX798" s="52"/>
      <c r="AY798" s="52"/>
      <c r="AZ798" s="52"/>
      <c r="BA798" s="52"/>
      <c r="BB798" s="52"/>
    </row>
    <row r="799">
      <c r="A799" s="52"/>
      <c r="B799" s="26"/>
      <c r="C799" s="52"/>
      <c r="D799" s="52"/>
      <c r="E799" s="52"/>
      <c r="F799" s="52"/>
      <c r="G799" s="135"/>
      <c r="H799" s="52"/>
      <c r="I799" s="52"/>
      <c r="J799" s="136"/>
      <c r="K799" s="136"/>
      <c r="L799" s="136"/>
      <c r="M799" s="136"/>
      <c r="N799" s="52"/>
      <c r="O799" s="52"/>
      <c r="P799" s="52"/>
      <c r="Q799" s="52"/>
      <c r="R799" s="52"/>
      <c r="S799" s="52"/>
      <c r="T799" s="52"/>
      <c r="U799" s="52"/>
      <c r="V799" s="52"/>
      <c r="W799" s="52"/>
      <c r="X799" s="52"/>
      <c r="Y799" s="52"/>
      <c r="Z799" s="52"/>
      <c r="AA799" s="52"/>
      <c r="AB799" s="52"/>
      <c r="AC799" s="52"/>
      <c r="AD799" s="52"/>
      <c r="AE799" s="52"/>
      <c r="AF799" s="52"/>
      <c r="AG799" s="52"/>
      <c r="AH799" s="52"/>
      <c r="AI799" s="52"/>
      <c r="AJ799" s="52"/>
      <c r="AK799" s="52"/>
      <c r="AL799" s="52"/>
      <c r="AM799" s="52"/>
      <c r="AN799" s="52"/>
      <c r="AO799" s="52"/>
      <c r="AP799" s="138"/>
      <c r="AQ799" s="138"/>
      <c r="AR799" s="52"/>
      <c r="AS799" s="52"/>
      <c r="AT799" s="52"/>
      <c r="AU799" s="139"/>
      <c r="AV799" s="138"/>
      <c r="AW799" s="141"/>
      <c r="AX799" s="52"/>
      <c r="AY799" s="52"/>
      <c r="AZ799" s="52"/>
      <c r="BA799" s="52"/>
      <c r="BB799" s="52"/>
    </row>
    <row r="800">
      <c r="A800" s="52"/>
      <c r="B800" s="26"/>
      <c r="C800" s="52"/>
      <c r="D800" s="52"/>
      <c r="E800" s="52"/>
      <c r="F800" s="52"/>
      <c r="G800" s="135"/>
      <c r="H800" s="52"/>
      <c r="I800" s="52"/>
      <c r="J800" s="136"/>
      <c r="K800" s="136"/>
      <c r="L800" s="136"/>
      <c r="M800" s="136"/>
      <c r="N800" s="52"/>
      <c r="O800" s="52"/>
      <c r="P800" s="52"/>
      <c r="Q800" s="52"/>
      <c r="R800" s="52"/>
      <c r="S800" s="52"/>
      <c r="T800" s="52"/>
      <c r="U800" s="52"/>
      <c r="V800" s="52"/>
      <c r="W800" s="52"/>
      <c r="X800" s="52"/>
      <c r="Y800" s="52"/>
      <c r="Z800" s="52"/>
      <c r="AA800" s="52"/>
      <c r="AB800" s="52"/>
      <c r="AC800" s="52"/>
      <c r="AD800" s="52"/>
      <c r="AE800" s="52"/>
      <c r="AF800" s="52"/>
      <c r="AG800" s="52"/>
      <c r="AH800" s="52"/>
      <c r="AI800" s="52"/>
      <c r="AJ800" s="52"/>
      <c r="AK800" s="52"/>
      <c r="AL800" s="52"/>
      <c r="AM800" s="52"/>
      <c r="AN800" s="52"/>
      <c r="AO800" s="52"/>
      <c r="AP800" s="138"/>
      <c r="AQ800" s="138"/>
      <c r="AR800" s="52"/>
      <c r="AS800" s="52"/>
      <c r="AT800" s="52"/>
      <c r="AU800" s="139"/>
      <c r="AV800" s="138"/>
      <c r="AW800" s="141"/>
      <c r="AX800" s="52"/>
      <c r="AY800" s="52"/>
      <c r="AZ800" s="52"/>
      <c r="BA800" s="52"/>
      <c r="BB800" s="52"/>
    </row>
    <row r="801">
      <c r="A801" s="52"/>
      <c r="B801" s="26"/>
      <c r="C801" s="52"/>
      <c r="D801" s="52"/>
      <c r="E801" s="52"/>
      <c r="F801" s="52"/>
      <c r="G801" s="135"/>
      <c r="H801" s="52"/>
      <c r="I801" s="52"/>
      <c r="J801" s="136"/>
      <c r="K801" s="136"/>
      <c r="L801" s="136"/>
      <c r="M801" s="136"/>
      <c r="N801" s="52"/>
      <c r="O801" s="52"/>
      <c r="P801" s="52"/>
      <c r="Q801" s="52"/>
      <c r="R801" s="52"/>
      <c r="S801" s="52"/>
      <c r="T801" s="52"/>
      <c r="U801" s="52"/>
      <c r="V801" s="52"/>
      <c r="W801" s="52"/>
      <c r="X801" s="52"/>
      <c r="Y801" s="52"/>
      <c r="Z801" s="52"/>
      <c r="AA801" s="52"/>
      <c r="AB801" s="52"/>
      <c r="AC801" s="52"/>
      <c r="AD801" s="52"/>
      <c r="AE801" s="52"/>
      <c r="AF801" s="52"/>
      <c r="AG801" s="52"/>
      <c r="AH801" s="52"/>
      <c r="AI801" s="52"/>
      <c r="AJ801" s="52"/>
      <c r="AK801" s="52"/>
      <c r="AL801" s="52"/>
      <c r="AM801" s="52"/>
      <c r="AN801" s="52"/>
      <c r="AO801" s="52"/>
      <c r="AP801" s="138"/>
      <c r="AQ801" s="138"/>
      <c r="AR801" s="52"/>
      <c r="AS801" s="52"/>
      <c r="AT801" s="52"/>
      <c r="AU801" s="139"/>
      <c r="AV801" s="138"/>
      <c r="AW801" s="141"/>
      <c r="AX801" s="52"/>
      <c r="AY801" s="52"/>
      <c r="AZ801" s="52"/>
      <c r="BA801" s="52"/>
      <c r="BB801" s="52"/>
    </row>
    <row r="802">
      <c r="A802" s="52"/>
      <c r="B802" s="26"/>
      <c r="C802" s="52"/>
      <c r="D802" s="52"/>
      <c r="E802" s="52"/>
      <c r="F802" s="52"/>
      <c r="G802" s="135"/>
      <c r="H802" s="52"/>
      <c r="I802" s="52"/>
      <c r="J802" s="136"/>
      <c r="K802" s="136"/>
      <c r="L802" s="136"/>
      <c r="M802" s="136"/>
      <c r="N802" s="52"/>
      <c r="O802" s="52"/>
      <c r="P802" s="52"/>
      <c r="Q802" s="52"/>
      <c r="R802" s="52"/>
      <c r="S802" s="52"/>
      <c r="T802" s="52"/>
      <c r="U802" s="52"/>
      <c r="V802" s="52"/>
      <c r="W802" s="52"/>
      <c r="X802" s="52"/>
      <c r="Y802" s="52"/>
      <c r="Z802" s="52"/>
      <c r="AA802" s="52"/>
      <c r="AB802" s="52"/>
      <c r="AC802" s="52"/>
      <c r="AD802" s="52"/>
      <c r="AE802" s="52"/>
      <c r="AF802" s="52"/>
      <c r="AG802" s="52"/>
      <c r="AH802" s="52"/>
      <c r="AI802" s="52"/>
      <c r="AJ802" s="52"/>
      <c r="AK802" s="52"/>
      <c r="AL802" s="52"/>
      <c r="AM802" s="52"/>
      <c r="AN802" s="52"/>
      <c r="AO802" s="52"/>
      <c r="AP802" s="138"/>
      <c r="AQ802" s="138"/>
      <c r="AR802" s="52"/>
      <c r="AS802" s="52"/>
      <c r="AT802" s="52"/>
      <c r="AU802" s="139"/>
      <c r="AV802" s="138"/>
      <c r="AW802" s="141"/>
      <c r="AX802" s="52"/>
      <c r="AY802" s="52"/>
      <c r="AZ802" s="52"/>
      <c r="BA802" s="52"/>
      <c r="BB802" s="52"/>
    </row>
    <row r="803">
      <c r="A803" s="52"/>
      <c r="B803" s="26"/>
      <c r="C803" s="52"/>
      <c r="D803" s="52"/>
      <c r="E803" s="52"/>
      <c r="F803" s="52"/>
      <c r="G803" s="135"/>
      <c r="H803" s="52"/>
      <c r="I803" s="52"/>
      <c r="J803" s="136"/>
      <c r="K803" s="136"/>
      <c r="L803" s="136"/>
      <c r="M803" s="136"/>
      <c r="N803" s="52"/>
      <c r="O803" s="52"/>
      <c r="P803" s="52"/>
      <c r="Q803" s="52"/>
      <c r="R803" s="52"/>
      <c r="S803" s="52"/>
      <c r="T803" s="52"/>
      <c r="U803" s="52"/>
      <c r="V803" s="52"/>
      <c r="W803" s="52"/>
      <c r="X803" s="52"/>
      <c r="Y803" s="52"/>
      <c r="Z803" s="52"/>
      <c r="AA803" s="52"/>
      <c r="AB803" s="52"/>
      <c r="AC803" s="52"/>
      <c r="AD803" s="52"/>
      <c r="AE803" s="52"/>
      <c r="AF803" s="52"/>
      <c r="AG803" s="52"/>
      <c r="AH803" s="52"/>
      <c r="AI803" s="52"/>
      <c r="AJ803" s="52"/>
      <c r="AK803" s="52"/>
      <c r="AL803" s="52"/>
      <c r="AM803" s="52"/>
      <c r="AN803" s="52"/>
      <c r="AO803" s="52"/>
      <c r="AP803" s="138"/>
      <c r="AQ803" s="138"/>
      <c r="AR803" s="52"/>
      <c r="AS803" s="52"/>
      <c r="AT803" s="52"/>
      <c r="AU803" s="139"/>
      <c r="AV803" s="138"/>
      <c r="AW803" s="141"/>
      <c r="AX803" s="52"/>
      <c r="AY803" s="52"/>
      <c r="AZ803" s="52"/>
      <c r="BA803" s="52"/>
      <c r="BB803" s="52"/>
    </row>
    <row r="804">
      <c r="A804" s="52"/>
      <c r="B804" s="26"/>
      <c r="C804" s="52"/>
      <c r="D804" s="52"/>
      <c r="E804" s="52"/>
      <c r="F804" s="52"/>
      <c r="G804" s="135"/>
      <c r="H804" s="52"/>
      <c r="I804" s="52"/>
      <c r="J804" s="136"/>
      <c r="K804" s="136"/>
      <c r="L804" s="136"/>
      <c r="M804" s="136"/>
      <c r="N804" s="52"/>
      <c r="O804" s="52"/>
      <c r="P804" s="52"/>
      <c r="Q804" s="52"/>
      <c r="R804" s="52"/>
      <c r="S804" s="52"/>
      <c r="T804" s="52"/>
      <c r="U804" s="52"/>
      <c r="V804" s="52"/>
      <c r="W804" s="52"/>
      <c r="X804" s="52"/>
      <c r="Y804" s="52"/>
      <c r="Z804" s="52"/>
      <c r="AA804" s="52"/>
      <c r="AB804" s="52"/>
      <c r="AC804" s="52"/>
      <c r="AD804" s="52"/>
      <c r="AE804" s="52"/>
      <c r="AF804" s="52"/>
      <c r="AG804" s="52"/>
      <c r="AH804" s="52"/>
      <c r="AI804" s="52"/>
      <c r="AJ804" s="52"/>
      <c r="AK804" s="52"/>
      <c r="AL804" s="52"/>
      <c r="AM804" s="52"/>
      <c r="AN804" s="52"/>
      <c r="AO804" s="52"/>
      <c r="AP804" s="138"/>
      <c r="AQ804" s="138"/>
      <c r="AR804" s="52"/>
      <c r="AS804" s="52"/>
      <c r="AT804" s="52"/>
      <c r="AU804" s="139"/>
      <c r="AV804" s="138"/>
      <c r="AW804" s="141"/>
      <c r="AX804" s="52"/>
      <c r="AY804" s="52"/>
      <c r="AZ804" s="52"/>
      <c r="BA804" s="52"/>
      <c r="BB804" s="52"/>
    </row>
    <row r="805">
      <c r="A805" s="52"/>
      <c r="B805" s="26"/>
      <c r="C805" s="52"/>
      <c r="D805" s="52"/>
      <c r="E805" s="52"/>
      <c r="F805" s="52"/>
      <c r="G805" s="135"/>
      <c r="H805" s="52"/>
      <c r="I805" s="52"/>
      <c r="J805" s="136"/>
      <c r="K805" s="136"/>
      <c r="L805" s="136"/>
      <c r="M805" s="136"/>
      <c r="N805" s="52"/>
      <c r="O805" s="52"/>
      <c r="P805" s="52"/>
      <c r="Q805" s="52"/>
      <c r="R805" s="52"/>
      <c r="S805" s="52"/>
      <c r="T805" s="52"/>
      <c r="U805" s="52"/>
      <c r="V805" s="52"/>
      <c r="W805" s="52"/>
      <c r="X805" s="52"/>
      <c r="Y805" s="52"/>
      <c r="Z805" s="52"/>
      <c r="AA805" s="52"/>
      <c r="AB805" s="52"/>
      <c r="AC805" s="52"/>
      <c r="AD805" s="52"/>
      <c r="AE805" s="52"/>
      <c r="AF805" s="52"/>
      <c r="AG805" s="52"/>
      <c r="AH805" s="52"/>
      <c r="AI805" s="52"/>
      <c r="AJ805" s="52"/>
      <c r="AK805" s="52"/>
      <c r="AL805" s="52"/>
      <c r="AM805" s="52"/>
      <c r="AN805" s="52"/>
      <c r="AO805" s="52"/>
      <c r="AP805" s="138"/>
      <c r="AQ805" s="138"/>
      <c r="AR805" s="52"/>
      <c r="AS805" s="52"/>
      <c r="AT805" s="52"/>
      <c r="AU805" s="139"/>
      <c r="AV805" s="138"/>
      <c r="AW805" s="141"/>
      <c r="AX805" s="52"/>
      <c r="AY805" s="52"/>
      <c r="AZ805" s="52"/>
      <c r="BA805" s="52"/>
      <c r="BB805" s="52"/>
    </row>
    <row r="806">
      <c r="A806" s="52"/>
      <c r="B806" s="26"/>
      <c r="C806" s="52"/>
      <c r="D806" s="52"/>
      <c r="E806" s="52"/>
      <c r="F806" s="52"/>
      <c r="G806" s="135"/>
      <c r="H806" s="52"/>
      <c r="I806" s="52"/>
      <c r="J806" s="136"/>
      <c r="K806" s="136"/>
      <c r="L806" s="136"/>
      <c r="M806" s="136"/>
      <c r="N806" s="52"/>
      <c r="O806" s="52"/>
      <c r="P806" s="52"/>
      <c r="Q806" s="52"/>
      <c r="R806" s="52"/>
      <c r="S806" s="52"/>
      <c r="T806" s="52"/>
      <c r="U806" s="52"/>
      <c r="V806" s="52"/>
      <c r="W806" s="52"/>
      <c r="X806" s="52"/>
      <c r="Y806" s="52"/>
      <c r="Z806" s="52"/>
      <c r="AA806" s="52"/>
      <c r="AB806" s="52"/>
      <c r="AC806" s="52"/>
      <c r="AD806" s="52"/>
      <c r="AE806" s="52"/>
      <c r="AF806" s="52"/>
      <c r="AG806" s="52"/>
      <c r="AH806" s="52"/>
      <c r="AI806" s="52"/>
      <c r="AJ806" s="52"/>
      <c r="AK806" s="52"/>
      <c r="AL806" s="52"/>
      <c r="AM806" s="52"/>
      <c r="AN806" s="52"/>
      <c r="AO806" s="52"/>
      <c r="AP806" s="138"/>
      <c r="AQ806" s="138"/>
      <c r="AR806" s="52"/>
      <c r="AS806" s="52"/>
      <c r="AT806" s="52"/>
      <c r="AU806" s="139"/>
      <c r="AV806" s="138"/>
      <c r="AW806" s="141"/>
      <c r="AX806" s="52"/>
      <c r="AY806" s="52"/>
      <c r="AZ806" s="52"/>
      <c r="BA806" s="52"/>
      <c r="BB806" s="52"/>
    </row>
    <row r="807">
      <c r="A807" s="52"/>
      <c r="B807" s="26"/>
      <c r="C807" s="52"/>
      <c r="D807" s="52"/>
      <c r="E807" s="52"/>
      <c r="F807" s="52"/>
      <c r="G807" s="135"/>
      <c r="H807" s="52"/>
      <c r="I807" s="52"/>
      <c r="J807" s="136"/>
      <c r="K807" s="136"/>
      <c r="L807" s="136"/>
      <c r="M807" s="136"/>
      <c r="N807" s="52"/>
      <c r="O807" s="52"/>
      <c r="P807" s="52"/>
      <c r="Q807" s="52"/>
      <c r="R807" s="52"/>
      <c r="S807" s="52"/>
      <c r="T807" s="52"/>
      <c r="U807" s="52"/>
      <c r="V807" s="52"/>
      <c r="W807" s="52"/>
      <c r="X807" s="52"/>
      <c r="Y807" s="52"/>
      <c r="Z807" s="52"/>
      <c r="AA807" s="52"/>
      <c r="AB807" s="52"/>
      <c r="AC807" s="52"/>
      <c r="AD807" s="52"/>
      <c r="AE807" s="52"/>
      <c r="AF807" s="52"/>
      <c r="AG807" s="52"/>
      <c r="AH807" s="52"/>
      <c r="AI807" s="52"/>
      <c r="AJ807" s="52"/>
      <c r="AK807" s="52"/>
      <c r="AL807" s="52"/>
      <c r="AM807" s="52"/>
      <c r="AN807" s="52"/>
      <c r="AO807" s="52"/>
      <c r="AP807" s="138"/>
      <c r="AQ807" s="138"/>
      <c r="AR807" s="52"/>
      <c r="AS807" s="52"/>
      <c r="AT807" s="52"/>
      <c r="AU807" s="139"/>
      <c r="AV807" s="138"/>
      <c r="AW807" s="141"/>
      <c r="AX807" s="52"/>
      <c r="AY807" s="52"/>
      <c r="AZ807" s="52"/>
      <c r="BA807" s="52"/>
      <c r="BB807" s="52"/>
    </row>
    <row r="808">
      <c r="A808" s="52"/>
      <c r="B808" s="26"/>
      <c r="C808" s="52"/>
      <c r="D808" s="52"/>
      <c r="E808" s="52"/>
      <c r="F808" s="52"/>
      <c r="G808" s="135"/>
      <c r="H808" s="52"/>
      <c r="I808" s="52"/>
      <c r="J808" s="136"/>
      <c r="K808" s="136"/>
      <c r="L808" s="136"/>
      <c r="M808" s="136"/>
      <c r="N808" s="52"/>
      <c r="O808" s="52"/>
      <c r="P808" s="52"/>
      <c r="Q808" s="52"/>
      <c r="R808" s="52"/>
      <c r="S808" s="52"/>
      <c r="T808" s="52"/>
      <c r="U808" s="52"/>
      <c r="V808" s="52"/>
      <c r="W808" s="52"/>
      <c r="X808" s="52"/>
      <c r="Y808" s="52"/>
      <c r="Z808" s="52"/>
      <c r="AA808" s="52"/>
      <c r="AB808" s="52"/>
      <c r="AC808" s="52"/>
      <c r="AD808" s="52"/>
      <c r="AE808" s="52"/>
      <c r="AF808" s="52"/>
      <c r="AG808" s="52"/>
      <c r="AH808" s="52"/>
      <c r="AI808" s="52"/>
      <c r="AJ808" s="52"/>
      <c r="AK808" s="52"/>
      <c r="AL808" s="52"/>
      <c r="AM808" s="52"/>
      <c r="AN808" s="52"/>
      <c r="AO808" s="52"/>
      <c r="AP808" s="138"/>
      <c r="AQ808" s="138"/>
      <c r="AR808" s="52"/>
      <c r="AS808" s="52"/>
      <c r="AT808" s="52"/>
      <c r="AU808" s="139"/>
      <c r="AV808" s="138"/>
      <c r="AW808" s="141"/>
      <c r="AX808" s="52"/>
      <c r="AY808" s="52"/>
      <c r="AZ808" s="52"/>
      <c r="BA808" s="52"/>
      <c r="BB808" s="52"/>
    </row>
    <row r="809">
      <c r="A809" s="52"/>
      <c r="B809" s="26"/>
      <c r="C809" s="52"/>
      <c r="D809" s="52"/>
      <c r="E809" s="52"/>
      <c r="F809" s="52"/>
      <c r="G809" s="135"/>
      <c r="H809" s="52"/>
      <c r="I809" s="52"/>
      <c r="J809" s="136"/>
      <c r="K809" s="136"/>
      <c r="L809" s="136"/>
      <c r="M809" s="136"/>
      <c r="N809" s="52"/>
      <c r="O809" s="52"/>
      <c r="P809" s="52"/>
      <c r="Q809" s="52"/>
      <c r="R809" s="52"/>
      <c r="S809" s="52"/>
      <c r="T809" s="52"/>
      <c r="U809" s="52"/>
      <c r="V809" s="52"/>
      <c r="W809" s="52"/>
      <c r="X809" s="52"/>
      <c r="Y809" s="52"/>
      <c r="Z809" s="52"/>
      <c r="AA809" s="52"/>
      <c r="AB809" s="52"/>
      <c r="AC809" s="52"/>
      <c r="AD809" s="52"/>
      <c r="AE809" s="52"/>
      <c r="AF809" s="52"/>
      <c r="AG809" s="52"/>
      <c r="AH809" s="52"/>
      <c r="AI809" s="52"/>
      <c r="AJ809" s="52"/>
      <c r="AK809" s="52"/>
      <c r="AL809" s="52"/>
      <c r="AM809" s="52"/>
      <c r="AN809" s="52"/>
      <c r="AO809" s="52"/>
      <c r="AP809" s="138"/>
      <c r="AQ809" s="138"/>
      <c r="AR809" s="52"/>
      <c r="AS809" s="52"/>
      <c r="AT809" s="52"/>
      <c r="AU809" s="139"/>
      <c r="AV809" s="138"/>
      <c r="AW809" s="141"/>
      <c r="AX809" s="52"/>
      <c r="AY809" s="52"/>
      <c r="AZ809" s="52"/>
      <c r="BA809" s="52"/>
      <c r="BB809" s="52"/>
    </row>
    <row r="810">
      <c r="A810" s="52"/>
      <c r="B810" s="26"/>
      <c r="C810" s="52"/>
      <c r="D810" s="52"/>
      <c r="E810" s="52"/>
      <c r="F810" s="52"/>
      <c r="G810" s="135"/>
      <c r="H810" s="52"/>
      <c r="I810" s="52"/>
      <c r="J810" s="136"/>
      <c r="K810" s="136"/>
      <c r="L810" s="136"/>
      <c r="M810" s="136"/>
      <c r="N810" s="52"/>
      <c r="O810" s="52"/>
      <c r="P810" s="52"/>
      <c r="Q810" s="52"/>
      <c r="R810" s="52"/>
      <c r="S810" s="52"/>
      <c r="T810" s="52"/>
      <c r="U810" s="52"/>
      <c r="V810" s="52"/>
      <c r="W810" s="52"/>
      <c r="X810" s="52"/>
      <c r="Y810" s="52"/>
      <c r="Z810" s="52"/>
      <c r="AA810" s="52"/>
      <c r="AB810" s="52"/>
      <c r="AC810" s="52"/>
      <c r="AD810" s="52"/>
      <c r="AE810" s="52"/>
      <c r="AF810" s="52"/>
      <c r="AG810" s="52"/>
      <c r="AH810" s="52"/>
      <c r="AI810" s="52"/>
      <c r="AJ810" s="52"/>
      <c r="AK810" s="52"/>
      <c r="AL810" s="52"/>
      <c r="AM810" s="52"/>
      <c r="AN810" s="52"/>
      <c r="AO810" s="52"/>
      <c r="AP810" s="138"/>
      <c r="AQ810" s="138"/>
      <c r="AR810" s="52"/>
      <c r="AS810" s="52"/>
      <c r="AT810" s="52"/>
      <c r="AU810" s="139"/>
      <c r="AV810" s="138"/>
      <c r="AW810" s="141"/>
      <c r="AX810" s="52"/>
      <c r="AY810" s="52"/>
      <c r="AZ810" s="52"/>
      <c r="BA810" s="52"/>
      <c r="BB810" s="52"/>
    </row>
    <row r="811">
      <c r="A811" s="52"/>
      <c r="B811" s="26"/>
      <c r="C811" s="52"/>
      <c r="D811" s="52"/>
      <c r="E811" s="52"/>
      <c r="F811" s="52"/>
      <c r="G811" s="135"/>
      <c r="H811" s="52"/>
      <c r="I811" s="52"/>
      <c r="J811" s="136"/>
      <c r="K811" s="136"/>
      <c r="L811" s="136"/>
      <c r="M811" s="136"/>
      <c r="N811" s="52"/>
      <c r="O811" s="52"/>
      <c r="P811" s="52"/>
      <c r="Q811" s="52"/>
      <c r="R811" s="52"/>
      <c r="S811" s="52"/>
      <c r="T811" s="52"/>
      <c r="U811" s="52"/>
      <c r="V811" s="52"/>
      <c r="W811" s="52"/>
      <c r="X811" s="52"/>
      <c r="Y811" s="52"/>
      <c r="Z811" s="52"/>
      <c r="AA811" s="52"/>
      <c r="AB811" s="52"/>
      <c r="AC811" s="52"/>
      <c r="AD811" s="52"/>
      <c r="AE811" s="52"/>
      <c r="AF811" s="52"/>
      <c r="AG811" s="52"/>
      <c r="AH811" s="52"/>
      <c r="AI811" s="52"/>
      <c r="AJ811" s="52"/>
      <c r="AK811" s="52"/>
      <c r="AL811" s="52"/>
      <c r="AM811" s="52"/>
      <c r="AN811" s="52"/>
      <c r="AO811" s="52"/>
      <c r="AP811" s="138"/>
      <c r="AQ811" s="138"/>
      <c r="AR811" s="52"/>
      <c r="AS811" s="52"/>
      <c r="AT811" s="52"/>
      <c r="AU811" s="139"/>
      <c r="AV811" s="138"/>
      <c r="AW811" s="141"/>
      <c r="AX811" s="52"/>
      <c r="AY811" s="52"/>
      <c r="AZ811" s="52"/>
      <c r="BA811" s="52"/>
      <c r="BB811" s="52"/>
    </row>
    <row r="812">
      <c r="A812" s="52"/>
      <c r="B812" s="26"/>
      <c r="C812" s="52"/>
      <c r="D812" s="52"/>
      <c r="E812" s="52"/>
      <c r="F812" s="52"/>
      <c r="G812" s="135"/>
      <c r="H812" s="52"/>
      <c r="I812" s="52"/>
      <c r="J812" s="136"/>
      <c r="K812" s="136"/>
      <c r="L812" s="136"/>
      <c r="M812" s="136"/>
      <c r="N812" s="52"/>
      <c r="O812" s="52"/>
      <c r="P812" s="52"/>
      <c r="Q812" s="52"/>
      <c r="R812" s="52"/>
      <c r="S812" s="52"/>
      <c r="T812" s="52"/>
      <c r="U812" s="52"/>
      <c r="V812" s="52"/>
      <c r="W812" s="52"/>
      <c r="X812" s="52"/>
      <c r="Y812" s="52"/>
      <c r="Z812" s="52"/>
      <c r="AA812" s="52"/>
      <c r="AB812" s="52"/>
      <c r="AC812" s="52"/>
      <c r="AD812" s="52"/>
      <c r="AE812" s="52"/>
      <c r="AF812" s="52"/>
      <c r="AG812" s="52"/>
      <c r="AH812" s="52"/>
      <c r="AI812" s="52"/>
      <c r="AJ812" s="52"/>
      <c r="AK812" s="52"/>
      <c r="AL812" s="52"/>
      <c r="AM812" s="52"/>
      <c r="AN812" s="52"/>
      <c r="AO812" s="52"/>
      <c r="AP812" s="138"/>
      <c r="AQ812" s="138"/>
      <c r="AR812" s="52"/>
      <c r="AS812" s="52"/>
      <c r="AT812" s="52"/>
      <c r="AU812" s="139"/>
      <c r="AV812" s="138"/>
      <c r="AW812" s="141"/>
      <c r="AX812" s="52"/>
      <c r="AY812" s="52"/>
      <c r="AZ812" s="52"/>
      <c r="BA812" s="52"/>
      <c r="BB812" s="52"/>
    </row>
    <row r="813">
      <c r="A813" s="52"/>
      <c r="B813" s="26"/>
      <c r="C813" s="52"/>
      <c r="D813" s="52"/>
      <c r="E813" s="52"/>
      <c r="F813" s="52"/>
      <c r="G813" s="135"/>
      <c r="H813" s="52"/>
      <c r="I813" s="52"/>
      <c r="J813" s="136"/>
      <c r="K813" s="136"/>
      <c r="L813" s="136"/>
      <c r="M813" s="136"/>
      <c r="N813" s="52"/>
      <c r="O813" s="52"/>
      <c r="P813" s="52"/>
      <c r="Q813" s="52"/>
      <c r="R813" s="52"/>
      <c r="S813" s="52"/>
      <c r="T813" s="52"/>
      <c r="U813" s="52"/>
      <c r="V813" s="52"/>
      <c r="W813" s="52"/>
      <c r="X813" s="52"/>
      <c r="Y813" s="52"/>
      <c r="Z813" s="52"/>
      <c r="AA813" s="52"/>
      <c r="AB813" s="52"/>
      <c r="AC813" s="52"/>
      <c r="AD813" s="52"/>
      <c r="AE813" s="52"/>
      <c r="AF813" s="52"/>
      <c r="AG813" s="52"/>
      <c r="AH813" s="52"/>
      <c r="AI813" s="52"/>
      <c r="AJ813" s="52"/>
      <c r="AK813" s="52"/>
      <c r="AL813" s="52"/>
      <c r="AM813" s="52"/>
      <c r="AN813" s="52"/>
      <c r="AO813" s="52"/>
      <c r="AP813" s="138"/>
      <c r="AQ813" s="138"/>
      <c r="AR813" s="52"/>
      <c r="AS813" s="52"/>
      <c r="AT813" s="52"/>
      <c r="AU813" s="139"/>
      <c r="AV813" s="138"/>
      <c r="AW813" s="141"/>
      <c r="AX813" s="52"/>
      <c r="AY813" s="52"/>
      <c r="AZ813" s="52"/>
      <c r="BA813" s="52"/>
      <c r="BB813" s="52"/>
    </row>
    <row r="814">
      <c r="A814" s="52"/>
      <c r="B814" s="26"/>
      <c r="C814" s="52"/>
      <c r="D814" s="52"/>
      <c r="E814" s="52"/>
      <c r="F814" s="52"/>
      <c r="G814" s="135"/>
      <c r="H814" s="52"/>
      <c r="I814" s="52"/>
      <c r="J814" s="136"/>
      <c r="K814" s="136"/>
      <c r="L814" s="136"/>
      <c r="M814" s="136"/>
      <c r="N814" s="52"/>
      <c r="O814" s="52"/>
      <c r="P814" s="52"/>
      <c r="Q814" s="52"/>
      <c r="R814" s="52"/>
      <c r="S814" s="52"/>
      <c r="T814" s="52"/>
      <c r="U814" s="52"/>
      <c r="V814" s="52"/>
      <c r="W814" s="52"/>
      <c r="X814" s="52"/>
      <c r="Y814" s="52"/>
      <c r="Z814" s="52"/>
      <c r="AA814" s="52"/>
      <c r="AB814" s="52"/>
      <c r="AC814" s="52"/>
      <c r="AD814" s="52"/>
      <c r="AE814" s="52"/>
      <c r="AF814" s="52"/>
      <c r="AG814" s="52"/>
      <c r="AH814" s="52"/>
      <c r="AI814" s="52"/>
      <c r="AJ814" s="52"/>
      <c r="AK814" s="52"/>
      <c r="AL814" s="52"/>
      <c r="AM814" s="52"/>
      <c r="AN814" s="52"/>
      <c r="AO814" s="52"/>
      <c r="AP814" s="138"/>
      <c r="AQ814" s="138"/>
      <c r="AR814" s="52"/>
      <c r="AS814" s="52"/>
      <c r="AT814" s="52"/>
      <c r="AU814" s="139"/>
      <c r="AV814" s="138"/>
      <c r="AW814" s="141"/>
      <c r="AX814" s="52"/>
      <c r="AY814" s="52"/>
      <c r="AZ814" s="52"/>
      <c r="BA814" s="52"/>
      <c r="BB814" s="52"/>
    </row>
    <row r="815">
      <c r="A815" s="52"/>
      <c r="B815" s="26"/>
      <c r="C815" s="52"/>
      <c r="D815" s="52"/>
      <c r="E815" s="52"/>
      <c r="F815" s="52"/>
      <c r="G815" s="135"/>
      <c r="H815" s="52"/>
      <c r="I815" s="52"/>
      <c r="J815" s="136"/>
      <c r="K815" s="136"/>
      <c r="L815" s="136"/>
      <c r="M815" s="136"/>
      <c r="N815" s="52"/>
      <c r="O815" s="52"/>
      <c r="P815" s="52"/>
      <c r="Q815" s="52"/>
      <c r="R815" s="52"/>
      <c r="S815" s="52"/>
      <c r="T815" s="52"/>
      <c r="U815" s="52"/>
      <c r="V815" s="52"/>
      <c r="W815" s="52"/>
      <c r="X815" s="52"/>
      <c r="Y815" s="52"/>
      <c r="Z815" s="52"/>
      <c r="AA815" s="52"/>
      <c r="AB815" s="52"/>
      <c r="AC815" s="52"/>
      <c r="AD815" s="52"/>
      <c r="AE815" s="52"/>
      <c r="AF815" s="52"/>
      <c r="AG815" s="52"/>
      <c r="AH815" s="52"/>
      <c r="AI815" s="52"/>
      <c r="AJ815" s="52"/>
      <c r="AK815" s="52"/>
      <c r="AL815" s="52"/>
      <c r="AM815" s="52"/>
      <c r="AN815" s="52"/>
      <c r="AO815" s="52"/>
      <c r="AP815" s="138"/>
      <c r="AQ815" s="138"/>
      <c r="AR815" s="52"/>
      <c r="AS815" s="52"/>
      <c r="AT815" s="52"/>
      <c r="AU815" s="139"/>
      <c r="AV815" s="138"/>
      <c r="AW815" s="141"/>
      <c r="AX815" s="52"/>
      <c r="AY815" s="52"/>
      <c r="AZ815" s="52"/>
      <c r="BA815" s="52"/>
      <c r="BB815" s="52"/>
    </row>
    <row r="816">
      <c r="A816" s="52"/>
      <c r="B816" s="26"/>
      <c r="C816" s="52"/>
      <c r="D816" s="52"/>
      <c r="E816" s="52"/>
      <c r="F816" s="52"/>
      <c r="G816" s="135"/>
      <c r="H816" s="52"/>
      <c r="I816" s="52"/>
      <c r="J816" s="136"/>
      <c r="K816" s="136"/>
      <c r="L816" s="136"/>
      <c r="M816" s="136"/>
      <c r="N816" s="52"/>
      <c r="O816" s="52"/>
      <c r="P816" s="52"/>
      <c r="Q816" s="52"/>
      <c r="R816" s="52"/>
      <c r="S816" s="52"/>
      <c r="T816" s="52"/>
      <c r="U816" s="52"/>
      <c r="V816" s="52"/>
      <c r="W816" s="52"/>
      <c r="X816" s="52"/>
      <c r="Y816" s="52"/>
      <c r="Z816" s="52"/>
      <c r="AA816" s="52"/>
      <c r="AB816" s="52"/>
      <c r="AC816" s="52"/>
      <c r="AD816" s="52"/>
      <c r="AE816" s="52"/>
      <c r="AF816" s="52"/>
      <c r="AG816" s="52"/>
      <c r="AH816" s="52"/>
      <c r="AI816" s="52"/>
      <c r="AJ816" s="52"/>
      <c r="AK816" s="52"/>
      <c r="AL816" s="52"/>
      <c r="AM816" s="52"/>
      <c r="AN816" s="52"/>
      <c r="AO816" s="52"/>
      <c r="AP816" s="138"/>
      <c r="AQ816" s="138"/>
      <c r="AR816" s="52"/>
      <c r="AS816" s="52"/>
      <c r="AT816" s="52"/>
      <c r="AU816" s="139"/>
      <c r="AV816" s="138"/>
      <c r="AW816" s="141"/>
      <c r="AX816" s="52"/>
      <c r="AY816" s="52"/>
      <c r="AZ816" s="52"/>
      <c r="BA816" s="52"/>
      <c r="BB816" s="52"/>
    </row>
    <row r="817">
      <c r="A817" s="52"/>
      <c r="B817" s="26"/>
      <c r="C817" s="52"/>
      <c r="D817" s="52"/>
      <c r="E817" s="52"/>
      <c r="F817" s="52"/>
      <c r="G817" s="135"/>
      <c r="H817" s="52"/>
      <c r="I817" s="52"/>
      <c r="J817" s="136"/>
      <c r="K817" s="136"/>
      <c r="L817" s="136"/>
      <c r="M817" s="136"/>
      <c r="N817" s="52"/>
      <c r="O817" s="52"/>
      <c r="P817" s="52"/>
      <c r="Q817" s="52"/>
      <c r="R817" s="52"/>
      <c r="S817" s="52"/>
      <c r="T817" s="52"/>
      <c r="U817" s="52"/>
      <c r="V817" s="52"/>
      <c r="W817" s="52"/>
      <c r="X817" s="52"/>
      <c r="Y817" s="52"/>
      <c r="Z817" s="52"/>
      <c r="AA817" s="52"/>
      <c r="AB817" s="52"/>
      <c r="AC817" s="52"/>
      <c r="AD817" s="52"/>
      <c r="AE817" s="52"/>
      <c r="AF817" s="52"/>
      <c r="AG817" s="52"/>
      <c r="AH817" s="52"/>
      <c r="AI817" s="52"/>
      <c r="AJ817" s="52"/>
      <c r="AK817" s="52"/>
      <c r="AL817" s="52"/>
      <c r="AM817" s="52"/>
      <c r="AN817" s="52"/>
      <c r="AO817" s="52"/>
      <c r="AP817" s="138"/>
      <c r="AQ817" s="138"/>
      <c r="AR817" s="52"/>
      <c r="AS817" s="52"/>
      <c r="AT817" s="52"/>
      <c r="AU817" s="139"/>
      <c r="AV817" s="138"/>
      <c r="AW817" s="141"/>
      <c r="AX817" s="52"/>
      <c r="AY817" s="52"/>
      <c r="AZ817" s="52"/>
      <c r="BA817" s="52"/>
      <c r="BB817" s="52"/>
    </row>
    <row r="818">
      <c r="A818" s="52"/>
      <c r="B818" s="26"/>
      <c r="C818" s="52"/>
      <c r="D818" s="52"/>
      <c r="E818" s="52"/>
      <c r="F818" s="52"/>
      <c r="G818" s="135"/>
      <c r="H818" s="52"/>
      <c r="I818" s="52"/>
      <c r="J818" s="136"/>
      <c r="K818" s="136"/>
      <c r="L818" s="136"/>
      <c r="M818" s="136"/>
      <c r="N818" s="52"/>
      <c r="O818" s="52"/>
      <c r="P818" s="52"/>
      <c r="Q818" s="52"/>
      <c r="R818" s="52"/>
      <c r="S818" s="52"/>
      <c r="T818" s="52"/>
      <c r="U818" s="52"/>
      <c r="V818" s="52"/>
      <c r="W818" s="52"/>
      <c r="X818" s="52"/>
      <c r="Y818" s="52"/>
      <c r="Z818" s="52"/>
      <c r="AA818" s="52"/>
      <c r="AB818" s="52"/>
      <c r="AC818" s="52"/>
      <c r="AD818" s="52"/>
      <c r="AE818" s="52"/>
      <c r="AF818" s="52"/>
      <c r="AG818" s="52"/>
      <c r="AH818" s="52"/>
      <c r="AI818" s="52"/>
      <c r="AJ818" s="52"/>
      <c r="AK818" s="52"/>
      <c r="AL818" s="52"/>
      <c r="AM818" s="52"/>
      <c r="AN818" s="52"/>
      <c r="AO818" s="52"/>
      <c r="AP818" s="138"/>
      <c r="AQ818" s="138"/>
      <c r="AR818" s="52"/>
      <c r="AS818" s="52"/>
      <c r="AT818" s="52"/>
      <c r="AU818" s="139"/>
      <c r="AV818" s="138"/>
      <c r="AW818" s="141"/>
      <c r="AX818" s="52"/>
      <c r="AY818" s="52"/>
      <c r="AZ818" s="52"/>
      <c r="BA818" s="52"/>
      <c r="BB818" s="52"/>
    </row>
    <row r="819">
      <c r="A819" s="52"/>
      <c r="B819" s="26"/>
      <c r="C819" s="52"/>
      <c r="D819" s="52"/>
      <c r="E819" s="52"/>
      <c r="F819" s="52"/>
      <c r="G819" s="135"/>
      <c r="H819" s="52"/>
      <c r="I819" s="52"/>
      <c r="J819" s="136"/>
      <c r="K819" s="136"/>
      <c r="L819" s="136"/>
      <c r="M819" s="136"/>
      <c r="N819" s="52"/>
      <c r="O819" s="52"/>
      <c r="P819" s="52"/>
      <c r="Q819" s="52"/>
      <c r="R819" s="52"/>
      <c r="S819" s="52"/>
      <c r="T819" s="52"/>
      <c r="U819" s="52"/>
      <c r="V819" s="52"/>
      <c r="W819" s="52"/>
      <c r="X819" s="52"/>
      <c r="Y819" s="52"/>
      <c r="Z819" s="52"/>
      <c r="AA819" s="52"/>
      <c r="AB819" s="52"/>
      <c r="AC819" s="52"/>
      <c r="AD819" s="52"/>
      <c r="AE819" s="52"/>
      <c r="AF819" s="52"/>
      <c r="AG819" s="52"/>
      <c r="AH819" s="52"/>
      <c r="AI819" s="52"/>
      <c r="AJ819" s="52"/>
      <c r="AK819" s="52"/>
      <c r="AL819" s="52"/>
      <c r="AM819" s="52"/>
      <c r="AN819" s="52"/>
      <c r="AO819" s="52"/>
      <c r="AP819" s="138"/>
      <c r="AQ819" s="138"/>
      <c r="AR819" s="52"/>
      <c r="AS819" s="52"/>
      <c r="AT819" s="52"/>
      <c r="AU819" s="139"/>
      <c r="AV819" s="138"/>
      <c r="AW819" s="141"/>
      <c r="AX819" s="52"/>
      <c r="AY819" s="52"/>
      <c r="AZ819" s="52"/>
      <c r="BA819" s="52"/>
      <c r="BB819" s="52"/>
    </row>
    <row r="820">
      <c r="A820" s="52"/>
      <c r="B820" s="26"/>
      <c r="C820" s="52"/>
      <c r="D820" s="52"/>
      <c r="E820" s="52"/>
      <c r="F820" s="52"/>
      <c r="G820" s="135"/>
      <c r="H820" s="52"/>
      <c r="I820" s="52"/>
      <c r="J820" s="136"/>
      <c r="K820" s="136"/>
      <c r="L820" s="136"/>
      <c r="M820" s="136"/>
      <c r="N820" s="52"/>
      <c r="O820" s="52"/>
      <c r="P820" s="52"/>
      <c r="Q820" s="52"/>
      <c r="R820" s="52"/>
      <c r="S820" s="52"/>
      <c r="T820" s="52"/>
      <c r="U820" s="52"/>
      <c r="V820" s="52"/>
      <c r="W820" s="52"/>
      <c r="X820" s="52"/>
      <c r="Y820" s="52"/>
      <c r="Z820" s="52"/>
      <c r="AA820" s="52"/>
      <c r="AB820" s="52"/>
      <c r="AC820" s="52"/>
      <c r="AD820" s="52"/>
      <c r="AE820" s="52"/>
      <c r="AF820" s="52"/>
      <c r="AG820" s="52"/>
      <c r="AH820" s="52"/>
      <c r="AI820" s="52"/>
      <c r="AJ820" s="52"/>
      <c r="AK820" s="52"/>
      <c r="AL820" s="52"/>
      <c r="AM820" s="52"/>
      <c r="AN820" s="52"/>
      <c r="AO820" s="52"/>
      <c r="AP820" s="138"/>
      <c r="AQ820" s="138"/>
      <c r="AR820" s="52"/>
      <c r="AS820" s="52"/>
      <c r="AT820" s="52"/>
      <c r="AU820" s="139"/>
      <c r="AV820" s="138"/>
      <c r="AW820" s="141"/>
      <c r="AX820" s="52"/>
      <c r="AY820" s="52"/>
      <c r="AZ820" s="52"/>
      <c r="BA820" s="52"/>
      <c r="BB820" s="52"/>
    </row>
    <row r="821">
      <c r="A821" s="52"/>
      <c r="B821" s="26"/>
      <c r="C821" s="52"/>
      <c r="D821" s="52"/>
      <c r="E821" s="52"/>
      <c r="F821" s="52"/>
      <c r="G821" s="135"/>
      <c r="H821" s="52"/>
      <c r="I821" s="52"/>
      <c r="J821" s="136"/>
      <c r="K821" s="136"/>
      <c r="L821" s="136"/>
      <c r="M821" s="136"/>
      <c r="N821" s="52"/>
      <c r="O821" s="52"/>
      <c r="P821" s="52"/>
      <c r="Q821" s="52"/>
      <c r="R821" s="52"/>
      <c r="S821" s="52"/>
      <c r="T821" s="52"/>
      <c r="U821" s="52"/>
      <c r="V821" s="52"/>
      <c r="W821" s="52"/>
      <c r="X821" s="52"/>
      <c r="Y821" s="52"/>
      <c r="Z821" s="52"/>
      <c r="AA821" s="52"/>
      <c r="AB821" s="52"/>
      <c r="AC821" s="52"/>
      <c r="AD821" s="52"/>
      <c r="AE821" s="52"/>
      <c r="AF821" s="52"/>
      <c r="AG821" s="52"/>
      <c r="AH821" s="52"/>
      <c r="AI821" s="52"/>
      <c r="AJ821" s="52"/>
      <c r="AK821" s="52"/>
      <c r="AL821" s="52"/>
      <c r="AM821" s="52"/>
      <c r="AN821" s="52"/>
      <c r="AO821" s="52"/>
      <c r="AP821" s="138"/>
      <c r="AQ821" s="138"/>
      <c r="AR821" s="52"/>
      <c r="AS821" s="52"/>
      <c r="AT821" s="52"/>
      <c r="AU821" s="139"/>
      <c r="AV821" s="138"/>
      <c r="AW821" s="141"/>
      <c r="AX821" s="52"/>
      <c r="AY821" s="52"/>
      <c r="AZ821" s="52"/>
      <c r="BA821" s="52"/>
      <c r="BB821" s="52"/>
    </row>
    <row r="822">
      <c r="A822" s="52"/>
      <c r="B822" s="26"/>
      <c r="C822" s="52"/>
      <c r="D822" s="52"/>
      <c r="E822" s="52"/>
      <c r="F822" s="52"/>
      <c r="G822" s="135"/>
      <c r="H822" s="52"/>
      <c r="I822" s="52"/>
      <c r="J822" s="136"/>
      <c r="K822" s="136"/>
      <c r="L822" s="136"/>
      <c r="M822" s="136"/>
      <c r="N822" s="52"/>
      <c r="O822" s="52"/>
      <c r="P822" s="52"/>
      <c r="Q822" s="52"/>
      <c r="R822" s="52"/>
      <c r="S822" s="52"/>
      <c r="T822" s="52"/>
      <c r="U822" s="52"/>
      <c r="V822" s="52"/>
      <c r="W822" s="52"/>
      <c r="X822" s="52"/>
      <c r="Y822" s="52"/>
      <c r="Z822" s="52"/>
      <c r="AA822" s="52"/>
      <c r="AB822" s="52"/>
      <c r="AC822" s="52"/>
      <c r="AD822" s="52"/>
      <c r="AE822" s="52"/>
      <c r="AF822" s="52"/>
      <c r="AG822" s="52"/>
      <c r="AH822" s="52"/>
      <c r="AI822" s="52"/>
      <c r="AJ822" s="52"/>
      <c r="AK822" s="52"/>
      <c r="AL822" s="52"/>
      <c r="AM822" s="52"/>
      <c r="AN822" s="52"/>
      <c r="AO822" s="52"/>
      <c r="AP822" s="138"/>
      <c r="AQ822" s="138"/>
      <c r="AR822" s="52"/>
      <c r="AS822" s="52"/>
      <c r="AT822" s="52"/>
      <c r="AU822" s="139"/>
      <c r="AV822" s="138"/>
      <c r="AW822" s="141"/>
      <c r="AX822" s="52"/>
      <c r="AY822" s="52"/>
      <c r="AZ822" s="52"/>
      <c r="BA822" s="52"/>
      <c r="BB822" s="52"/>
    </row>
    <row r="823">
      <c r="A823" s="52"/>
      <c r="B823" s="26"/>
      <c r="C823" s="52"/>
      <c r="D823" s="52"/>
      <c r="E823" s="52"/>
      <c r="F823" s="52"/>
      <c r="G823" s="135"/>
      <c r="H823" s="52"/>
      <c r="I823" s="52"/>
      <c r="J823" s="136"/>
      <c r="K823" s="136"/>
      <c r="L823" s="136"/>
      <c r="M823" s="136"/>
      <c r="N823" s="52"/>
      <c r="O823" s="52"/>
      <c r="P823" s="52"/>
      <c r="Q823" s="52"/>
      <c r="R823" s="52"/>
      <c r="S823" s="52"/>
      <c r="T823" s="52"/>
      <c r="U823" s="52"/>
      <c r="V823" s="52"/>
      <c r="W823" s="52"/>
      <c r="X823" s="52"/>
      <c r="Y823" s="52"/>
      <c r="Z823" s="52"/>
      <c r="AA823" s="52"/>
      <c r="AB823" s="52"/>
      <c r="AC823" s="52"/>
      <c r="AD823" s="52"/>
      <c r="AE823" s="52"/>
      <c r="AF823" s="52"/>
      <c r="AG823" s="52"/>
      <c r="AH823" s="52"/>
      <c r="AI823" s="52"/>
      <c r="AJ823" s="52"/>
      <c r="AK823" s="52"/>
      <c r="AL823" s="52"/>
      <c r="AM823" s="52"/>
      <c r="AN823" s="52"/>
      <c r="AO823" s="52"/>
      <c r="AP823" s="138"/>
      <c r="AQ823" s="138"/>
      <c r="AR823" s="52"/>
      <c r="AS823" s="52"/>
      <c r="AT823" s="52"/>
      <c r="AU823" s="139"/>
      <c r="AV823" s="138"/>
      <c r="AW823" s="141"/>
      <c r="AX823" s="52"/>
      <c r="AY823" s="52"/>
      <c r="AZ823" s="52"/>
      <c r="BA823" s="52"/>
      <c r="BB823" s="52"/>
    </row>
    <row r="824">
      <c r="A824" s="52"/>
      <c r="B824" s="26"/>
      <c r="C824" s="52"/>
      <c r="D824" s="52"/>
      <c r="E824" s="52"/>
      <c r="F824" s="52"/>
      <c r="G824" s="135"/>
      <c r="H824" s="52"/>
      <c r="I824" s="52"/>
      <c r="J824" s="136"/>
      <c r="K824" s="136"/>
      <c r="L824" s="136"/>
      <c r="M824" s="136"/>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138"/>
      <c r="AQ824" s="138"/>
      <c r="AR824" s="52"/>
      <c r="AS824" s="52"/>
      <c r="AT824" s="52"/>
      <c r="AU824" s="139"/>
      <c r="AV824" s="138"/>
      <c r="AW824" s="141"/>
      <c r="AX824" s="52"/>
      <c r="AY824" s="52"/>
      <c r="AZ824" s="52"/>
      <c r="BA824" s="52"/>
      <c r="BB824" s="52"/>
    </row>
    <row r="825">
      <c r="A825" s="52"/>
      <c r="B825" s="26"/>
      <c r="C825" s="52"/>
      <c r="D825" s="52"/>
      <c r="E825" s="52"/>
      <c r="F825" s="52"/>
      <c r="G825" s="135"/>
      <c r="H825" s="52"/>
      <c r="I825" s="52"/>
      <c r="J825" s="136"/>
      <c r="K825" s="136"/>
      <c r="L825" s="136"/>
      <c r="M825" s="136"/>
      <c r="N825" s="52"/>
      <c r="O825" s="52"/>
      <c r="P825" s="52"/>
      <c r="Q825" s="52"/>
      <c r="R825" s="52"/>
      <c r="S825" s="52"/>
      <c r="T825" s="52"/>
      <c r="U825" s="52"/>
      <c r="V825" s="52"/>
      <c r="W825" s="52"/>
      <c r="X825" s="52"/>
      <c r="Y825" s="52"/>
      <c r="Z825" s="52"/>
      <c r="AA825" s="52"/>
      <c r="AB825" s="52"/>
      <c r="AC825" s="52"/>
      <c r="AD825" s="52"/>
      <c r="AE825" s="52"/>
      <c r="AF825" s="52"/>
      <c r="AG825" s="52"/>
      <c r="AH825" s="52"/>
      <c r="AI825" s="52"/>
      <c r="AJ825" s="52"/>
      <c r="AK825" s="52"/>
      <c r="AL825" s="52"/>
      <c r="AM825" s="52"/>
      <c r="AN825" s="52"/>
      <c r="AO825" s="52"/>
      <c r="AP825" s="138"/>
      <c r="AQ825" s="138"/>
      <c r="AR825" s="52"/>
      <c r="AS825" s="52"/>
      <c r="AT825" s="52"/>
      <c r="AU825" s="139"/>
      <c r="AV825" s="138"/>
      <c r="AW825" s="141"/>
      <c r="AX825" s="52"/>
      <c r="AY825" s="52"/>
      <c r="AZ825" s="52"/>
      <c r="BA825" s="52"/>
      <c r="BB825" s="52"/>
    </row>
    <row r="826">
      <c r="A826" s="52"/>
      <c r="B826" s="26"/>
      <c r="C826" s="52"/>
      <c r="D826" s="52"/>
      <c r="E826" s="52"/>
      <c r="F826" s="52"/>
      <c r="G826" s="135"/>
      <c r="H826" s="52"/>
      <c r="I826" s="52"/>
      <c r="J826" s="136"/>
      <c r="K826" s="136"/>
      <c r="L826" s="136"/>
      <c r="M826" s="136"/>
      <c r="N826" s="52"/>
      <c r="O826" s="52"/>
      <c r="P826" s="52"/>
      <c r="Q826" s="52"/>
      <c r="R826" s="52"/>
      <c r="S826" s="52"/>
      <c r="T826" s="52"/>
      <c r="U826" s="52"/>
      <c r="V826" s="52"/>
      <c r="W826" s="52"/>
      <c r="X826" s="52"/>
      <c r="Y826" s="52"/>
      <c r="Z826" s="52"/>
      <c r="AA826" s="52"/>
      <c r="AB826" s="52"/>
      <c r="AC826" s="52"/>
      <c r="AD826" s="52"/>
      <c r="AE826" s="52"/>
      <c r="AF826" s="52"/>
      <c r="AG826" s="52"/>
      <c r="AH826" s="52"/>
      <c r="AI826" s="52"/>
      <c r="AJ826" s="52"/>
      <c r="AK826" s="52"/>
      <c r="AL826" s="52"/>
      <c r="AM826" s="52"/>
      <c r="AN826" s="52"/>
      <c r="AO826" s="52"/>
      <c r="AP826" s="138"/>
      <c r="AQ826" s="138"/>
      <c r="AR826" s="52"/>
      <c r="AS826" s="52"/>
      <c r="AT826" s="52"/>
      <c r="AU826" s="139"/>
      <c r="AV826" s="138"/>
      <c r="AW826" s="141"/>
      <c r="AX826" s="52"/>
      <c r="AY826" s="52"/>
      <c r="AZ826" s="52"/>
      <c r="BA826" s="52"/>
      <c r="BB826" s="52"/>
    </row>
    <row r="827">
      <c r="A827" s="52"/>
      <c r="B827" s="26"/>
      <c r="C827" s="52"/>
      <c r="D827" s="52"/>
      <c r="E827" s="52"/>
      <c r="F827" s="52"/>
      <c r="G827" s="135"/>
      <c r="H827" s="52"/>
      <c r="I827" s="52"/>
      <c r="J827" s="136"/>
      <c r="K827" s="136"/>
      <c r="L827" s="136"/>
      <c r="M827" s="136"/>
      <c r="N827" s="52"/>
      <c r="O827" s="52"/>
      <c r="P827" s="52"/>
      <c r="Q827" s="52"/>
      <c r="R827" s="52"/>
      <c r="S827" s="52"/>
      <c r="T827" s="52"/>
      <c r="U827" s="52"/>
      <c r="V827" s="52"/>
      <c r="W827" s="52"/>
      <c r="X827" s="52"/>
      <c r="Y827" s="52"/>
      <c r="Z827" s="52"/>
      <c r="AA827" s="52"/>
      <c r="AB827" s="52"/>
      <c r="AC827" s="52"/>
      <c r="AD827" s="52"/>
      <c r="AE827" s="52"/>
      <c r="AF827" s="52"/>
      <c r="AG827" s="52"/>
      <c r="AH827" s="52"/>
      <c r="AI827" s="52"/>
      <c r="AJ827" s="52"/>
      <c r="AK827" s="52"/>
      <c r="AL827" s="52"/>
      <c r="AM827" s="52"/>
      <c r="AN827" s="52"/>
      <c r="AO827" s="52"/>
      <c r="AP827" s="138"/>
      <c r="AQ827" s="138"/>
      <c r="AR827" s="52"/>
      <c r="AS827" s="52"/>
      <c r="AT827" s="52"/>
      <c r="AU827" s="139"/>
      <c r="AV827" s="138"/>
      <c r="AW827" s="141"/>
      <c r="AX827" s="52"/>
      <c r="AY827" s="52"/>
      <c r="AZ827" s="52"/>
      <c r="BA827" s="52"/>
      <c r="BB827" s="52"/>
    </row>
    <row r="828">
      <c r="A828" s="52"/>
      <c r="B828" s="26"/>
      <c r="C828" s="52"/>
      <c r="D828" s="52"/>
      <c r="E828" s="52"/>
      <c r="F828" s="52"/>
      <c r="G828" s="135"/>
      <c r="H828" s="52"/>
      <c r="I828" s="52"/>
      <c r="J828" s="136"/>
      <c r="K828" s="136"/>
      <c r="L828" s="136"/>
      <c r="M828" s="136"/>
      <c r="N828" s="52"/>
      <c r="O828" s="52"/>
      <c r="P828" s="52"/>
      <c r="Q828" s="52"/>
      <c r="R828" s="52"/>
      <c r="S828" s="52"/>
      <c r="T828" s="52"/>
      <c r="U828" s="52"/>
      <c r="V828" s="52"/>
      <c r="W828" s="52"/>
      <c r="X828" s="52"/>
      <c r="Y828" s="52"/>
      <c r="Z828" s="52"/>
      <c r="AA828" s="52"/>
      <c r="AB828" s="52"/>
      <c r="AC828" s="52"/>
      <c r="AD828" s="52"/>
      <c r="AE828" s="52"/>
      <c r="AF828" s="52"/>
      <c r="AG828" s="52"/>
      <c r="AH828" s="52"/>
      <c r="AI828" s="52"/>
      <c r="AJ828" s="52"/>
      <c r="AK828" s="52"/>
      <c r="AL828" s="52"/>
      <c r="AM828" s="52"/>
      <c r="AN828" s="52"/>
      <c r="AO828" s="52"/>
      <c r="AP828" s="138"/>
      <c r="AQ828" s="138"/>
      <c r="AR828" s="52"/>
      <c r="AS828" s="52"/>
      <c r="AT828" s="52"/>
      <c r="AU828" s="139"/>
      <c r="AV828" s="138"/>
      <c r="AW828" s="141"/>
      <c r="AX828" s="52"/>
      <c r="AY828" s="52"/>
      <c r="AZ828" s="52"/>
      <c r="BA828" s="52"/>
      <c r="BB828" s="52"/>
    </row>
    <row r="829">
      <c r="A829" s="52"/>
      <c r="B829" s="26"/>
      <c r="C829" s="52"/>
      <c r="D829" s="52"/>
      <c r="E829" s="52"/>
      <c r="F829" s="52"/>
      <c r="G829" s="135"/>
      <c r="H829" s="52"/>
      <c r="I829" s="52"/>
      <c r="J829" s="136"/>
      <c r="K829" s="136"/>
      <c r="L829" s="136"/>
      <c r="M829" s="136"/>
      <c r="N829" s="52"/>
      <c r="O829" s="52"/>
      <c r="P829" s="52"/>
      <c r="Q829" s="52"/>
      <c r="R829" s="52"/>
      <c r="S829" s="52"/>
      <c r="T829" s="52"/>
      <c r="U829" s="52"/>
      <c r="V829" s="52"/>
      <c r="W829" s="52"/>
      <c r="X829" s="52"/>
      <c r="Y829" s="52"/>
      <c r="Z829" s="52"/>
      <c r="AA829" s="52"/>
      <c r="AB829" s="52"/>
      <c r="AC829" s="52"/>
      <c r="AD829" s="52"/>
      <c r="AE829" s="52"/>
      <c r="AF829" s="52"/>
      <c r="AG829" s="52"/>
      <c r="AH829" s="52"/>
      <c r="AI829" s="52"/>
      <c r="AJ829" s="52"/>
      <c r="AK829" s="52"/>
      <c r="AL829" s="52"/>
      <c r="AM829" s="52"/>
      <c r="AN829" s="52"/>
      <c r="AO829" s="52"/>
      <c r="AP829" s="138"/>
      <c r="AQ829" s="138"/>
      <c r="AR829" s="52"/>
      <c r="AS829" s="52"/>
      <c r="AT829" s="52"/>
      <c r="AU829" s="139"/>
      <c r="AV829" s="138"/>
      <c r="AW829" s="141"/>
      <c r="AX829" s="52"/>
      <c r="AY829" s="52"/>
      <c r="AZ829" s="52"/>
      <c r="BA829" s="52"/>
      <c r="BB829" s="52"/>
    </row>
    <row r="830">
      <c r="A830" s="52"/>
      <c r="B830" s="26"/>
      <c r="C830" s="52"/>
      <c r="D830" s="52"/>
      <c r="E830" s="52"/>
      <c r="F830" s="52"/>
      <c r="G830" s="135"/>
      <c r="H830" s="52"/>
      <c r="I830" s="52"/>
      <c r="J830" s="136"/>
      <c r="K830" s="136"/>
      <c r="L830" s="136"/>
      <c r="M830" s="136"/>
      <c r="N830" s="52"/>
      <c r="O830" s="52"/>
      <c r="P830" s="52"/>
      <c r="Q830" s="52"/>
      <c r="R830" s="52"/>
      <c r="S830" s="52"/>
      <c r="T830" s="52"/>
      <c r="U830" s="52"/>
      <c r="V830" s="52"/>
      <c r="W830" s="52"/>
      <c r="X830" s="52"/>
      <c r="Y830" s="52"/>
      <c r="Z830" s="52"/>
      <c r="AA830" s="52"/>
      <c r="AB830" s="52"/>
      <c r="AC830" s="52"/>
      <c r="AD830" s="52"/>
      <c r="AE830" s="52"/>
      <c r="AF830" s="52"/>
      <c r="AG830" s="52"/>
      <c r="AH830" s="52"/>
      <c r="AI830" s="52"/>
      <c r="AJ830" s="52"/>
      <c r="AK830" s="52"/>
      <c r="AL830" s="52"/>
      <c r="AM830" s="52"/>
      <c r="AN830" s="52"/>
      <c r="AO830" s="52"/>
      <c r="AP830" s="138"/>
      <c r="AQ830" s="138"/>
      <c r="AR830" s="52"/>
      <c r="AS830" s="52"/>
      <c r="AT830" s="52"/>
      <c r="AU830" s="139"/>
      <c r="AV830" s="138"/>
      <c r="AW830" s="141"/>
      <c r="AX830" s="52"/>
      <c r="AY830" s="52"/>
      <c r="AZ830" s="52"/>
      <c r="BA830" s="52"/>
      <c r="BB830" s="52"/>
    </row>
    <row r="831">
      <c r="A831" s="52"/>
      <c r="B831" s="26"/>
      <c r="C831" s="52"/>
      <c r="D831" s="52"/>
      <c r="E831" s="52"/>
      <c r="F831" s="52"/>
      <c r="G831" s="135"/>
      <c r="H831" s="52"/>
      <c r="I831" s="52"/>
      <c r="J831" s="136"/>
      <c r="K831" s="136"/>
      <c r="L831" s="136"/>
      <c r="M831" s="136"/>
      <c r="N831" s="52"/>
      <c r="O831" s="52"/>
      <c r="P831" s="52"/>
      <c r="Q831" s="52"/>
      <c r="R831" s="52"/>
      <c r="S831" s="52"/>
      <c r="T831" s="52"/>
      <c r="U831" s="52"/>
      <c r="V831" s="52"/>
      <c r="W831" s="52"/>
      <c r="X831" s="52"/>
      <c r="Y831" s="52"/>
      <c r="Z831" s="52"/>
      <c r="AA831" s="52"/>
      <c r="AB831" s="52"/>
      <c r="AC831" s="52"/>
      <c r="AD831" s="52"/>
      <c r="AE831" s="52"/>
      <c r="AF831" s="52"/>
      <c r="AG831" s="52"/>
      <c r="AH831" s="52"/>
      <c r="AI831" s="52"/>
      <c r="AJ831" s="52"/>
      <c r="AK831" s="52"/>
      <c r="AL831" s="52"/>
      <c r="AM831" s="52"/>
      <c r="AN831" s="52"/>
      <c r="AO831" s="52"/>
      <c r="AP831" s="138"/>
      <c r="AQ831" s="138"/>
      <c r="AR831" s="52"/>
      <c r="AS831" s="52"/>
      <c r="AT831" s="52"/>
      <c r="AU831" s="139"/>
      <c r="AV831" s="138"/>
      <c r="AW831" s="141"/>
      <c r="AX831" s="52"/>
      <c r="AY831" s="52"/>
      <c r="AZ831" s="52"/>
      <c r="BA831" s="52"/>
      <c r="BB831" s="52"/>
    </row>
    <row r="832">
      <c r="A832" s="52"/>
      <c r="B832" s="26"/>
      <c r="C832" s="52"/>
      <c r="D832" s="52"/>
      <c r="E832" s="52"/>
      <c r="F832" s="52"/>
      <c r="G832" s="135"/>
      <c r="H832" s="52"/>
      <c r="I832" s="52"/>
      <c r="J832" s="136"/>
      <c r="K832" s="136"/>
      <c r="L832" s="136"/>
      <c r="M832" s="136"/>
      <c r="N832" s="52"/>
      <c r="O832" s="52"/>
      <c r="P832" s="52"/>
      <c r="Q832" s="52"/>
      <c r="R832" s="52"/>
      <c r="S832" s="52"/>
      <c r="T832" s="52"/>
      <c r="U832" s="52"/>
      <c r="V832" s="52"/>
      <c r="W832" s="52"/>
      <c r="X832" s="52"/>
      <c r="Y832" s="52"/>
      <c r="Z832" s="52"/>
      <c r="AA832" s="52"/>
      <c r="AB832" s="52"/>
      <c r="AC832" s="52"/>
      <c r="AD832" s="52"/>
      <c r="AE832" s="52"/>
      <c r="AF832" s="52"/>
      <c r="AG832" s="52"/>
      <c r="AH832" s="52"/>
      <c r="AI832" s="52"/>
      <c r="AJ832" s="52"/>
      <c r="AK832" s="52"/>
      <c r="AL832" s="52"/>
      <c r="AM832" s="52"/>
      <c r="AN832" s="52"/>
      <c r="AO832" s="52"/>
      <c r="AP832" s="138"/>
      <c r="AQ832" s="138"/>
      <c r="AR832" s="52"/>
      <c r="AS832" s="52"/>
      <c r="AT832" s="52"/>
      <c r="AU832" s="139"/>
      <c r="AV832" s="138"/>
      <c r="AW832" s="141"/>
      <c r="AX832" s="52"/>
      <c r="AY832" s="52"/>
      <c r="AZ832" s="52"/>
      <c r="BA832" s="52"/>
      <c r="BB832" s="52"/>
    </row>
    <row r="833">
      <c r="A833" s="52"/>
      <c r="B833" s="26"/>
      <c r="C833" s="52"/>
      <c r="D833" s="52"/>
      <c r="E833" s="52"/>
      <c r="F833" s="52"/>
      <c r="G833" s="135"/>
      <c r="H833" s="52"/>
      <c r="I833" s="52"/>
      <c r="J833" s="136"/>
      <c r="K833" s="136"/>
      <c r="L833" s="136"/>
      <c r="M833" s="136"/>
      <c r="N833" s="52"/>
      <c r="O833" s="52"/>
      <c r="P833" s="52"/>
      <c r="Q833" s="52"/>
      <c r="R833" s="52"/>
      <c r="S833" s="52"/>
      <c r="T833" s="52"/>
      <c r="U833" s="52"/>
      <c r="V833" s="52"/>
      <c r="W833" s="52"/>
      <c r="X833" s="52"/>
      <c r="Y833" s="52"/>
      <c r="Z833" s="52"/>
      <c r="AA833" s="52"/>
      <c r="AB833" s="52"/>
      <c r="AC833" s="52"/>
      <c r="AD833" s="52"/>
      <c r="AE833" s="52"/>
      <c r="AF833" s="52"/>
      <c r="AG833" s="52"/>
      <c r="AH833" s="52"/>
      <c r="AI833" s="52"/>
      <c r="AJ833" s="52"/>
      <c r="AK833" s="52"/>
      <c r="AL833" s="52"/>
      <c r="AM833" s="52"/>
      <c r="AN833" s="52"/>
      <c r="AO833" s="52"/>
      <c r="AP833" s="138"/>
      <c r="AQ833" s="138"/>
      <c r="AR833" s="52"/>
      <c r="AS833" s="52"/>
      <c r="AT833" s="52"/>
      <c r="AU833" s="139"/>
      <c r="AV833" s="138"/>
      <c r="AW833" s="141"/>
      <c r="AX833" s="52"/>
      <c r="AY833" s="52"/>
      <c r="AZ833" s="52"/>
      <c r="BA833" s="52"/>
      <c r="BB833" s="52"/>
    </row>
    <row r="834">
      <c r="A834" s="52"/>
      <c r="B834" s="26"/>
      <c r="C834" s="52"/>
      <c r="D834" s="52"/>
      <c r="E834" s="52"/>
      <c r="F834" s="52"/>
      <c r="G834" s="135"/>
      <c r="H834" s="52"/>
      <c r="I834" s="52"/>
      <c r="J834" s="136"/>
      <c r="K834" s="136"/>
      <c r="L834" s="136"/>
      <c r="M834" s="136"/>
      <c r="N834" s="52"/>
      <c r="O834" s="52"/>
      <c r="P834" s="52"/>
      <c r="Q834" s="52"/>
      <c r="R834" s="52"/>
      <c r="S834" s="52"/>
      <c r="T834" s="52"/>
      <c r="U834" s="52"/>
      <c r="V834" s="52"/>
      <c r="W834" s="52"/>
      <c r="X834" s="52"/>
      <c r="Y834" s="52"/>
      <c r="Z834" s="52"/>
      <c r="AA834" s="52"/>
      <c r="AB834" s="52"/>
      <c r="AC834" s="52"/>
      <c r="AD834" s="52"/>
      <c r="AE834" s="52"/>
      <c r="AF834" s="52"/>
      <c r="AG834" s="52"/>
      <c r="AH834" s="52"/>
      <c r="AI834" s="52"/>
      <c r="AJ834" s="52"/>
      <c r="AK834" s="52"/>
      <c r="AL834" s="52"/>
      <c r="AM834" s="52"/>
      <c r="AN834" s="52"/>
      <c r="AO834" s="52"/>
      <c r="AP834" s="138"/>
      <c r="AQ834" s="138"/>
      <c r="AR834" s="52"/>
      <c r="AS834" s="52"/>
      <c r="AT834" s="52"/>
      <c r="AU834" s="139"/>
      <c r="AV834" s="138"/>
      <c r="AW834" s="141"/>
      <c r="AX834" s="52"/>
      <c r="AY834" s="52"/>
      <c r="AZ834" s="52"/>
      <c r="BA834" s="52"/>
      <c r="BB834" s="52"/>
    </row>
    <row r="835">
      <c r="A835" s="52"/>
      <c r="B835" s="26"/>
      <c r="C835" s="52"/>
      <c r="D835" s="52"/>
      <c r="E835" s="52"/>
      <c r="F835" s="52"/>
      <c r="G835" s="135"/>
      <c r="H835" s="52"/>
      <c r="I835" s="52"/>
      <c r="J835" s="136"/>
      <c r="K835" s="136"/>
      <c r="L835" s="136"/>
      <c r="M835" s="136"/>
      <c r="N835" s="52"/>
      <c r="O835" s="52"/>
      <c r="P835" s="52"/>
      <c r="Q835" s="52"/>
      <c r="R835" s="52"/>
      <c r="S835" s="52"/>
      <c r="T835" s="52"/>
      <c r="U835" s="52"/>
      <c r="V835" s="52"/>
      <c r="W835" s="52"/>
      <c r="X835" s="52"/>
      <c r="Y835" s="52"/>
      <c r="Z835" s="52"/>
      <c r="AA835" s="52"/>
      <c r="AB835" s="52"/>
      <c r="AC835" s="52"/>
      <c r="AD835" s="52"/>
      <c r="AE835" s="52"/>
      <c r="AF835" s="52"/>
      <c r="AG835" s="52"/>
      <c r="AH835" s="52"/>
      <c r="AI835" s="52"/>
      <c r="AJ835" s="52"/>
      <c r="AK835" s="52"/>
      <c r="AL835" s="52"/>
      <c r="AM835" s="52"/>
      <c r="AN835" s="52"/>
      <c r="AO835" s="52"/>
      <c r="AP835" s="138"/>
      <c r="AQ835" s="138"/>
      <c r="AR835" s="52"/>
      <c r="AS835" s="52"/>
      <c r="AT835" s="52"/>
      <c r="AU835" s="139"/>
      <c r="AV835" s="138"/>
      <c r="AW835" s="141"/>
      <c r="AX835" s="52"/>
      <c r="AY835" s="52"/>
      <c r="AZ835" s="52"/>
      <c r="BA835" s="52"/>
      <c r="BB835" s="52"/>
    </row>
    <row r="836">
      <c r="A836" s="52"/>
      <c r="B836" s="26"/>
      <c r="C836" s="52"/>
      <c r="D836" s="52"/>
      <c r="E836" s="52"/>
      <c r="F836" s="52"/>
      <c r="G836" s="135"/>
      <c r="H836" s="52"/>
      <c r="I836" s="52"/>
      <c r="J836" s="136"/>
      <c r="K836" s="136"/>
      <c r="L836" s="136"/>
      <c r="M836" s="136"/>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138"/>
      <c r="AQ836" s="138"/>
      <c r="AR836" s="52"/>
      <c r="AS836" s="52"/>
      <c r="AT836" s="52"/>
      <c r="AU836" s="139"/>
      <c r="AV836" s="138"/>
      <c r="AW836" s="141"/>
      <c r="AX836" s="52"/>
      <c r="AY836" s="52"/>
      <c r="AZ836" s="52"/>
      <c r="BA836" s="52"/>
      <c r="BB836" s="52"/>
    </row>
    <row r="837">
      <c r="A837" s="52"/>
      <c r="B837" s="26"/>
      <c r="C837" s="52"/>
      <c r="D837" s="52"/>
      <c r="E837" s="52"/>
      <c r="F837" s="52"/>
      <c r="G837" s="135"/>
      <c r="H837" s="52"/>
      <c r="I837" s="52"/>
      <c r="J837" s="136"/>
      <c r="K837" s="136"/>
      <c r="L837" s="136"/>
      <c r="M837" s="136"/>
      <c r="N837" s="52"/>
      <c r="O837" s="52"/>
      <c r="P837" s="52"/>
      <c r="Q837" s="52"/>
      <c r="R837" s="52"/>
      <c r="S837" s="52"/>
      <c r="T837" s="52"/>
      <c r="U837" s="52"/>
      <c r="V837" s="52"/>
      <c r="W837" s="52"/>
      <c r="X837" s="52"/>
      <c r="Y837" s="52"/>
      <c r="Z837" s="52"/>
      <c r="AA837" s="52"/>
      <c r="AB837" s="52"/>
      <c r="AC837" s="52"/>
      <c r="AD837" s="52"/>
      <c r="AE837" s="52"/>
      <c r="AF837" s="52"/>
      <c r="AG837" s="52"/>
      <c r="AH837" s="52"/>
      <c r="AI837" s="52"/>
      <c r="AJ837" s="52"/>
      <c r="AK837" s="52"/>
      <c r="AL837" s="52"/>
      <c r="AM837" s="52"/>
      <c r="AN837" s="52"/>
      <c r="AO837" s="52"/>
      <c r="AP837" s="138"/>
      <c r="AQ837" s="138"/>
      <c r="AR837" s="52"/>
      <c r="AS837" s="52"/>
      <c r="AT837" s="52"/>
      <c r="AU837" s="139"/>
      <c r="AV837" s="138"/>
      <c r="AW837" s="141"/>
      <c r="AX837" s="52"/>
      <c r="AY837" s="52"/>
      <c r="AZ837" s="52"/>
      <c r="BA837" s="52"/>
      <c r="BB837" s="52"/>
    </row>
    <row r="838">
      <c r="A838" s="52"/>
      <c r="B838" s="26"/>
      <c r="C838" s="52"/>
      <c r="D838" s="52"/>
      <c r="E838" s="52"/>
      <c r="F838" s="52"/>
      <c r="G838" s="135"/>
      <c r="H838" s="52"/>
      <c r="I838" s="52"/>
      <c r="J838" s="136"/>
      <c r="K838" s="136"/>
      <c r="L838" s="136"/>
      <c r="M838" s="136"/>
      <c r="N838" s="52"/>
      <c r="O838" s="52"/>
      <c r="P838" s="52"/>
      <c r="Q838" s="52"/>
      <c r="R838" s="52"/>
      <c r="S838" s="52"/>
      <c r="T838" s="52"/>
      <c r="U838" s="52"/>
      <c r="V838" s="52"/>
      <c r="W838" s="52"/>
      <c r="X838" s="52"/>
      <c r="Y838" s="52"/>
      <c r="Z838" s="52"/>
      <c r="AA838" s="52"/>
      <c r="AB838" s="52"/>
      <c r="AC838" s="52"/>
      <c r="AD838" s="52"/>
      <c r="AE838" s="52"/>
      <c r="AF838" s="52"/>
      <c r="AG838" s="52"/>
      <c r="AH838" s="52"/>
      <c r="AI838" s="52"/>
      <c r="AJ838" s="52"/>
      <c r="AK838" s="52"/>
      <c r="AL838" s="52"/>
      <c r="AM838" s="52"/>
      <c r="AN838" s="52"/>
      <c r="AO838" s="52"/>
      <c r="AP838" s="138"/>
      <c r="AQ838" s="138"/>
      <c r="AR838" s="52"/>
      <c r="AS838" s="52"/>
      <c r="AT838" s="52"/>
      <c r="AU838" s="139"/>
      <c r="AV838" s="138"/>
      <c r="AW838" s="141"/>
      <c r="AX838" s="52"/>
      <c r="AY838" s="52"/>
      <c r="AZ838" s="52"/>
      <c r="BA838" s="52"/>
      <c r="BB838" s="52"/>
    </row>
    <row r="839">
      <c r="A839" s="52"/>
      <c r="B839" s="26"/>
      <c r="C839" s="52"/>
      <c r="D839" s="52"/>
      <c r="E839" s="52"/>
      <c r="F839" s="52"/>
      <c r="G839" s="135"/>
      <c r="H839" s="52"/>
      <c r="I839" s="52"/>
      <c r="J839" s="136"/>
      <c r="K839" s="136"/>
      <c r="L839" s="136"/>
      <c r="M839" s="136"/>
      <c r="N839" s="52"/>
      <c r="O839" s="52"/>
      <c r="P839" s="52"/>
      <c r="Q839" s="52"/>
      <c r="R839" s="52"/>
      <c r="S839" s="52"/>
      <c r="T839" s="52"/>
      <c r="U839" s="52"/>
      <c r="V839" s="52"/>
      <c r="W839" s="52"/>
      <c r="X839" s="52"/>
      <c r="Y839" s="52"/>
      <c r="Z839" s="52"/>
      <c r="AA839" s="52"/>
      <c r="AB839" s="52"/>
      <c r="AC839" s="52"/>
      <c r="AD839" s="52"/>
      <c r="AE839" s="52"/>
      <c r="AF839" s="52"/>
      <c r="AG839" s="52"/>
      <c r="AH839" s="52"/>
      <c r="AI839" s="52"/>
      <c r="AJ839" s="52"/>
      <c r="AK839" s="52"/>
      <c r="AL839" s="52"/>
      <c r="AM839" s="52"/>
      <c r="AN839" s="52"/>
      <c r="AO839" s="52"/>
      <c r="AP839" s="138"/>
      <c r="AQ839" s="138"/>
      <c r="AR839" s="52"/>
      <c r="AS839" s="52"/>
      <c r="AT839" s="52"/>
      <c r="AU839" s="139"/>
      <c r="AV839" s="138"/>
      <c r="AW839" s="141"/>
      <c r="AX839" s="52"/>
      <c r="AY839" s="52"/>
      <c r="AZ839" s="52"/>
      <c r="BA839" s="52"/>
      <c r="BB839" s="52"/>
    </row>
    <row r="840">
      <c r="A840" s="52"/>
      <c r="B840" s="26"/>
      <c r="C840" s="52"/>
      <c r="D840" s="52"/>
      <c r="E840" s="52"/>
      <c r="F840" s="52"/>
      <c r="G840" s="135"/>
      <c r="H840" s="52"/>
      <c r="I840" s="52"/>
      <c r="J840" s="136"/>
      <c r="K840" s="136"/>
      <c r="L840" s="136"/>
      <c r="M840" s="136"/>
      <c r="N840" s="52"/>
      <c r="O840" s="52"/>
      <c r="P840" s="52"/>
      <c r="Q840" s="52"/>
      <c r="R840" s="52"/>
      <c r="S840" s="52"/>
      <c r="T840" s="52"/>
      <c r="U840" s="52"/>
      <c r="V840" s="52"/>
      <c r="W840" s="52"/>
      <c r="X840" s="52"/>
      <c r="Y840" s="52"/>
      <c r="Z840" s="52"/>
      <c r="AA840" s="52"/>
      <c r="AB840" s="52"/>
      <c r="AC840" s="52"/>
      <c r="AD840" s="52"/>
      <c r="AE840" s="52"/>
      <c r="AF840" s="52"/>
      <c r="AG840" s="52"/>
      <c r="AH840" s="52"/>
      <c r="AI840" s="52"/>
      <c r="AJ840" s="52"/>
      <c r="AK840" s="52"/>
      <c r="AL840" s="52"/>
      <c r="AM840" s="52"/>
      <c r="AN840" s="52"/>
      <c r="AO840" s="52"/>
      <c r="AP840" s="138"/>
      <c r="AQ840" s="138"/>
      <c r="AR840" s="52"/>
      <c r="AS840" s="52"/>
      <c r="AT840" s="52"/>
      <c r="AU840" s="139"/>
      <c r="AV840" s="138"/>
      <c r="AW840" s="141"/>
      <c r="AX840" s="52"/>
      <c r="AY840" s="52"/>
      <c r="AZ840" s="52"/>
      <c r="BA840" s="52"/>
      <c r="BB840" s="52"/>
    </row>
    <row r="841">
      <c r="A841" s="52"/>
      <c r="B841" s="26"/>
      <c r="C841" s="52"/>
      <c r="D841" s="52"/>
      <c r="E841" s="52"/>
      <c r="F841" s="52"/>
      <c r="G841" s="135"/>
      <c r="H841" s="52"/>
      <c r="I841" s="52"/>
      <c r="J841" s="136"/>
      <c r="K841" s="136"/>
      <c r="L841" s="136"/>
      <c r="M841" s="136"/>
      <c r="N841" s="52"/>
      <c r="O841" s="52"/>
      <c r="P841" s="52"/>
      <c r="Q841" s="52"/>
      <c r="R841" s="52"/>
      <c r="S841" s="52"/>
      <c r="T841" s="52"/>
      <c r="U841" s="52"/>
      <c r="V841" s="52"/>
      <c r="W841" s="52"/>
      <c r="X841" s="52"/>
      <c r="Y841" s="52"/>
      <c r="Z841" s="52"/>
      <c r="AA841" s="52"/>
      <c r="AB841" s="52"/>
      <c r="AC841" s="52"/>
      <c r="AD841" s="52"/>
      <c r="AE841" s="52"/>
      <c r="AF841" s="52"/>
      <c r="AG841" s="52"/>
      <c r="AH841" s="52"/>
      <c r="AI841" s="52"/>
      <c r="AJ841" s="52"/>
      <c r="AK841" s="52"/>
      <c r="AL841" s="52"/>
      <c r="AM841" s="52"/>
      <c r="AN841" s="52"/>
      <c r="AO841" s="52"/>
      <c r="AP841" s="138"/>
      <c r="AQ841" s="138"/>
      <c r="AR841" s="52"/>
      <c r="AS841" s="52"/>
      <c r="AT841" s="52"/>
      <c r="AU841" s="139"/>
      <c r="AV841" s="138"/>
      <c r="AW841" s="141"/>
      <c r="AX841" s="52"/>
      <c r="AY841" s="52"/>
      <c r="AZ841" s="52"/>
      <c r="BA841" s="52"/>
      <c r="BB841" s="52"/>
    </row>
    <row r="842">
      <c r="A842" s="52"/>
      <c r="B842" s="26"/>
      <c r="C842" s="52"/>
      <c r="D842" s="52"/>
      <c r="E842" s="52"/>
      <c r="F842" s="52"/>
      <c r="G842" s="135"/>
      <c r="H842" s="52"/>
      <c r="I842" s="52"/>
      <c r="J842" s="136"/>
      <c r="K842" s="136"/>
      <c r="L842" s="136"/>
      <c r="M842" s="136"/>
      <c r="N842" s="52"/>
      <c r="O842" s="52"/>
      <c r="P842" s="52"/>
      <c r="Q842" s="52"/>
      <c r="R842" s="52"/>
      <c r="S842" s="52"/>
      <c r="T842" s="52"/>
      <c r="U842" s="52"/>
      <c r="V842" s="52"/>
      <c r="W842" s="52"/>
      <c r="X842" s="52"/>
      <c r="Y842" s="52"/>
      <c r="Z842" s="52"/>
      <c r="AA842" s="52"/>
      <c r="AB842" s="52"/>
      <c r="AC842" s="52"/>
      <c r="AD842" s="52"/>
      <c r="AE842" s="52"/>
      <c r="AF842" s="52"/>
      <c r="AG842" s="52"/>
      <c r="AH842" s="52"/>
      <c r="AI842" s="52"/>
      <c r="AJ842" s="52"/>
      <c r="AK842" s="52"/>
      <c r="AL842" s="52"/>
      <c r="AM842" s="52"/>
      <c r="AN842" s="52"/>
      <c r="AO842" s="52"/>
      <c r="AP842" s="138"/>
      <c r="AQ842" s="138"/>
      <c r="AR842" s="52"/>
      <c r="AS842" s="52"/>
      <c r="AT842" s="52"/>
      <c r="AU842" s="139"/>
      <c r="AV842" s="138"/>
      <c r="AW842" s="141"/>
      <c r="AX842" s="52"/>
      <c r="AY842" s="52"/>
      <c r="AZ842" s="52"/>
      <c r="BA842" s="52"/>
      <c r="BB842" s="52"/>
    </row>
    <row r="843">
      <c r="A843" s="52"/>
      <c r="B843" s="26"/>
      <c r="C843" s="52"/>
      <c r="D843" s="52"/>
      <c r="E843" s="52"/>
      <c r="F843" s="52"/>
      <c r="G843" s="135"/>
      <c r="H843" s="52"/>
      <c r="I843" s="52"/>
      <c r="J843" s="136"/>
      <c r="K843" s="136"/>
      <c r="L843" s="136"/>
      <c r="M843" s="136"/>
      <c r="N843" s="52"/>
      <c r="O843" s="52"/>
      <c r="P843" s="52"/>
      <c r="Q843" s="52"/>
      <c r="R843" s="52"/>
      <c r="S843" s="52"/>
      <c r="T843" s="52"/>
      <c r="U843" s="52"/>
      <c r="V843" s="52"/>
      <c r="W843" s="52"/>
      <c r="X843" s="52"/>
      <c r="Y843" s="52"/>
      <c r="Z843" s="52"/>
      <c r="AA843" s="52"/>
      <c r="AB843" s="52"/>
      <c r="AC843" s="52"/>
      <c r="AD843" s="52"/>
      <c r="AE843" s="52"/>
      <c r="AF843" s="52"/>
      <c r="AG843" s="52"/>
      <c r="AH843" s="52"/>
      <c r="AI843" s="52"/>
      <c r="AJ843" s="52"/>
      <c r="AK843" s="52"/>
      <c r="AL843" s="52"/>
      <c r="AM843" s="52"/>
      <c r="AN843" s="52"/>
      <c r="AO843" s="52"/>
      <c r="AP843" s="138"/>
      <c r="AQ843" s="138"/>
      <c r="AR843" s="52"/>
      <c r="AS843" s="52"/>
      <c r="AT843" s="52"/>
      <c r="AU843" s="139"/>
      <c r="AV843" s="138"/>
      <c r="AW843" s="141"/>
      <c r="AX843" s="52"/>
      <c r="AY843" s="52"/>
      <c r="AZ843" s="52"/>
      <c r="BA843" s="52"/>
      <c r="BB843" s="52"/>
    </row>
    <row r="844">
      <c r="A844" s="52"/>
      <c r="B844" s="26"/>
      <c r="C844" s="52"/>
      <c r="D844" s="52"/>
      <c r="E844" s="52"/>
      <c r="F844" s="52"/>
      <c r="G844" s="135"/>
      <c r="H844" s="52"/>
      <c r="I844" s="52"/>
      <c r="J844" s="136"/>
      <c r="K844" s="136"/>
      <c r="L844" s="136"/>
      <c r="M844" s="136"/>
      <c r="N844" s="52"/>
      <c r="O844" s="52"/>
      <c r="P844" s="52"/>
      <c r="Q844" s="52"/>
      <c r="R844" s="52"/>
      <c r="S844" s="52"/>
      <c r="T844" s="52"/>
      <c r="U844" s="52"/>
      <c r="V844" s="52"/>
      <c r="W844" s="52"/>
      <c r="X844" s="52"/>
      <c r="Y844" s="52"/>
      <c r="Z844" s="52"/>
      <c r="AA844" s="52"/>
      <c r="AB844" s="52"/>
      <c r="AC844" s="52"/>
      <c r="AD844" s="52"/>
      <c r="AE844" s="52"/>
      <c r="AF844" s="52"/>
      <c r="AG844" s="52"/>
      <c r="AH844" s="52"/>
      <c r="AI844" s="52"/>
      <c r="AJ844" s="52"/>
      <c r="AK844" s="52"/>
      <c r="AL844" s="52"/>
      <c r="AM844" s="52"/>
      <c r="AN844" s="52"/>
      <c r="AO844" s="52"/>
      <c r="AP844" s="138"/>
      <c r="AQ844" s="138"/>
      <c r="AR844" s="52"/>
      <c r="AS844" s="52"/>
      <c r="AT844" s="52"/>
      <c r="AU844" s="139"/>
      <c r="AV844" s="138"/>
      <c r="AW844" s="141"/>
      <c r="AX844" s="52"/>
      <c r="AY844" s="52"/>
      <c r="AZ844" s="52"/>
      <c r="BA844" s="52"/>
      <c r="BB844" s="52"/>
    </row>
    <row r="845">
      <c r="A845" s="52"/>
      <c r="B845" s="26"/>
      <c r="C845" s="52"/>
      <c r="D845" s="52"/>
      <c r="E845" s="52"/>
      <c r="F845" s="52"/>
      <c r="G845" s="135"/>
      <c r="H845" s="52"/>
      <c r="I845" s="52"/>
      <c r="J845" s="136"/>
      <c r="K845" s="136"/>
      <c r="L845" s="136"/>
      <c r="M845" s="136"/>
      <c r="N845" s="52"/>
      <c r="O845" s="52"/>
      <c r="P845" s="52"/>
      <c r="Q845" s="52"/>
      <c r="R845" s="52"/>
      <c r="S845" s="52"/>
      <c r="T845" s="52"/>
      <c r="U845" s="52"/>
      <c r="V845" s="52"/>
      <c r="W845" s="52"/>
      <c r="X845" s="52"/>
      <c r="Y845" s="52"/>
      <c r="Z845" s="52"/>
      <c r="AA845" s="52"/>
      <c r="AB845" s="52"/>
      <c r="AC845" s="52"/>
      <c r="AD845" s="52"/>
      <c r="AE845" s="52"/>
      <c r="AF845" s="52"/>
      <c r="AG845" s="52"/>
      <c r="AH845" s="52"/>
      <c r="AI845" s="52"/>
      <c r="AJ845" s="52"/>
      <c r="AK845" s="52"/>
      <c r="AL845" s="52"/>
      <c r="AM845" s="52"/>
      <c r="AN845" s="52"/>
      <c r="AO845" s="52"/>
      <c r="AP845" s="138"/>
      <c r="AQ845" s="138"/>
      <c r="AR845" s="52"/>
      <c r="AS845" s="52"/>
      <c r="AT845" s="52"/>
      <c r="AU845" s="139"/>
      <c r="AV845" s="138"/>
      <c r="AW845" s="141"/>
      <c r="AX845" s="52"/>
      <c r="AY845" s="52"/>
      <c r="AZ845" s="52"/>
      <c r="BA845" s="52"/>
      <c r="BB845" s="52"/>
    </row>
    <row r="846">
      <c r="A846" s="52"/>
      <c r="B846" s="26"/>
      <c r="C846" s="52"/>
      <c r="D846" s="52"/>
      <c r="E846" s="52"/>
      <c r="F846" s="52"/>
      <c r="G846" s="135"/>
      <c r="H846" s="52"/>
      <c r="I846" s="52"/>
      <c r="J846" s="136"/>
      <c r="K846" s="136"/>
      <c r="L846" s="136"/>
      <c r="M846" s="136"/>
      <c r="N846" s="52"/>
      <c r="O846" s="52"/>
      <c r="P846" s="52"/>
      <c r="Q846" s="52"/>
      <c r="R846" s="52"/>
      <c r="S846" s="52"/>
      <c r="T846" s="52"/>
      <c r="U846" s="52"/>
      <c r="V846" s="52"/>
      <c r="W846" s="52"/>
      <c r="X846" s="52"/>
      <c r="Y846" s="52"/>
      <c r="Z846" s="52"/>
      <c r="AA846" s="52"/>
      <c r="AB846" s="52"/>
      <c r="AC846" s="52"/>
      <c r="AD846" s="52"/>
      <c r="AE846" s="52"/>
      <c r="AF846" s="52"/>
      <c r="AG846" s="52"/>
      <c r="AH846" s="52"/>
      <c r="AI846" s="52"/>
      <c r="AJ846" s="52"/>
      <c r="AK846" s="52"/>
      <c r="AL846" s="52"/>
      <c r="AM846" s="52"/>
      <c r="AN846" s="52"/>
      <c r="AO846" s="52"/>
      <c r="AP846" s="138"/>
      <c r="AQ846" s="138"/>
      <c r="AR846" s="52"/>
      <c r="AS846" s="52"/>
      <c r="AT846" s="52"/>
      <c r="AU846" s="139"/>
      <c r="AV846" s="138"/>
      <c r="AW846" s="141"/>
      <c r="AX846" s="52"/>
      <c r="AY846" s="52"/>
      <c r="AZ846" s="52"/>
      <c r="BA846" s="52"/>
      <c r="BB846" s="52"/>
    </row>
    <row r="847">
      <c r="A847" s="52"/>
      <c r="B847" s="26"/>
      <c r="C847" s="52"/>
      <c r="D847" s="52"/>
      <c r="E847" s="52"/>
      <c r="F847" s="52"/>
      <c r="G847" s="135"/>
      <c r="H847" s="52"/>
      <c r="I847" s="52"/>
      <c r="J847" s="136"/>
      <c r="K847" s="136"/>
      <c r="L847" s="136"/>
      <c r="M847" s="136"/>
      <c r="N847" s="52"/>
      <c r="O847" s="52"/>
      <c r="P847" s="52"/>
      <c r="Q847" s="52"/>
      <c r="R847" s="52"/>
      <c r="S847" s="52"/>
      <c r="T847" s="52"/>
      <c r="U847" s="52"/>
      <c r="V847" s="52"/>
      <c r="W847" s="52"/>
      <c r="X847" s="52"/>
      <c r="Y847" s="52"/>
      <c r="Z847" s="52"/>
      <c r="AA847" s="52"/>
      <c r="AB847" s="52"/>
      <c r="AC847" s="52"/>
      <c r="AD847" s="52"/>
      <c r="AE847" s="52"/>
      <c r="AF847" s="52"/>
      <c r="AG847" s="52"/>
      <c r="AH847" s="52"/>
      <c r="AI847" s="52"/>
      <c r="AJ847" s="52"/>
      <c r="AK847" s="52"/>
      <c r="AL847" s="52"/>
      <c r="AM847" s="52"/>
      <c r="AN847" s="52"/>
      <c r="AO847" s="52"/>
      <c r="AP847" s="138"/>
      <c r="AQ847" s="138"/>
      <c r="AR847" s="52"/>
      <c r="AS847" s="52"/>
      <c r="AT847" s="52"/>
      <c r="AU847" s="139"/>
      <c r="AV847" s="138"/>
      <c r="AW847" s="141"/>
      <c r="AX847" s="52"/>
      <c r="AY847" s="52"/>
      <c r="AZ847" s="52"/>
      <c r="BA847" s="52"/>
      <c r="BB847" s="52"/>
    </row>
    <row r="848">
      <c r="A848" s="52"/>
      <c r="B848" s="26"/>
      <c r="C848" s="52"/>
      <c r="D848" s="52"/>
      <c r="E848" s="52"/>
      <c r="F848" s="52"/>
      <c r="G848" s="135"/>
      <c r="H848" s="52"/>
      <c r="I848" s="52"/>
      <c r="J848" s="136"/>
      <c r="K848" s="136"/>
      <c r="L848" s="136"/>
      <c r="M848" s="136"/>
      <c r="N848" s="52"/>
      <c r="O848" s="52"/>
      <c r="P848" s="52"/>
      <c r="Q848" s="52"/>
      <c r="R848" s="52"/>
      <c r="S848" s="52"/>
      <c r="T848" s="52"/>
      <c r="U848" s="52"/>
      <c r="V848" s="52"/>
      <c r="W848" s="52"/>
      <c r="X848" s="52"/>
      <c r="Y848" s="52"/>
      <c r="Z848" s="52"/>
      <c r="AA848" s="52"/>
      <c r="AB848" s="52"/>
      <c r="AC848" s="52"/>
      <c r="AD848" s="52"/>
      <c r="AE848" s="52"/>
      <c r="AF848" s="52"/>
      <c r="AG848" s="52"/>
      <c r="AH848" s="52"/>
      <c r="AI848" s="52"/>
      <c r="AJ848" s="52"/>
      <c r="AK848" s="52"/>
      <c r="AL848" s="52"/>
      <c r="AM848" s="52"/>
      <c r="AN848" s="52"/>
      <c r="AO848" s="52"/>
      <c r="AP848" s="138"/>
      <c r="AQ848" s="138"/>
      <c r="AR848" s="52"/>
      <c r="AS848" s="52"/>
      <c r="AT848" s="52"/>
      <c r="AU848" s="139"/>
      <c r="AV848" s="138"/>
      <c r="AW848" s="141"/>
      <c r="AX848" s="52"/>
      <c r="AY848" s="52"/>
      <c r="AZ848" s="52"/>
      <c r="BA848" s="52"/>
      <c r="BB848" s="52"/>
    </row>
    <row r="849">
      <c r="A849" s="52"/>
      <c r="B849" s="26"/>
      <c r="C849" s="52"/>
      <c r="D849" s="52"/>
      <c r="E849" s="52"/>
      <c r="F849" s="52"/>
      <c r="G849" s="135"/>
      <c r="H849" s="52"/>
      <c r="I849" s="52"/>
      <c r="J849" s="136"/>
      <c r="K849" s="136"/>
      <c r="L849" s="136"/>
      <c r="M849" s="136"/>
      <c r="N849" s="52"/>
      <c r="O849" s="52"/>
      <c r="P849" s="52"/>
      <c r="Q849" s="52"/>
      <c r="R849" s="52"/>
      <c r="S849" s="52"/>
      <c r="T849" s="52"/>
      <c r="U849" s="52"/>
      <c r="V849" s="52"/>
      <c r="W849" s="52"/>
      <c r="X849" s="52"/>
      <c r="Y849" s="52"/>
      <c r="Z849" s="52"/>
      <c r="AA849" s="52"/>
      <c r="AB849" s="52"/>
      <c r="AC849" s="52"/>
      <c r="AD849" s="52"/>
      <c r="AE849" s="52"/>
      <c r="AF849" s="52"/>
      <c r="AG849" s="52"/>
      <c r="AH849" s="52"/>
      <c r="AI849" s="52"/>
      <c r="AJ849" s="52"/>
      <c r="AK849" s="52"/>
      <c r="AL849" s="52"/>
      <c r="AM849" s="52"/>
      <c r="AN849" s="52"/>
      <c r="AO849" s="52"/>
      <c r="AP849" s="138"/>
      <c r="AQ849" s="138"/>
      <c r="AR849" s="52"/>
      <c r="AS849" s="52"/>
      <c r="AT849" s="52"/>
      <c r="AU849" s="139"/>
      <c r="AV849" s="138"/>
      <c r="AW849" s="141"/>
      <c r="AX849" s="52"/>
      <c r="AY849" s="52"/>
      <c r="AZ849" s="52"/>
      <c r="BA849" s="52"/>
      <c r="BB849" s="52"/>
    </row>
    <row r="850">
      <c r="A850" s="52"/>
      <c r="B850" s="26"/>
      <c r="C850" s="52"/>
      <c r="D850" s="52"/>
      <c r="E850" s="52"/>
      <c r="F850" s="52"/>
      <c r="G850" s="135"/>
      <c r="H850" s="52"/>
      <c r="I850" s="52"/>
      <c r="J850" s="136"/>
      <c r="K850" s="136"/>
      <c r="L850" s="136"/>
      <c r="M850" s="136"/>
      <c r="N850" s="52"/>
      <c r="O850" s="52"/>
      <c r="P850" s="52"/>
      <c r="Q850" s="52"/>
      <c r="R850" s="52"/>
      <c r="S850" s="52"/>
      <c r="T850" s="52"/>
      <c r="U850" s="52"/>
      <c r="V850" s="52"/>
      <c r="W850" s="52"/>
      <c r="X850" s="52"/>
      <c r="Y850" s="52"/>
      <c r="Z850" s="52"/>
      <c r="AA850" s="52"/>
      <c r="AB850" s="52"/>
      <c r="AC850" s="52"/>
      <c r="AD850" s="52"/>
      <c r="AE850" s="52"/>
      <c r="AF850" s="52"/>
      <c r="AG850" s="52"/>
      <c r="AH850" s="52"/>
      <c r="AI850" s="52"/>
      <c r="AJ850" s="52"/>
      <c r="AK850" s="52"/>
      <c r="AL850" s="52"/>
      <c r="AM850" s="52"/>
      <c r="AN850" s="52"/>
      <c r="AO850" s="52"/>
      <c r="AP850" s="138"/>
      <c r="AQ850" s="138"/>
      <c r="AR850" s="52"/>
      <c r="AS850" s="52"/>
      <c r="AT850" s="52"/>
      <c r="AU850" s="139"/>
      <c r="AV850" s="138"/>
      <c r="AW850" s="141"/>
      <c r="AX850" s="52"/>
      <c r="AY850" s="52"/>
      <c r="AZ850" s="52"/>
      <c r="BA850" s="52"/>
      <c r="BB850" s="52"/>
    </row>
    <row r="851">
      <c r="A851" s="52"/>
      <c r="B851" s="26"/>
      <c r="C851" s="52"/>
      <c r="D851" s="52"/>
      <c r="E851" s="52"/>
      <c r="F851" s="52"/>
      <c r="G851" s="135"/>
      <c r="H851" s="52"/>
      <c r="I851" s="52"/>
      <c r="J851" s="136"/>
      <c r="K851" s="136"/>
      <c r="L851" s="136"/>
      <c r="M851" s="136"/>
      <c r="N851" s="52"/>
      <c r="O851" s="52"/>
      <c r="P851" s="52"/>
      <c r="Q851" s="52"/>
      <c r="R851" s="52"/>
      <c r="S851" s="52"/>
      <c r="T851" s="52"/>
      <c r="U851" s="52"/>
      <c r="V851" s="52"/>
      <c r="W851" s="52"/>
      <c r="X851" s="52"/>
      <c r="Y851" s="52"/>
      <c r="Z851" s="52"/>
      <c r="AA851" s="52"/>
      <c r="AB851" s="52"/>
      <c r="AC851" s="52"/>
      <c r="AD851" s="52"/>
      <c r="AE851" s="52"/>
      <c r="AF851" s="52"/>
      <c r="AG851" s="52"/>
      <c r="AH851" s="52"/>
      <c r="AI851" s="52"/>
      <c r="AJ851" s="52"/>
      <c r="AK851" s="52"/>
      <c r="AL851" s="52"/>
      <c r="AM851" s="52"/>
      <c r="AN851" s="52"/>
      <c r="AO851" s="52"/>
      <c r="AP851" s="138"/>
      <c r="AQ851" s="138"/>
      <c r="AR851" s="52"/>
      <c r="AS851" s="52"/>
      <c r="AT851" s="52"/>
      <c r="AU851" s="139"/>
      <c r="AV851" s="138"/>
      <c r="AW851" s="141"/>
      <c r="AX851" s="52"/>
      <c r="AY851" s="52"/>
      <c r="AZ851" s="52"/>
      <c r="BA851" s="52"/>
      <c r="BB851" s="52"/>
    </row>
    <row r="852">
      <c r="A852" s="52"/>
      <c r="B852" s="26"/>
      <c r="C852" s="52"/>
      <c r="D852" s="52"/>
      <c r="E852" s="52"/>
      <c r="F852" s="52"/>
      <c r="G852" s="135"/>
      <c r="H852" s="52"/>
      <c r="I852" s="52"/>
      <c r="J852" s="136"/>
      <c r="K852" s="136"/>
      <c r="L852" s="136"/>
      <c r="M852" s="136"/>
      <c r="N852" s="52"/>
      <c r="O852" s="52"/>
      <c r="P852" s="52"/>
      <c r="Q852" s="52"/>
      <c r="R852" s="52"/>
      <c r="S852" s="52"/>
      <c r="T852" s="52"/>
      <c r="U852" s="52"/>
      <c r="V852" s="52"/>
      <c r="W852" s="52"/>
      <c r="X852" s="52"/>
      <c r="Y852" s="52"/>
      <c r="Z852" s="52"/>
      <c r="AA852" s="52"/>
      <c r="AB852" s="52"/>
      <c r="AC852" s="52"/>
      <c r="AD852" s="52"/>
      <c r="AE852" s="52"/>
      <c r="AF852" s="52"/>
      <c r="AG852" s="52"/>
      <c r="AH852" s="52"/>
      <c r="AI852" s="52"/>
      <c r="AJ852" s="52"/>
      <c r="AK852" s="52"/>
      <c r="AL852" s="52"/>
      <c r="AM852" s="52"/>
      <c r="AN852" s="52"/>
      <c r="AO852" s="52"/>
      <c r="AP852" s="138"/>
      <c r="AQ852" s="138"/>
      <c r="AR852" s="52"/>
      <c r="AS852" s="52"/>
      <c r="AT852" s="52"/>
      <c r="AU852" s="139"/>
      <c r="AV852" s="138"/>
      <c r="AW852" s="141"/>
      <c r="AX852" s="52"/>
      <c r="AY852" s="52"/>
      <c r="AZ852" s="52"/>
      <c r="BA852" s="52"/>
      <c r="BB852" s="52"/>
    </row>
    <row r="853">
      <c r="A853" s="52"/>
      <c r="B853" s="26"/>
      <c r="C853" s="52"/>
      <c r="D853" s="52"/>
      <c r="E853" s="52"/>
      <c r="F853" s="52"/>
      <c r="G853" s="135"/>
      <c r="H853" s="52"/>
      <c r="I853" s="52"/>
      <c r="J853" s="136"/>
      <c r="K853" s="136"/>
      <c r="L853" s="136"/>
      <c r="M853" s="136"/>
      <c r="N853" s="52"/>
      <c r="O853" s="52"/>
      <c r="P853" s="52"/>
      <c r="Q853" s="52"/>
      <c r="R853" s="52"/>
      <c r="S853" s="52"/>
      <c r="T853" s="52"/>
      <c r="U853" s="52"/>
      <c r="V853" s="52"/>
      <c r="W853" s="52"/>
      <c r="X853" s="52"/>
      <c r="Y853" s="52"/>
      <c r="Z853" s="52"/>
      <c r="AA853" s="52"/>
      <c r="AB853" s="52"/>
      <c r="AC853" s="52"/>
      <c r="AD853" s="52"/>
      <c r="AE853" s="52"/>
      <c r="AF853" s="52"/>
      <c r="AG853" s="52"/>
      <c r="AH853" s="52"/>
      <c r="AI853" s="52"/>
      <c r="AJ853" s="52"/>
      <c r="AK853" s="52"/>
      <c r="AL853" s="52"/>
      <c r="AM853" s="52"/>
      <c r="AN853" s="52"/>
      <c r="AO853" s="52"/>
      <c r="AP853" s="138"/>
      <c r="AQ853" s="138"/>
      <c r="AR853" s="52"/>
      <c r="AS853" s="52"/>
      <c r="AT853" s="52"/>
      <c r="AU853" s="139"/>
      <c r="AV853" s="138"/>
      <c r="AW853" s="141"/>
      <c r="AX853" s="52"/>
      <c r="AY853" s="52"/>
      <c r="AZ853" s="52"/>
      <c r="BA853" s="52"/>
      <c r="BB853" s="52"/>
    </row>
    <row r="854">
      <c r="A854" s="52"/>
      <c r="B854" s="26"/>
      <c r="C854" s="52"/>
      <c r="D854" s="52"/>
      <c r="E854" s="52"/>
      <c r="F854" s="52"/>
      <c r="G854" s="135"/>
      <c r="H854" s="52"/>
      <c r="I854" s="52"/>
      <c r="J854" s="136"/>
      <c r="K854" s="136"/>
      <c r="L854" s="136"/>
      <c r="M854" s="136"/>
      <c r="N854" s="52"/>
      <c r="O854" s="52"/>
      <c r="P854" s="52"/>
      <c r="Q854" s="52"/>
      <c r="R854" s="52"/>
      <c r="S854" s="52"/>
      <c r="T854" s="52"/>
      <c r="U854" s="52"/>
      <c r="V854" s="52"/>
      <c r="W854" s="52"/>
      <c r="X854" s="52"/>
      <c r="Y854" s="52"/>
      <c r="Z854" s="52"/>
      <c r="AA854" s="52"/>
      <c r="AB854" s="52"/>
      <c r="AC854" s="52"/>
      <c r="AD854" s="52"/>
      <c r="AE854" s="52"/>
      <c r="AF854" s="52"/>
      <c r="AG854" s="52"/>
      <c r="AH854" s="52"/>
      <c r="AI854" s="52"/>
      <c r="AJ854" s="52"/>
      <c r="AK854" s="52"/>
      <c r="AL854" s="52"/>
      <c r="AM854" s="52"/>
      <c r="AN854" s="52"/>
      <c r="AO854" s="52"/>
      <c r="AP854" s="138"/>
      <c r="AQ854" s="138"/>
      <c r="AR854" s="52"/>
      <c r="AS854" s="52"/>
      <c r="AT854" s="52"/>
      <c r="AU854" s="139"/>
      <c r="AV854" s="138"/>
      <c r="AW854" s="141"/>
      <c r="AX854" s="52"/>
      <c r="AY854" s="52"/>
      <c r="AZ854" s="52"/>
      <c r="BA854" s="52"/>
      <c r="BB854" s="52"/>
    </row>
    <row r="855">
      <c r="A855" s="52"/>
      <c r="B855" s="26"/>
      <c r="C855" s="52"/>
      <c r="D855" s="52"/>
      <c r="E855" s="52"/>
      <c r="F855" s="52"/>
      <c r="G855" s="135"/>
      <c r="H855" s="52"/>
      <c r="I855" s="52"/>
      <c r="J855" s="136"/>
      <c r="K855" s="136"/>
      <c r="L855" s="136"/>
      <c r="M855" s="136"/>
      <c r="N855" s="52"/>
      <c r="O855" s="52"/>
      <c r="P855" s="52"/>
      <c r="Q855" s="52"/>
      <c r="R855" s="52"/>
      <c r="S855" s="52"/>
      <c r="T855" s="52"/>
      <c r="U855" s="52"/>
      <c r="V855" s="52"/>
      <c r="W855" s="52"/>
      <c r="X855" s="52"/>
      <c r="Y855" s="52"/>
      <c r="Z855" s="52"/>
      <c r="AA855" s="52"/>
      <c r="AB855" s="52"/>
      <c r="AC855" s="52"/>
      <c r="AD855" s="52"/>
      <c r="AE855" s="52"/>
      <c r="AF855" s="52"/>
      <c r="AG855" s="52"/>
      <c r="AH855" s="52"/>
      <c r="AI855" s="52"/>
      <c r="AJ855" s="52"/>
      <c r="AK855" s="52"/>
      <c r="AL855" s="52"/>
      <c r="AM855" s="52"/>
      <c r="AN855" s="52"/>
      <c r="AO855" s="52"/>
      <c r="AP855" s="138"/>
      <c r="AQ855" s="138"/>
      <c r="AR855" s="52"/>
      <c r="AS855" s="52"/>
      <c r="AT855" s="52"/>
      <c r="AU855" s="139"/>
      <c r="AV855" s="138"/>
      <c r="AW855" s="141"/>
      <c r="AX855" s="52"/>
      <c r="AY855" s="52"/>
      <c r="AZ855" s="52"/>
      <c r="BA855" s="52"/>
      <c r="BB855" s="52"/>
    </row>
    <row r="856">
      <c r="A856" s="52"/>
      <c r="B856" s="26"/>
      <c r="C856" s="52"/>
      <c r="D856" s="52"/>
      <c r="E856" s="52"/>
      <c r="F856" s="52"/>
      <c r="G856" s="135"/>
      <c r="H856" s="52"/>
      <c r="I856" s="52"/>
      <c r="J856" s="136"/>
      <c r="K856" s="136"/>
      <c r="L856" s="136"/>
      <c r="M856" s="136"/>
      <c r="N856" s="52"/>
      <c r="O856" s="52"/>
      <c r="P856" s="52"/>
      <c r="Q856" s="52"/>
      <c r="R856" s="52"/>
      <c r="S856" s="52"/>
      <c r="T856" s="52"/>
      <c r="U856" s="52"/>
      <c r="V856" s="52"/>
      <c r="W856" s="52"/>
      <c r="X856" s="52"/>
      <c r="Y856" s="52"/>
      <c r="Z856" s="52"/>
      <c r="AA856" s="52"/>
      <c r="AB856" s="52"/>
      <c r="AC856" s="52"/>
      <c r="AD856" s="52"/>
      <c r="AE856" s="52"/>
      <c r="AF856" s="52"/>
      <c r="AG856" s="52"/>
      <c r="AH856" s="52"/>
      <c r="AI856" s="52"/>
      <c r="AJ856" s="52"/>
      <c r="AK856" s="52"/>
      <c r="AL856" s="52"/>
      <c r="AM856" s="52"/>
      <c r="AN856" s="52"/>
      <c r="AO856" s="52"/>
      <c r="AP856" s="138"/>
      <c r="AQ856" s="138"/>
      <c r="AR856" s="52"/>
      <c r="AS856" s="52"/>
      <c r="AT856" s="52"/>
      <c r="AU856" s="139"/>
      <c r="AV856" s="138"/>
      <c r="AW856" s="141"/>
      <c r="AX856" s="52"/>
      <c r="AY856" s="52"/>
      <c r="AZ856" s="52"/>
      <c r="BA856" s="52"/>
      <c r="BB856" s="52"/>
    </row>
    <row r="857">
      <c r="A857" s="52"/>
      <c r="B857" s="26"/>
      <c r="C857" s="52"/>
      <c r="D857" s="52"/>
      <c r="E857" s="52"/>
      <c r="F857" s="52"/>
      <c r="G857" s="135"/>
      <c r="H857" s="52"/>
      <c r="I857" s="52"/>
      <c r="J857" s="136"/>
      <c r="K857" s="136"/>
      <c r="L857" s="136"/>
      <c r="M857" s="136"/>
      <c r="N857" s="52"/>
      <c r="O857" s="52"/>
      <c r="P857" s="52"/>
      <c r="Q857" s="52"/>
      <c r="R857" s="52"/>
      <c r="S857" s="52"/>
      <c r="T857" s="52"/>
      <c r="U857" s="52"/>
      <c r="V857" s="52"/>
      <c r="W857" s="52"/>
      <c r="X857" s="52"/>
      <c r="Y857" s="52"/>
      <c r="Z857" s="52"/>
      <c r="AA857" s="52"/>
      <c r="AB857" s="52"/>
      <c r="AC857" s="52"/>
      <c r="AD857" s="52"/>
      <c r="AE857" s="52"/>
      <c r="AF857" s="52"/>
      <c r="AG857" s="52"/>
      <c r="AH857" s="52"/>
      <c r="AI857" s="52"/>
      <c r="AJ857" s="52"/>
      <c r="AK857" s="52"/>
      <c r="AL857" s="52"/>
      <c r="AM857" s="52"/>
      <c r="AN857" s="52"/>
      <c r="AO857" s="52"/>
      <c r="AP857" s="138"/>
      <c r="AQ857" s="138"/>
      <c r="AR857" s="52"/>
      <c r="AS857" s="52"/>
      <c r="AT857" s="52"/>
      <c r="AU857" s="139"/>
      <c r="AV857" s="138"/>
      <c r="AW857" s="141"/>
      <c r="AX857" s="52"/>
      <c r="AY857" s="52"/>
      <c r="AZ857" s="52"/>
      <c r="BA857" s="52"/>
      <c r="BB857" s="52"/>
    </row>
    <row r="858">
      <c r="A858" s="52"/>
      <c r="B858" s="26"/>
      <c r="C858" s="52"/>
      <c r="D858" s="52"/>
      <c r="E858" s="52"/>
      <c r="F858" s="52"/>
      <c r="G858" s="135"/>
      <c r="H858" s="52"/>
      <c r="I858" s="52"/>
      <c r="J858" s="136"/>
      <c r="K858" s="136"/>
      <c r="L858" s="136"/>
      <c r="M858" s="136"/>
      <c r="N858" s="52"/>
      <c r="O858" s="52"/>
      <c r="P858" s="52"/>
      <c r="Q858" s="52"/>
      <c r="R858" s="52"/>
      <c r="S858" s="52"/>
      <c r="T858" s="52"/>
      <c r="U858" s="52"/>
      <c r="V858" s="52"/>
      <c r="W858" s="52"/>
      <c r="X858" s="52"/>
      <c r="Y858" s="52"/>
      <c r="Z858" s="52"/>
      <c r="AA858" s="52"/>
      <c r="AB858" s="52"/>
      <c r="AC858" s="52"/>
      <c r="AD858" s="52"/>
      <c r="AE858" s="52"/>
      <c r="AF858" s="52"/>
      <c r="AG858" s="52"/>
      <c r="AH858" s="52"/>
      <c r="AI858" s="52"/>
      <c r="AJ858" s="52"/>
      <c r="AK858" s="52"/>
      <c r="AL858" s="52"/>
      <c r="AM858" s="52"/>
      <c r="AN858" s="52"/>
      <c r="AO858" s="52"/>
      <c r="AP858" s="138"/>
      <c r="AQ858" s="138"/>
      <c r="AR858" s="52"/>
      <c r="AS858" s="52"/>
      <c r="AT858" s="52"/>
      <c r="AU858" s="139"/>
      <c r="AV858" s="138"/>
      <c r="AW858" s="141"/>
      <c r="AX858" s="52"/>
      <c r="AY858" s="52"/>
      <c r="AZ858" s="52"/>
      <c r="BA858" s="52"/>
      <c r="BB858" s="52"/>
    </row>
    <row r="859">
      <c r="A859" s="52"/>
      <c r="B859" s="26"/>
      <c r="C859" s="52"/>
      <c r="D859" s="52"/>
      <c r="E859" s="52"/>
      <c r="F859" s="52"/>
      <c r="G859" s="135"/>
      <c r="H859" s="52"/>
      <c r="I859" s="52"/>
      <c r="J859" s="136"/>
      <c r="K859" s="136"/>
      <c r="L859" s="136"/>
      <c r="M859" s="136"/>
      <c r="N859" s="52"/>
      <c r="O859" s="52"/>
      <c r="P859" s="52"/>
      <c r="Q859" s="52"/>
      <c r="R859" s="52"/>
      <c r="S859" s="52"/>
      <c r="T859" s="52"/>
      <c r="U859" s="52"/>
      <c r="V859" s="52"/>
      <c r="W859" s="52"/>
      <c r="X859" s="52"/>
      <c r="Y859" s="52"/>
      <c r="Z859" s="52"/>
      <c r="AA859" s="52"/>
      <c r="AB859" s="52"/>
      <c r="AC859" s="52"/>
      <c r="AD859" s="52"/>
      <c r="AE859" s="52"/>
      <c r="AF859" s="52"/>
      <c r="AG859" s="52"/>
      <c r="AH859" s="52"/>
      <c r="AI859" s="52"/>
      <c r="AJ859" s="52"/>
      <c r="AK859" s="52"/>
      <c r="AL859" s="52"/>
      <c r="AM859" s="52"/>
      <c r="AN859" s="52"/>
      <c r="AO859" s="52"/>
      <c r="AP859" s="138"/>
      <c r="AQ859" s="138"/>
      <c r="AR859" s="52"/>
      <c r="AS859" s="52"/>
      <c r="AT859" s="52"/>
      <c r="AU859" s="139"/>
      <c r="AV859" s="138"/>
      <c r="AW859" s="141"/>
      <c r="AX859" s="52"/>
      <c r="AY859" s="52"/>
      <c r="AZ859" s="52"/>
      <c r="BA859" s="52"/>
      <c r="BB859" s="52"/>
    </row>
    <row r="860">
      <c r="A860" s="52"/>
      <c r="B860" s="26"/>
      <c r="C860" s="52"/>
      <c r="D860" s="52"/>
      <c r="E860" s="52"/>
      <c r="F860" s="52"/>
      <c r="G860" s="135"/>
      <c r="H860" s="52"/>
      <c r="I860" s="52"/>
      <c r="J860" s="136"/>
      <c r="K860" s="136"/>
      <c r="L860" s="136"/>
      <c r="M860" s="136"/>
      <c r="N860" s="52"/>
      <c r="O860" s="52"/>
      <c r="P860" s="52"/>
      <c r="Q860" s="52"/>
      <c r="R860" s="52"/>
      <c r="S860" s="52"/>
      <c r="T860" s="52"/>
      <c r="U860" s="52"/>
      <c r="V860" s="52"/>
      <c r="W860" s="52"/>
      <c r="X860" s="52"/>
      <c r="Y860" s="52"/>
      <c r="Z860" s="52"/>
      <c r="AA860" s="52"/>
      <c r="AB860" s="52"/>
      <c r="AC860" s="52"/>
      <c r="AD860" s="52"/>
      <c r="AE860" s="52"/>
      <c r="AF860" s="52"/>
      <c r="AG860" s="52"/>
      <c r="AH860" s="52"/>
      <c r="AI860" s="52"/>
      <c r="AJ860" s="52"/>
      <c r="AK860" s="52"/>
      <c r="AL860" s="52"/>
      <c r="AM860" s="52"/>
      <c r="AN860" s="52"/>
      <c r="AO860" s="52"/>
      <c r="AP860" s="138"/>
      <c r="AQ860" s="138"/>
      <c r="AR860" s="52"/>
      <c r="AS860" s="52"/>
      <c r="AT860" s="52"/>
      <c r="AU860" s="139"/>
      <c r="AV860" s="138"/>
      <c r="AW860" s="141"/>
      <c r="AX860" s="52"/>
      <c r="AY860" s="52"/>
      <c r="AZ860" s="52"/>
      <c r="BA860" s="52"/>
      <c r="BB860" s="52"/>
    </row>
    <row r="861">
      <c r="A861" s="52"/>
      <c r="B861" s="26"/>
      <c r="C861" s="52"/>
      <c r="D861" s="52"/>
      <c r="E861" s="52"/>
      <c r="F861" s="52"/>
      <c r="G861" s="135"/>
      <c r="H861" s="52"/>
      <c r="I861" s="52"/>
      <c r="J861" s="136"/>
      <c r="K861" s="136"/>
      <c r="L861" s="136"/>
      <c r="M861" s="136"/>
      <c r="N861" s="52"/>
      <c r="O861" s="52"/>
      <c r="P861" s="52"/>
      <c r="Q861" s="52"/>
      <c r="R861" s="52"/>
      <c r="S861" s="52"/>
      <c r="T861" s="52"/>
      <c r="U861" s="52"/>
      <c r="V861" s="52"/>
      <c r="W861" s="52"/>
      <c r="X861" s="52"/>
      <c r="Y861" s="52"/>
      <c r="Z861" s="52"/>
      <c r="AA861" s="52"/>
      <c r="AB861" s="52"/>
      <c r="AC861" s="52"/>
      <c r="AD861" s="52"/>
      <c r="AE861" s="52"/>
      <c r="AF861" s="52"/>
      <c r="AG861" s="52"/>
      <c r="AH861" s="52"/>
      <c r="AI861" s="52"/>
      <c r="AJ861" s="52"/>
      <c r="AK861" s="52"/>
      <c r="AL861" s="52"/>
      <c r="AM861" s="52"/>
      <c r="AN861" s="52"/>
      <c r="AO861" s="52"/>
      <c r="AP861" s="138"/>
      <c r="AQ861" s="138"/>
      <c r="AR861" s="52"/>
      <c r="AS861" s="52"/>
      <c r="AT861" s="52"/>
      <c r="AU861" s="139"/>
      <c r="AV861" s="138"/>
      <c r="AW861" s="141"/>
      <c r="AX861" s="52"/>
      <c r="AY861" s="52"/>
      <c r="AZ861" s="52"/>
      <c r="BA861" s="52"/>
      <c r="BB861" s="52"/>
    </row>
    <row r="862">
      <c r="A862" s="52"/>
      <c r="B862" s="26"/>
      <c r="C862" s="52"/>
      <c r="D862" s="52"/>
      <c r="E862" s="52"/>
      <c r="F862" s="52"/>
      <c r="G862" s="135"/>
      <c r="H862" s="52"/>
      <c r="I862" s="52"/>
      <c r="J862" s="136"/>
      <c r="K862" s="136"/>
      <c r="L862" s="136"/>
      <c r="M862" s="136"/>
      <c r="N862" s="52"/>
      <c r="O862" s="52"/>
      <c r="P862" s="52"/>
      <c r="Q862" s="52"/>
      <c r="R862" s="52"/>
      <c r="S862" s="52"/>
      <c r="T862" s="52"/>
      <c r="U862" s="52"/>
      <c r="V862" s="52"/>
      <c r="W862" s="52"/>
      <c r="X862" s="52"/>
      <c r="Y862" s="52"/>
      <c r="Z862" s="52"/>
      <c r="AA862" s="52"/>
      <c r="AB862" s="52"/>
      <c r="AC862" s="52"/>
      <c r="AD862" s="52"/>
      <c r="AE862" s="52"/>
      <c r="AF862" s="52"/>
      <c r="AG862" s="52"/>
      <c r="AH862" s="52"/>
      <c r="AI862" s="52"/>
      <c r="AJ862" s="52"/>
      <c r="AK862" s="52"/>
      <c r="AL862" s="52"/>
      <c r="AM862" s="52"/>
      <c r="AN862" s="52"/>
      <c r="AO862" s="52"/>
      <c r="AP862" s="138"/>
      <c r="AQ862" s="138"/>
      <c r="AR862" s="52"/>
      <c r="AS862" s="52"/>
      <c r="AT862" s="52"/>
      <c r="AU862" s="139"/>
      <c r="AV862" s="138"/>
      <c r="AW862" s="141"/>
      <c r="AX862" s="52"/>
      <c r="AY862" s="52"/>
      <c r="AZ862" s="52"/>
      <c r="BA862" s="52"/>
      <c r="BB862" s="52"/>
    </row>
    <row r="863">
      <c r="A863" s="52"/>
      <c r="B863" s="26"/>
      <c r="C863" s="52"/>
      <c r="D863" s="52"/>
      <c r="E863" s="52"/>
      <c r="F863" s="52"/>
      <c r="G863" s="135"/>
      <c r="H863" s="52"/>
      <c r="I863" s="52"/>
      <c r="J863" s="136"/>
      <c r="K863" s="136"/>
      <c r="L863" s="136"/>
      <c r="M863" s="136"/>
      <c r="N863" s="52"/>
      <c r="O863" s="52"/>
      <c r="P863" s="52"/>
      <c r="Q863" s="52"/>
      <c r="R863" s="52"/>
      <c r="S863" s="52"/>
      <c r="T863" s="52"/>
      <c r="U863" s="52"/>
      <c r="V863" s="52"/>
      <c r="W863" s="52"/>
      <c r="X863" s="52"/>
      <c r="Y863" s="52"/>
      <c r="Z863" s="52"/>
      <c r="AA863" s="52"/>
      <c r="AB863" s="52"/>
      <c r="AC863" s="52"/>
      <c r="AD863" s="52"/>
      <c r="AE863" s="52"/>
      <c r="AF863" s="52"/>
      <c r="AG863" s="52"/>
      <c r="AH863" s="52"/>
      <c r="AI863" s="52"/>
      <c r="AJ863" s="52"/>
      <c r="AK863" s="52"/>
      <c r="AL863" s="52"/>
      <c r="AM863" s="52"/>
      <c r="AN863" s="52"/>
      <c r="AO863" s="52"/>
      <c r="AP863" s="138"/>
      <c r="AQ863" s="138"/>
      <c r="AR863" s="52"/>
      <c r="AS863" s="52"/>
      <c r="AT863" s="52"/>
      <c r="AU863" s="139"/>
      <c r="AV863" s="138"/>
      <c r="AW863" s="141"/>
      <c r="AX863" s="52"/>
      <c r="AY863" s="52"/>
      <c r="AZ863" s="52"/>
      <c r="BA863" s="52"/>
      <c r="BB863" s="52"/>
    </row>
    <row r="864">
      <c r="A864" s="52"/>
      <c r="B864" s="26"/>
      <c r="C864" s="52"/>
      <c r="D864" s="52"/>
      <c r="E864" s="52"/>
      <c r="F864" s="52"/>
      <c r="G864" s="135"/>
      <c r="H864" s="52"/>
      <c r="I864" s="52"/>
      <c r="J864" s="136"/>
      <c r="K864" s="136"/>
      <c r="L864" s="136"/>
      <c r="M864" s="136"/>
      <c r="N864" s="52"/>
      <c r="O864" s="52"/>
      <c r="P864" s="52"/>
      <c r="Q864" s="52"/>
      <c r="R864" s="52"/>
      <c r="S864" s="52"/>
      <c r="T864" s="52"/>
      <c r="U864" s="52"/>
      <c r="V864" s="52"/>
      <c r="W864" s="52"/>
      <c r="X864" s="52"/>
      <c r="Y864" s="52"/>
      <c r="Z864" s="52"/>
      <c r="AA864" s="52"/>
      <c r="AB864" s="52"/>
      <c r="AC864" s="52"/>
      <c r="AD864" s="52"/>
      <c r="AE864" s="52"/>
      <c r="AF864" s="52"/>
      <c r="AG864" s="52"/>
      <c r="AH864" s="52"/>
      <c r="AI864" s="52"/>
      <c r="AJ864" s="52"/>
      <c r="AK864" s="52"/>
      <c r="AL864" s="52"/>
      <c r="AM864" s="52"/>
      <c r="AN864" s="52"/>
      <c r="AO864" s="52"/>
      <c r="AP864" s="138"/>
      <c r="AQ864" s="138"/>
      <c r="AR864" s="52"/>
      <c r="AS864" s="52"/>
      <c r="AT864" s="52"/>
      <c r="AU864" s="139"/>
      <c r="AV864" s="138"/>
      <c r="AW864" s="141"/>
      <c r="AX864" s="52"/>
      <c r="AY864" s="52"/>
      <c r="AZ864" s="52"/>
      <c r="BA864" s="52"/>
      <c r="BB864" s="52"/>
    </row>
    <row r="865">
      <c r="A865" s="52"/>
      <c r="B865" s="26"/>
      <c r="C865" s="52"/>
      <c r="D865" s="52"/>
      <c r="E865" s="52"/>
      <c r="F865" s="52"/>
      <c r="G865" s="135"/>
      <c r="H865" s="52"/>
      <c r="I865" s="52"/>
      <c r="J865" s="136"/>
      <c r="K865" s="136"/>
      <c r="L865" s="136"/>
      <c r="M865" s="136"/>
      <c r="N865" s="52"/>
      <c r="O865" s="52"/>
      <c r="P865" s="52"/>
      <c r="Q865" s="52"/>
      <c r="R865" s="52"/>
      <c r="S865" s="52"/>
      <c r="T865" s="52"/>
      <c r="U865" s="52"/>
      <c r="V865" s="52"/>
      <c r="W865" s="52"/>
      <c r="X865" s="52"/>
      <c r="Y865" s="52"/>
      <c r="Z865" s="52"/>
      <c r="AA865" s="52"/>
      <c r="AB865" s="52"/>
      <c r="AC865" s="52"/>
      <c r="AD865" s="52"/>
      <c r="AE865" s="52"/>
      <c r="AF865" s="52"/>
      <c r="AG865" s="52"/>
      <c r="AH865" s="52"/>
      <c r="AI865" s="52"/>
      <c r="AJ865" s="52"/>
      <c r="AK865" s="52"/>
      <c r="AL865" s="52"/>
      <c r="AM865" s="52"/>
      <c r="AN865" s="52"/>
      <c r="AO865" s="52"/>
      <c r="AP865" s="138"/>
      <c r="AQ865" s="138"/>
      <c r="AR865" s="52"/>
      <c r="AS865" s="52"/>
      <c r="AT865" s="52"/>
      <c r="AU865" s="139"/>
      <c r="AV865" s="138"/>
      <c r="AW865" s="141"/>
      <c r="AX865" s="52"/>
      <c r="AY865" s="52"/>
      <c r="AZ865" s="52"/>
      <c r="BA865" s="52"/>
      <c r="BB865" s="52"/>
    </row>
    <row r="866">
      <c r="A866" s="52"/>
      <c r="B866" s="26"/>
      <c r="C866" s="52"/>
      <c r="D866" s="52"/>
      <c r="E866" s="52"/>
      <c r="F866" s="52"/>
      <c r="G866" s="135"/>
      <c r="H866" s="52"/>
      <c r="I866" s="52"/>
      <c r="J866" s="136"/>
      <c r="K866" s="136"/>
      <c r="L866" s="136"/>
      <c r="M866" s="136"/>
      <c r="N866" s="52"/>
      <c r="O866" s="52"/>
      <c r="P866" s="52"/>
      <c r="Q866" s="52"/>
      <c r="R866" s="52"/>
      <c r="S866" s="52"/>
      <c r="T866" s="52"/>
      <c r="U866" s="52"/>
      <c r="V866" s="52"/>
      <c r="W866" s="52"/>
      <c r="X866" s="52"/>
      <c r="Y866" s="52"/>
      <c r="Z866" s="52"/>
      <c r="AA866" s="52"/>
      <c r="AB866" s="52"/>
      <c r="AC866" s="52"/>
      <c r="AD866" s="52"/>
      <c r="AE866" s="52"/>
      <c r="AF866" s="52"/>
      <c r="AG866" s="52"/>
      <c r="AH866" s="52"/>
      <c r="AI866" s="52"/>
      <c r="AJ866" s="52"/>
      <c r="AK866" s="52"/>
      <c r="AL866" s="52"/>
      <c r="AM866" s="52"/>
      <c r="AN866" s="52"/>
      <c r="AO866" s="52"/>
      <c r="AP866" s="138"/>
      <c r="AQ866" s="138"/>
      <c r="AR866" s="52"/>
      <c r="AS866" s="52"/>
      <c r="AT866" s="52"/>
      <c r="AU866" s="139"/>
      <c r="AV866" s="138"/>
      <c r="AW866" s="141"/>
      <c r="AX866" s="52"/>
      <c r="AY866" s="52"/>
      <c r="AZ866" s="52"/>
      <c r="BA866" s="52"/>
      <c r="BB866" s="52"/>
    </row>
    <row r="867">
      <c r="A867" s="52"/>
      <c r="B867" s="26"/>
      <c r="C867" s="52"/>
      <c r="D867" s="52"/>
      <c r="E867" s="52"/>
      <c r="F867" s="52"/>
      <c r="G867" s="135"/>
      <c r="H867" s="52"/>
      <c r="I867" s="52"/>
      <c r="J867" s="136"/>
      <c r="K867" s="136"/>
      <c r="L867" s="136"/>
      <c r="M867" s="136"/>
      <c r="N867" s="52"/>
      <c r="O867" s="52"/>
      <c r="P867" s="52"/>
      <c r="Q867" s="52"/>
      <c r="R867" s="52"/>
      <c r="S867" s="52"/>
      <c r="T867" s="52"/>
      <c r="U867" s="52"/>
      <c r="V867" s="52"/>
      <c r="W867" s="52"/>
      <c r="X867" s="52"/>
      <c r="Y867" s="52"/>
      <c r="Z867" s="52"/>
      <c r="AA867" s="52"/>
      <c r="AB867" s="52"/>
      <c r="AC867" s="52"/>
      <c r="AD867" s="52"/>
      <c r="AE867" s="52"/>
      <c r="AF867" s="52"/>
      <c r="AG867" s="52"/>
      <c r="AH867" s="52"/>
      <c r="AI867" s="52"/>
      <c r="AJ867" s="52"/>
      <c r="AK867" s="52"/>
      <c r="AL867" s="52"/>
      <c r="AM867" s="52"/>
      <c r="AN867" s="52"/>
      <c r="AO867" s="52"/>
      <c r="AP867" s="138"/>
      <c r="AQ867" s="138"/>
      <c r="AR867" s="52"/>
      <c r="AS867" s="52"/>
      <c r="AT867" s="52"/>
      <c r="AU867" s="139"/>
      <c r="AV867" s="138"/>
      <c r="AW867" s="141"/>
      <c r="AX867" s="52"/>
      <c r="AY867" s="52"/>
      <c r="AZ867" s="52"/>
      <c r="BA867" s="52"/>
      <c r="BB867" s="52"/>
    </row>
    <row r="868">
      <c r="A868" s="52"/>
      <c r="B868" s="26"/>
      <c r="C868" s="52"/>
      <c r="D868" s="52"/>
      <c r="E868" s="52"/>
      <c r="F868" s="52"/>
      <c r="G868" s="135"/>
      <c r="H868" s="52"/>
      <c r="I868" s="52"/>
      <c r="J868" s="136"/>
      <c r="K868" s="136"/>
      <c r="L868" s="136"/>
      <c r="M868" s="136"/>
      <c r="N868" s="52"/>
      <c r="O868" s="52"/>
      <c r="P868" s="52"/>
      <c r="Q868" s="52"/>
      <c r="R868" s="52"/>
      <c r="S868" s="52"/>
      <c r="T868" s="52"/>
      <c r="U868" s="52"/>
      <c r="V868" s="52"/>
      <c r="W868" s="52"/>
      <c r="X868" s="52"/>
      <c r="Y868" s="52"/>
      <c r="Z868" s="52"/>
      <c r="AA868" s="52"/>
      <c r="AB868" s="52"/>
      <c r="AC868" s="52"/>
      <c r="AD868" s="52"/>
      <c r="AE868" s="52"/>
      <c r="AF868" s="52"/>
      <c r="AG868" s="52"/>
      <c r="AH868" s="52"/>
      <c r="AI868" s="52"/>
      <c r="AJ868" s="52"/>
      <c r="AK868" s="52"/>
      <c r="AL868" s="52"/>
      <c r="AM868" s="52"/>
      <c r="AN868" s="52"/>
      <c r="AO868" s="52"/>
      <c r="AP868" s="138"/>
      <c r="AQ868" s="138"/>
      <c r="AR868" s="52"/>
      <c r="AS868" s="52"/>
      <c r="AT868" s="52"/>
      <c r="AU868" s="139"/>
      <c r="AV868" s="138"/>
      <c r="AW868" s="141"/>
      <c r="AX868" s="52"/>
      <c r="AY868" s="52"/>
      <c r="AZ868" s="52"/>
      <c r="BA868" s="52"/>
      <c r="BB868" s="52"/>
    </row>
    <row r="869">
      <c r="A869" s="52"/>
      <c r="B869" s="26"/>
      <c r="C869" s="52"/>
      <c r="D869" s="52"/>
      <c r="E869" s="52"/>
      <c r="F869" s="52"/>
      <c r="G869" s="135"/>
      <c r="H869" s="52"/>
      <c r="I869" s="52"/>
      <c r="J869" s="136"/>
      <c r="K869" s="136"/>
      <c r="L869" s="136"/>
      <c r="M869" s="136"/>
      <c r="N869" s="52"/>
      <c r="O869" s="52"/>
      <c r="P869" s="52"/>
      <c r="Q869" s="52"/>
      <c r="R869" s="52"/>
      <c r="S869" s="52"/>
      <c r="T869" s="52"/>
      <c r="U869" s="52"/>
      <c r="V869" s="52"/>
      <c r="W869" s="52"/>
      <c r="X869" s="52"/>
      <c r="Y869" s="52"/>
      <c r="Z869" s="52"/>
      <c r="AA869" s="52"/>
      <c r="AB869" s="52"/>
      <c r="AC869" s="52"/>
      <c r="AD869" s="52"/>
      <c r="AE869" s="52"/>
      <c r="AF869" s="52"/>
      <c r="AG869" s="52"/>
      <c r="AH869" s="52"/>
      <c r="AI869" s="52"/>
      <c r="AJ869" s="52"/>
      <c r="AK869" s="52"/>
      <c r="AL869" s="52"/>
      <c r="AM869" s="52"/>
      <c r="AN869" s="52"/>
      <c r="AO869" s="52"/>
      <c r="AP869" s="138"/>
      <c r="AQ869" s="138"/>
      <c r="AR869" s="52"/>
      <c r="AS869" s="52"/>
      <c r="AT869" s="52"/>
      <c r="AU869" s="139"/>
      <c r="AV869" s="138"/>
      <c r="AW869" s="141"/>
      <c r="AX869" s="52"/>
      <c r="AY869" s="52"/>
      <c r="AZ869" s="52"/>
      <c r="BA869" s="52"/>
      <c r="BB869" s="52"/>
    </row>
    <row r="870">
      <c r="A870" s="52"/>
      <c r="B870" s="26"/>
      <c r="C870" s="52"/>
      <c r="D870" s="52"/>
      <c r="E870" s="52"/>
      <c r="F870" s="52"/>
      <c r="G870" s="135"/>
      <c r="H870" s="52"/>
      <c r="I870" s="52"/>
      <c r="J870" s="136"/>
      <c r="K870" s="136"/>
      <c r="L870" s="136"/>
      <c r="M870" s="136"/>
      <c r="N870" s="52"/>
      <c r="O870" s="52"/>
      <c r="P870" s="52"/>
      <c r="Q870" s="52"/>
      <c r="R870" s="52"/>
      <c r="S870" s="52"/>
      <c r="T870" s="52"/>
      <c r="U870" s="52"/>
      <c r="V870" s="52"/>
      <c r="W870" s="52"/>
      <c r="X870" s="52"/>
      <c r="Y870" s="52"/>
      <c r="Z870" s="52"/>
      <c r="AA870" s="52"/>
      <c r="AB870" s="52"/>
      <c r="AC870" s="52"/>
      <c r="AD870" s="52"/>
      <c r="AE870" s="52"/>
      <c r="AF870" s="52"/>
      <c r="AG870" s="52"/>
      <c r="AH870" s="52"/>
      <c r="AI870" s="52"/>
      <c r="AJ870" s="52"/>
      <c r="AK870" s="52"/>
      <c r="AL870" s="52"/>
      <c r="AM870" s="52"/>
      <c r="AN870" s="52"/>
      <c r="AO870" s="52"/>
      <c r="AP870" s="138"/>
      <c r="AQ870" s="138"/>
      <c r="AR870" s="52"/>
      <c r="AS870" s="52"/>
      <c r="AT870" s="52"/>
      <c r="AU870" s="139"/>
      <c r="AV870" s="138"/>
      <c r="AW870" s="141"/>
      <c r="AX870" s="52"/>
      <c r="AY870" s="52"/>
      <c r="AZ870" s="52"/>
      <c r="BA870" s="52"/>
      <c r="BB870" s="52"/>
    </row>
    <row r="871">
      <c r="A871" s="52"/>
      <c r="B871" s="26"/>
      <c r="C871" s="52"/>
      <c r="D871" s="52"/>
      <c r="E871" s="52"/>
      <c r="F871" s="52"/>
      <c r="G871" s="135"/>
      <c r="H871" s="52"/>
      <c r="I871" s="52"/>
      <c r="J871" s="136"/>
      <c r="K871" s="136"/>
      <c r="L871" s="136"/>
      <c r="M871" s="136"/>
      <c r="N871" s="52"/>
      <c r="O871" s="52"/>
      <c r="P871" s="52"/>
      <c r="Q871" s="52"/>
      <c r="R871" s="52"/>
      <c r="S871" s="52"/>
      <c r="T871" s="52"/>
      <c r="U871" s="52"/>
      <c r="V871" s="52"/>
      <c r="W871" s="52"/>
      <c r="X871" s="52"/>
      <c r="Y871" s="52"/>
      <c r="Z871" s="52"/>
      <c r="AA871" s="52"/>
      <c r="AB871" s="52"/>
      <c r="AC871" s="52"/>
      <c r="AD871" s="52"/>
      <c r="AE871" s="52"/>
      <c r="AF871" s="52"/>
      <c r="AG871" s="52"/>
      <c r="AH871" s="52"/>
      <c r="AI871" s="52"/>
      <c r="AJ871" s="52"/>
      <c r="AK871" s="52"/>
      <c r="AL871" s="52"/>
      <c r="AM871" s="52"/>
      <c r="AN871" s="52"/>
      <c r="AO871" s="52"/>
      <c r="AP871" s="138"/>
      <c r="AQ871" s="138"/>
      <c r="AR871" s="52"/>
      <c r="AS871" s="52"/>
      <c r="AT871" s="52"/>
      <c r="AU871" s="139"/>
      <c r="AV871" s="138"/>
      <c r="AW871" s="141"/>
      <c r="AX871" s="52"/>
      <c r="AY871" s="52"/>
      <c r="AZ871" s="52"/>
      <c r="BA871" s="52"/>
      <c r="BB871" s="52"/>
    </row>
    <row r="872">
      <c r="A872" s="52"/>
      <c r="B872" s="26"/>
      <c r="C872" s="52"/>
      <c r="D872" s="52"/>
      <c r="E872" s="52"/>
      <c r="F872" s="52"/>
      <c r="G872" s="135"/>
      <c r="H872" s="52"/>
      <c r="I872" s="52"/>
      <c r="J872" s="136"/>
      <c r="K872" s="136"/>
      <c r="L872" s="136"/>
      <c r="M872" s="136"/>
      <c r="N872" s="52"/>
      <c r="O872" s="52"/>
      <c r="P872" s="52"/>
      <c r="Q872" s="52"/>
      <c r="R872" s="52"/>
      <c r="S872" s="52"/>
      <c r="T872" s="52"/>
      <c r="U872" s="52"/>
      <c r="V872" s="52"/>
      <c r="W872" s="52"/>
      <c r="X872" s="52"/>
      <c r="Y872" s="52"/>
      <c r="Z872" s="52"/>
      <c r="AA872" s="52"/>
      <c r="AB872" s="52"/>
      <c r="AC872" s="52"/>
      <c r="AD872" s="52"/>
      <c r="AE872" s="52"/>
      <c r="AF872" s="52"/>
      <c r="AG872" s="52"/>
      <c r="AH872" s="52"/>
      <c r="AI872" s="52"/>
      <c r="AJ872" s="52"/>
      <c r="AK872" s="52"/>
      <c r="AL872" s="52"/>
      <c r="AM872" s="52"/>
      <c r="AN872" s="52"/>
      <c r="AO872" s="52"/>
      <c r="AP872" s="138"/>
      <c r="AQ872" s="138"/>
      <c r="AR872" s="52"/>
      <c r="AS872" s="52"/>
      <c r="AT872" s="52"/>
      <c r="AU872" s="139"/>
      <c r="AV872" s="138"/>
      <c r="AW872" s="141"/>
      <c r="AX872" s="52"/>
      <c r="AY872" s="52"/>
      <c r="AZ872" s="52"/>
      <c r="BA872" s="52"/>
      <c r="BB872" s="52"/>
    </row>
    <row r="873">
      <c r="A873" s="52"/>
      <c r="B873" s="26"/>
      <c r="C873" s="52"/>
      <c r="D873" s="52"/>
      <c r="E873" s="52"/>
      <c r="F873" s="52"/>
      <c r="G873" s="135"/>
      <c r="H873" s="52"/>
      <c r="I873" s="52"/>
      <c r="J873" s="136"/>
      <c r="K873" s="136"/>
      <c r="L873" s="136"/>
      <c r="M873" s="136"/>
      <c r="N873" s="52"/>
      <c r="O873" s="52"/>
      <c r="P873" s="52"/>
      <c r="Q873" s="52"/>
      <c r="R873" s="52"/>
      <c r="S873" s="52"/>
      <c r="T873" s="52"/>
      <c r="U873" s="52"/>
      <c r="V873" s="52"/>
      <c r="W873" s="52"/>
      <c r="X873" s="52"/>
      <c r="Y873" s="52"/>
      <c r="Z873" s="52"/>
      <c r="AA873" s="52"/>
      <c r="AB873" s="52"/>
      <c r="AC873" s="52"/>
      <c r="AD873" s="52"/>
      <c r="AE873" s="52"/>
      <c r="AF873" s="52"/>
      <c r="AG873" s="52"/>
      <c r="AH873" s="52"/>
      <c r="AI873" s="52"/>
      <c r="AJ873" s="52"/>
      <c r="AK873" s="52"/>
      <c r="AL873" s="52"/>
      <c r="AM873" s="52"/>
      <c r="AN873" s="52"/>
      <c r="AO873" s="52"/>
      <c r="AP873" s="138"/>
      <c r="AQ873" s="138"/>
      <c r="AR873" s="52"/>
      <c r="AS873" s="52"/>
      <c r="AT873" s="52"/>
      <c r="AU873" s="139"/>
      <c r="AV873" s="138"/>
      <c r="AW873" s="141"/>
      <c r="AX873" s="52"/>
      <c r="AY873" s="52"/>
      <c r="AZ873" s="52"/>
      <c r="BA873" s="52"/>
      <c r="BB873" s="52"/>
    </row>
    <row r="874">
      <c r="A874" s="52"/>
      <c r="B874" s="26"/>
      <c r="C874" s="52"/>
      <c r="D874" s="52"/>
      <c r="E874" s="52"/>
      <c r="F874" s="52"/>
      <c r="G874" s="135"/>
      <c r="H874" s="52"/>
      <c r="I874" s="52"/>
      <c r="J874" s="136"/>
      <c r="K874" s="136"/>
      <c r="L874" s="136"/>
      <c r="M874" s="136"/>
      <c r="N874" s="52"/>
      <c r="O874" s="52"/>
      <c r="P874" s="52"/>
      <c r="Q874" s="52"/>
      <c r="R874" s="52"/>
      <c r="S874" s="52"/>
      <c r="T874" s="52"/>
      <c r="U874" s="52"/>
      <c r="V874" s="52"/>
      <c r="W874" s="52"/>
      <c r="X874" s="52"/>
      <c r="Y874" s="52"/>
      <c r="Z874" s="52"/>
      <c r="AA874" s="52"/>
      <c r="AB874" s="52"/>
      <c r="AC874" s="52"/>
      <c r="AD874" s="52"/>
      <c r="AE874" s="52"/>
      <c r="AF874" s="52"/>
      <c r="AG874" s="52"/>
      <c r="AH874" s="52"/>
      <c r="AI874" s="52"/>
      <c r="AJ874" s="52"/>
      <c r="AK874" s="52"/>
      <c r="AL874" s="52"/>
      <c r="AM874" s="52"/>
      <c r="AN874" s="52"/>
      <c r="AO874" s="52"/>
      <c r="AP874" s="138"/>
      <c r="AQ874" s="138"/>
      <c r="AR874" s="52"/>
      <c r="AS874" s="52"/>
      <c r="AT874" s="52"/>
      <c r="AU874" s="139"/>
      <c r="AV874" s="138"/>
      <c r="AW874" s="141"/>
      <c r="AX874" s="52"/>
      <c r="AY874" s="52"/>
      <c r="AZ874" s="52"/>
      <c r="BA874" s="52"/>
      <c r="BB874" s="52"/>
    </row>
    <row r="875">
      <c r="A875" s="52"/>
      <c r="B875" s="26"/>
      <c r="C875" s="52"/>
      <c r="D875" s="52"/>
      <c r="E875" s="52"/>
      <c r="F875" s="52"/>
      <c r="G875" s="135"/>
      <c r="H875" s="52"/>
      <c r="I875" s="52"/>
      <c r="J875" s="136"/>
      <c r="K875" s="136"/>
      <c r="L875" s="136"/>
      <c r="M875" s="136"/>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138"/>
      <c r="AQ875" s="138"/>
      <c r="AR875" s="52"/>
      <c r="AS875" s="52"/>
      <c r="AT875" s="52"/>
      <c r="AU875" s="139"/>
      <c r="AV875" s="138"/>
      <c r="AW875" s="141"/>
      <c r="AX875" s="52"/>
      <c r="AY875" s="52"/>
      <c r="AZ875" s="52"/>
      <c r="BA875" s="52"/>
      <c r="BB875" s="52"/>
    </row>
    <row r="876">
      <c r="A876" s="52"/>
      <c r="B876" s="26"/>
      <c r="C876" s="52"/>
      <c r="D876" s="52"/>
      <c r="E876" s="52"/>
      <c r="F876" s="52"/>
      <c r="G876" s="135"/>
      <c r="H876" s="52"/>
      <c r="I876" s="52"/>
      <c r="J876" s="136"/>
      <c r="K876" s="136"/>
      <c r="L876" s="136"/>
      <c r="M876" s="136"/>
      <c r="N876" s="52"/>
      <c r="O876" s="52"/>
      <c r="P876" s="52"/>
      <c r="Q876" s="52"/>
      <c r="R876" s="52"/>
      <c r="S876" s="52"/>
      <c r="T876" s="52"/>
      <c r="U876" s="52"/>
      <c r="V876" s="52"/>
      <c r="W876" s="52"/>
      <c r="X876" s="52"/>
      <c r="Y876" s="52"/>
      <c r="Z876" s="52"/>
      <c r="AA876" s="52"/>
      <c r="AB876" s="52"/>
      <c r="AC876" s="52"/>
      <c r="AD876" s="52"/>
      <c r="AE876" s="52"/>
      <c r="AF876" s="52"/>
      <c r="AG876" s="52"/>
      <c r="AH876" s="52"/>
      <c r="AI876" s="52"/>
      <c r="AJ876" s="52"/>
      <c r="AK876" s="52"/>
      <c r="AL876" s="52"/>
      <c r="AM876" s="52"/>
      <c r="AN876" s="52"/>
      <c r="AO876" s="52"/>
      <c r="AP876" s="138"/>
      <c r="AQ876" s="138"/>
      <c r="AR876" s="52"/>
      <c r="AS876" s="52"/>
      <c r="AT876" s="52"/>
      <c r="AU876" s="139"/>
      <c r="AV876" s="138"/>
      <c r="AW876" s="141"/>
      <c r="AX876" s="52"/>
      <c r="AY876" s="52"/>
      <c r="AZ876" s="52"/>
      <c r="BA876" s="52"/>
      <c r="BB876" s="52"/>
    </row>
    <row r="877">
      <c r="A877" s="52"/>
      <c r="B877" s="26"/>
      <c r="C877" s="52"/>
      <c r="D877" s="52"/>
      <c r="E877" s="52"/>
      <c r="F877" s="52"/>
      <c r="G877" s="135"/>
      <c r="H877" s="52"/>
      <c r="I877" s="52"/>
      <c r="J877" s="136"/>
      <c r="K877" s="136"/>
      <c r="L877" s="136"/>
      <c r="M877" s="136"/>
      <c r="N877" s="52"/>
      <c r="O877" s="52"/>
      <c r="P877" s="52"/>
      <c r="Q877" s="52"/>
      <c r="R877" s="52"/>
      <c r="S877" s="52"/>
      <c r="T877" s="52"/>
      <c r="U877" s="52"/>
      <c r="V877" s="52"/>
      <c r="W877" s="52"/>
      <c r="X877" s="52"/>
      <c r="Y877" s="52"/>
      <c r="Z877" s="52"/>
      <c r="AA877" s="52"/>
      <c r="AB877" s="52"/>
      <c r="AC877" s="52"/>
      <c r="AD877" s="52"/>
      <c r="AE877" s="52"/>
      <c r="AF877" s="52"/>
      <c r="AG877" s="52"/>
      <c r="AH877" s="52"/>
      <c r="AI877" s="52"/>
      <c r="AJ877" s="52"/>
      <c r="AK877" s="52"/>
      <c r="AL877" s="52"/>
      <c r="AM877" s="52"/>
      <c r="AN877" s="52"/>
      <c r="AO877" s="52"/>
      <c r="AP877" s="138"/>
      <c r="AQ877" s="138"/>
      <c r="AR877" s="52"/>
      <c r="AS877" s="52"/>
      <c r="AT877" s="52"/>
      <c r="AU877" s="139"/>
      <c r="AV877" s="138"/>
      <c r="AW877" s="141"/>
      <c r="AX877" s="52"/>
      <c r="AY877" s="52"/>
      <c r="AZ877" s="52"/>
      <c r="BA877" s="52"/>
      <c r="BB877" s="52"/>
    </row>
    <row r="878">
      <c r="A878" s="52"/>
      <c r="B878" s="26"/>
      <c r="C878" s="52"/>
      <c r="D878" s="52"/>
      <c r="E878" s="52"/>
      <c r="F878" s="52"/>
      <c r="G878" s="135"/>
      <c r="H878" s="52"/>
      <c r="I878" s="52"/>
      <c r="J878" s="136"/>
      <c r="K878" s="136"/>
      <c r="L878" s="136"/>
      <c r="M878" s="136"/>
      <c r="N878" s="52"/>
      <c r="O878" s="52"/>
      <c r="P878" s="52"/>
      <c r="Q878" s="52"/>
      <c r="R878" s="52"/>
      <c r="S878" s="52"/>
      <c r="T878" s="52"/>
      <c r="U878" s="52"/>
      <c r="V878" s="52"/>
      <c r="W878" s="52"/>
      <c r="X878" s="52"/>
      <c r="Y878" s="52"/>
      <c r="Z878" s="52"/>
      <c r="AA878" s="52"/>
      <c r="AB878" s="52"/>
      <c r="AC878" s="52"/>
      <c r="AD878" s="52"/>
      <c r="AE878" s="52"/>
      <c r="AF878" s="52"/>
      <c r="AG878" s="52"/>
      <c r="AH878" s="52"/>
      <c r="AI878" s="52"/>
      <c r="AJ878" s="52"/>
      <c r="AK878" s="52"/>
      <c r="AL878" s="52"/>
      <c r="AM878" s="52"/>
      <c r="AN878" s="52"/>
      <c r="AO878" s="52"/>
      <c r="AP878" s="138"/>
      <c r="AQ878" s="138"/>
      <c r="AR878" s="52"/>
      <c r="AS878" s="52"/>
      <c r="AT878" s="52"/>
      <c r="AU878" s="139"/>
      <c r="AV878" s="138"/>
      <c r="AW878" s="141"/>
      <c r="AX878" s="52"/>
      <c r="AY878" s="52"/>
      <c r="AZ878" s="52"/>
      <c r="BA878" s="52"/>
      <c r="BB878" s="52"/>
    </row>
    <row r="879">
      <c r="A879" s="52"/>
      <c r="B879" s="26"/>
      <c r="C879" s="52"/>
      <c r="D879" s="52"/>
      <c r="E879" s="52"/>
      <c r="F879" s="52"/>
      <c r="G879" s="135"/>
      <c r="H879" s="52"/>
      <c r="I879" s="52"/>
      <c r="J879" s="136"/>
      <c r="K879" s="136"/>
      <c r="L879" s="136"/>
      <c r="M879" s="136"/>
      <c r="N879" s="52"/>
      <c r="O879" s="52"/>
      <c r="P879" s="52"/>
      <c r="Q879" s="52"/>
      <c r="R879" s="52"/>
      <c r="S879" s="52"/>
      <c r="T879" s="52"/>
      <c r="U879" s="52"/>
      <c r="V879" s="52"/>
      <c r="W879" s="52"/>
      <c r="X879" s="52"/>
      <c r="Y879" s="52"/>
      <c r="Z879" s="52"/>
      <c r="AA879" s="52"/>
      <c r="AB879" s="52"/>
      <c r="AC879" s="52"/>
      <c r="AD879" s="52"/>
      <c r="AE879" s="52"/>
      <c r="AF879" s="52"/>
      <c r="AG879" s="52"/>
      <c r="AH879" s="52"/>
      <c r="AI879" s="52"/>
      <c r="AJ879" s="52"/>
      <c r="AK879" s="52"/>
      <c r="AL879" s="52"/>
      <c r="AM879" s="52"/>
      <c r="AN879" s="52"/>
      <c r="AO879" s="52"/>
      <c r="AP879" s="138"/>
      <c r="AQ879" s="138"/>
      <c r="AR879" s="52"/>
      <c r="AS879" s="52"/>
      <c r="AT879" s="52"/>
      <c r="AU879" s="139"/>
      <c r="AV879" s="138"/>
      <c r="AW879" s="141"/>
      <c r="AX879" s="52"/>
      <c r="AY879" s="52"/>
      <c r="AZ879" s="52"/>
      <c r="BA879" s="52"/>
      <c r="BB879" s="52"/>
    </row>
    <row r="880">
      <c r="A880" s="52"/>
      <c r="B880" s="26"/>
      <c r="C880" s="52"/>
      <c r="D880" s="52"/>
      <c r="E880" s="52"/>
      <c r="F880" s="52"/>
      <c r="G880" s="135"/>
      <c r="H880" s="52"/>
      <c r="I880" s="52"/>
      <c r="J880" s="136"/>
      <c r="K880" s="136"/>
      <c r="L880" s="136"/>
      <c r="M880" s="136"/>
      <c r="N880" s="52"/>
      <c r="O880" s="52"/>
      <c r="P880" s="52"/>
      <c r="Q880" s="52"/>
      <c r="R880" s="52"/>
      <c r="S880" s="52"/>
      <c r="T880" s="52"/>
      <c r="U880" s="52"/>
      <c r="V880" s="52"/>
      <c r="W880" s="52"/>
      <c r="X880" s="52"/>
      <c r="Y880" s="52"/>
      <c r="Z880" s="52"/>
      <c r="AA880" s="52"/>
      <c r="AB880" s="52"/>
      <c r="AC880" s="52"/>
      <c r="AD880" s="52"/>
      <c r="AE880" s="52"/>
      <c r="AF880" s="52"/>
      <c r="AG880" s="52"/>
      <c r="AH880" s="52"/>
      <c r="AI880" s="52"/>
      <c r="AJ880" s="52"/>
      <c r="AK880" s="52"/>
      <c r="AL880" s="52"/>
      <c r="AM880" s="52"/>
      <c r="AN880" s="52"/>
      <c r="AO880" s="52"/>
      <c r="AP880" s="138"/>
      <c r="AQ880" s="138"/>
      <c r="AR880" s="52"/>
      <c r="AS880" s="52"/>
      <c r="AT880" s="52"/>
      <c r="AU880" s="139"/>
      <c r="AV880" s="138"/>
      <c r="AW880" s="141"/>
      <c r="AX880" s="52"/>
      <c r="AY880" s="52"/>
      <c r="AZ880" s="52"/>
      <c r="BA880" s="52"/>
      <c r="BB880" s="52"/>
    </row>
    <row r="881">
      <c r="A881" s="52"/>
      <c r="B881" s="26"/>
      <c r="C881" s="52"/>
      <c r="D881" s="52"/>
      <c r="E881" s="52"/>
      <c r="F881" s="52"/>
      <c r="G881" s="135"/>
      <c r="H881" s="52"/>
      <c r="I881" s="52"/>
      <c r="J881" s="136"/>
      <c r="K881" s="136"/>
      <c r="L881" s="136"/>
      <c r="M881" s="136"/>
      <c r="N881" s="52"/>
      <c r="O881" s="52"/>
      <c r="P881" s="52"/>
      <c r="Q881" s="52"/>
      <c r="R881" s="52"/>
      <c r="S881" s="52"/>
      <c r="T881" s="52"/>
      <c r="U881" s="52"/>
      <c r="V881" s="52"/>
      <c r="W881" s="52"/>
      <c r="X881" s="52"/>
      <c r="Y881" s="52"/>
      <c r="Z881" s="52"/>
      <c r="AA881" s="52"/>
      <c r="AB881" s="52"/>
      <c r="AC881" s="52"/>
      <c r="AD881" s="52"/>
      <c r="AE881" s="52"/>
      <c r="AF881" s="52"/>
      <c r="AG881" s="52"/>
      <c r="AH881" s="52"/>
      <c r="AI881" s="52"/>
      <c r="AJ881" s="52"/>
      <c r="AK881" s="52"/>
      <c r="AL881" s="52"/>
      <c r="AM881" s="52"/>
      <c r="AN881" s="52"/>
      <c r="AO881" s="52"/>
      <c r="AP881" s="138"/>
      <c r="AQ881" s="138"/>
      <c r="AR881" s="52"/>
      <c r="AS881" s="52"/>
      <c r="AT881" s="52"/>
      <c r="AU881" s="139"/>
      <c r="AV881" s="138"/>
      <c r="AW881" s="141"/>
      <c r="AX881" s="52"/>
      <c r="AY881" s="52"/>
      <c r="AZ881" s="52"/>
      <c r="BA881" s="52"/>
      <c r="BB881" s="52"/>
    </row>
    <row r="882">
      <c r="A882" s="52"/>
      <c r="B882" s="26"/>
      <c r="C882" s="52"/>
      <c r="D882" s="52"/>
      <c r="E882" s="52"/>
      <c r="F882" s="52"/>
      <c r="G882" s="135"/>
      <c r="H882" s="52"/>
      <c r="I882" s="52"/>
      <c r="J882" s="136"/>
      <c r="K882" s="136"/>
      <c r="L882" s="136"/>
      <c r="M882" s="136"/>
      <c r="N882" s="52"/>
      <c r="O882" s="52"/>
      <c r="P882" s="52"/>
      <c r="Q882" s="52"/>
      <c r="R882" s="52"/>
      <c r="S882" s="52"/>
      <c r="T882" s="52"/>
      <c r="U882" s="52"/>
      <c r="V882" s="52"/>
      <c r="W882" s="52"/>
      <c r="X882" s="52"/>
      <c r="Y882" s="52"/>
      <c r="Z882" s="52"/>
      <c r="AA882" s="52"/>
      <c r="AB882" s="52"/>
      <c r="AC882" s="52"/>
      <c r="AD882" s="52"/>
      <c r="AE882" s="52"/>
      <c r="AF882" s="52"/>
      <c r="AG882" s="52"/>
      <c r="AH882" s="52"/>
      <c r="AI882" s="52"/>
      <c r="AJ882" s="52"/>
      <c r="AK882" s="52"/>
      <c r="AL882" s="52"/>
      <c r="AM882" s="52"/>
      <c r="AN882" s="52"/>
      <c r="AO882" s="52"/>
      <c r="AP882" s="138"/>
      <c r="AQ882" s="138"/>
      <c r="AR882" s="52"/>
      <c r="AS882" s="52"/>
      <c r="AT882" s="52"/>
      <c r="AU882" s="139"/>
      <c r="AV882" s="138"/>
      <c r="AW882" s="141"/>
      <c r="AX882" s="52"/>
      <c r="AY882" s="52"/>
      <c r="AZ882" s="52"/>
      <c r="BA882" s="52"/>
      <c r="BB882" s="52"/>
    </row>
    <row r="883">
      <c r="A883" s="52"/>
      <c r="B883" s="26"/>
      <c r="C883" s="52"/>
      <c r="D883" s="52"/>
      <c r="E883" s="52"/>
      <c r="F883" s="52"/>
      <c r="G883" s="135"/>
      <c r="H883" s="52"/>
      <c r="I883" s="52"/>
      <c r="J883" s="136"/>
      <c r="K883" s="136"/>
      <c r="L883" s="136"/>
      <c r="M883" s="136"/>
      <c r="N883" s="52"/>
      <c r="O883" s="52"/>
      <c r="P883" s="52"/>
      <c r="Q883" s="52"/>
      <c r="R883" s="52"/>
      <c r="S883" s="52"/>
      <c r="T883" s="52"/>
      <c r="U883" s="52"/>
      <c r="V883" s="52"/>
      <c r="W883" s="52"/>
      <c r="X883" s="52"/>
      <c r="Y883" s="52"/>
      <c r="Z883" s="52"/>
      <c r="AA883" s="52"/>
      <c r="AB883" s="52"/>
      <c r="AC883" s="52"/>
      <c r="AD883" s="52"/>
      <c r="AE883" s="52"/>
      <c r="AF883" s="52"/>
      <c r="AG883" s="52"/>
      <c r="AH883" s="52"/>
      <c r="AI883" s="52"/>
      <c r="AJ883" s="52"/>
      <c r="AK883" s="52"/>
      <c r="AL883" s="52"/>
      <c r="AM883" s="52"/>
      <c r="AN883" s="52"/>
      <c r="AO883" s="52"/>
      <c r="AP883" s="138"/>
      <c r="AQ883" s="138"/>
      <c r="AR883" s="52"/>
      <c r="AS883" s="52"/>
      <c r="AT883" s="52"/>
      <c r="AU883" s="139"/>
      <c r="AV883" s="138"/>
      <c r="AW883" s="141"/>
      <c r="AX883" s="52"/>
      <c r="AY883" s="52"/>
      <c r="AZ883" s="52"/>
      <c r="BA883" s="52"/>
      <c r="BB883" s="52"/>
    </row>
    <row r="884">
      <c r="A884" s="52"/>
      <c r="B884" s="26"/>
      <c r="C884" s="52"/>
      <c r="D884" s="52"/>
      <c r="E884" s="52"/>
      <c r="F884" s="52"/>
      <c r="G884" s="135"/>
      <c r="H884" s="52"/>
      <c r="I884" s="52"/>
      <c r="J884" s="136"/>
      <c r="K884" s="136"/>
      <c r="L884" s="136"/>
      <c r="M884" s="136"/>
      <c r="N884" s="52"/>
      <c r="O884" s="52"/>
      <c r="P884" s="52"/>
      <c r="Q884" s="52"/>
      <c r="R884" s="52"/>
      <c r="S884" s="52"/>
      <c r="T884" s="52"/>
      <c r="U884" s="52"/>
      <c r="V884" s="52"/>
      <c r="W884" s="52"/>
      <c r="X884" s="52"/>
      <c r="Y884" s="52"/>
      <c r="Z884" s="52"/>
      <c r="AA884" s="52"/>
      <c r="AB884" s="52"/>
      <c r="AC884" s="52"/>
      <c r="AD884" s="52"/>
      <c r="AE884" s="52"/>
      <c r="AF884" s="52"/>
      <c r="AG884" s="52"/>
      <c r="AH884" s="52"/>
      <c r="AI884" s="52"/>
      <c r="AJ884" s="52"/>
      <c r="AK884" s="52"/>
      <c r="AL884" s="52"/>
      <c r="AM884" s="52"/>
      <c r="AN884" s="52"/>
      <c r="AO884" s="52"/>
      <c r="AP884" s="138"/>
      <c r="AQ884" s="138"/>
      <c r="AR884" s="52"/>
      <c r="AS884" s="52"/>
      <c r="AT884" s="52"/>
      <c r="AU884" s="139"/>
      <c r="AV884" s="138"/>
      <c r="AW884" s="141"/>
      <c r="AX884" s="52"/>
      <c r="AY884" s="52"/>
      <c r="AZ884" s="52"/>
      <c r="BA884" s="52"/>
      <c r="BB884" s="52"/>
    </row>
    <row r="885">
      <c r="A885" s="52"/>
      <c r="B885" s="26"/>
      <c r="C885" s="52"/>
      <c r="D885" s="52"/>
      <c r="E885" s="52"/>
      <c r="F885" s="52"/>
      <c r="G885" s="135"/>
      <c r="H885" s="52"/>
      <c r="I885" s="52"/>
      <c r="J885" s="136"/>
      <c r="K885" s="136"/>
      <c r="L885" s="136"/>
      <c r="M885" s="136"/>
      <c r="N885" s="52"/>
      <c r="O885" s="52"/>
      <c r="P885" s="52"/>
      <c r="Q885" s="52"/>
      <c r="R885" s="52"/>
      <c r="S885" s="52"/>
      <c r="T885" s="52"/>
      <c r="U885" s="52"/>
      <c r="V885" s="52"/>
      <c r="W885" s="52"/>
      <c r="X885" s="52"/>
      <c r="Y885" s="52"/>
      <c r="Z885" s="52"/>
      <c r="AA885" s="52"/>
      <c r="AB885" s="52"/>
      <c r="AC885" s="52"/>
      <c r="AD885" s="52"/>
      <c r="AE885" s="52"/>
      <c r="AF885" s="52"/>
      <c r="AG885" s="52"/>
      <c r="AH885" s="52"/>
      <c r="AI885" s="52"/>
      <c r="AJ885" s="52"/>
      <c r="AK885" s="52"/>
      <c r="AL885" s="52"/>
      <c r="AM885" s="52"/>
      <c r="AN885" s="52"/>
      <c r="AO885" s="52"/>
      <c r="AP885" s="138"/>
      <c r="AQ885" s="138"/>
      <c r="AR885" s="52"/>
      <c r="AS885" s="52"/>
      <c r="AT885" s="52"/>
      <c r="AU885" s="139"/>
      <c r="AV885" s="138"/>
      <c r="AW885" s="141"/>
      <c r="AX885" s="52"/>
      <c r="AY885" s="52"/>
      <c r="AZ885" s="52"/>
      <c r="BA885" s="52"/>
      <c r="BB885" s="52"/>
    </row>
    <row r="886">
      <c r="A886" s="52"/>
      <c r="B886" s="26"/>
      <c r="C886" s="52"/>
      <c r="D886" s="52"/>
      <c r="E886" s="52"/>
      <c r="F886" s="52"/>
      <c r="G886" s="135"/>
      <c r="H886" s="52"/>
      <c r="I886" s="52"/>
      <c r="J886" s="136"/>
      <c r="K886" s="136"/>
      <c r="L886" s="136"/>
      <c r="M886" s="136"/>
      <c r="N886" s="52"/>
      <c r="O886" s="52"/>
      <c r="P886" s="52"/>
      <c r="Q886" s="52"/>
      <c r="R886" s="52"/>
      <c r="S886" s="52"/>
      <c r="T886" s="52"/>
      <c r="U886" s="52"/>
      <c r="V886" s="52"/>
      <c r="W886" s="52"/>
      <c r="X886" s="52"/>
      <c r="Y886" s="52"/>
      <c r="Z886" s="52"/>
      <c r="AA886" s="52"/>
      <c r="AB886" s="52"/>
      <c r="AC886" s="52"/>
      <c r="AD886" s="52"/>
      <c r="AE886" s="52"/>
      <c r="AF886" s="52"/>
      <c r="AG886" s="52"/>
      <c r="AH886" s="52"/>
      <c r="AI886" s="52"/>
      <c r="AJ886" s="52"/>
      <c r="AK886" s="52"/>
      <c r="AL886" s="52"/>
      <c r="AM886" s="52"/>
      <c r="AN886" s="52"/>
      <c r="AO886" s="52"/>
      <c r="AP886" s="138"/>
      <c r="AQ886" s="138"/>
      <c r="AR886" s="52"/>
      <c r="AS886" s="52"/>
      <c r="AT886" s="52"/>
      <c r="AU886" s="139"/>
      <c r="AV886" s="138"/>
      <c r="AW886" s="141"/>
      <c r="AX886" s="52"/>
      <c r="AY886" s="52"/>
      <c r="AZ886" s="52"/>
      <c r="BA886" s="52"/>
      <c r="BB886" s="52"/>
    </row>
    <row r="887">
      <c r="A887" s="52"/>
      <c r="B887" s="26"/>
      <c r="C887" s="52"/>
      <c r="D887" s="52"/>
      <c r="E887" s="52"/>
      <c r="F887" s="52"/>
      <c r="G887" s="135"/>
      <c r="H887" s="52"/>
      <c r="I887" s="52"/>
      <c r="J887" s="136"/>
      <c r="K887" s="136"/>
      <c r="L887" s="136"/>
      <c r="M887" s="136"/>
      <c r="N887" s="52"/>
      <c r="O887" s="52"/>
      <c r="P887" s="52"/>
      <c r="Q887" s="52"/>
      <c r="R887" s="52"/>
      <c r="S887" s="52"/>
      <c r="T887" s="52"/>
      <c r="U887" s="52"/>
      <c r="V887" s="52"/>
      <c r="W887" s="52"/>
      <c r="X887" s="52"/>
      <c r="Y887" s="52"/>
      <c r="Z887" s="52"/>
      <c r="AA887" s="52"/>
      <c r="AB887" s="52"/>
      <c r="AC887" s="52"/>
      <c r="AD887" s="52"/>
      <c r="AE887" s="52"/>
      <c r="AF887" s="52"/>
      <c r="AG887" s="52"/>
      <c r="AH887" s="52"/>
      <c r="AI887" s="52"/>
      <c r="AJ887" s="52"/>
      <c r="AK887" s="52"/>
      <c r="AL887" s="52"/>
      <c r="AM887" s="52"/>
      <c r="AN887" s="52"/>
      <c r="AO887" s="52"/>
      <c r="AP887" s="138"/>
      <c r="AQ887" s="138"/>
      <c r="AR887" s="52"/>
      <c r="AS887" s="52"/>
      <c r="AT887" s="52"/>
      <c r="AU887" s="139"/>
      <c r="AV887" s="138"/>
      <c r="AW887" s="141"/>
      <c r="AX887" s="52"/>
      <c r="AY887" s="52"/>
      <c r="AZ887" s="52"/>
      <c r="BA887" s="52"/>
      <c r="BB887" s="52"/>
    </row>
    <row r="888">
      <c r="A888" s="52"/>
      <c r="B888" s="26"/>
      <c r="C888" s="52"/>
      <c r="D888" s="52"/>
      <c r="E888" s="52"/>
      <c r="F888" s="52"/>
      <c r="G888" s="135"/>
      <c r="H888" s="52"/>
      <c r="I888" s="52"/>
      <c r="J888" s="136"/>
      <c r="K888" s="136"/>
      <c r="L888" s="136"/>
      <c r="M888" s="136"/>
      <c r="N888" s="52"/>
      <c r="O888" s="52"/>
      <c r="P888" s="52"/>
      <c r="Q888" s="52"/>
      <c r="R888" s="52"/>
      <c r="S888" s="52"/>
      <c r="T888" s="52"/>
      <c r="U888" s="52"/>
      <c r="V888" s="52"/>
      <c r="W888" s="52"/>
      <c r="X888" s="52"/>
      <c r="Y888" s="52"/>
      <c r="Z888" s="52"/>
      <c r="AA888" s="52"/>
      <c r="AB888" s="52"/>
      <c r="AC888" s="52"/>
      <c r="AD888" s="52"/>
      <c r="AE888" s="52"/>
      <c r="AF888" s="52"/>
      <c r="AG888" s="52"/>
      <c r="AH888" s="52"/>
      <c r="AI888" s="52"/>
      <c r="AJ888" s="52"/>
      <c r="AK888" s="52"/>
      <c r="AL888" s="52"/>
      <c r="AM888" s="52"/>
      <c r="AN888" s="52"/>
      <c r="AO888" s="52"/>
      <c r="AP888" s="138"/>
      <c r="AQ888" s="138"/>
      <c r="AR888" s="52"/>
      <c r="AS888" s="52"/>
      <c r="AT888" s="52"/>
      <c r="AU888" s="139"/>
      <c r="AV888" s="138"/>
      <c r="AW888" s="141"/>
      <c r="AX888" s="52"/>
      <c r="AY888" s="52"/>
      <c r="AZ888" s="52"/>
      <c r="BA888" s="52"/>
      <c r="BB888" s="52"/>
    </row>
    <row r="889">
      <c r="A889" s="52"/>
      <c r="B889" s="26"/>
      <c r="C889" s="52"/>
      <c r="D889" s="52"/>
      <c r="E889" s="52"/>
      <c r="F889" s="52"/>
      <c r="G889" s="135"/>
      <c r="H889" s="52"/>
      <c r="I889" s="52"/>
      <c r="J889" s="136"/>
      <c r="K889" s="136"/>
      <c r="L889" s="136"/>
      <c r="M889" s="136"/>
      <c r="N889" s="52"/>
      <c r="O889" s="52"/>
      <c r="P889" s="52"/>
      <c r="Q889" s="52"/>
      <c r="R889" s="52"/>
      <c r="S889" s="52"/>
      <c r="T889" s="52"/>
      <c r="U889" s="52"/>
      <c r="V889" s="52"/>
      <c r="W889" s="52"/>
      <c r="X889" s="52"/>
      <c r="Y889" s="52"/>
      <c r="Z889" s="52"/>
      <c r="AA889" s="52"/>
      <c r="AB889" s="52"/>
      <c r="AC889" s="52"/>
      <c r="AD889" s="52"/>
      <c r="AE889" s="52"/>
      <c r="AF889" s="52"/>
      <c r="AG889" s="52"/>
      <c r="AH889" s="52"/>
      <c r="AI889" s="52"/>
      <c r="AJ889" s="52"/>
      <c r="AK889" s="52"/>
      <c r="AL889" s="52"/>
      <c r="AM889" s="52"/>
      <c r="AN889" s="52"/>
      <c r="AO889" s="52"/>
      <c r="AP889" s="138"/>
      <c r="AQ889" s="138"/>
      <c r="AR889" s="52"/>
      <c r="AS889" s="52"/>
      <c r="AT889" s="52"/>
      <c r="AU889" s="139"/>
      <c r="AV889" s="138"/>
      <c r="AW889" s="141"/>
      <c r="AX889" s="52"/>
      <c r="AY889" s="52"/>
      <c r="AZ889" s="52"/>
      <c r="BA889" s="52"/>
      <c r="BB889" s="52"/>
    </row>
    <row r="890">
      <c r="A890" s="52"/>
      <c r="B890" s="26"/>
      <c r="C890" s="52"/>
      <c r="D890" s="52"/>
      <c r="E890" s="52"/>
      <c r="F890" s="52"/>
      <c r="G890" s="135"/>
      <c r="H890" s="52"/>
      <c r="I890" s="52"/>
      <c r="J890" s="136"/>
      <c r="K890" s="136"/>
      <c r="L890" s="136"/>
      <c r="M890" s="136"/>
      <c r="N890" s="52"/>
      <c r="O890" s="52"/>
      <c r="P890" s="52"/>
      <c r="Q890" s="52"/>
      <c r="R890" s="52"/>
      <c r="S890" s="52"/>
      <c r="T890" s="52"/>
      <c r="U890" s="52"/>
      <c r="V890" s="52"/>
      <c r="W890" s="52"/>
      <c r="X890" s="52"/>
      <c r="Y890" s="52"/>
      <c r="Z890" s="52"/>
      <c r="AA890" s="52"/>
      <c r="AB890" s="52"/>
      <c r="AC890" s="52"/>
      <c r="AD890" s="52"/>
      <c r="AE890" s="52"/>
      <c r="AF890" s="52"/>
      <c r="AG890" s="52"/>
      <c r="AH890" s="52"/>
      <c r="AI890" s="52"/>
      <c r="AJ890" s="52"/>
      <c r="AK890" s="52"/>
      <c r="AL890" s="52"/>
      <c r="AM890" s="52"/>
      <c r="AN890" s="52"/>
      <c r="AO890" s="52"/>
      <c r="AP890" s="138"/>
      <c r="AQ890" s="138"/>
      <c r="AR890" s="52"/>
      <c r="AS890" s="52"/>
      <c r="AT890" s="52"/>
      <c r="AU890" s="139"/>
      <c r="AV890" s="138"/>
      <c r="AW890" s="141"/>
      <c r="AX890" s="52"/>
      <c r="AY890" s="52"/>
      <c r="AZ890" s="52"/>
      <c r="BA890" s="52"/>
      <c r="BB890" s="52"/>
    </row>
    <row r="891">
      <c r="A891" s="52"/>
      <c r="B891" s="26"/>
      <c r="C891" s="52"/>
      <c r="D891" s="52"/>
      <c r="E891" s="52"/>
      <c r="F891" s="52"/>
      <c r="G891" s="135"/>
      <c r="H891" s="52"/>
      <c r="I891" s="52"/>
      <c r="J891" s="136"/>
      <c r="K891" s="136"/>
      <c r="L891" s="136"/>
      <c r="M891" s="136"/>
      <c r="N891" s="52"/>
      <c r="O891" s="52"/>
      <c r="P891" s="52"/>
      <c r="Q891" s="52"/>
      <c r="R891" s="52"/>
      <c r="S891" s="52"/>
      <c r="T891" s="52"/>
      <c r="U891" s="52"/>
      <c r="V891" s="52"/>
      <c r="W891" s="52"/>
      <c r="X891" s="52"/>
      <c r="Y891" s="52"/>
      <c r="Z891" s="52"/>
      <c r="AA891" s="52"/>
      <c r="AB891" s="52"/>
      <c r="AC891" s="52"/>
      <c r="AD891" s="52"/>
      <c r="AE891" s="52"/>
      <c r="AF891" s="52"/>
      <c r="AG891" s="52"/>
      <c r="AH891" s="52"/>
      <c r="AI891" s="52"/>
      <c r="AJ891" s="52"/>
      <c r="AK891" s="52"/>
      <c r="AL891" s="52"/>
      <c r="AM891" s="52"/>
      <c r="AN891" s="52"/>
      <c r="AO891" s="52"/>
      <c r="AP891" s="138"/>
      <c r="AQ891" s="138"/>
      <c r="AR891" s="52"/>
      <c r="AS891" s="52"/>
      <c r="AT891" s="52"/>
      <c r="AU891" s="139"/>
      <c r="AV891" s="138"/>
      <c r="AW891" s="141"/>
      <c r="AX891" s="52"/>
      <c r="AY891" s="52"/>
      <c r="AZ891" s="52"/>
      <c r="BA891" s="52"/>
      <c r="BB891" s="52"/>
    </row>
    <row r="892">
      <c r="A892" s="52"/>
      <c r="B892" s="26"/>
      <c r="C892" s="52"/>
      <c r="D892" s="52"/>
      <c r="E892" s="52"/>
      <c r="F892" s="52"/>
      <c r="G892" s="135"/>
      <c r="H892" s="52"/>
      <c r="I892" s="52"/>
      <c r="J892" s="136"/>
      <c r="K892" s="136"/>
      <c r="L892" s="136"/>
      <c r="M892" s="136"/>
      <c r="N892" s="52"/>
      <c r="O892" s="52"/>
      <c r="P892" s="52"/>
      <c r="Q892" s="52"/>
      <c r="R892" s="52"/>
      <c r="S892" s="52"/>
      <c r="T892" s="52"/>
      <c r="U892" s="52"/>
      <c r="V892" s="52"/>
      <c r="W892" s="52"/>
      <c r="X892" s="52"/>
      <c r="Y892" s="52"/>
      <c r="Z892" s="52"/>
      <c r="AA892" s="52"/>
      <c r="AB892" s="52"/>
      <c r="AC892" s="52"/>
      <c r="AD892" s="52"/>
      <c r="AE892" s="52"/>
      <c r="AF892" s="52"/>
      <c r="AG892" s="52"/>
      <c r="AH892" s="52"/>
      <c r="AI892" s="52"/>
      <c r="AJ892" s="52"/>
      <c r="AK892" s="52"/>
      <c r="AL892" s="52"/>
      <c r="AM892" s="52"/>
      <c r="AN892" s="52"/>
      <c r="AO892" s="52"/>
      <c r="AP892" s="138"/>
      <c r="AQ892" s="138"/>
      <c r="AR892" s="52"/>
      <c r="AS892" s="52"/>
      <c r="AT892" s="52"/>
      <c r="AU892" s="139"/>
      <c r="AV892" s="138"/>
      <c r="AW892" s="141"/>
      <c r="AX892" s="52"/>
      <c r="AY892" s="52"/>
      <c r="AZ892" s="52"/>
      <c r="BA892" s="52"/>
      <c r="BB892" s="52"/>
    </row>
    <row r="893">
      <c r="A893" s="52"/>
      <c r="B893" s="26"/>
      <c r="C893" s="52"/>
      <c r="D893" s="52"/>
      <c r="E893" s="52"/>
      <c r="F893" s="52"/>
      <c r="G893" s="135"/>
      <c r="H893" s="52"/>
      <c r="I893" s="52"/>
      <c r="J893" s="136"/>
      <c r="K893" s="136"/>
      <c r="L893" s="136"/>
      <c r="M893" s="136"/>
      <c r="N893" s="52"/>
      <c r="O893" s="52"/>
      <c r="P893" s="52"/>
      <c r="Q893" s="52"/>
      <c r="R893" s="52"/>
      <c r="S893" s="52"/>
      <c r="T893" s="52"/>
      <c r="U893" s="52"/>
      <c r="V893" s="52"/>
      <c r="W893" s="52"/>
      <c r="X893" s="52"/>
      <c r="Y893" s="52"/>
      <c r="Z893" s="52"/>
      <c r="AA893" s="52"/>
      <c r="AB893" s="52"/>
      <c r="AC893" s="52"/>
      <c r="AD893" s="52"/>
      <c r="AE893" s="52"/>
      <c r="AF893" s="52"/>
      <c r="AG893" s="52"/>
      <c r="AH893" s="52"/>
      <c r="AI893" s="52"/>
      <c r="AJ893" s="52"/>
      <c r="AK893" s="52"/>
      <c r="AL893" s="52"/>
      <c r="AM893" s="52"/>
      <c r="AN893" s="52"/>
      <c r="AO893" s="52"/>
      <c r="AP893" s="138"/>
      <c r="AQ893" s="138"/>
      <c r="AR893" s="52"/>
      <c r="AS893" s="52"/>
      <c r="AT893" s="52"/>
      <c r="AU893" s="139"/>
      <c r="AV893" s="138"/>
      <c r="AW893" s="141"/>
      <c r="AX893" s="52"/>
      <c r="AY893" s="52"/>
      <c r="AZ893" s="52"/>
      <c r="BA893" s="52"/>
      <c r="BB893" s="52"/>
    </row>
    <row r="894">
      <c r="A894" s="52"/>
      <c r="B894" s="26"/>
      <c r="C894" s="52"/>
      <c r="D894" s="52"/>
      <c r="E894" s="52"/>
      <c r="F894" s="52"/>
      <c r="G894" s="135"/>
      <c r="H894" s="52"/>
      <c r="I894" s="52"/>
      <c r="J894" s="136"/>
      <c r="K894" s="136"/>
      <c r="L894" s="136"/>
      <c r="M894" s="136"/>
      <c r="N894" s="52"/>
      <c r="O894" s="52"/>
      <c r="P894" s="52"/>
      <c r="Q894" s="52"/>
      <c r="R894" s="52"/>
      <c r="S894" s="52"/>
      <c r="T894" s="52"/>
      <c r="U894" s="52"/>
      <c r="V894" s="52"/>
      <c r="W894" s="52"/>
      <c r="X894" s="52"/>
      <c r="Y894" s="52"/>
      <c r="Z894" s="52"/>
      <c r="AA894" s="52"/>
      <c r="AB894" s="52"/>
      <c r="AC894" s="52"/>
      <c r="AD894" s="52"/>
      <c r="AE894" s="52"/>
      <c r="AF894" s="52"/>
      <c r="AG894" s="52"/>
      <c r="AH894" s="52"/>
      <c r="AI894" s="52"/>
      <c r="AJ894" s="52"/>
      <c r="AK894" s="52"/>
      <c r="AL894" s="52"/>
      <c r="AM894" s="52"/>
      <c r="AN894" s="52"/>
      <c r="AO894" s="52"/>
      <c r="AP894" s="138"/>
      <c r="AQ894" s="138"/>
      <c r="AR894" s="52"/>
      <c r="AS894" s="52"/>
      <c r="AT894" s="52"/>
      <c r="AU894" s="139"/>
      <c r="AV894" s="138"/>
      <c r="AW894" s="141"/>
      <c r="AX894" s="52"/>
      <c r="AY894" s="52"/>
      <c r="AZ894" s="52"/>
      <c r="BA894" s="52"/>
      <c r="BB894" s="52"/>
    </row>
    <row r="895">
      <c r="A895" s="52"/>
      <c r="B895" s="26"/>
      <c r="C895" s="52"/>
      <c r="D895" s="52"/>
      <c r="E895" s="52"/>
      <c r="F895" s="52"/>
      <c r="G895" s="135"/>
      <c r="H895" s="52"/>
      <c r="I895" s="52"/>
      <c r="J895" s="136"/>
      <c r="K895" s="136"/>
      <c r="L895" s="136"/>
      <c r="M895" s="136"/>
      <c r="N895" s="52"/>
      <c r="O895" s="52"/>
      <c r="P895" s="52"/>
      <c r="Q895" s="52"/>
      <c r="R895" s="52"/>
      <c r="S895" s="52"/>
      <c r="T895" s="52"/>
      <c r="U895" s="52"/>
      <c r="V895" s="52"/>
      <c r="W895" s="52"/>
      <c r="X895" s="52"/>
      <c r="Y895" s="52"/>
      <c r="Z895" s="52"/>
      <c r="AA895" s="52"/>
      <c r="AB895" s="52"/>
      <c r="AC895" s="52"/>
      <c r="AD895" s="52"/>
      <c r="AE895" s="52"/>
      <c r="AF895" s="52"/>
      <c r="AG895" s="52"/>
      <c r="AH895" s="52"/>
      <c r="AI895" s="52"/>
      <c r="AJ895" s="52"/>
      <c r="AK895" s="52"/>
      <c r="AL895" s="52"/>
      <c r="AM895" s="52"/>
      <c r="AN895" s="52"/>
      <c r="AO895" s="52"/>
      <c r="AP895" s="138"/>
      <c r="AQ895" s="138"/>
      <c r="AR895" s="52"/>
      <c r="AS895" s="52"/>
      <c r="AT895" s="52"/>
      <c r="AU895" s="139"/>
      <c r="AV895" s="138"/>
      <c r="AW895" s="141"/>
      <c r="AX895" s="52"/>
      <c r="AY895" s="52"/>
      <c r="AZ895" s="52"/>
      <c r="BA895" s="52"/>
      <c r="BB895" s="52"/>
    </row>
    <row r="896">
      <c r="A896" s="52"/>
      <c r="B896" s="26"/>
      <c r="C896" s="52"/>
      <c r="D896" s="52"/>
      <c r="E896" s="52"/>
      <c r="F896" s="52"/>
      <c r="G896" s="135"/>
      <c r="H896" s="52"/>
      <c r="I896" s="52"/>
      <c r="J896" s="136"/>
      <c r="K896" s="136"/>
      <c r="L896" s="136"/>
      <c r="M896" s="136"/>
      <c r="N896" s="52"/>
      <c r="O896" s="52"/>
      <c r="P896" s="52"/>
      <c r="Q896" s="52"/>
      <c r="R896" s="52"/>
      <c r="S896" s="52"/>
      <c r="T896" s="52"/>
      <c r="U896" s="52"/>
      <c r="V896" s="52"/>
      <c r="W896" s="52"/>
      <c r="X896" s="52"/>
      <c r="Y896" s="52"/>
      <c r="Z896" s="52"/>
      <c r="AA896" s="52"/>
      <c r="AB896" s="52"/>
      <c r="AC896" s="52"/>
      <c r="AD896" s="52"/>
      <c r="AE896" s="52"/>
      <c r="AF896" s="52"/>
      <c r="AG896" s="52"/>
      <c r="AH896" s="52"/>
      <c r="AI896" s="52"/>
      <c r="AJ896" s="52"/>
      <c r="AK896" s="52"/>
      <c r="AL896" s="52"/>
      <c r="AM896" s="52"/>
      <c r="AN896" s="52"/>
      <c r="AO896" s="52"/>
      <c r="AP896" s="138"/>
      <c r="AQ896" s="138"/>
      <c r="AR896" s="52"/>
      <c r="AS896" s="52"/>
      <c r="AT896" s="52"/>
      <c r="AU896" s="139"/>
      <c r="AV896" s="138"/>
      <c r="AW896" s="141"/>
      <c r="AX896" s="52"/>
      <c r="AY896" s="52"/>
      <c r="AZ896" s="52"/>
      <c r="BA896" s="52"/>
      <c r="BB896" s="52"/>
    </row>
    <row r="897">
      <c r="A897" s="52"/>
      <c r="B897" s="26"/>
      <c r="C897" s="52"/>
      <c r="D897" s="52"/>
      <c r="E897" s="52"/>
      <c r="F897" s="52"/>
      <c r="G897" s="135"/>
      <c r="H897" s="52"/>
      <c r="I897" s="52"/>
      <c r="J897" s="136"/>
      <c r="K897" s="136"/>
      <c r="L897" s="136"/>
      <c r="M897" s="136"/>
      <c r="N897" s="52"/>
      <c r="O897" s="52"/>
      <c r="P897" s="52"/>
      <c r="Q897" s="52"/>
      <c r="R897" s="52"/>
      <c r="S897" s="52"/>
      <c r="T897" s="52"/>
      <c r="U897" s="52"/>
      <c r="V897" s="52"/>
      <c r="W897" s="52"/>
      <c r="X897" s="52"/>
      <c r="Y897" s="52"/>
      <c r="Z897" s="52"/>
      <c r="AA897" s="52"/>
      <c r="AB897" s="52"/>
      <c r="AC897" s="52"/>
      <c r="AD897" s="52"/>
      <c r="AE897" s="52"/>
      <c r="AF897" s="52"/>
      <c r="AG897" s="52"/>
      <c r="AH897" s="52"/>
      <c r="AI897" s="52"/>
      <c r="AJ897" s="52"/>
      <c r="AK897" s="52"/>
      <c r="AL897" s="52"/>
      <c r="AM897" s="52"/>
      <c r="AN897" s="52"/>
      <c r="AO897" s="52"/>
      <c r="AP897" s="138"/>
      <c r="AQ897" s="138"/>
      <c r="AR897" s="52"/>
      <c r="AS897" s="52"/>
      <c r="AT897" s="52"/>
      <c r="AU897" s="139"/>
      <c r="AV897" s="138"/>
      <c r="AW897" s="141"/>
      <c r="AX897" s="52"/>
      <c r="AY897" s="52"/>
      <c r="AZ897" s="52"/>
      <c r="BA897" s="52"/>
      <c r="BB897" s="52"/>
    </row>
    <row r="898">
      <c r="A898" s="52"/>
      <c r="B898" s="26"/>
      <c r="C898" s="52"/>
      <c r="D898" s="52"/>
      <c r="E898" s="52"/>
      <c r="F898" s="52"/>
      <c r="G898" s="135"/>
      <c r="H898" s="52"/>
      <c r="I898" s="52"/>
      <c r="J898" s="136"/>
      <c r="K898" s="136"/>
      <c r="L898" s="136"/>
      <c r="M898" s="136"/>
      <c r="N898" s="52"/>
      <c r="O898" s="52"/>
      <c r="P898" s="52"/>
      <c r="Q898" s="52"/>
      <c r="R898" s="52"/>
      <c r="S898" s="52"/>
      <c r="T898" s="52"/>
      <c r="U898" s="52"/>
      <c r="V898" s="52"/>
      <c r="W898" s="52"/>
      <c r="X898" s="52"/>
      <c r="Y898" s="52"/>
      <c r="Z898" s="52"/>
      <c r="AA898" s="52"/>
      <c r="AB898" s="52"/>
      <c r="AC898" s="52"/>
      <c r="AD898" s="52"/>
      <c r="AE898" s="52"/>
      <c r="AF898" s="52"/>
      <c r="AG898" s="52"/>
      <c r="AH898" s="52"/>
      <c r="AI898" s="52"/>
      <c r="AJ898" s="52"/>
      <c r="AK898" s="52"/>
      <c r="AL898" s="52"/>
      <c r="AM898" s="52"/>
      <c r="AN898" s="52"/>
      <c r="AO898" s="52"/>
      <c r="AP898" s="138"/>
      <c r="AQ898" s="138"/>
      <c r="AR898" s="52"/>
      <c r="AS898" s="52"/>
      <c r="AT898" s="52"/>
      <c r="AU898" s="139"/>
      <c r="AV898" s="138"/>
      <c r="AW898" s="141"/>
      <c r="AX898" s="52"/>
      <c r="AY898" s="52"/>
      <c r="AZ898" s="52"/>
      <c r="BA898" s="52"/>
      <c r="BB898" s="52"/>
    </row>
    <row r="899">
      <c r="A899" s="52"/>
      <c r="B899" s="26"/>
      <c r="C899" s="52"/>
      <c r="D899" s="52"/>
      <c r="E899" s="52"/>
      <c r="F899" s="52"/>
      <c r="G899" s="135"/>
      <c r="H899" s="52"/>
      <c r="I899" s="52"/>
      <c r="J899" s="136"/>
      <c r="K899" s="136"/>
      <c r="L899" s="136"/>
      <c r="M899" s="136"/>
      <c r="N899" s="52"/>
      <c r="O899" s="52"/>
      <c r="P899" s="52"/>
      <c r="Q899" s="52"/>
      <c r="R899" s="52"/>
      <c r="S899" s="52"/>
      <c r="T899" s="52"/>
      <c r="U899" s="52"/>
      <c r="V899" s="52"/>
      <c r="W899" s="52"/>
      <c r="X899" s="52"/>
      <c r="Y899" s="52"/>
      <c r="Z899" s="52"/>
      <c r="AA899" s="52"/>
      <c r="AB899" s="52"/>
      <c r="AC899" s="52"/>
      <c r="AD899" s="52"/>
      <c r="AE899" s="52"/>
      <c r="AF899" s="52"/>
      <c r="AG899" s="52"/>
      <c r="AH899" s="52"/>
      <c r="AI899" s="52"/>
      <c r="AJ899" s="52"/>
      <c r="AK899" s="52"/>
      <c r="AL899" s="52"/>
      <c r="AM899" s="52"/>
      <c r="AN899" s="52"/>
      <c r="AO899" s="52"/>
      <c r="AP899" s="138"/>
      <c r="AQ899" s="138"/>
      <c r="AR899" s="52"/>
      <c r="AS899" s="52"/>
      <c r="AT899" s="52"/>
      <c r="AU899" s="139"/>
      <c r="AV899" s="138"/>
      <c r="AW899" s="141"/>
      <c r="AX899" s="52"/>
      <c r="AY899" s="52"/>
      <c r="AZ899" s="52"/>
      <c r="BA899" s="52"/>
      <c r="BB899" s="52"/>
    </row>
    <row r="900">
      <c r="A900" s="52"/>
      <c r="B900" s="26"/>
      <c r="C900" s="52"/>
      <c r="D900" s="52"/>
      <c r="E900" s="52"/>
      <c r="F900" s="52"/>
      <c r="G900" s="135"/>
      <c r="H900" s="52"/>
      <c r="I900" s="52"/>
      <c r="J900" s="136"/>
      <c r="K900" s="136"/>
      <c r="L900" s="136"/>
      <c r="M900" s="136"/>
      <c r="N900" s="52"/>
      <c r="O900" s="52"/>
      <c r="P900" s="52"/>
      <c r="Q900" s="52"/>
      <c r="R900" s="52"/>
      <c r="S900" s="52"/>
      <c r="T900" s="52"/>
      <c r="U900" s="52"/>
      <c r="V900" s="52"/>
      <c r="W900" s="52"/>
      <c r="X900" s="52"/>
      <c r="Y900" s="52"/>
      <c r="Z900" s="52"/>
      <c r="AA900" s="52"/>
      <c r="AB900" s="52"/>
      <c r="AC900" s="52"/>
      <c r="AD900" s="52"/>
      <c r="AE900" s="52"/>
      <c r="AF900" s="52"/>
      <c r="AG900" s="52"/>
      <c r="AH900" s="52"/>
      <c r="AI900" s="52"/>
      <c r="AJ900" s="52"/>
      <c r="AK900" s="52"/>
      <c r="AL900" s="52"/>
      <c r="AM900" s="52"/>
      <c r="AN900" s="52"/>
      <c r="AO900" s="52"/>
      <c r="AP900" s="138"/>
      <c r="AQ900" s="138"/>
      <c r="AR900" s="52"/>
      <c r="AS900" s="52"/>
      <c r="AT900" s="52"/>
      <c r="AU900" s="139"/>
      <c r="AV900" s="138"/>
      <c r="AW900" s="141"/>
      <c r="AX900" s="52"/>
      <c r="AY900" s="52"/>
      <c r="AZ900" s="52"/>
      <c r="BA900" s="52"/>
      <c r="BB900" s="52"/>
    </row>
    <row r="901">
      <c r="A901" s="52"/>
      <c r="B901" s="26"/>
      <c r="C901" s="52"/>
      <c r="D901" s="52"/>
      <c r="E901" s="52"/>
      <c r="F901" s="52"/>
      <c r="G901" s="135"/>
      <c r="H901" s="52"/>
      <c r="I901" s="52"/>
      <c r="J901" s="136"/>
      <c r="K901" s="136"/>
      <c r="L901" s="136"/>
      <c r="M901" s="136"/>
      <c r="N901" s="52"/>
      <c r="O901" s="52"/>
      <c r="P901" s="52"/>
      <c r="Q901" s="52"/>
      <c r="R901" s="52"/>
      <c r="S901" s="52"/>
      <c r="T901" s="52"/>
      <c r="U901" s="52"/>
      <c r="V901" s="52"/>
      <c r="W901" s="52"/>
      <c r="X901" s="52"/>
      <c r="Y901" s="52"/>
      <c r="Z901" s="52"/>
      <c r="AA901" s="52"/>
      <c r="AB901" s="52"/>
      <c r="AC901" s="52"/>
      <c r="AD901" s="52"/>
      <c r="AE901" s="52"/>
      <c r="AF901" s="52"/>
      <c r="AG901" s="52"/>
      <c r="AH901" s="52"/>
      <c r="AI901" s="52"/>
      <c r="AJ901" s="52"/>
      <c r="AK901" s="52"/>
      <c r="AL901" s="52"/>
      <c r="AM901" s="52"/>
      <c r="AN901" s="52"/>
      <c r="AO901" s="52"/>
      <c r="AP901" s="138"/>
      <c r="AQ901" s="138"/>
      <c r="AR901" s="52"/>
      <c r="AS901" s="52"/>
      <c r="AT901" s="52"/>
      <c r="AU901" s="139"/>
      <c r="AV901" s="138"/>
      <c r="AW901" s="141"/>
      <c r="AX901" s="52"/>
      <c r="AY901" s="52"/>
      <c r="AZ901" s="52"/>
      <c r="BA901" s="52"/>
      <c r="BB901" s="52"/>
    </row>
    <row r="902">
      <c r="A902" s="52"/>
      <c r="B902" s="26"/>
      <c r="C902" s="52"/>
      <c r="D902" s="52"/>
      <c r="E902" s="52"/>
      <c r="F902" s="52"/>
      <c r="G902" s="135"/>
      <c r="H902" s="52"/>
      <c r="I902" s="52"/>
      <c r="J902" s="136"/>
      <c r="K902" s="136"/>
      <c r="L902" s="136"/>
      <c r="M902" s="136"/>
      <c r="N902" s="52"/>
      <c r="O902" s="52"/>
      <c r="P902" s="52"/>
      <c r="Q902" s="52"/>
      <c r="R902" s="52"/>
      <c r="S902" s="52"/>
      <c r="T902" s="52"/>
      <c r="U902" s="52"/>
      <c r="V902" s="52"/>
      <c r="W902" s="52"/>
      <c r="X902" s="52"/>
      <c r="Y902" s="52"/>
      <c r="Z902" s="52"/>
      <c r="AA902" s="52"/>
      <c r="AB902" s="52"/>
      <c r="AC902" s="52"/>
      <c r="AD902" s="52"/>
      <c r="AE902" s="52"/>
      <c r="AF902" s="52"/>
      <c r="AG902" s="52"/>
      <c r="AH902" s="52"/>
      <c r="AI902" s="52"/>
      <c r="AJ902" s="52"/>
      <c r="AK902" s="52"/>
      <c r="AL902" s="52"/>
      <c r="AM902" s="52"/>
      <c r="AN902" s="52"/>
      <c r="AO902" s="52"/>
      <c r="AP902" s="138"/>
      <c r="AQ902" s="138"/>
      <c r="AR902" s="52"/>
      <c r="AS902" s="52"/>
      <c r="AT902" s="52"/>
      <c r="AU902" s="139"/>
      <c r="AV902" s="138"/>
      <c r="AW902" s="141"/>
      <c r="AX902" s="52"/>
      <c r="AY902" s="52"/>
      <c r="AZ902" s="52"/>
      <c r="BA902" s="52"/>
      <c r="BB902" s="52"/>
    </row>
    <row r="903">
      <c r="A903" s="52"/>
      <c r="B903" s="26"/>
      <c r="C903" s="52"/>
      <c r="D903" s="52"/>
      <c r="E903" s="52"/>
      <c r="F903" s="52"/>
      <c r="G903" s="135"/>
      <c r="H903" s="52"/>
      <c r="I903" s="52"/>
      <c r="J903" s="136"/>
      <c r="K903" s="136"/>
      <c r="L903" s="136"/>
      <c r="M903" s="136"/>
      <c r="N903" s="52"/>
      <c r="O903" s="52"/>
      <c r="P903" s="52"/>
      <c r="Q903" s="52"/>
      <c r="R903" s="52"/>
      <c r="S903" s="52"/>
      <c r="T903" s="52"/>
      <c r="U903" s="52"/>
      <c r="V903" s="52"/>
      <c r="W903" s="52"/>
      <c r="X903" s="52"/>
      <c r="Y903" s="52"/>
      <c r="Z903" s="52"/>
      <c r="AA903" s="52"/>
      <c r="AB903" s="52"/>
      <c r="AC903" s="52"/>
      <c r="AD903" s="52"/>
      <c r="AE903" s="52"/>
      <c r="AF903" s="52"/>
      <c r="AG903" s="52"/>
      <c r="AH903" s="52"/>
      <c r="AI903" s="52"/>
      <c r="AJ903" s="52"/>
      <c r="AK903" s="52"/>
      <c r="AL903" s="52"/>
      <c r="AM903" s="52"/>
      <c r="AN903" s="52"/>
      <c r="AO903" s="52"/>
      <c r="AP903" s="138"/>
      <c r="AQ903" s="138"/>
      <c r="AR903" s="52"/>
      <c r="AS903" s="52"/>
      <c r="AT903" s="52"/>
      <c r="AU903" s="139"/>
      <c r="AV903" s="138"/>
      <c r="AW903" s="141"/>
      <c r="AX903" s="52"/>
      <c r="AY903" s="52"/>
      <c r="AZ903" s="52"/>
      <c r="BA903" s="52"/>
      <c r="BB903" s="52"/>
    </row>
    <row r="904">
      <c r="A904" s="52"/>
      <c r="B904" s="26"/>
      <c r="C904" s="52"/>
      <c r="D904" s="52"/>
      <c r="E904" s="52"/>
      <c r="F904" s="52"/>
      <c r="G904" s="135"/>
      <c r="H904" s="52"/>
      <c r="I904" s="52"/>
      <c r="J904" s="136"/>
      <c r="K904" s="136"/>
      <c r="L904" s="136"/>
      <c r="M904" s="136"/>
      <c r="N904" s="52"/>
      <c r="O904" s="52"/>
      <c r="P904" s="52"/>
      <c r="Q904" s="52"/>
      <c r="R904" s="52"/>
      <c r="S904" s="52"/>
      <c r="T904" s="52"/>
      <c r="U904" s="52"/>
      <c r="V904" s="52"/>
      <c r="W904" s="52"/>
      <c r="X904" s="52"/>
      <c r="Y904" s="52"/>
      <c r="Z904" s="52"/>
      <c r="AA904" s="52"/>
      <c r="AB904" s="52"/>
      <c r="AC904" s="52"/>
      <c r="AD904" s="52"/>
      <c r="AE904" s="52"/>
      <c r="AF904" s="52"/>
      <c r="AG904" s="52"/>
      <c r="AH904" s="52"/>
      <c r="AI904" s="52"/>
      <c r="AJ904" s="52"/>
      <c r="AK904" s="52"/>
      <c r="AL904" s="52"/>
      <c r="AM904" s="52"/>
      <c r="AN904" s="52"/>
      <c r="AO904" s="52"/>
      <c r="AP904" s="138"/>
      <c r="AQ904" s="138"/>
      <c r="AR904" s="52"/>
      <c r="AS904" s="52"/>
      <c r="AT904" s="52"/>
      <c r="AU904" s="139"/>
      <c r="AV904" s="138"/>
      <c r="AW904" s="141"/>
      <c r="AX904" s="52"/>
      <c r="AY904" s="52"/>
      <c r="AZ904" s="52"/>
      <c r="BA904" s="52"/>
      <c r="BB904" s="52"/>
    </row>
    <row r="905">
      <c r="A905" s="52"/>
      <c r="B905" s="26"/>
      <c r="C905" s="52"/>
      <c r="D905" s="52"/>
      <c r="E905" s="52"/>
      <c r="F905" s="52"/>
      <c r="G905" s="135"/>
      <c r="H905" s="52"/>
      <c r="I905" s="52"/>
      <c r="J905" s="136"/>
      <c r="K905" s="136"/>
      <c r="L905" s="136"/>
      <c r="M905" s="136"/>
      <c r="N905" s="52"/>
      <c r="O905" s="52"/>
      <c r="P905" s="52"/>
      <c r="Q905" s="52"/>
      <c r="R905" s="52"/>
      <c r="S905" s="52"/>
      <c r="T905" s="52"/>
      <c r="U905" s="52"/>
      <c r="V905" s="52"/>
      <c r="W905" s="52"/>
      <c r="X905" s="52"/>
      <c r="Y905" s="52"/>
      <c r="Z905" s="52"/>
      <c r="AA905" s="52"/>
      <c r="AB905" s="52"/>
      <c r="AC905" s="52"/>
      <c r="AD905" s="52"/>
      <c r="AE905" s="52"/>
      <c r="AF905" s="52"/>
      <c r="AG905" s="52"/>
      <c r="AH905" s="52"/>
      <c r="AI905" s="52"/>
      <c r="AJ905" s="52"/>
      <c r="AK905" s="52"/>
      <c r="AL905" s="52"/>
      <c r="AM905" s="52"/>
      <c r="AN905" s="52"/>
      <c r="AO905" s="52"/>
      <c r="AP905" s="138"/>
      <c r="AQ905" s="138"/>
      <c r="AR905" s="52"/>
      <c r="AS905" s="52"/>
      <c r="AT905" s="52"/>
      <c r="AU905" s="139"/>
      <c r="AV905" s="138"/>
      <c r="AW905" s="141"/>
      <c r="AX905" s="52"/>
      <c r="AY905" s="52"/>
      <c r="AZ905" s="52"/>
      <c r="BA905" s="52"/>
      <c r="BB905" s="52"/>
    </row>
    <row r="906">
      <c r="A906" s="52"/>
      <c r="B906" s="26"/>
      <c r="C906" s="52"/>
      <c r="D906" s="52"/>
      <c r="E906" s="52"/>
      <c r="F906" s="52"/>
      <c r="G906" s="135"/>
      <c r="H906" s="52"/>
      <c r="I906" s="52"/>
      <c r="J906" s="136"/>
      <c r="K906" s="136"/>
      <c r="L906" s="136"/>
      <c r="M906" s="136"/>
      <c r="N906" s="52"/>
      <c r="O906" s="52"/>
      <c r="P906" s="52"/>
      <c r="Q906" s="52"/>
      <c r="R906" s="52"/>
      <c r="S906" s="52"/>
      <c r="T906" s="52"/>
      <c r="U906" s="52"/>
      <c r="V906" s="52"/>
      <c r="W906" s="52"/>
      <c r="X906" s="52"/>
      <c r="Y906" s="52"/>
      <c r="Z906" s="52"/>
      <c r="AA906" s="52"/>
      <c r="AB906" s="52"/>
      <c r="AC906" s="52"/>
      <c r="AD906" s="52"/>
      <c r="AE906" s="52"/>
      <c r="AF906" s="52"/>
      <c r="AG906" s="52"/>
      <c r="AH906" s="52"/>
      <c r="AI906" s="52"/>
      <c r="AJ906" s="52"/>
      <c r="AK906" s="52"/>
      <c r="AL906" s="52"/>
      <c r="AM906" s="52"/>
      <c r="AN906" s="52"/>
      <c r="AO906" s="52"/>
      <c r="AP906" s="138"/>
      <c r="AQ906" s="138"/>
      <c r="AR906" s="52"/>
      <c r="AS906" s="52"/>
      <c r="AT906" s="52"/>
      <c r="AU906" s="139"/>
      <c r="AV906" s="138"/>
      <c r="AW906" s="141"/>
      <c r="AX906" s="52"/>
      <c r="AY906" s="52"/>
      <c r="AZ906" s="52"/>
      <c r="BA906" s="52"/>
      <c r="BB906" s="52"/>
    </row>
    <row r="907">
      <c r="A907" s="52"/>
      <c r="B907" s="26"/>
      <c r="C907" s="52"/>
      <c r="D907" s="52"/>
      <c r="E907" s="52"/>
      <c r="F907" s="52"/>
      <c r="G907" s="135"/>
      <c r="H907" s="52"/>
      <c r="I907" s="52"/>
      <c r="J907" s="136"/>
      <c r="K907" s="136"/>
      <c r="L907" s="136"/>
      <c r="M907" s="136"/>
      <c r="N907" s="52"/>
      <c r="O907" s="52"/>
      <c r="P907" s="52"/>
      <c r="Q907" s="52"/>
      <c r="R907" s="52"/>
      <c r="S907" s="52"/>
      <c r="T907" s="52"/>
      <c r="U907" s="52"/>
      <c r="V907" s="52"/>
      <c r="W907" s="52"/>
      <c r="X907" s="52"/>
      <c r="Y907" s="52"/>
      <c r="Z907" s="52"/>
      <c r="AA907" s="52"/>
      <c r="AB907" s="52"/>
      <c r="AC907" s="52"/>
      <c r="AD907" s="52"/>
      <c r="AE907" s="52"/>
      <c r="AF907" s="52"/>
      <c r="AG907" s="52"/>
      <c r="AH907" s="52"/>
      <c r="AI907" s="52"/>
      <c r="AJ907" s="52"/>
      <c r="AK907" s="52"/>
      <c r="AL907" s="52"/>
      <c r="AM907" s="52"/>
      <c r="AN907" s="52"/>
      <c r="AO907" s="52"/>
      <c r="AP907" s="138"/>
      <c r="AQ907" s="138"/>
      <c r="AR907" s="52"/>
      <c r="AS907" s="52"/>
      <c r="AT907" s="52"/>
      <c r="AU907" s="139"/>
      <c r="AV907" s="138"/>
      <c r="AW907" s="141"/>
      <c r="AX907" s="52"/>
      <c r="AY907" s="52"/>
      <c r="AZ907" s="52"/>
      <c r="BA907" s="52"/>
      <c r="BB907" s="52"/>
    </row>
    <row r="908">
      <c r="A908" s="52"/>
      <c r="B908" s="26"/>
      <c r="C908" s="52"/>
      <c r="D908" s="52"/>
      <c r="E908" s="52"/>
      <c r="F908" s="52"/>
      <c r="G908" s="135"/>
      <c r="H908" s="52"/>
      <c r="I908" s="52"/>
      <c r="J908" s="136"/>
      <c r="K908" s="136"/>
      <c r="L908" s="136"/>
      <c r="M908" s="136"/>
      <c r="N908" s="52"/>
      <c r="O908" s="52"/>
      <c r="P908" s="52"/>
      <c r="Q908" s="52"/>
      <c r="R908" s="52"/>
      <c r="S908" s="52"/>
      <c r="T908" s="52"/>
      <c r="U908" s="52"/>
      <c r="V908" s="52"/>
      <c r="W908" s="52"/>
      <c r="X908" s="52"/>
      <c r="Y908" s="52"/>
      <c r="Z908" s="52"/>
      <c r="AA908" s="52"/>
      <c r="AB908" s="52"/>
      <c r="AC908" s="52"/>
      <c r="AD908" s="52"/>
      <c r="AE908" s="52"/>
      <c r="AF908" s="52"/>
      <c r="AG908" s="52"/>
      <c r="AH908" s="52"/>
      <c r="AI908" s="52"/>
      <c r="AJ908" s="52"/>
      <c r="AK908" s="52"/>
      <c r="AL908" s="52"/>
      <c r="AM908" s="52"/>
      <c r="AN908" s="52"/>
      <c r="AO908" s="52"/>
      <c r="AP908" s="138"/>
      <c r="AQ908" s="138"/>
      <c r="AR908" s="52"/>
      <c r="AS908" s="52"/>
      <c r="AT908" s="52"/>
      <c r="AU908" s="139"/>
      <c r="AV908" s="138"/>
      <c r="AW908" s="141"/>
      <c r="AX908" s="52"/>
      <c r="AY908" s="52"/>
      <c r="AZ908" s="52"/>
      <c r="BA908" s="52"/>
      <c r="BB908" s="52"/>
    </row>
    <row r="909">
      <c r="A909" s="52"/>
      <c r="B909" s="26"/>
      <c r="C909" s="52"/>
      <c r="D909" s="52"/>
      <c r="E909" s="52"/>
      <c r="F909" s="52"/>
      <c r="G909" s="135"/>
      <c r="H909" s="52"/>
      <c r="I909" s="52"/>
      <c r="J909" s="136"/>
      <c r="K909" s="136"/>
      <c r="L909" s="136"/>
      <c r="M909" s="136"/>
      <c r="N909" s="52"/>
      <c r="O909" s="52"/>
      <c r="P909" s="52"/>
      <c r="Q909" s="52"/>
      <c r="R909" s="52"/>
      <c r="S909" s="52"/>
      <c r="T909" s="52"/>
      <c r="U909" s="52"/>
      <c r="V909" s="52"/>
      <c r="W909" s="52"/>
      <c r="X909" s="52"/>
      <c r="Y909" s="52"/>
      <c r="Z909" s="52"/>
      <c r="AA909" s="52"/>
      <c r="AB909" s="52"/>
      <c r="AC909" s="52"/>
      <c r="AD909" s="52"/>
      <c r="AE909" s="52"/>
      <c r="AF909" s="52"/>
      <c r="AG909" s="52"/>
      <c r="AH909" s="52"/>
      <c r="AI909" s="52"/>
      <c r="AJ909" s="52"/>
      <c r="AK909" s="52"/>
      <c r="AL909" s="52"/>
      <c r="AM909" s="52"/>
      <c r="AN909" s="52"/>
      <c r="AO909" s="52"/>
      <c r="AP909" s="138"/>
      <c r="AQ909" s="138"/>
      <c r="AR909" s="52"/>
      <c r="AS909" s="52"/>
      <c r="AT909" s="52"/>
      <c r="AU909" s="139"/>
      <c r="AV909" s="138"/>
      <c r="AW909" s="141"/>
      <c r="AX909" s="52"/>
      <c r="AY909" s="52"/>
      <c r="AZ909" s="52"/>
      <c r="BA909" s="52"/>
      <c r="BB909" s="52"/>
    </row>
    <row r="910">
      <c r="A910" s="52"/>
      <c r="B910" s="26"/>
      <c r="C910" s="52"/>
      <c r="D910" s="52"/>
      <c r="E910" s="52"/>
      <c r="F910" s="52"/>
      <c r="G910" s="135"/>
      <c r="H910" s="52"/>
      <c r="I910" s="52"/>
      <c r="J910" s="136"/>
      <c r="K910" s="136"/>
      <c r="L910" s="136"/>
      <c r="M910" s="136"/>
      <c r="N910" s="52"/>
      <c r="O910" s="52"/>
      <c r="P910" s="52"/>
      <c r="Q910" s="52"/>
      <c r="R910" s="52"/>
      <c r="S910" s="52"/>
      <c r="T910" s="52"/>
      <c r="U910" s="52"/>
      <c r="V910" s="52"/>
      <c r="W910" s="52"/>
      <c r="X910" s="52"/>
      <c r="Y910" s="52"/>
      <c r="Z910" s="52"/>
      <c r="AA910" s="52"/>
      <c r="AB910" s="52"/>
      <c r="AC910" s="52"/>
      <c r="AD910" s="52"/>
      <c r="AE910" s="52"/>
      <c r="AF910" s="52"/>
      <c r="AG910" s="52"/>
      <c r="AH910" s="52"/>
      <c r="AI910" s="52"/>
      <c r="AJ910" s="52"/>
      <c r="AK910" s="52"/>
      <c r="AL910" s="52"/>
      <c r="AM910" s="52"/>
      <c r="AN910" s="52"/>
      <c r="AO910" s="52"/>
      <c r="AP910" s="138"/>
      <c r="AQ910" s="138"/>
      <c r="AR910" s="52"/>
      <c r="AS910" s="52"/>
      <c r="AT910" s="52"/>
      <c r="AU910" s="139"/>
      <c r="AV910" s="138"/>
      <c r="AW910" s="141"/>
      <c r="AX910" s="52"/>
      <c r="AY910" s="52"/>
      <c r="AZ910" s="52"/>
      <c r="BA910" s="52"/>
      <c r="BB910" s="52"/>
    </row>
    <row r="911">
      <c r="A911" s="52"/>
      <c r="B911" s="26"/>
      <c r="C911" s="52"/>
      <c r="D911" s="52"/>
      <c r="E911" s="52"/>
      <c r="F911" s="52"/>
      <c r="G911" s="135"/>
      <c r="H911" s="52"/>
      <c r="I911" s="52"/>
      <c r="J911" s="136"/>
      <c r="K911" s="136"/>
      <c r="L911" s="136"/>
      <c r="M911" s="136"/>
      <c r="N911" s="52"/>
      <c r="O911" s="52"/>
      <c r="P911" s="52"/>
      <c r="Q911" s="52"/>
      <c r="R911" s="52"/>
      <c r="S911" s="52"/>
      <c r="T911" s="52"/>
      <c r="U911" s="52"/>
      <c r="V911" s="52"/>
      <c r="W911" s="52"/>
      <c r="X911" s="52"/>
      <c r="Y911" s="52"/>
      <c r="Z911" s="52"/>
      <c r="AA911" s="52"/>
      <c r="AB911" s="52"/>
      <c r="AC911" s="52"/>
      <c r="AD911" s="52"/>
      <c r="AE911" s="52"/>
      <c r="AF911" s="52"/>
      <c r="AG911" s="52"/>
      <c r="AH911" s="52"/>
      <c r="AI911" s="52"/>
      <c r="AJ911" s="52"/>
      <c r="AK911" s="52"/>
      <c r="AL911" s="52"/>
      <c r="AM911" s="52"/>
      <c r="AN911" s="52"/>
      <c r="AO911" s="52"/>
      <c r="AP911" s="138"/>
      <c r="AQ911" s="138"/>
      <c r="AR911" s="52"/>
      <c r="AS911" s="52"/>
      <c r="AT911" s="52"/>
      <c r="AU911" s="139"/>
      <c r="AV911" s="138"/>
      <c r="AW911" s="141"/>
      <c r="AX911" s="52"/>
      <c r="AY911" s="52"/>
      <c r="AZ911" s="52"/>
      <c r="BA911" s="52"/>
      <c r="BB911" s="52"/>
    </row>
    <row r="912">
      <c r="A912" s="52"/>
      <c r="B912" s="26"/>
      <c r="C912" s="52"/>
      <c r="D912" s="52"/>
      <c r="E912" s="52"/>
      <c r="F912" s="52"/>
      <c r="G912" s="135"/>
      <c r="H912" s="52"/>
      <c r="I912" s="52"/>
      <c r="J912" s="136"/>
      <c r="K912" s="136"/>
      <c r="L912" s="136"/>
      <c r="M912" s="136"/>
      <c r="N912" s="52"/>
      <c r="O912" s="52"/>
      <c r="P912" s="52"/>
      <c r="Q912" s="52"/>
      <c r="R912" s="52"/>
      <c r="S912" s="52"/>
      <c r="T912" s="52"/>
      <c r="U912" s="52"/>
      <c r="V912" s="52"/>
      <c r="W912" s="52"/>
      <c r="X912" s="52"/>
      <c r="Y912" s="52"/>
      <c r="Z912" s="52"/>
      <c r="AA912" s="52"/>
      <c r="AB912" s="52"/>
      <c r="AC912" s="52"/>
      <c r="AD912" s="52"/>
      <c r="AE912" s="52"/>
      <c r="AF912" s="52"/>
      <c r="AG912" s="52"/>
      <c r="AH912" s="52"/>
      <c r="AI912" s="52"/>
      <c r="AJ912" s="52"/>
      <c r="AK912" s="52"/>
      <c r="AL912" s="52"/>
      <c r="AM912" s="52"/>
      <c r="AN912" s="52"/>
      <c r="AO912" s="52"/>
      <c r="AP912" s="138"/>
      <c r="AQ912" s="138"/>
      <c r="AR912" s="52"/>
      <c r="AS912" s="52"/>
      <c r="AT912" s="52"/>
      <c r="AU912" s="139"/>
      <c r="AV912" s="138"/>
      <c r="AW912" s="141"/>
      <c r="AX912" s="52"/>
      <c r="AY912" s="52"/>
      <c r="AZ912" s="52"/>
      <c r="BA912" s="52"/>
      <c r="BB912" s="52"/>
    </row>
    <row r="913">
      <c r="A913" s="52"/>
      <c r="B913" s="26"/>
      <c r="C913" s="52"/>
      <c r="D913" s="52"/>
      <c r="E913" s="52"/>
      <c r="F913" s="52"/>
      <c r="G913" s="135"/>
      <c r="H913" s="52"/>
      <c r="I913" s="52"/>
      <c r="J913" s="136"/>
      <c r="K913" s="136"/>
      <c r="L913" s="136"/>
      <c r="M913" s="136"/>
      <c r="N913" s="52"/>
      <c r="O913" s="52"/>
      <c r="P913" s="52"/>
      <c r="Q913" s="52"/>
      <c r="R913" s="52"/>
      <c r="S913" s="52"/>
      <c r="T913" s="52"/>
      <c r="U913" s="52"/>
      <c r="V913" s="52"/>
      <c r="W913" s="52"/>
      <c r="X913" s="52"/>
      <c r="Y913" s="52"/>
      <c r="Z913" s="52"/>
      <c r="AA913" s="52"/>
      <c r="AB913" s="52"/>
      <c r="AC913" s="52"/>
      <c r="AD913" s="52"/>
      <c r="AE913" s="52"/>
      <c r="AF913" s="52"/>
      <c r="AG913" s="52"/>
      <c r="AH913" s="52"/>
      <c r="AI913" s="52"/>
      <c r="AJ913" s="52"/>
      <c r="AK913" s="52"/>
      <c r="AL913" s="52"/>
      <c r="AM913" s="52"/>
      <c r="AN913" s="52"/>
      <c r="AO913" s="52"/>
      <c r="AP913" s="138"/>
      <c r="AQ913" s="138"/>
      <c r="AR913" s="52"/>
      <c r="AS913" s="52"/>
      <c r="AT913" s="52"/>
      <c r="AU913" s="139"/>
      <c r="AV913" s="138"/>
      <c r="AW913" s="141"/>
      <c r="AX913" s="52"/>
      <c r="AY913" s="52"/>
      <c r="AZ913" s="52"/>
      <c r="BA913" s="52"/>
      <c r="BB913" s="52"/>
    </row>
    <row r="914">
      <c r="A914" s="52"/>
      <c r="B914" s="26"/>
      <c r="C914" s="52"/>
      <c r="D914" s="52"/>
      <c r="E914" s="52"/>
      <c r="F914" s="52"/>
      <c r="G914" s="135"/>
      <c r="H914" s="52"/>
      <c r="I914" s="52"/>
      <c r="J914" s="136"/>
      <c r="K914" s="136"/>
      <c r="L914" s="136"/>
      <c r="M914" s="136"/>
      <c r="N914" s="52"/>
      <c r="O914" s="52"/>
      <c r="P914" s="52"/>
      <c r="Q914" s="52"/>
      <c r="R914" s="52"/>
      <c r="S914" s="52"/>
      <c r="T914" s="52"/>
      <c r="U914" s="52"/>
      <c r="V914" s="52"/>
      <c r="W914" s="52"/>
      <c r="X914" s="52"/>
      <c r="Y914" s="52"/>
      <c r="Z914" s="52"/>
      <c r="AA914" s="52"/>
      <c r="AB914" s="52"/>
      <c r="AC914" s="52"/>
      <c r="AD914" s="52"/>
      <c r="AE914" s="52"/>
      <c r="AF914" s="52"/>
      <c r="AG914" s="52"/>
      <c r="AH914" s="52"/>
      <c r="AI914" s="52"/>
      <c r="AJ914" s="52"/>
      <c r="AK914" s="52"/>
      <c r="AL914" s="52"/>
      <c r="AM914" s="52"/>
      <c r="AN914" s="52"/>
      <c r="AO914" s="52"/>
      <c r="AP914" s="138"/>
      <c r="AQ914" s="138"/>
      <c r="AR914" s="52"/>
      <c r="AS914" s="52"/>
      <c r="AT914" s="52"/>
      <c r="AU914" s="139"/>
      <c r="AV914" s="138"/>
      <c r="AW914" s="141"/>
      <c r="AX914" s="52"/>
      <c r="AY914" s="52"/>
      <c r="AZ914" s="52"/>
      <c r="BA914" s="52"/>
      <c r="BB914" s="52"/>
    </row>
    <row r="915">
      <c r="A915" s="52"/>
      <c r="B915" s="26"/>
      <c r="C915" s="52"/>
      <c r="D915" s="52"/>
      <c r="E915" s="52"/>
      <c r="F915" s="52"/>
      <c r="G915" s="135"/>
      <c r="H915" s="52"/>
      <c r="I915" s="52"/>
      <c r="J915" s="136"/>
      <c r="K915" s="136"/>
      <c r="L915" s="136"/>
      <c r="M915" s="136"/>
      <c r="N915" s="52"/>
      <c r="O915" s="52"/>
      <c r="P915" s="52"/>
      <c r="Q915" s="52"/>
      <c r="R915" s="52"/>
      <c r="S915" s="52"/>
      <c r="T915" s="52"/>
      <c r="U915" s="52"/>
      <c r="V915" s="52"/>
      <c r="W915" s="52"/>
      <c r="X915" s="52"/>
      <c r="Y915" s="52"/>
      <c r="Z915" s="52"/>
      <c r="AA915" s="52"/>
      <c r="AB915" s="52"/>
      <c r="AC915" s="52"/>
      <c r="AD915" s="52"/>
      <c r="AE915" s="52"/>
      <c r="AF915" s="52"/>
      <c r="AG915" s="52"/>
      <c r="AH915" s="52"/>
      <c r="AI915" s="52"/>
      <c r="AJ915" s="52"/>
      <c r="AK915" s="52"/>
      <c r="AL915" s="52"/>
      <c r="AM915" s="52"/>
      <c r="AN915" s="52"/>
      <c r="AO915" s="52"/>
      <c r="AP915" s="138"/>
      <c r="AQ915" s="138"/>
      <c r="AR915" s="52"/>
      <c r="AS915" s="52"/>
      <c r="AT915" s="52"/>
      <c r="AU915" s="139"/>
      <c r="AV915" s="138"/>
      <c r="AW915" s="141"/>
      <c r="AX915" s="52"/>
      <c r="AY915" s="52"/>
      <c r="AZ915" s="52"/>
      <c r="BA915" s="52"/>
      <c r="BB915" s="52"/>
    </row>
    <row r="916">
      <c r="A916" s="52"/>
      <c r="B916" s="26"/>
      <c r="C916" s="52"/>
      <c r="D916" s="52"/>
      <c r="E916" s="52"/>
      <c r="F916" s="52"/>
      <c r="G916" s="135"/>
      <c r="H916" s="52"/>
      <c r="I916" s="52"/>
      <c r="J916" s="136"/>
      <c r="K916" s="136"/>
      <c r="L916" s="136"/>
      <c r="M916" s="136"/>
      <c r="N916" s="52"/>
      <c r="O916" s="52"/>
      <c r="P916" s="52"/>
      <c r="Q916" s="52"/>
      <c r="R916" s="52"/>
      <c r="S916" s="52"/>
      <c r="T916" s="52"/>
      <c r="U916" s="52"/>
      <c r="V916" s="52"/>
      <c r="W916" s="52"/>
      <c r="X916" s="52"/>
      <c r="Y916" s="52"/>
      <c r="Z916" s="52"/>
      <c r="AA916" s="52"/>
      <c r="AB916" s="52"/>
      <c r="AC916" s="52"/>
      <c r="AD916" s="52"/>
      <c r="AE916" s="52"/>
      <c r="AF916" s="52"/>
      <c r="AG916" s="52"/>
      <c r="AH916" s="52"/>
      <c r="AI916" s="52"/>
      <c r="AJ916" s="52"/>
      <c r="AK916" s="52"/>
      <c r="AL916" s="52"/>
      <c r="AM916" s="52"/>
      <c r="AN916" s="52"/>
      <c r="AO916" s="52"/>
      <c r="AP916" s="138"/>
      <c r="AQ916" s="138"/>
      <c r="AR916" s="52"/>
      <c r="AS916" s="52"/>
      <c r="AT916" s="52"/>
      <c r="AU916" s="139"/>
      <c r="AV916" s="138"/>
      <c r="AW916" s="141"/>
      <c r="AX916" s="52"/>
      <c r="AY916" s="52"/>
      <c r="AZ916" s="52"/>
      <c r="BA916" s="52"/>
      <c r="BB916" s="52"/>
    </row>
    <row r="917">
      <c r="A917" s="52"/>
      <c r="B917" s="26"/>
      <c r="C917" s="52"/>
      <c r="D917" s="52"/>
      <c r="E917" s="52"/>
      <c r="F917" s="52"/>
      <c r="G917" s="135"/>
      <c r="H917" s="52"/>
      <c r="I917" s="52"/>
      <c r="J917" s="136"/>
      <c r="K917" s="136"/>
      <c r="L917" s="136"/>
      <c r="M917" s="136"/>
      <c r="N917" s="52"/>
      <c r="O917" s="52"/>
      <c r="P917" s="52"/>
      <c r="Q917" s="52"/>
      <c r="R917" s="52"/>
      <c r="S917" s="52"/>
      <c r="T917" s="52"/>
      <c r="U917" s="52"/>
      <c r="V917" s="52"/>
      <c r="W917" s="52"/>
      <c r="X917" s="52"/>
      <c r="Y917" s="52"/>
      <c r="Z917" s="52"/>
      <c r="AA917" s="52"/>
      <c r="AB917" s="52"/>
      <c r="AC917" s="52"/>
      <c r="AD917" s="52"/>
      <c r="AE917" s="52"/>
      <c r="AF917" s="52"/>
      <c r="AG917" s="52"/>
      <c r="AH917" s="52"/>
      <c r="AI917" s="52"/>
      <c r="AJ917" s="52"/>
      <c r="AK917" s="52"/>
      <c r="AL917" s="52"/>
      <c r="AM917" s="52"/>
      <c r="AN917" s="52"/>
      <c r="AO917" s="52"/>
      <c r="AP917" s="138"/>
      <c r="AQ917" s="138"/>
      <c r="AR917" s="52"/>
      <c r="AS917" s="52"/>
      <c r="AT917" s="52"/>
      <c r="AU917" s="139"/>
      <c r="AV917" s="138"/>
      <c r="AW917" s="141"/>
      <c r="AX917" s="52"/>
      <c r="AY917" s="52"/>
      <c r="AZ917" s="52"/>
      <c r="BA917" s="52"/>
      <c r="BB917" s="52"/>
    </row>
    <row r="918">
      <c r="A918" s="52"/>
      <c r="B918" s="26"/>
      <c r="C918" s="52"/>
      <c r="D918" s="52"/>
      <c r="E918" s="52"/>
      <c r="F918" s="52"/>
      <c r="G918" s="135"/>
      <c r="H918" s="52"/>
      <c r="I918" s="52"/>
      <c r="J918" s="136"/>
      <c r="K918" s="136"/>
      <c r="L918" s="136"/>
      <c r="M918" s="136"/>
      <c r="N918" s="52"/>
      <c r="O918" s="52"/>
      <c r="P918" s="52"/>
      <c r="Q918" s="52"/>
      <c r="R918" s="52"/>
      <c r="S918" s="52"/>
      <c r="T918" s="52"/>
      <c r="U918" s="52"/>
      <c r="V918" s="52"/>
      <c r="W918" s="52"/>
      <c r="X918" s="52"/>
      <c r="Y918" s="52"/>
      <c r="Z918" s="52"/>
      <c r="AA918" s="52"/>
      <c r="AB918" s="52"/>
      <c r="AC918" s="52"/>
      <c r="AD918" s="52"/>
      <c r="AE918" s="52"/>
      <c r="AF918" s="52"/>
      <c r="AG918" s="52"/>
      <c r="AH918" s="52"/>
      <c r="AI918" s="52"/>
      <c r="AJ918" s="52"/>
      <c r="AK918" s="52"/>
      <c r="AL918" s="52"/>
      <c r="AM918" s="52"/>
      <c r="AN918" s="52"/>
      <c r="AO918" s="52"/>
      <c r="AP918" s="138"/>
      <c r="AQ918" s="138"/>
      <c r="AR918" s="52"/>
      <c r="AS918" s="52"/>
      <c r="AT918" s="52"/>
      <c r="AU918" s="139"/>
      <c r="AV918" s="138"/>
      <c r="AW918" s="141"/>
      <c r="AX918" s="52"/>
      <c r="AY918" s="52"/>
      <c r="AZ918" s="52"/>
      <c r="BA918" s="52"/>
      <c r="BB918" s="52"/>
    </row>
    <row r="919">
      <c r="A919" s="52"/>
      <c r="B919" s="26"/>
      <c r="C919" s="52"/>
      <c r="D919" s="52"/>
      <c r="E919" s="52"/>
      <c r="F919" s="52"/>
      <c r="G919" s="135"/>
      <c r="H919" s="52"/>
      <c r="I919" s="52"/>
      <c r="J919" s="136"/>
      <c r="K919" s="136"/>
      <c r="L919" s="136"/>
      <c r="M919" s="136"/>
      <c r="N919" s="52"/>
      <c r="O919" s="52"/>
      <c r="P919" s="52"/>
      <c r="Q919" s="52"/>
      <c r="R919" s="52"/>
      <c r="S919" s="52"/>
      <c r="T919" s="52"/>
      <c r="U919" s="52"/>
      <c r="V919" s="52"/>
      <c r="W919" s="52"/>
      <c r="X919" s="52"/>
      <c r="Y919" s="52"/>
      <c r="Z919" s="52"/>
      <c r="AA919" s="52"/>
      <c r="AB919" s="52"/>
      <c r="AC919" s="52"/>
      <c r="AD919" s="52"/>
      <c r="AE919" s="52"/>
      <c r="AF919" s="52"/>
      <c r="AG919" s="52"/>
      <c r="AH919" s="52"/>
      <c r="AI919" s="52"/>
      <c r="AJ919" s="52"/>
      <c r="AK919" s="52"/>
      <c r="AL919" s="52"/>
      <c r="AM919" s="52"/>
      <c r="AN919" s="52"/>
      <c r="AO919" s="52"/>
      <c r="AP919" s="138"/>
      <c r="AQ919" s="138"/>
      <c r="AR919" s="52"/>
      <c r="AS919" s="52"/>
      <c r="AT919" s="52"/>
      <c r="AU919" s="139"/>
      <c r="AV919" s="138"/>
      <c r="AW919" s="141"/>
      <c r="AX919" s="52"/>
      <c r="AY919" s="52"/>
      <c r="AZ919" s="52"/>
      <c r="BA919" s="52"/>
      <c r="BB919" s="52"/>
    </row>
    <row r="920">
      <c r="A920" s="52"/>
      <c r="B920" s="26"/>
      <c r="C920" s="52"/>
      <c r="D920" s="52"/>
      <c r="E920" s="52"/>
      <c r="F920" s="52"/>
      <c r="G920" s="135"/>
      <c r="H920" s="52"/>
      <c r="I920" s="52"/>
      <c r="J920" s="136"/>
      <c r="K920" s="136"/>
      <c r="L920" s="136"/>
      <c r="M920" s="136"/>
      <c r="N920" s="52"/>
      <c r="O920" s="52"/>
      <c r="P920" s="52"/>
      <c r="Q920" s="52"/>
      <c r="R920" s="52"/>
      <c r="S920" s="52"/>
      <c r="T920" s="52"/>
      <c r="U920" s="52"/>
      <c r="V920" s="52"/>
      <c r="W920" s="52"/>
      <c r="X920" s="52"/>
      <c r="Y920" s="52"/>
      <c r="Z920" s="52"/>
      <c r="AA920" s="52"/>
      <c r="AB920" s="52"/>
      <c r="AC920" s="52"/>
      <c r="AD920" s="52"/>
      <c r="AE920" s="52"/>
      <c r="AF920" s="52"/>
      <c r="AG920" s="52"/>
      <c r="AH920" s="52"/>
      <c r="AI920" s="52"/>
      <c r="AJ920" s="52"/>
      <c r="AK920" s="52"/>
      <c r="AL920" s="52"/>
      <c r="AM920" s="52"/>
      <c r="AN920" s="52"/>
      <c r="AO920" s="52"/>
      <c r="AP920" s="138"/>
      <c r="AQ920" s="138"/>
      <c r="AR920" s="52"/>
      <c r="AS920" s="52"/>
      <c r="AT920" s="52"/>
      <c r="AU920" s="139"/>
      <c r="AV920" s="138"/>
      <c r="AW920" s="141"/>
      <c r="AX920" s="52"/>
      <c r="AY920" s="52"/>
      <c r="AZ920" s="52"/>
      <c r="BA920" s="52"/>
      <c r="BB920" s="52"/>
    </row>
    <row r="921">
      <c r="A921" s="52"/>
      <c r="B921" s="26"/>
      <c r="C921" s="52"/>
      <c r="D921" s="52"/>
      <c r="E921" s="52"/>
      <c r="F921" s="52"/>
      <c r="G921" s="135"/>
      <c r="H921" s="52"/>
      <c r="I921" s="52"/>
      <c r="J921" s="136"/>
      <c r="K921" s="136"/>
      <c r="L921" s="136"/>
      <c r="M921" s="136"/>
      <c r="N921" s="52"/>
      <c r="O921" s="52"/>
      <c r="P921" s="52"/>
      <c r="Q921" s="52"/>
      <c r="R921" s="52"/>
      <c r="S921" s="52"/>
      <c r="T921" s="52"/>
      <c r="U921" s="52"/>
      <c r="V921" s="52"/>
      <c r="W921" s="52"/>
      <c r="X921" s="52"/>
      <c r="Y921" s="52"/>
      <c r="Z921" s="52"/>
      <c r="AA921" s="52"/>
      <c r="AB921" s="52"/>
      <c r="AC921" s="52"/>
      <c r="AD921" s="52"/>
      <c r="AE921" s="52"/>
      <c r="AF921" s="52"/>
      <c r="AG921" s="52"/>
      <c r="AH921" s="52"/>
      <c r="AI921" s="52"/>
      <c r="AJ921" s="52"/>
      <c r="AK921" s="52"/>
      <c r="AL921" s="52"/>
      <c r="AM921" s="52"/>
      <c r="AN921" s="52"/>
      <c r="AO921" s="52"/>
      <c r="AP921" s="138"/>
      <c r="AQ921" s="138"/>
      <c r="AR921" s="52"/>
      <c r="AS921" s="52"/>
      <c r="AT921" s="52"/>
      <c r="AU921" s="139"/>
      <c r="AV921" s="138"/>
      <c r="AW921" s="141"/>
      <c r="AX921" s="52"/>
      <c r="AY921" s="52"/>
      <c r="AZ921" s="52"/>
      <c r="BA921" s="52"/>
      <c r="BB921" s="52"/>
    </row>
    <row r="922">
      <c r="A922" s="52"/>
      <c r="B922" s="26"/>
      <c r="C922" s="52"/>
      <c r="D922" s="52"/>
      <c r="E922" s="52"/>
      <c r="F922" s="52"/>
      <c r="G922" s="135"/>
      <c r="H922" s="52"/>
      <c r="I922" s="52"/>
      <c r="J922" s="136"/>
      <c r="K922" s="136"/>
      <c r="L922" s="136"/>
      <c r="M922" s="136"/>
      <c r="N922" s="52"/>
      <c r="O922" s="52"/>
      <c r="P922" s="52"/>
      <c r="Q922" s="52"/>
      <c r="R922" s="52"/>
      <c r="S922" s="52"/>
      <c r="T922" s="52"/>
      <c r="U922" s="52"/>
      <c r="V922" s="52"/>
      <c r="W922" s="52"/>
      <c r="X922" s="52"/>
      <c r="Y922" s="52"/>
      <c r="Z922" s="52"/>
      <c r="AA922" s="52"/>
      <c r="AB922" s="52"/>
      <c r="AC922" s="52"/>
      <c r="AD922" s="52"/>
      <c r="AE922" s="52"/>
      <c r="AF922" s="52"/>
      <c r="AG922" s="52"/>
      <c r="AH922" s="52"/>
      <c r="AI922" s="52"/>
      <c r="AJ922" s="52"/>
      <c r="AK922" s="52"/>
      <c r="AL922" s="52"/>
      <c r="AM922" s="52"/>
      <c r="AN922" s="52"/>
      <c r="AO922" s="52"/>
      <c r="AP922" s="138"/>
      <c r="AQ922" s="138"/>
      <c r="AR922" s="52"/>
      <c r="AS922" s="52"/>
      <c r="AT922" s="52"/>
      <c r="AU922" s="139"/>
      <c r="AV922" s="138"/>
      <c r="AW922" s="141"/>
      <c r="AX922" s="52"/>
      <c r="AY922" s="52"/>
      <c r="AZ922" s="52"/>
      <c r="BA922" s="52"/>
      <c r="BB922" s="52"/>
    </row>
    <row r="923">
      <c r="A923" s="52"/>
      <c r="B923" s="26"/>
      <c r="C923" s="52"/>
      <c r="D923" s="52"/>
      <c r="E923" s="52"/>
      <c r="F923" s="52"/>
      <c r="G923" s="135"/>
      <c r="H923" s="52"/>
      <c r="I923" s="52"/>
      <c r="J923" s="136"/>
      <c r="K923" s="136"/>
      <c r="L923" s="136"/>
      <c r="M923" s="136"/>
      <c r="N923" s="52"/>
      <c r="O923" s="52"/>
      <c r="P923" s="52"/>
      <c r="Q923" s="52"/>
      <c r="R923" s="52"/>
      <c r="S923" s="52"/>
      <c r="T923" s="52"/>
      <c r="U923" s="52"/>
      <c r="V923" s="52"/>
      <c r="W923" s="52"/>
      <c r="X923" s="52"/>
      <c r="Y923" s="52"/>
      <c r="Z923" s="52"/>
      <c r="AA923" s="52"/>
      <c r="AB923" s="52"/>
      <c r="AC923" s="52"/>
      <c r="AD923" s="52"/>
      <c r="AE923" s="52"/>
      <c r="AF923" s="52"/>
      <c r="AG923" s="52"/>
      <c r="AH923" s="52"/>
      <c r="AI923" s="52"/>
      <c r="AJ923" s="52"/>
      <c r="AK923" s="52"/>
      <c r="AL923" s="52"/>
      <c r="AM923" s="52"/>
      <c r="AN923" s="52"/>
      <c r="AO923" s="52"/>
      <c r="AP923" s="138"/>
      <c r="AQ923" s="138"/>
      <c r="AR923" s="52"/>
      <c r="AS923" s="52"/>
      <c r="AT923" s="52"/>
      <c r="AU923" s="139"/>
      <c r="AV923" s="138"/>
      <c r="AW923" s="141"/>
      <c r="AX923" s="52"/>
      <c r="AY923" s="52"/>
      <c r="AZ923" s="52"/>
      <c r="BA923" s="52"/>
      <c r="BB923" s="52"/>
    </row>
    <row r="924">
      <c r="A924" s="52"/>
      <c r="B924" s="26"/>
      <c r="C924" s="52"/>
      <c r="D924" s="52"/>
      <c r="E924" s="52"/>
      <c r="F924" s="52"/>
      <c r="G924" s="135"/>
      <c r="H924" s="52"/>
      <c r="I924" s="52"/>
      <c r="J924" s="136"/>
      <c r="K924" s="136"/>
      <c r="L924" s="136"/>
      <c r="M924" s="136"/>
      <c r="N924" s="52"/>
      <c r="O924" s="52"/>
      <c r="P924" s="52"/>
      <c r="Q924" s="52"/>
      <c r="R924" s="52"/>
      <c r="S924" s="52"/>
      <c r="T924" s="52"/>
      <c r="U924" s="52"/>
      <c r="V924" s="52"/>
      <c r="W924" s="52"/>
      <c r="X924" s="52"/>
      <c r="Y924" s="52"/>
      <c r="Z924" s="52"/>
      <c r="AA924" s="52"/>
      <c r="AB924" s="52"/>
      <c r="AC924" s="52"/>
      <c r="AD924" s="52"/>
      <c r="AE924" s="52"/>
      <c r="AF924" s="52"/>
      <c r="AG924" s="52"/>
      <c r="AH924" s="52"/>
      <c r="AI924" s="52"/>
      <c r="AJ924" s="52"/>
      <c r="AK924" s="52"/>
      <c r="AL924" s="52"/>
      <c r="AM924" s="52"/>
      <c r="AN924" s="52"/>
      <c r="AO924" s="52"/>
      <c r="AP924" s="138"/>
      <c r="AQ924" s="138"/>
      <c r="AR924" s="52"/>
      <c r="AS924" s="52"/>
      <c r="AT924" s="52"/>
      <c r="AU924" s="139"/>
      <c r="AV924" s="138"/>
      <c r="AW924" s="141"/>
      <c r="AX924" s="52"/>
      <c r="AY924" s="52"/>
      <c r="AZ924" s="52"/>
      <c r="BA924" s="52"/>
      <c r="BB924" s="52"/>
    </row>
  </sheetData>
  <autoFilter ref="$A$1:$BB$396">
    <filterColumn colId="6">
      <customFilters>
        <customFilter operator="greaterThan" val="1000"/>
      </customFilters>
    </filterColumn>
  </autoFilter>
  <hyperlinks>
    <hyperlink r:id="rId1" ref="AW2"/>
    <hyperlink r:id="rId2" ref="AW3"/>
    <hyperlink r:id="rId3" ref="AW4"/>
    <hyperlink r:id="rId4" ref="AW5"/>
    <hyperlink r:id="rId5" ref="AW6"/>
    <hyperlink r:id="rId6" ref="AW7"/>
    <hyperlink r:id="rId7" ref="AW8"/>
    <hyperlink r:id="rId8" ref="AW9"/>
    <hyperlink r:id="rId9" ref="AW10"/>
    <hyperlink r:id="rId10" ref="AW11"/>
    <hyperlink r:id="rId11" ref="AW12"/>
    <hyperlink r:id="rId12" ref="AW13"/>
    <hyperlink r:id="rId13" ref="AW14"/>
    <hyperlink r:id="rId14" ref="AW15"/>
    <hyperlink r:id="rId15" ref="AW16"/>
    <hyperlink r:id="rId16" ref="AW17"/>
    <hyperlink r:id="rId17" ref="AW18"/>
    <hyperlink r:id="rId18" ref="AW19"/>
    <hyperlink r:id="rId19" ref="AW20"/>
    <hyperlink r:id="rId20" ref="AW21"/>
    <hyperlink r:id="rId21" ref="AW22"/>
    <hyperlink r:id="rId22" ref="AW23"/>
    <hyperlink r:id="rId23" ref="AW24"/>
    <hyperlink r:id="rId24" ref="AW25"/>
    <hyperlink r:id="rId25" ref="AW26"/>
    <hyperlink r:id="rId26" ref="AW27"/>
    <hyperlink r:id="rId27" ref="AW28"/>
    <hyperlink r:id="rId28" ref="AW29"/>
    <hyperlink r:id="rId29" ref="AW30"/>
    <hyperlink r:id="rId30" ref="AW31"/>
    <hyperlink r:id="rId31" ref="AW32"/>
    <hyperlink r:id="rId32" ref="AW33"/>
    <hyperlink r:id="rId33" ref="AW34"/>
    <hyperlink r:id="rId34" ref="AW35"/>
    <hyperlink r:id="rId35" ref="AW36"/>
    <hyperlink r:id="rId36" ref="AW37"/>
    <hyperlink r:id="rId37" ref="AW38"/>
    <hyperlink r:id="rId38" ref="AW39"/>
    <hyperlink r:id="rId39" ref="AW40"/>
    <hyperlink r:id="rId40" ref="AW41"/>
    <hyperlink r:id="rId41" ref="AW42"/>
    <hyperlink r:id="rId42" ref="AW43"/>
    <hyperlink r:id="rId43" ref="AW44"/>
    <hyperlink r:id="rId44" ref="AW45"/>
    <hyperlink r:id="rId45" ref="AW46"/>
    <hyperlink r:id="rId46" ref="AW47"/>
    <hyperlink r:id="rId47" ref="AW48"/>
    <hyperlink r:id="rId48" ref="AW49"/>
    <hyperlink r:id="rId49" ref="AW50"/>
    <hyperlink r:id="rId50" ref="AW51"/>
    <hyperlink r:id="rId51" ref="AW52"/>
    <hyperlink r:id="rId52" ref="AW53"/>
    <hyperlink r:id="rId53" ref="AW54"/>
    <hyperlink r:id="rId54" ref="AW55"/>
    <hyperlink r:id="rId55" ref="AW56"/>
    <hyperlink r:id="rId56" ref="AW57"/>
    <hyperlink r:id="rId57" ref="AW58"/>
    <hyperlink r:id="rId58" ref="AW59"/>
    <hyperlink r:id="rId59" ref="AW60"/>
    <hyperlink r:id="rId60" ref="AW61"/>
    <hyperlink r:id="rId61" ref="AW64"/>
    <hyperlink r:id="rId62" ref="AW65"/>
    <hyperlink r:id="rId63" ref="AW66"/>
    <hyperlink r:id="rId64" ref="AW67"/>
    <hyperlink r:id="rId65" ref="AW68"/>
    <hyperlink r:id="rId66" ref="AW69"/>
    <hyperlink r:id="rId67" ref="AW70"/>
    <hyperlink r:id="rId68" ref="AW71"/>
    <hyperlink r:id="rId69" ref="AW72"/>
    <hyperlink r:id="rId70" ref="AW73"/>
    <hyperlink r:id="rId71" ref="AW74"/>
    <hyperlink r:id="rId72" ref="AW75"/>
    <hyperlink r:id="rId73" ref="AW76"/>
    <hyperlink r:id="rId74" ref="AW77"/>
    <hyperlink r:id="rId75" ref="AW78"/>
    <hyperlink r:id="rId76" ref="AW79"/>
    <hyperlink r:id="rId77" ref="AW80"/>
    <hyperlink r:id="rId78" ref="AW81"/>
    <hyperlink r:id="rId79" ref="AW82"/>
    <hyperlink r:id="rId80" ref="AW83"/>
    <hyperlink r:id="rId81" ref="AW84"/>
    <hyperlink r:id="rId82" ref="AW85"/>
    <hyperlink r:id="rId83" ref="AW86"/>
    <hyperlink r:id="rId84" ref="AW87"/>
    <hyperlink r:id="rId85" ref="AW88"/>
    <hyperlink r:id="rId86" ref="AW89"/>
    <hyperlink r:id="rId87" ref="AW90"/>
    <hyperlink r:id="rId88" ref="AW91"/>
    <hyperlink r:id="rId89" ref="AW92"/>
    <hyperlink r:id="rId90" ref="AW93"/>
    <hyperlink r:id="rId91" ref="AW94"/>
    <hyperlink r:id="rId92" ref="AW95"/>
    <hyperlink r:id="rId93" ref="AW96"/>
    <hyperlink r:id="rId94" ref="AW97"/>
    <hyperlink r:id="rId95" ref="AW98"/>
    <hyperlink r:id="rId96" ref="AW99"/>
    <hyperlink r:id="rId97" ref="AW100"/>
    <hyperlink r:id="rId98" ref="AW101"/>
    <hyperlink r:id="rId99" ref="AW102"/>
    <hyperlink r:id="rId100" ref="AW103"/>
    <hyperlink r:id="rId101" ref="AW104"/>
    <hyperlink r:id="rId102" ref="AW105"/>
    <hyperlink r:id="rId103" ref="AW106"/>
    <hyperlink r:id="rId104" ref="AW107"/>
    <hyperlink r:id="rId105" ref="AW108"/>
    <hyperlink r:id="rId106" ref="AW109"/>
    <hyperlink r:id="rId107" ref="AW110"/>
    <hyperlink r:id="rId108" ref="AW111"/>
    <hyperlink r:id="rId109" ref="AW112"/>
    <hyperlink r:id="rId110" ref="AW113"/>
    <hyperlink r:id="rId111" ref="AW114"/>
    <hyperlink r:id="rId112" ref="AW115"/>
    <hyperlink r:id="rId113" ref="AW116"/>
    <hyperlink r:id="rId114" ref="AW117"/>
    <hyperlink r:id="rId115" ref="AW118"/>
    <hyperlink r:id="rId116" ref="AW119"/>
    <hyperlink r:id="rId117" ref="AW120"/>
    <hyperlink r:id="rId118" ref="AW121"/>
    <hyperlink r:id="rId119" ref="AW122"/>
    <hyperlink r:id="rId120" ref="AW123"/>
    <hyperlink r:id="rId121" ref="AW124"/>
    <hyperlink r:id="rId122" ref="AW125"/>
    <hyperlink r:id="rId123" ref="AW126"/>
    <hyperlink r:id="rId124" ref="AW127"/>
    <hyperlink r:id="rId125" ref="AW128"/>
    <hyperlink r:id="rId126" ref="AW129"/>
    <hyperlink r:id="rId127" ref="AW130"/>
    <hyperlink r:id="rId128" ref="AW131"/>
    <hyperlink r:id="rId129" ref="AW132"/>
    <hyperlink r:id="rId130" ref="AW133"/>
    <hyperlink r:id="rId131" ref="AW134"/>
    <hyperlink r:id="rId132" ref="AW135"/>
    <hyperlink r:id="rId133" ref="AW136"/>
    <hyperlink r:id="rId134" ref="AW137"/>
    <hyperlink r:id="rId135" ref="AW138"/>
    <hyperlink r:id="rId136" ref="AW139"/>
    <hyperlink r:id="rId137" ref="AW140"/>
    <hyperlink r:id="rId138" ref="AW141"/>
    <hyperlink r:id="rId139" ref="AW142"/>
    <hyperlink r:id="rId140" ref="AW143"/>
    <hyperlink r:id="rId141" ref="AW144"/>
    <hyperlink r:id="rId142" ref="AW145"/>
    <hyperlink r:id="rId143" ref="AW146"/>
    <hyperlink r:id="rId144" ref="AW147"/>
    <hyperlink r:id="rId145" ref="AW148"/>
    <hyperlink r:id="rId146" ref="AW149"/>
    <hyperlink r:id="rId147" ref="AW150"/>
    <hyperlink r:id="rId148" ref="AW151"/>
    <hyperlink r:id="rId149" ref="AW152"/>
    <hyperlink r:id="rId150" ref="AW153"/>
    <hyperlink r:id="rId151" ref="AW154"/>
    <hyperlink r:id="rId152" ref="AW155"/>
    <hyperlink r:id="rId153" ref="AW156"/>
    <hyperlink r:id="rId154" ref="AW157"/>
    <hyperlink r:id="rId155" ref="AW158"/>
    <hyperlink r:id="rId156" ref="AW159"/>
    <hyperlink r:id="rId157" ref="AW160"/>
    <hyperlink r:id="rId158" ref="AW161"/>
    <hyperlink r:id="rId159" ref="AW162"/>
    <hyperlink r:id="rId160" ref="AW163"/>
    <hyperlink r:id="rId161" ref="AW164"/>
    <hyperlink r:id="rId162" ref="AW165"/>
    <hyperlink r:id="rId163" ref="AW166"/>
    <hyperlink r:id="rId164" ref="AW167"/>
    <hyperlink r:id="rId165" ref="AW168"/>
    <hyperlink r:id="rId166" ref="AW169"/>
    <hyperlink r:id="rId167" ref="AW170"/>
    <hyperlink r:id="rId168" ref="AW171"/>
    <hyperlink r:id="rId169" ref="AW172"/>
    <hyperlink r:id="rId170" ref="AW173"/>
    <hyperlink r:id="rId171" ref="AW174"/>
    <hyperlink r:id="rId172" ref="AW175"/>
    <hyperlink r:id="rId173" ref="AW176"/>
    <hyperlink r:id="rId174" ref="AW177"/>
    <hyperlink r:id="rId175" ref="AW178"/>
    <hyperlink r:id="rId176" ref="AW179"/>
    <hyperlink r:id="rId177" ref="AW180"/>
    <hyperlink r:id="rId178" ref="AW181"/>
    <hyperlink r:id="rId179" ref="AW182"/>
    <hyperlink r:id="rId180" ref="AW183"/>
    <hyperlink r:id="rId181" ref="AW184"/>
    <hyperlink r:id="rId182" ref="AW185"/>
    <hyperlink r:id="rId183" ref="AW186"/>
    <hyperlink r:id="rId184" ref="AW187"/>
    <hyperlink r:id="rId185" ref="AW188"/>
    <hyperlink r:id="rId186" ref="AW189"/>
    <hyperlink r:id="rId187" ref="AW190"/>
    <hyperlink r:id="rId188" ref="AW191"/>
    <hyperlink r:id="rId189" ref="AW192"/>
    <hyperlink r:id="rId190" ref="AW193"/>
    <hyperlink r:id="rId191" ref="AW194"/>
    <hyperlink r:id="rId192" ref="AW195"/>
    <hyperlink r:id="rId193" ref="AW196"/>
    <hyperlink r:id="rId194" ref="AW197"/>
    <hyperlink r:id="rId195" ref="AW198"/>
    <hyperlink r:id="rId196" ref="AW199"/>
    <hyperlink r:id="rId197" ref="AW200"/>
    <hyperlink r:id="rId198" ref="AW201"/>
    <hyperlink r:id="rId199" ref="AW202"/>
    <hyperlink r:id="rId200" ref="AW203"/>
    <hyperlink r:id="rId201" ref="AW204"/>
    <hyperlink r:id="rId202" ref="AW205"/>
    <hyperlink r:id="rId203" ref="AW206"/>
    <hyperlink r:id="rId204" ref="AW207"/>
    <hyperlink r:id="rId205" ref="AW208"/>
    <hyperlink r:id="rId206" ref="AW210"/>
    <hyperlink r:id="rId207" ref="AW211"/>
    <hyperlink r:id="rId208" ref="AW212"/>
    <hyperlink r:id="rId209" ref="AW214"/>
    <hyperlink r:id="rId210" ref="AW215"/>
    <hyperlink r:id="rId211" ref="AW216"/>
    <hyperlink r:id="rId212" ref="AW217"/>
    <hyperlink r:id="rId213" ref="AW218"/>
    <hyperlink r:id="rId214" ref="AW219"/>
    <hyperlink r:id="rId215" ref="AW220"/>
    <hyperlink r:id="rId216" ref="AW221"/>
    <hyperlink r:id="rId217" ref="AW223"/>
    <hyperlink r:id="rId218" ref="AW224"/>
    <hyperlink r:id="rId219" ref="AW225"/>
    <hyperlink r:id="rId220" ref="AW226"/>
    <hyperlink r:id="rId221" ref="AW227"/>
    <hyperlink r:id="rId222" ref="AW228"/>
    <hyperlink r:id="rId223" ref="AW229"/>
    <hyperlink r:id="rId224" ref="AW230"/>
    <hyperlink r:id="rId225" ref="AW231"/>
    <hyperlink r:id="rId226" ref="AW232"/>
    <hyperlink r:id="rId227" ref="AW233"/>
    <hyperlink r:id="rId228" ref="AW234"/>
    <hyperlink r:id="rId229" ref="AW235"/>
    <hyperlink r:id="rId230" ref="AW236"/>
    <hyperlink r:id="rId231" ref="AW237"/>
    <hyperlink r:id="rId232" ref="AW238"/>
    <hyperlink r:id="rId233" ref="AW239"/>
    <hyperlink r:id="rId234" ref="AW240"/>
    <hyperlink r:id="rId235" ref="AW241"/>
    <hyperlink r:id="rId236" ref="AW242"/>
    <hyperlink r:id="rId237" ref="AW243"/>
    <hyperlink r:id="rId238" ref="AW244"/>
    <hyperlink r:id="rId239" ref="AW245"/>
    <hyperlink r:id="rId240" ref="AW246"/>
    <hyperlink r:id="rId241" ref="AW247"/>
    <hyperlink r:id="rId242" ref="AW248"/>
    <hyperlink r:id="rId243" ref="AW249"/>
    <hyperlink r:id="rId244" ref="AW250"/>
    <hyperlink r:id="rId245" ref="AW251"/>
    <hyperlink r:id="rId246" ref="AW252"/>
    <hyperlink r:id="rId247" ref="AW253"/>
    <hyperlink r:id="rId248" ref="AW254"/>
    <hyperlink r:id="rId249" ref="AW255"/>
    <hyperlink r:id="rId250" ref="AW256"/>
    <hyperlink r:id="rId251" ref="AW257"/>
    <hyperlink r:id="rId252" ref="AW258"/>
    <hyperlink r:id="rId253" ref="AW259"/>
    <hyperlink r:id="rId254" ref="AW260"/>
    <hyperlink r:id="rId255" ref="AW261"/>
    <hyperlink r:id="rId256" ref="AW262"/>
    <hyperlink r:id="rId257" ref="AW264"/>
    <hyperlink r:id="rId258" ref="AW265"/>
    <hyperlink r:id="rId259" ref="AW266"/>
    <hyperlink r:id="rId260" ref="AW267"/>
    <hyperlink r:id="rId261" ref="AW268"/>
    <hyperlink r:id="rId262" ref="AW269"/>
    <hyperlink r:id="rId263" ref="AW270"/>
    <hyperlink r:id="rId264" ref="AW271"/>
    <hyperlink r:id="rId265" ref="AW272"/>
    <hyperlink r:id="rId266" ref="AW273"/>
    <hyperlink r:id="rId267" ref="AW274"/>
    <hyperlink r:id="rId268" ref="AW275"/>
    <hyperlink r:id="rId269" ref="AW276"/>
    <hyperlink r:id="rId270" ref="AW277"/>
    <hyperlink r:id="rId271" ref="AW278"/>
    <hyperlink r:id="rId272" ref="AW279"/>
    <hyperlink r:id="rId273" ref="AW280"/>
    <hyperlink r:id="rId274" ref="AW281"/>
    <hyperlink r:id="rId275" ref="AW282"/>
    <hyperlink r:id="rId276" ref="AW283"/>
    <hyperlink r:id="rId277" ref="AW284"/>
    <hyperlink r:id="rId278" ref="AW285"/>
    <hyperlink r:id="rId279" ref="AW286"/>
    <hyperlink r:id="rId280" ref="AW287"/>
    <hyperlink r:id="rId281" ref="AW288"/>
    <hyperlink r:id="rId282" ref="AW289"/>
    <hyperlink r:id="rId283" ref="AW290"/>
    <hyperlink r:id="rId284" ref="AW291"/>
    <hyperlink r:id="rId285" ref="AW292"/>
    <hyperlink r:id="rId286" ref="AW293"/>
    <hyperlink r:id="rId287" ref="AW294"/>
    <hyperlink r:id="rId288" ref="AW295"/>
    <hyperlink r:id="rId289" ref="AW297"/>
    <hyperlink r:id="rId290" ref="AW298"/>
    <hyperlink r:id="rId291" ref="AW299"/>
    <hyperlink r:id="rId292" ref="AW300"/>
    <hyperlink r:id="rId293" ref="AW301"/>
    <hyperlink r:id="rId294" ref="AW302"/>
    <hyperlink r:id="rId295" ref="AW303"/>
    <hyperlink r:id="rId296" ref="AW304"/>
    <hyperlink r:id="rId297" ref="AW305"/>
    <hyperlink r:id="rId298" ref="AW306"/>
    <hyperlink r:id="rId299" ref="AW307"/>
    <hyperlink r:id="rId300" ref="AW308"/>
    <hyperlink r:id="rId301" ref="AW309"/>
    <hyperlink r:id="rId302" ref="AW310"/>
    <hyperlink r:id="rId303" ref="AW311"/>
    <hyperlink r:id="rId304" ref="AW312"/>
    <hyperlink r:id="rId305" ref="AW313"/>
    <hyperlink r:id="rId306" ref="AW314"/>
    <hyperlink r:id="rId307" ref="AW315"/>
    <hyperlink r:id="rId308" ref="AW316"/>
    <hyperlink r:id="rId309" ref="AW317"/>
    <hyperlink r:id="rId310" ref="AW318"/>
    <hyperlink r:id="rId311" ref="AW319"/>
    <hyperlink r:id="rId312" ref="AW320"/>
    <hyperlink r:id="rId313" ref="AW321"/>
    <hyperlink r:id="rId314" ref="AW322"/>
    <hyperlink r:id="rId315" ref="AW323"/>
    <hyperlink r:id="rId316" ref="AW324"/>
    <hyperlink r:id="rId317" ref="AW325"/>
    <hyperlink r:id="rId318" ref="AW326"/>
    <hyperlink r:id="rId319" ref="AW327"/>
    <hyperlink r:id="rId320" ref="AW328"/>
    <hyperlink r:id="rId321" ref="AW329"/>
    <hyperlink r:id="rId322" ref="AW330"/>
    <hyperlink r:id="rId323" ref="AW331"/>
    <hyperlink r:id="rId324" ref="AW332"/>
    <hyperlink r:id="rId325" ref="AW333"/>
    <hyperlink r:id="rId326" ref="AW334"/>
    <hyperlink r:id="rId327" ref="AW335"/>
    <hyperlink r:id="rId328" ref="AW336"/>
    <hyperlink r:id="rId329" ref="AW337"/>
    <hyperlink r:id="rId330" ref="AW338"/>
    <hyperlink r:id="rId331" ref="AW339"/>
    <hyperlink r:id="rId332" ref="AW340"/>
    <hyperlink r:id="rId333" ref="AW341"/>
    <hyperlink r:id="rId334" ref="AW342"/>
    <hyperlink r:id="rId335" ref="AW343"/>
    <hyperlink r:id="rId336" ref="AW344"/>
    <hyperlink r:id="rId337" ref="AW345"/>
    <hyperlink r:id="rId338" ref="AW346"/>
    <hyperlink r:id="rId339" ref="AW347"/>
    <hyperlink r:id="rId340" ref="AW348"/>
    <hyperlink r:id="rId341" ref="AW349"/>
    <hyperlink r:id="rId342" ref="AW350"/>
    <hyperlink r:id="rId343" ref="AW351"/>
    <hyperlink r:id="rId344" ref="AW352"/>
    <hyperlink r:id="rId345" ref="AW353"/>
    <hyperlink r:id="rId346" ref="AW354"/>
    <hyperlink r:id="rId347" ref="AW355"/>
    <hyperlink r:id="rId348" ref="AW356"/>
    <hyperlink r:id="rId349" ref="AW357"/>
    <hyperlink r:id="rId350" ref="AW358"/>
    <hyperlink r:id="rId351" ref="AW359"/>
    <hyperlink r:id="rId352" ref="AW360"/>
    <hyperlink r:id="rId353" ref="AW361"/>
    <hyperlink r:id="rId354" ref="AW362"/>
    <hyperlink r:id="rId355" ref="AW364"/>
    <hyperlink r:id="rId356" ref="AW365"/>
    <hyperlink r:id="rId357" ref="AW366"/>
    <hyperlink r:id="rId358" ref="AW367"/>
    <hyperlink r:id="rId359" ref="AW368"/>
    <hyperlink r:id="rId360" ref="AW369"/>
    <hyperlink r:id="rId361" ref="AW370"/>
    <hyperlink r:id="rId362" ref="AW371"/>
    <hyperlink r:id="rId363" ref="AW372"/>
    <hyperlink r:id="rId364" ref="AW373"/>
    <hyperlink r:id="rId365" ref="AW374"/>
    <hyperlink r:id="rId366" ref="AW375"/>
    <hyperlink r:id="rId367" ref="AW376"/>
    <hyperlink r:id="rId368" ref="AW377"/>
    <hyperlink r:id="rId369" ref="AW378"/>
    <hyperlink r:id="rId370" ref="AW379"/>
    <hyperlink r:id="rId371" ref="AW380"/>
    <hyperlink r:id="rId372" ref="AW381"/>
    <hyperlink r:id="rId373" ref="AW382"/>
    <hyperlink r:id="rId374" ref="AW383"/>
    <hyperlink r:id="rId375" ref="AW384"/>
    <hyperlink r:id="rId376" ref="AW385"/>
  </hyperlinks>
  <drawing r:id="rId3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7.63"/>
  </cols>
  <sheetData>
    <row r="1" ht="22.5" customHeight="1">
      <c r="A1" s="142" t="s">
        <v>2922</v>
      </c>
      <c r="B1" s="142" t="s">
        <v>2923</v>
      </c>
      <c r="C1" s="142" t="s">
        <v>2924</v>
      </c>
      <c r="D1" s="142" t="s">
        <v>2925</v>
      </c>
      <c r="E1" s="142" t="s">
        <v>2926</v>
      </c>
      <c r="F1" s="142" t="s">
        <v>2927</v>
      </c>
      <c r="G1" s="142" t="s">
        <v>6</v>
      </c>
      <c r="H1" s="142" t="s">
        <v>2928</v>
      </c>
      <c r="I1" s="142" t="s">
        <v>2929</v>
      </c>
      <c r="J1" s="142" t="s">
        <v>2930</v>
      </c>
      <c r="K1" s="142" t="s">
        <v>2931</v>
      </c>
      <c r="L1" s="142" t="s">
        <v>2932</v>
      </c>
      <c r="M1" s="142" t="s">
        <v>2933</v>
      </c>
      <c r="N1" s="142" t="s">
        <v>2934</v>
      </c>
      <c r="O1" s="142" t="s">
        <v>2935</v>
      </c>
      <c r="P1" s="142" t="s">
        <v>2936</v>
      </c>
      <c r="Q1" s="142" t="s">
        <v>2937</v>
      </c>
      <c r="R1" s="142" t="s">
        <v>2938</v>
      </c>
      <c r="S1" s="142" t="s">
        <v>2939</v>
      </c>
      <c r="T1" s="142" t="s">
        <v>2940</v>
      </c>
      <c r="U1" s="142" t="s">
        <v>2941</v>
      </c>
      <c r="V1" s="143" t="s">
        <v>2942</v>
      </c>
      <c r="W1" s="143" t="s">
        <v>2943</v>
      </c>
      <c r="X1" s="143" t="s">
        <v>2944</v>
      </c>
      <c r="Y1" s="143" t="s">
        <v>2945</v>
      </c>
      <c r="Z1" s="143" t="s">
        <v>2946</v>
      </c>
      <c r="AA1" s="143" t="s">
        <v>2947</v>
      </c>
      <c r="AB1" s="143" t="s">
        <v>2948</v>
      </c>
      <c r="AC1" s="143" t="s">
        <v>2949</v>
      </c>
      <c r="AD1" s="143" t="s">
        <v>2950</v>
      </c>
      <c r="AE1" s="143" t="s">
        <v>2951</v>
      </c>
      <c r="AF1" s="143" t="s">
        <v>2952</v>
      </c>
      <c r="AG1" s="144"/>
      <c r="AH1" s="144"/>
      <c r="AI1" s="144"/>
      <c r="AJ1" s="144"/>
      <c r="AK1" s="144"/>
    </row>
    <row r="2" ht="22.5" customHeight="1">
      <c r="A2" s="145" t="s">
        <v>2953</v>
      </c>
      <c r="B2" s="145" t="s">
        <v>2954</v>
      </c>
      <c r="C2" s="145" t="s">
        <v>2955</v>
      </c>
      <c r="D2" s="146" t="s">
        <v>1213</v>
      </c>
      <c r="E2" s="145" t="s">
        <v>2956</v>
      </c>
      <c r="F2" s="147" t="s">
        <v>2846</v>
      </c>
      <c r="G2" s="145">
        <v>1150.0</v>
      </c>
      <c r="H2" s="146" t="s">
        <v>2957</v>
      </c>
      <c r="I2" s="148" t="s">
        <v>2958</v>
      </c>
      <c r="J2" s="145" t="s">
        <v>2959</v>
      </c>
      <c r="K2" s="145">
        <v>435.0</v>
      </c>
      <c r="L2" s="146" t="s">
        <v>2960</v>
      </c>
      <c r="M2" s="148" t="s">
        <v>2961</v>
      </c>
      <c r="N2" s="145" t="s">
        <v>2962</v>
      </c>
      <c r="O2" s="145">
        <v>2199.0</v>
      </c>
      <c r="P2" s="149" t="s">
        <v>2737</v>
      </c>
      <c r="Q2" s="150" t="s">
        <v>2738</v>
      </c>
      <c r="R2" s="145" t="s">
        <v>2963</v>
      </c>
      <c r="S2" s="145">
        <v>1570.0</v>
      </c>
      <c r="T2" s="145">
        <f t="shared" ref="T2:T41" si="1">SUM(S2,O2,K2,G2)</f>
        <v>5354</v>
      </c>
      <c r="U2" s="151">
        <v>4818.6</v>
      </c>
      <c r="V2" s="145"/>
      <c r="W2" s="145"/>
      <c r="X2" s="145"/>
      <c r="Y2" s="145"/>
      <c r="Z2" s="145"/>
      <c r="AA2" s="145"/>
      <c r="AB2" s="145"/>
      <c r="AC2" s="145"/>
      <c r="AD2" s="145"/>
      <c r="AE2" s="145"/>
      <c r="AF2" s="145"/>
      <c r="AG2" s="144"/>
      <c r="AH2" s="144"/>
      <c r="AI2" s="144"/>
      <c r="AJ2" s="144"/>
      <c r="AK2" s="144"/>
    </row>
    <row r="3" ht="22.5" customHeight="1">
      <c r="A3" s="152" t="s">
        <v>2953</v>
      </c>
      <c r="B3" s="152" t="s">
        <v>2954</v>
      </c>
      <c r="C3" s="152" t="s">
        <v>2964</v>
      </c>
      <c r="D3" s="146" t="s">
        <v>2190</v>
      </c>
      <c r="E3" s="150" t="s">
        <v>2191</v>
      </c>
      <c r="F3" s="153" t="s">
        <v>1306</v>
      </c>
      <c r="G3" s="152">
        <v>299.0</v>
      </c>
      <c r="H3" s="146" t="s">
        <v>2957</v>
      </c>
      <c r="I3" s="148" t="s">
        <v>2958</v>
      </c>
      <c r="J3" s="152" t="s">
        <v>2965</v>
      </c>
      <c r="K3" s="152">
        <v>435.0</v>
      </c>
      <c r="L3" s="154" t="s">
        <v>932</v>
      </c>
      <c r="M3" s="154" t="s">
        <v>1837</v>
      </c>
      <c r="N3" s="153" t="s">
        <v>2963</v>
      </c>
      <c r="O3" s="152">
        <v>525.0</v>
      </c>
      <c r="P3" s="145" t="s">
        <v>772</v>
      </c>
      <c r="Q3" s="154" t="s">
        <v>773</v>
      </c>
      <c r="R3" s="152" t="s">
        <v>2966</v>
      </c>
      <c r="S3" s="152">
        <v>699.0</v>
      </c>
      <c r="T3" s="145">
        <f t="shared" si="1"/>
        <v>1958</v>
      </c>
      <c r="U3" s="155">
        <v>1860.1</v>
      </c>
      <c r="V3" s="152"/>
      <c r="W3" s="152"/>
      <c r="X3" s="152"/>
      <c r="Y3" s="152"/>
      <c r="Z3" s="152"/>
      <c r="AA3" s="152"/>
      <c r="AB3" s="152"/>
      <c r="AC3" s="152"/>
      <c r="AD3" s="152"/>
      <c r="AE3" s="152"/>
      <c r="AF3" s="152"/>
      <c r="AG3" s="144"/>
      <c r="AH3" s="144"/>
      <c r="AI3" s="144"/>
      <c r="AJ3" s="144"/>
      <c r="AK3" s="144"/>
    </row>
    <row r="4" ht="22.5" customHeight="1">
      <c r="A4" s="145" t="s">
        <v>2953</v>
      </c>
      <c r="B4" s="145" t="s">
        <v>2967</v>
      </c>
      <c r="C4" s="147" t="s">
        <v>2955</v>
      </c>
      <c r="D4" s="146" t="s">
        <v>2183</v>
      </c>
      <c r="E4" s="150" t="s">
        <v>2184</v>
      </c>
      <c r="F4" s="147" t="s">
        <v>2846</v>
      </c>
      <c r="G4" s="145">
        <v>850.0</v>
      </c>
      <c r="H4" s="156" t="s">
        <v>1967</v>
      </c>
      <c r="I4" s="145" t="s">
        <v>2968</v>
      </c>
      <c r="J4" s="145" t="s">
        <v>2959</v>
      </c>
      <c r="K4" s="145">
        <v>347.0</v>
      </c>
      <c r="L4" s="146" t="s">
        <v>2969</v>
      </c>
      <c r="M4" s="148" t="s">
        <v>2970</v>
      </c>
      <c r="N4" s="145" t="s">
        <v>2971</v>
      </c>
      <c r="O4" s="145">
        <v>850.0</v>
      </c>
      <c r="P4" s="146" t="s">
        <v>2972</v>
      </c>
      <c r="Q4" s="148" t="s">
        <v>2973</v>
      </c>
      <c r="R4" s="145" t="s">
        <v>2963</v>
      </c>
      <c r="S4" s="145">
        <v>1950.0</v>
      </c>
      <c r="T4" s="145">
        <f t="shared" si="1"/>
        <v>3997</v>
      </c>
      <c r="U4" s="151">
        <v>3797.15</v>
      </c>
      <c r="V4" s="145"/>
      <c r="W4" s="145"/>
      <c r="X4" s="145"/>
      <c r="Y4" s="145"/>
      <c r="Z4" s="145"/>
      <c r="AA4" s="145"/>
      <c r="AB4" s="145"/>
      <c r="AC4" s="145"/>
      <c r="AD4" s="145"/>
      <c r="AE4" s="145"/>
      <c r="AF4" s="145"/>
      <c r="AG4" s="144"/>
      <c r="AH4" s="144"/>
      <c r="AI4" s="144"/>
      <c r="AJ4" s="144"/>
      <c r="AK4" s="144"/>
    </row>
    <row r="5" ht="22.5" customHeight="1">
      <c r="A5" s="152" t="s">
        <v>2953</v>
      </c>
      <c r="B5" s="152" t="s">
        <v>2967</v>
      </c>
      <c r="C5" s="152" t="s">
        <v>2964</v>
      </c>
      <c r="D5" s="146" t="s">
        <v>2190</v>
      </c>
      <c r="E5" s="150" t="s">
        <v>2191</v>
      </c>
      <c r="F5" s="153" t="s">
        <v>1306</v>
      </c>
      <c r="G5" s="153">
        <v>299.0</v>
      </c>
      <c r="H5" s="156" t="s">
        <v>1967</v>
      </c>
      <c r="I5" s="157" t="s">
        <v>2968</v>
      </c>
      <c r="J5" s="152" t="s">
        <v>2959</v>
      </c>
      <c r="K5" s="152">
        <v>347.0</v>
      </c>
      <c r="L5" s="146" t="s">
        <v>835</v>
      </c>
      <c r="M5" s="154" t="s">
        <v>836</v>
      </c>
      <c r="N5" s="158" t="s">
        <v>349</v>
      </c>
      <c r="O5" s="152">
        <v>349.0</v>
      </c>
      <c r="P5" s="149" t="s">
        <v>2744</v>
      </c>
      <c r="Q5" s="154" t="s">
        <v>2745</v>
      </c>
      <c r="R5" s="152" t="s">
        <v>349</v>
      </c>
      <c r="S5" s="152">
        <v>845.0</v>
      </c>
      <c r="T5" s="145">
        <f t="shared" si="1"/>
        <v>1840</v>
      </c>
      <c r="U5" s="155">
        <v>1747.9999999999998</v>
      </c>
      <c r="V5" s="152"/>
      <c r="W5" s="152"/>
      <c r="X5" s="152"/>
      <c r="Y5" s="152"/>
      <c r="Z5" s="152"/>
      <c r="AA5" s="152"/>
      <c r="AB5" s="152"/>
      <c r="AC5" s="152"/>
      <c r="AD5" s="152"/>
      <c r="AE5" s="152"/>
      <c r="AF5" s="152"/>
      <c r="AG5" s="144"/>
      <c r="AH5" s="144"/>
      <c r="AI5" s="144"/>
      <c r="AJ5" s="144"/>
      <c r="AK5" s="144"/>
    </row>
    <row r="6" ht="22.5" customHeight="1">
      <c r="A6" s="145" t="s">
        <v>2953</v>
      </c>
      <c r="B6" s="145" t="s">
        <v>2974</v>
      </c>
      <c r="C6" s="145" t="s">
        <v>2955</v>
      </c>
      <c r="D6" s="156" t="s">
        <v>2975</v>
      </c>
      <c r="E6" s="148" t="s">
        <v>2976</v>
      </c>
      <c r="F6" s="159" t="s">
        <v>1306</v>
      </c>
      <c r="G6" s="159">
        <v>1400.0</v>
      </c>
      <c r="H6" s="146" t="s">
        <v>2594</v>
      </c>
      <c r="I6" s="160" t="s">
        <v>2595</v>
      </c>
      <c r="J6" s="159" t="s">
        <v>70</v>
      </c>
      <c r="K6" s="159">
        <v>600.0</v>
      </c>
      <c r="L6" s="146" t="s">
        <v>2977</v>
      </c>
      <c r="M6" s="161" t="s">
        <v>2978</v>
      </c>
      <c r="N6" s="162" t="s">
        <v>2979</v>
      </c>
      <c r="O6" s="145">
        <v>1550.0</v>
      </c>
      <c r="P6" s="146" t="s">
        <v>2980</v>
      </c>
      <c r="Q6" s="148" t="s">
        <v>2981</v>
      </c>
      <c r="R6" s="145" t="s">
        <v>2963</v>
      </c>
      <c r="S6" s="145">
        <v>2399.0</v>
      </c>
      <c r="T6" s="145">
        <f t="shared" si="1"/>
        <v>5949</v>
      </c>
      <c r="U6" s="151">
        <v>5056.650000000001</v>
      </c>
      <c r="V6" s="145"/>
      <c r="W6" s="145"/>
      <c r="X6" s="145"/>
      <c r="Y6" s="145"/>
      <c r="Z6" s="145"/>
      <c r="AA6" s="145"/>
      <c r="AB6" s="145"/>
      <c r="AC6" s="145"/>
      <c r="AD6" s="145"/>
      <c r="AE6" s="145"/>
      <c r="AF6" s="145"/>
      <c r="AG6" s="144"/>
      <c r="AH6" s="144"/>
      <c r="AI6" s="144"/>
      <c r="AJ6" s="144"/>
      <c r="AK6" s="144"/>
    </row>
    <row r="7" ht="22.5" customHeight="1">
      <c r="A7" s="152" t="s">
        <v>2953</v>
      </c>
      <c r="B7" s="152" t="s">
        <v>2974</v>
      </c>
      <c r="C7" s="152" t="s">
        <v>2964</v>
      </c>
      <c r="D7" s="146" t="s">
        <v>2175</v>
      </c>
      <c r="E7" s="154" t="s">
        <v>2176</v>
      </c>
      <c r="F7" s="158" t="s">
        <v>2846</v>
      </c>
      <c r="G7" s="158">
        <v>850.0</v>
      </c>
      <c r="H7" s="146" t="s">
        <v>160</v>
      </c>
      <c r="I7" s="154" t="s">
        <v>161</v>
      </c>
      <c r="J7" s="158" t="s">
        <v>2971</v>
      </c>
      <c r="K7" s="158">
        <v>499.0</v>
      </c>
      <c r="L7" s="146" t="s">
        <v>240</v>
      </c>
      <c r="M7" s="163" t="s">
        <v>241</v>
      </c>
      <c r="N7" s="162" t="s">
        <v>85</v>
      </c>
      <c r="O7" s="145">
        <v>349.0</v>
      </c>
      <c r="P7" s="145" t="s">
        <v>1123</v>
      </c>
      <c r="Q7" s="154" t="s">
        <v>1124</v>
      </c>
      <c r="R7" s="152" t="s">
        <v>1306</v>
      </c>
      <c r="S7" s="152">
        <v>325.0</v>
      </c>
      <c r="T7" s="145">
        <f t="shared" si="1"/>
        <v>2023</v>
      </c>
      <c r="U7" s="155">
        <v>1921.8500000000001</v>
      </c>
      <c r="V7" s="152"/>
      <c r="W7" s="152"/>
      <c r="X7" s="152"/>
      <c r="Y7" s="152"/>
      <c r="Z7" s="152"/>
      <c r="AA7" s="152"/>
      <c r="AB7" s="152"/>
      <c r="AC7" s="152"/>
      <c r="AD7" s="152"/>
      <c r="AE7" s="152"/>
      <c r="AF7" s="152"/>
      <c r="AG7" s="144"/>
      <c r="AH7" s="144"/>
      <c r="AI7" s="144"/>
      <c r="AJ7" s="144"/>
      <c r="AK7" s="144"/>
    </row>
    <row r="8" ht="22.5" customHeight="1">
      <c r="A8" s="145" t="s">
        <v>2953</v>
      </c>
      <c r="B8" s="145" t="s">
        <v>2982</v>
      </c>
      <c r="C8" s="145" t="s">
        <v>2955</v>
      </c>
      <c r="D8" s="146" t="s">
        <v>1303</v>
      </c>
      <c r="E8" s="160" t="s">
        <v>1304</v>
      </c>
      <c r="F8" s="159" t="s">
        <v>1306</v>
      </c>
      <c r="G8" s="164">
        <v>625.0</v>
      </c>
      <c r="H8" s="146" t="s">
        <v>2521</v>
      </c>
      <c r="I8" s="160" t="s">
        <v>2522</v>
      </c>
      <c r="J8" s="159" t="s">
        <v>70</v>
      </c>
      <c r="K8" s="159">
        <v>649.0</v>
      </c>
      <c r="L8" s="146" t="s">
        <v>2983</v>
      </c>
      <c r="M8" s="148" t="s">
        <v>2984</v>
      </c>
      <c r="N8" s="159" t="s">
        <v>454</v>
      </c>
      <c r="O8" s="145">
        <v>1950.0</v>
      </c>
      <c r="P8" s="149" t="s">
        <v>2737</v>
      </c>
      <c r="Q8" s="150" t="s">
        <v>2738</v>
      </c>
      <c r="R8" s="145" t="s">
        <v>454</v>
      </c>
      <c r="S8" s="145">
        <v>1570.0</v>
      </c>
      <c r="T8" s="145">
        <f t="shared" si="1"/>
        <v>4794</v>
      </c>
      <c r="U8" s="151">
        <v>4554.3</v>
      </c>
      <c r="V8" s="145"/>
      <c r="W8" s="145"/>
      <c r="X8" s="145"/>
      <c r="Y8" s="145"/>
      <c r="Z8" s="145"/>
      <c r="AA8" s="145"/>
      <c r="AB8" s="145"/>
      <c r="AC8" s="145"/>
      <c r="AD8" s="145"/>
      <c r="AE8" s="145"/>
      <c r="AF8" s="145"/>
      <c r="AG8" s="144"/>
      <c r="AH8" s="144"/>
      <c r="AI8" s="144"/>
      <c r="AJ8" s="144"/>
      <c r="AK8" s="144"/>
    </row>
    <row r="9" ht="22.5" customHeight="1">
      <c r="A9" s="152" t="s">
        <v>2953</v>
      </c>
      <c r="B9" s="152" t="s">
        <v>2982</v>
      </c>
      <c r="C9" s="152" t="s">
        <v>2964</v>
      </c>
      <c r="D9" s="146" t="s">
        <v>1142</v>
      </c>
      <c r="E9" s="154" t="s">
        <v>1143</v>
      </c>
      <c r="F9" s="158" t="s">
        <v>974</v>
      </c>
      <c r="G9" s="165">
        <v>275.0</v>
      </c>
      <c r="H9" s="166" t="s">
        <v>2521</v>
      </c>
      <c r="I9" s="154" t="s">
        <v>2522</v>
      </c>
      <c r="J9" s="158" t="s">
        <v>70</v>
      </c>
      <c r="K9" s="158">
        <v>649.0</v>
      </c>
      <c r="L9" s="154" t="s">
        <v>2985</v>
      </c>
      <c r="M9" s="154" t="s">
        <v>1837</v>
      </c>
      <c r="N9" s="158" t="s">
        <v>85</v>
      </c>
      <c r="O9" s="152">
        <v>525.0</v>
      </c>
      <c r="P9" s="145" t="s">
        <v>437</v>
      </c>
      <c r="Q9" s="154" t="s">
        <v>438</v>
      </c>
      <c r="R9" s="152" t="s">
        <v>85</v>
      </c>
      <c r="S9" s="152">
        <v>445.0</v>
      </c>
      <c r="T9" s="145">
        <f t="shared" si="1"/>
        <v>1894</v>
      </c>
      <c r="U9" s="155">
        <v>1799.3000000000002</v>
      </c>
      <c r="V9" s="152"/>
      <c r="W9" s="152"/>
      <c r="X9" s="152"/>
      <c r="Y9" s="152"/>
      <c r="Z9" s="152"/>
      <c r="AA9" s="152"/>
      <c r="AB9" s="152"/>
      <c r="AC9" s="152"/>
      <c r="AD9" s="152"/>
      <c r="AE9" s="152"/>
      <c r="AF9" s="152"/>
      <c r="AG9" s="144"/>
      <c r="AH9" s="144"/>
      <c r="AI9" s="144"/>
      <c r="AJ9" s="144"/>
      <c r="AK9" s="144"/>
    </row>
    <row r="10" ht="22.5" customHeight="1">
      <c r="A10" s="145" t="s">
        <v>2953</v>
      </c>
      <c r="B10" s="145" t="s">
        <v>2986</v>
      </c>
      <c r="C10" s="145" t="s">
        <v>2955</v>
      </c>
      <c r="D10" s="146" t="s">
        <v>2225</v>
      </c>
      <c r="E10" s="160" t="s">
        <v>2226</v>
      </c>
      <c r="F10" s="159" t="s">
        <v>322</v>
      </c>
      <c r="G10" s="159">
        <v>1054.0</v>
      </c>
      <c r="H10" s="154" t="s">
        <v>2040</v>
      </c>
      <c r="I10" s="160" t="s">
        <v>2041</v>
      </c>
      <c r="J10" s="159" t="s">
        <v>454</v>
      </c>
      <c r="K10" s="159">
        <v>850.0</v>
      </c>
      <c r="L10" s="146" t="s">
        <v>2969</v>
      </c>
      <c r="M10" s="148" t="s">
        <v>2970</v>
      </c>
      <c r="N10" s="145" t="s">
        <v>2971</v>
      </c>
      <c r="O10" s="145">
        <v>850.0</v>
      </c>
      <c r="P10" s="146" t="s">
        <v>2987</v>
      </c>
      <c r="Q10" s="148" t="s">
        <v>2988</v>
      </c>
      <c r="R10" s="145" t="s">
        <v>2963</v>
      </c>
      <c r="S10" s="145">
        <v>1410.0</v>
      </c>
      <c r="T10" s="145">
        <f t="shared" si="1"/>
        <v>4164</v>
      </c>
      <c r="U10" s="151">
        <v>3955.8</v>
      </c>
      <c r="V10" s="145"/>
      <c r="W10" s="145"/>
      <c r="X10" s="145"/>
      <c r="Y10" s="145"/>
      <c r="Z10" s="145"/>
      <c r="AA10" s="145"/>
      <c r="AB10" s="145"/>
      <c r="AC10" s="145"/>
      <c r="AD10" s="145"/>
      <c r="AE10" s="145"/>
      <c r="AF10" s="145"/>
      <c r="AG10" s="144"/>
      <c r="AH10" s="144"/>
      <c r="AI10" s="144"/>
      <c r="AJ10" s="144"/>
      <c r="AK10" s="144"/>
    </row>
    <row r="11" ht="22.5" customHeight="1">
      <c r="A11" s="152" t="s">
        <v>2953</v>
      </c>
      <c r="B11" s="152" t="s">
        <v>2986</v>
      </c>
      <c r="C11" s="152" t="s">
        <v>2964</v>
      </c>
      <c r="D11" s="146" t="s">
        <v>149</v>
      </c>
      <c r="E11" s="154" t="s">
        <v>150</v>
      </c>
      <c r="F11" s="167" t="s">
        <v>152</v>
      </c>
      <c r="G11" s="165">
        <v>299.0</v>
      </c>
      <c r="H11" s="154" t="s">
        <v>1829</v>
      </c>
      <c r="I11" s="154" t="s">
        <v>1830</v>
      </c>
      <c r="J11" s="158" t="s">
        <v>70</v>
      </c>
      <c r="K11" s="158">
        <v>790.0</v>
      </c>
      <c r="L11" s="146" t="s">
        <v>928</v>
      </c>
      <c r="M11" s="154" t="s">
        <v>929</v>
      </c>
      <c r="N11" s="158" t="s">
        <v>85</v>
      </c>
      <c r="O11" s="152">
        <v>349.0</v>
      </c>
      <c r="P11" s="145" t="s">
        <v>1182</v>
      </c>
      <c r="Q11" s="154" t="s">
        <v>1183</v>
      </c>
      <c r="R11" s="152" t="s">
        <v>85</v>
      </c>
      <c r="S11" s="152">
        <v>500.0</v>
      </c>
      <c r="T11" s="145">
        <f t="shared" si="1"/>
        <v>1938</v>
      </c>
      <c r="U11" s="155">
        <v>1841.1</v>
      </c>
      <c r="V11" s="152"/>
      <c r="W11" s="152"/>
      <c r="X11" s="152"/>
      <c r="Y11" s="152"/>
      <c r="Z11" s="152"/>
      <c r="AA11" s="152"/>
      <c r="AB11" s="152"/>
      <c r="AC11" s="152"/>
      <c r="AD11" s="152"/>
      <c r="AE11" s="152"/>
      <c r="AF11" s="152"/>
      <c r="AG11" s="144"/>
      <c r="AH11" s="144"/>
      <c r="AI11" s="144"/>
      <c r="AJ11" s="144"/>
      <c r="AK11" s="144"/>
    </row>
    <row r="12" ht="22.5" customHeight="1">
      <c r="A12" s="145" t="s">
        <v>2989</v>
      </c>
      <c r="B12" s="145" t="s">
        <v>2982</v>
      </c>
      <c r="C12" s="145" t="s">
        <v>2955</v>
      </c>
      <c r="D12" s="146" t="s">
        <v>1562</v>
      </c>
      <c r="E12" s="160" t="s">
        <v>1563</v>
      </c>
      <c r="F12" s="159" t="s">
        <v>101</v>
      </c>
      <c r="G12" s="159">
        <v>1549.0</v>
      </c>
      <c r="H12" s="146" t="s">
        <v>2990</v>
      </c>
      <c r="I12" s="168" t="s">
        <v>2991</v>
      </c>
      <c r="J12" s="145" t="s">
        <v>2992</v>
      </c>
      <c r="K12" s="145">
        <v>283.0</v>
      </c>
      <c r="L12" s="146" t="s">
        <v>2993</v>
      </c>
      <c r="M12" s="168" t="s">
        <v>2994</v>
      </c>
      <c r="N12" s="159" t="s">
        <v>2995</v>
      </c>
      <c r="O12" s="145">
        <v>1950.0</v>
      </c>
      <c r="P12" s="145" t="s">
        <v>1286</v>
      </c>
      <c r="Q12" s="160" t="s">
        <v>1287</v>
      </c>
      <c r="R12" s="145" t="s">
        <v>454</v>
      </c>
      <c r="S12" s="145">
        <v>1750.0</v>
      </c>
      <c r="T12" s="145">
        <f t="shared" si="1"/>
        <v>5532</v>
      </c>
      <c r="U12" s="151">
        <v>5255.4</v>
      </c>
      <c r="V12" s="145"/>
      <c r="W12" s="145"/>
      <c r="X12" s="145"/>
      <c r="Y12" s="145"/>
      <c r="Z12" s="145"/>
      <c r="AA12" s="145"/>
      <c r="AB12" s="145"/>
      <c r="AC12" s="145"/>
      <c r="AD12" s="145"/>
      <c r="AE12" s="145"/>
      <c r="AF12" s="145"/>
      <c r="AG12" s="144"/>
      <c r="AH12" s="144"/>
      <c r="AI12" s="144"/>
      <c r="AJ12" s="144"/>
      <c r="AK12" s="144"/>
    </row>
    <row r="13" ht="22.5" customHeight="1">
      <c r="A13" s="152" t="s">
        <v>2989</v>
      </c>
      <c r="B13" s="152" t="s">
        <v>2982</v>
      </c>
      <c r="C13" s="152" t="s">
        <v>2964</v>
      </c>
      <c r="D13" s="146" t="s">
        <v>397</v>
      </c>
      <c r="E13" s="154" t="s">
        <v>398</v>
      </c>
      <c r="F13" s="158" t="s">
        <v>54</v>
      </c>
      <c r="G13" s="165">
        <v>249.0</v>
      </c>
      <c r="H13" s="146" t="s">
        <v>2990</v>
      </c>
      <c r="I13" s="168" t="s">
        <v>2991</v>
      </c>
      <c r="J13" s="152" t="s">
        <v>2996</v>
      </c>
      <c r="K13" s="152">
        <v>283.0</v>
      </c>
      <c r="L13" s="154" t="s">
        <v>1912</v>
      </c>
      <c r="M13" s="154" t="s">
        <v>1913</v>
      </c>
      <c r="N13" s="158" t="s">
        <v>1710</v>
      </c>
      <c r="O13" s="152">
        <v>820.0</v>
      </c>
      <c r="P13" s="149" t="s">
        <v>2763</v>
      </c>
      <c r="Q13" s="154" t="s">
        <v>2764</v>
      </c>
      <c r="R13" s="152" t="s">
        <v>85</v>
      </c>
      <c r="S13" s="152">
        <v>399.0</v>
      </c>
      <c r="T13" s="145">
        <f t="shared" si="1"/>
        <v>1751</v>
      </c>
      <c r="U13" s="155">
        <v>1663.45</v>
      </c>
      <c r="V13" s="152"/>
      <c r="W13" s="152"/>
      <c r="X13" s="152"/>
      <c r="Y13" s="152"/>
      <c r="Z13" s="152"/>
      <c r="AA13" s="152"/>
      <c r="AB13" s="152"/>
      <c r="AC13" s="152"/>
      <c r="AD13" s="152"/>
      <c r="AE13" s="152"/>
      <c r="AF13" s="152"/>
      <c r="AG13" s="144"/>
      <c r="AH13" s="144"/>
      <c r="AI13" s="144"/>
      <c r="AJ13" s="144"/>
      <c r="AK13" s="144"/>
    </row>
    <row r="14" ht="22.5" customHeight="1">
      <c r="A14" s="145" t="s">
        <v>2989</v>
      </c>
      <c r="B14" s="145" t="s">
        <v>2986</v>
      </c>
      <c r="C14" s="145" t="s">
        <v>2955</v>
      </c>
      <c r="D14" s="146" t="s">
        <v>2154</v>
      </c>
      <c r="E14" s="160" t="s">
        <v>2155</v>
      </c>
      <c r="F14" s="159" t="s">
        <v>322</v>
      </c>
      <c r="G14" s="159">
        <v>799.0</v>
      </c>
      <c r="H14" s="154" t="s">
        <v>1412</v>
      </c>
      <c r="I14" s="168" t="s">
        <v>1413</v>
      </c>
      <c r="J14" s="152" t="s">
        <v>70</v>
      </c>
      <c r="K14" s="152">
        <v>2850.0</v>
      </c>
      <c r="L14" s="154" t="s">
        <v>1896</v>
      </c>
      <c r="M14" s="160" t="s">
        <v>1897</v>
      </c>
      <c r="N14" s="159" t="s">
        <v>101</v>
      </c>
      <c r="O14" s="145">
        <v>799.0</v>
      </c>
      <c r="P14" s="145" t="s">
        <v>1554</v>
      </c>
      <c r="Q14" s="160" t="s">
        <v>1555</v>
      </c>
      <c r="R14" s="145" t="s">
        <v>1556</v>
      </c>
      <c r="S14" s="145">
        <v>1999.0</v>
      </c>
      <c r="T14" s="145">
        <f t="shared" si="1"/>
        <v>6447</v>
      </c>
      <c r="U14" s="151">
        <v>6124.65</v>
      </c>
      <c r="V14" s="145"/>
      <c r="W14" s="145"/>
      <c r="X14" s="145"/>
      <c r="Y14" s="145"/>
      <c r="Z14" s="145"/>
      <c r="AA14" s="145"/>
      <c r="AB14" s="145"/>
      <c r="AC14" s="145"/>
      <c r="AD14" s="145"/>
      <c r="AE14" s="145"/>
      <c r="AF14" s="145"/>
      <c r="AG14" s="144"/>
      <c r="AH14" s="144"/>
      <c r="AI14" s="144"/>
      <c r="AJ14" s="144"/>
      <c r="AK14" s="144"/>
    </row>
    <row r="15" ht="22.5" customHeight="1">
      <c r="A15" s="152" t="s">
        <v>2989</v>
      </c>
      <c r="B15" s="152" t="s">
        <v>2986</v>
      </c>
      <c r="C15" s="152" t="s">
        <v>2964</v>
      </c>
      <c r="D15" s="146" t="s">
        <v>2163</v>
      </c>
      <c r="E15" s="157" t="s">
        <v>2164</v>
      </c>
      <c r="F15" s="158" t="s">
        <v>322</v>
      </c>
      <c r="G15" s="158">
        <v>799.0</v>
      </c>
      <c r="H15" s="154" t="s">
        <v>273</v>
      </c>
      <c r="I15" s="154" t="s">
        <v>274</v>
      </c>
      <c r="J15" s="158" t="s">
        <v>70</v>
      </c>
      <c r="K15" s="152">
        <v>799.0</v>
      </c>
      <c r="L15" s="154" t="s">
        <v>547</v>
      </c>
      <c r="M15" s="154" t="s">
        <v>548</v>
      </c>
      <c r="N15" s="158" t="s">
        <v>549</v>
      </c>
      <c r="O15" s="152">
        <v>399.0</v>
      </c>
      <c r="P15" s="149" t="s">
        <v>2763</v>
      </c>
      <c r="Q15" s="154" t="s">
        <v>2764</v>
      </c>
      <c r="R15" s="152" t="s">
        <v>85</v>
      </c>
      <c r="S15" s="152">
        <v>399.0</v>
      </c>
      <c r="T15" s="145">
        <f t="shared" si="1"/>
        <v>2396</v>
      </c>
      <c r="U15" s="155">
        <v>2276.2000000000003</v>
      </c>
      <c r="V15" s="152"/>
      <c r="W15" s="152"/>
      <c r="X15" s="152"/>
      <c r="Y15" s="152"/>
      <c r="Z15" s="152"/>
      <c r="AA15" s="152"/>
      <c r="AB15" s="152"/>
      <c r="AC15" s="152"/>
      <c r="AD15" s="152"/>
      <c r="AE15" s="152"/>
      <c r="AF15" s="152"/>
      <c r="AG15" s="144"/>
      <c r="AH15" s="144"/>
      <c r="AI15" s="144"/>
      <c r="AJ15" s="144"/>
      <c r="AK15" s="144"/>
    </row>
    <row r="16" ht="22.5" customHeight="1">
      <c r="A16" s="145" t="s">
        <v>2989</v>
      </c>
      <c r="B16" s="145" t="s">
        <v>28</v>
      </c>
      <c r="C16" s="145" t="s">
        <v>2955</v>
      </c>
      <c r="D16" s="146" t="s">
        <v>2154</v>
      </c>
      <c r="E16" s="160" t="s">
        <v>2155</v>
      </c>
      <c r="F16" s="159" t="s">
        <v>322</v>
      </c>
      <c r="G16" s="159">
        <v>799.0</v>
      </c>
      <c r="H16" s="154" t="s">
        <v>1420</v>
      </c>
      <c r="I16" s="160" t="s">
        <v>1421</v>
      </c>
      <c r="J16" s="159" t="s">
        <v>70</v>
      </c>
      <c r="K16" s="145">
        <v>2650.0</v>
      </c>
      <c r="L16" s="146" t="s">
        <v>2993</v>
      </c>
      <c r="M16" s="168" t="s">
        <v>2994</v>
      </c>
      <c r="N16" s="159" t="s">
        <v>2995</v>
      </c>
      <c r="O16" s="145">
        <v>1950.0</v>
      </c>
      <c r="P16" s="145" t="s">
        <v>1350</v>
      </c>
      <c r="Q16" s="160" t="s">
        <v>1351</v>
      </c>
      <c r="R16" s="145" t="s">
        <v>70</v>
      </c>
      <c r="S16" s="145">
        <v>849.0</v>
      </c>
      <c r="T16" s="145">
        <f t="shared" si="1"/>
        <v>6248</v>
      </c>
      <c r="U16" s="151">
        <v>5935.599999999999</v>
      </c>
      <c r="V16" s="145"/>
      <c r="W16" s="145"/>
      <c r="X16" s="145"/>
      <c r="Y16" s="145"/>
      <c r="Z16" s="145"/>
      <c r="AA16" s="145"/>
      <c r="AB16" s="145"/>
      <c r="AC16" s="145"/>
      <c r="AD16" s="145"/>
      <c r="AE16" s="145"/>
      <c r="AF16" s="145"/>
      <c r="AG16" s="144"/>
      <c r="AH16" s="144"/>
      <c r="AI16" s="144"/>
      <c r="AJ16" s="144"/>
      <c r="AK16" s="144"/>
    </row>
    <row r="17" ht="22.5" customHeight="1">
      <c r="A17" s="152" t="s">
        <v>2989</v>
      </c>
      <c r="B17" s="152" t="s">
        <v>28</v>
      </c>
      <c r="C17" s="152" t="s">
        <v>2964</v>
      </c>
      <c r="D17" s="146" t="s">
        <v>2212</v>
      </c>
      <c r="E17" s="154" t="s">
        <v>2213</v>
      </c>
      <c r="F17" s="158" t="s">
        <v>126</v>
      </c>
      <c r="G17" s="158">
        <v>315.0</v>
      </c>
      <c r="H17" s="166" t="s">
        <v>2609</v>
      </c>
      <c r="I17" s="154" t="s">
        <v>2610</v>
      </c>
      <c r="J17" s="158" t="s">
        <v>70</v>
      </c>
      <c r="K17" s="158">
        <v>699.0</v>
      </c>
      <c r="L17" s="166" t="s">
        <v>2376</v>
      </c>
      <c r="M17" s="154" t="s">
        <v>2377</v>
      </c>
      <c r="N17" s="158" t="s">
        <v>549</v>
      </c>
      <c r="O17" s="152">
        <v>295.0</v>
      </c>
      <c r="P17" s="145" t="s">
        <v>749</v>
      </c>
      <c r="Q17" s="154" t="s">
        <v>750</v>
      </c>
      <c r="R17" s="152" t="s">
        <v>85</v>
      </c>
      <c r="S17" s="152">
        <v>449.0</v>
      </c>
      <c r="T17" s="145">
        <f t="shared" si="1"/>
        <v>1758</v>
      </c>
      <c r="U17" s="155">
        <v>1670.1</v>
      </c>
      <c r="V17" s="152"/>
      <c r="W17" s="152"/>
      <c r="X17" s="152"/>
      <c r="Y17" s="152"/>
      <c r="Z17" s="152"/>
      <c r="AA17" s="152"/>
      <c r="AB17" s="152"/>
      <c r="AC17" s="152"/>
      <c r="AD17" s="152"/>
      <c r="AE17" s="152"/>
      <c r="AF17" s="152"/>
      <c r="AG17" s="144"/>
      <c r="AH17" s="144"/>
      <c r="AI17" s="144"/>
      <c r="AJ17" s="144"/>
      <c r="AK17" s="144"/>
    </row>
    <row r="18" ht="22.5" customHeight="1">
      <c r="A18" s="145" t="s">
        <v>2997</v>
      </c>
      <c r="B18" s="145" t="s">
        <v>2954</v>
      </c>
      <c r="C18" s="145" t="s">
        <v>2955</v>
      </c>
      <c r="D18" s="146" t="s">
        <v>2183</v>
      </c>
      <c r="E18" s="150" t="s">
        <v>2184</v>
      </c>
      <c r="F18" s="147" t="s">
        <v>2846</v>
      </c>
      <c r="G18" s="145">
        <v>850.0</v>
      </c>
      <c r="H18" s="156" t="s">
        <v>1967</v>
      </c>
      <c r="I18" s="169" t="s">
        <v>2968</v>
      </c>
      <c r="J18" s="145" t="s">
        <v>2959</v>
      </c>
      <c r="K18" s="145">
        <v>347.0</v>
      </c>
      <c r="L18" s="146" t="s">
        <v>2998</v>
      </c>
      <c r="M18" s="168" t="s">
        <v>2999</v>
      </c>
      <c r="N18" s="159" t="s">
        <v>85</v>
      </c>
      <c r="O18" s="145">
        <v>1550.0</v>
      </c>
      <c r="P18" s="149" t="s">
        <v>2737</v>
      </c>
      <c r="Q18" s="160" t="s">
        <v>2738</v>
      </c>
      <c r="R18" s="145" t="s">
        <v>454</v>
      </c>
      <c r="S18" s="145">
        <v>1570.0</v>
      </c>
      <c r="T18" s="145">
        <f t="shared" si="1"/>
        <v>4317</v>
      </c>
      <c r="U18" s="151">
        <v>4101.150000000001</v>
      </c>
      <c r="V18" s="145"/>
      <c r="W18" s="145"/>
      <c r="X18" s="145"/>
      <c r="Y18" s="145"/>
      <c r="Z18" s="145"/>
      <c r="AA18" s="145"/>
      <c r="AB18" s="145"/>
      <c r="AC18" s="145"/>
      <c r="AD18" s="145"/>
      <c r="AE18" s="145"/>
      <c r="AF18" s="145"/>
      <c r="AG18" s="144"/>
      <c r="AH18" s="144"/>
      <c r="AI18" s="144"/>
      <c r="AJ18" s="144"/>
      <c r="AK18" s="144"/>
    </row>
    <row r="19" ht="22.5" customHeight="1">
      <c r="A19" s="152" t="s">
        <v>2997</v>
      </c>
      <c r="B19" s="152" t="s">
        <v>2954</v>
      </c>
      <c r="C19" s="152" t="s">
        <v>2964</v>
      </c>
      <c r="D19" s="146" t="s">
        <v>297</v>
      </c>
      <c r="E19" s="154" t="s">
        <v>298</v>
      </c>
      <c r="F19" s="158" t="s">
        <v>54</v>
      </c>
      <c r="G19" s="165">
        <v>299.0</v>
      </c>
      <c r="H19" s="156" t="s">
        <v>1967</v>
      </c>
      <c r="I19" s="157" t="s">
        <v>2968</v>
      </c>
      <c r="J19" s="152" t="s">
        <v>2959</v>
      </c>
      <c r="K19" s="152">
        <v>347.0</v>
      </c>
      <c r="L19" s="154" t="s">
        <v>556</v>
      </c>
      <c r="M19" s="154" t="s">
        <v>557</v>
      </c>
      <c r="N19" s="158" t="s">
        <v>85</v>
      </c>
      <c r="O19" s="152">
        <v>399.0</v>
      </c>
      <c r="P19" s="145" t="s">
        <v>1128</v>
      </c>
      <c r="Q19" s="154" t="s">
        <v>1129</v>
      </c>
      <c r="R19" s="152" t="s">
        <v>974</v>
      </c>
      <c r="S19" s="152">
        <v>499.0</v>
      </c>
      <c r="T19" s="145">
        <f t="shared" si="1"/>
        <v>1544</v>
      </c>
      <c r="U19" s="155">
        <v>1466.8</v>
      </c>
      <c r="V19" s="152"/>
      <c r="W19" s="152"/>
      <c r="X19" s="152"/>
      <c r="Y19" s="152"/>
      <c r="Z19" s="152"/>
      <c r="AA19" s="152"/>
      <c r="AB19" s="152"/>
      <c r="AC19" s="152"/>
      <c r="AD19" s="152"/>
      <c r="AE19" s="152"/>
      <c r="AF19" s="152"/>
      <c r="AG19" s="144"/>
      <c r="AH19" s="144"/>
      <c r="AI19" s="144"/>
      <c r="AJ19" s="144"/>
      <c r="AK19" s="144"/>
    </row>
    <row r="20" ht="22.5" customHeight="1">
      <c r="A20" s="145" t="s">
        <v>2997</v>
      </c>
      <c r="B20" s="145" t="s">
        <v>2967</v>
      </c>
      <c r="C20" s="145" t="s">
        <v>2955</v>
      </c>
      <c r="D20" s="146" t="s">
        <v>2183</v>
      </c>
      <c r="E20" s="150" t="s">
        <v>2184</v>
      </c>
      <c r="F20" s="147" t="s">
        <v>2846</v>
      </c>
      <c r="G20" s="145">
        <v>850.0</v>
      </c>
      <c r="H20" s="166" t="s">
        <v>2481</v>
      </c>
      <c r="I20" s="160" t="s">
        <v>2482</v>
      </c>
      <c r="J20" s="159" t="s">
        <v>70</v>
      </c>
      <c r="K20" s="159">
        <v>649.0</v>
      </c>
      <c r="L20" s="154" t="s">
        <v>1723</v>
      </c>
      <c r="M20" s="160" t="s">
        <v>1724</v>
      </c>
      <c r="N20" s="159" t="s">
        <v>454</v>
      </c>
      <c r="O20" s="145">
        <v>2900.0</v>
      </c>
      <c r="P20" s="170" t="s">
        <v>3000</v>
      </c>
      <c r="Q20" s="171" t="s">
        <v>3001</v>
      </c>
      <c r="R20" s="172" t="s">
        <v>2979</v>
      </c>
      <c r="S20" s="173">
        <v>1400.0</v>
      </c>
      <c r="T20" s="145">
        <f t="shared" si="1"/>
        <v>5799</v>
      </c>
      <c r="U20" s="151">
        <v>5509.05</v>
      </c>
      <c r="V20" s="145"/>
      <c r="W20" s="145"/>
      <c r="X20" s="145"/>
      <c r="Y20" s="145"/>
      <c r="Z20" s="145"/>
      <c r="AA20" s="145"/>
      <c r="AB20" s="145"/>
      <c r="AC20" s="145"/>
      <c r="AD20" s="145"/>
      <c r="AE20" s="145"/>
      <c r="AF20" s="145"/>
      <c r="AG20" s="144"/>
      <c r="AH20" s="144"/>
      <c r="AI20" s="144"/>
      <c r="AJ20" s="144"/>
      <c r="AK20" s="144"/>
    </row>
    <row r="21" ht="22.5" customHeight="1">
      <c r="A21" s="152" t="s">
        <v>2997</v>
      </c>
      <c r="B21" s="152" t="s">
        <v>2967</v>
      </c>
      <c r="C21" s="152" t="s">
        <v>2964</v>
      </c>
      <c r="D21" s="146" t="s">
        <v>388</v>
      </c>
      <c r="E21" s="154" t="s">
        <v>389</v>
      </c>
      <c r="F21" s="158" t="s">
        <v>54</v>
      </c>
      <c r="G21" s="165">
        <v>249.0</v>
      </c>
      <c r="H21" s="166" t="s">
        <v>2481</v>
      </c>
      <c r="I21" s="154" t="s">
        <v>2482</v>
      </c>
      <c r="J21" s="158" t="s">
        <v>70</v>
      </c>
      <c r="K21" s="158">
        <v>649.0</v>
      </c>
      <c r="L21" s="146" t="s">
        <v>2977</v>
      </c>
      <c r="M21" s="161" t="s">
        <v>2978</v>
      </c>
      <c r="N21" s="167" t="s">
        <v>2979</v>
      </c>
      <c r="O21" s="152">
        <v>1550.0</v>
      </c>
      <c r="P21" s="145" t="s">
        <v>1128</v>
      </c>
      <c r="Q21" s="154" t="s">
        <v>1129</v>
      </c>
      <c r="R21" s="152" t="s">
        <v>974</v>
      </c>
      <c r="S21" s="152">
        <v>499.0</v>
      </c>
      <c r="T21" s="145">
        <f t="shared" si="1"/>
        <v>2947</v>
      </c>
      <c r="U21" s="155">
        <v>2799.65</v>
      </c>
      <c r="V21" s="152"/>
      <c r="W21" s="152"/>
      <c r="X21" s="152"/>
      <c r="Y21" s="152"/>
      <c r="Z21" s="152"/>
      <c r="AA21" s="152"/>
      <c r="AB21" s="152"/>
      <c r="AC21" s="152"/>
      <c r="AD21" s="152"/>
      <c r="AE21" s="152"/>
      <c r="AF21" s="152"/>
      <c r="AG21" s="144"/>
      <c r="AH21" s="144"/>
      <c r="AI21" s="144"/>
      <c r="AJ21" s="144"/>
      <c r="AK21" s="144"/>
    </row>
    <row r="22" ht="22.5" customHeight="1">
      <c r="A22" s="145" t="s">
        <v>2997</v>
      </c>
      <c r="B22" s="145" t="s">
        <v>2974</v>
      </c>
      <c r="C22" s="145" t="s">
        <v>2955</v>
      </c>
      <c r="D22" s="156" t="s">
        <v>2975</v>
      </c>
      <c r="E22" s="148" t="s">
        <v>2976</v>
      </c>
      <c r="F22" s="159" t="s">
        <v>1306</v>
      </c>
      <c r="G22" s="159">
        <v>1400.0</v>
      </c>
      <c r="H22" s="146" t="s">
        <v>3002</v>
      </c>
      <c r="I22" s="148" t="s">
        <v>3003</v>
      </c>
      <c r="J22" s="145" t="s">
        <v>70</v>
      </c>
      <c r="K22" s="145">
        <v>250.0</v>
      </c>
      <c r="L22" s="146" t="s">
        <v>3004</v>
      </c>
      <c r="M22" s="161" t="s">
        <v>3005</v>
      </c>
      <c r="N22" s="145" t="s">
        <v>1306</v>
      </c>
      <c r="O22" s="145">
        <v>1570.0</v>
      </c>
      <c r="P22" s="146" t="s">
        <v>2980</v>
      </c>
      <c r="Q22" s="148" t="s">
        <v>2981</v>
      </c>
      <c r="R22" s="145" t="s">
        <v>2963</v>
      </c>
      <c r="S22" s="145">
        <v>2399.0</v>
      </c>
      <c r="T22" s="145">
        <f t="shared" si="1"/>
        <v>5619</v>
      </c>
      <c r="U22" s="151">
        <v>5338.05</v>
      </c>
      <c r="V22" s="145"/>
      <c r="W22" s="145"/>
      <c r="X22" s="145"/>
      <c r="Y22" s="145"/>
      <c r="Z22" s="145"/>
      <c r="AA22" s="145"/>
      <c r="AB22" s="145"/>
      <c r="AC22" s="145"/>
      <c r="AD22" s="145"/>
      <c r="AE22" s="145"/>
      <c r="AF22" s="145"/>
      <c r="AG22" s="144"/>
      <c r="AH22" s="144"/>
      <c r="AI22" s="144"/>
      <c r="AJ22" s="144"/>
      <c r="AK22" s="144"/>
    </row>
    <row r="23" ht="22.5" customHeight="1">
      <c r="A23" s="152" t="s">
        <v>2997</v>
      </c>
      <c r="B23" s="152" t="s">
        <v>2974</v>
      </c>
      <c r="C23" s="152" t="s">
        <v>2964</v>
      </c>
      <c r="D23" s="146" t="s">
        <v>2175</v>
      </c>
      <c r="E23" s="154" t="s">
        <v>2176</v>
      </c>
      <c r="F23" s="158" t="s">
        <v>2846</v>
      </c>
      <c r="G23" s="158">
        <v>850.0</v>
      </c>
      <c r="H23" s="146" t="s">
        <v>3002</v>
      </c>
      <c r="I23" s="148" t="s">
        <v>3003</v>
      </c>
      <c r="J23" s="152" t="s">
        <v>70</v>
      </c>
      <c r="K23" s="152">
        <v>250.0</v>
      </c>
      <c r="L23" s="154" t="s">
        <v>1781</v>
      </c>
      <c r="M23" s="154" t="s">
        <v>1782</v>
      </c>
      <c r="N23" s="158" t="s">
        <v>454</v>
      </c>
      <c r="O23" s="152">
        <v>470.0</v>
      </c>
      <c r="P23" s="145" t="s">
        <v>772</v>
      </c>
      <c r="Q23" s="154" t="s">
        <v>773</v>
      </c>
      <c r="R23" s="152" t="s">
        <v>85</v>
      </c>
      <c r="S23" s="152">
        <v>699.0</v>
      </c>
      <c r="T23" s="145">
        <f t="shared" si="1"/>
        <v>2269</v>
      </c>
      <c r="U23" s="155">
        <v>2155.55</v>
      </c>
      <c r="V23" s="152"/>
      <c r="W23" s="152"/>
      <c r="X23" s="152"/>
      <c r="Y23" s="152"/>
      <c r="Z23" s="152"/>
      <c r="AA23" s="152"/>
      <c r="AB23" s="152"/>
      <c r="AC23" s="152"/>
      <c r="AD23" s="152"/>
      <c r="AE23" s="152"/>
      <c r="AF23" s="152"/>
      <c r="AG23" s="144"/>
      <c r="AH23" s="144"/>
      <c r="AI23" s="144"/>
      <c r="AJ23" s="144"/>
      <c r="AK23" s="144"/>
    </row>
    <row r="24" ht="22.5" customHeight="1">
      <c r="A24" s="145" t="s">
        <v>2997</v>
      </c>
      <c r="B24" s="145" t="s">
        <v>2982</v>
      </c>
      <c r="C24" s="145" t="s">
        <v>2955</v>
      </c>
      <c r="D24" s="146" t="s">
        <v>2183</v>
      </c>
      <c r="E24" s="150" t="s">
        <v>2184</v>
      </c>
      <c r="F24" s="147" t="s">
        <v>2846</v>
      </c>
      <c r="G24" s="145">
        <v>850.0</v>
      </c>
      <c r="H24" s="166" t="s">
        <v>2903</v>
      </c>
      <c r="I24" s="160" t="s">
        <v>2904</v>
      </c>
      <c r="J24" s="159" t="s">
        <v>70</v>
      </c>
      <c r="K24" s="159">
        <v>745.0</v>
      </c>
      <c r="L24" s="146" t="s">
        <v>2969</v>
      </c>
      <c r="M24" s="148" t="s">
        <v>2970</v>
      </c>
      <c r="N24" s="145" t="s">
        <v>2971</v>
      </c>
      <c r="O24" s="145">
        <v>850.0</v>
      </c>
      <c r="P24" s="170" t="s">
        <v>3000</v>
      </c>
      <c r="Q24" s="171" t="s">
        <v>3001</v>
      </c>
      <c r="R24" s="172" t="s">
        <v>2979</v>
      </c>
      <c r="S24" s="173">
        <v>1400.0</v>
      </c>
      <c r="T24" s="145">
        <f t="shared" si="1"/>
        <v>3845</v>
      </c>
      <c r="U24" s="151">
        <v>3652.7500000000005</v>
      </c>
      <c r="V24" s="145"/>
      <c r="W24" s="145"/>
      <c r="X24" s="145"/>
      <c r="Y24" s="145"/>
      <c r="Z24" s="145"/>
      <c r="AA24" s="145"/>
      <c r="AB24" s="145"/>
      <c r="AC24" s="145"/>
      <c r="AD24" s="145"/>
      <c r="AE24" s="145"/>
      <c r="AF24" s="145"/>
      <c r="AG24" s="144"/>
      <c r="AH24" s="144"/>
      <c r="AI24" s="144"/>
      <c r="AJ24" s="144"/>
      <c r="AK24" s="144"/>
    </row>
    <row r="25" ht="22.5" customHeight="1">
      <c r="A25" s="152" t="s">
        <v>2997</v>
      </c>
      <c r="B25" s="152" t="s">
        <v>2982</v>
      </c>
      <c r="C25" s="152" t="s">
        <v>2964</v>
      </c>
      <c r="D25" s="146" t="s">
        <v>2219</v>
      </c>
      <c r="E25" s="154" t="s">
        <v>2220</v>
      </c>
      <c r="F25" s="158" t="s">
        <v>54</v>
      </c>
      <c r="G25" s="158">
        <v>230.0</v>
      </c>
      <c r="H25" s="166" t="s">
        <v>2903</v>
      </c>
      <c r="I25" s="154" t="s">
        <v>2904</v>
      </c>
      <c r="J25" s="158" t="s">
        <v>70</v>
      </c>
      <c r="K25" s="158">
        <v>745.0</v>
      </c>
      <c r="L25" s="154" t="s">
        <v>835</v>
      </c>
      <c r="M25" s="154" t="s">
        <v>836</v>
      </c>
      <c r="N25" s="158" t="s">
        <v>85</v>
      </c>
      <c r="O25" s="152">
        <v>349.0</v>
      </c>
      <c r="P25" s="149" t="s">
        <v>2763</v>
      </c>
      <c r="Q25" s="154" t="s">
        <v>2764</v>
      </c>
      <c r="R25" s="152" t="s">
        <v>85</v>
      </c>
      <c r="S25" s="152">
        <v>399.0</v>
      </c>
      <c r="T25" s="145">
        <f t="shared" si="1"/>
        <v>1723</v>
      </c>
      <c r="U25" s="155">
        <v>1636.8500000000001</v>
      </c>
      <c r="V25" s="152"/>
      <c r="W25" s="152"/>
      <c r="X25" s="152"/>
      <c r="Y25" s="152"/>
      <c r="Z25" s="152"/>
      <c r="AA25" s="152"/>
      <c r="AB25" s="152"/>
      <c r="AC25" s="152"/>
      <c r="AD25" s="152"/>
      <c r="AE25" s="152"/>
      <c r="AF25" s="152"/>
      <c r="AG25" s="144"/>
      <c r="AH25" s="144"/>
      <c r="AI25" s="144"/>
      <c r="AJ25" s="144"/>
      <c r="AK25" s="144"/>
    </row>
    <row r="26" ht="22.5" customHeight="1">
      <c r="A26" s="145" t="s">
        <v>2997</v>
      </c>
      <c r="B26" s="145" t="s">
        <v>2986</v>
      </c>
      <c r="C26" s="145" t="s">
        <v>2955</v>
      </c>
      <c r="D26" s="156" t="s">
        <v>3006</v>
      </c>
      <c r="E26" s="148" t="s">
        <v>3007</v>
      </c>
      <c r="F26" s="159" t="s">
        <v>54</v>
      </c>
      <c r="G26" s="145">
        <v>1080.0</v>
      </c>
      <c r="H26" s="166" t="s">
        <v>2586</v>
      </c>
      <c r="I26" s="160" t="s">
        <v>2587</v>
      </c>
      <c r="J26" s="159" t="s">
        <v>70</v>
      </c>
      <c r="K26" s="162">
        <v>875.0</v>
      </c>
      <c r="L26" s="154" t="s">
        <v>1723</v>
      </c>
      <c r="M26" s="160" t="s">
        <v>1724</v>
      </c>
      <c r="N26" s="159" t="s">
        <v>454</v>
      </c>
      <c r="O26" s="145">
        <v>2900.0</v>
      </c>
      <c r="P26" s="145" t="s">
        <v>1260</v>
      </c>
      <c r="Q26" s="160" t="s">
        <v>1261</v>
      </c>
      <c r="R26" s="145" t="s">
        <v>454</v>
      </c>
      <c r="S26" s="145">
        <v>1900.0</v>
      </c>
      <c r="T26" s="145">
        <f t="shared" si="1"/>
        <v>6755</v>
      </c>
      <c r="U26" s="151">
        <v>6417.25</v>
      </c>
      <c r="V26" s="145"/>
      <c r="W26" s="145"/>
      <c r="X26" s="145"/>
      <c r="Y26" s="145"/>
      <c r="Z26" s="145"/>
      <c r="AA26" s="145"/>
      <c r="AB26" s="145"/>
      <c r="AC26" s="145"/>
      <c r="AD26" s="145"/>
      <c r="AE26" s="145"/>
      <c r="AF26" s="145"/>
      <c r="AG26" s="144"/>
      <c r="AH26" s="144"/>
      <c r="AI26" s="144"/>
      <c r="AJ26" s="144"/>
      <c r="AK26" s="144"/>
    </row>
    <row r="27" ht="22.5" customHeight="1">
      <c r="A27" s="152" t="s">
        <v>2997</v>
      </c>
      <c r="B27" s="152" t="s">
        <v>2986</v>
      </c>
      <c r="C27" s="152" t="s">
        <v>2964</v>
      </c>
      <c r="D27" s="146" t="s">
        <v>2253</v>
      </c>
      <c r="E27" s="154" t="s">
        <v>2254</v>
      </c>
      <c r="F27" s="158" t="s">
        <v>54</v>
      </c>
      <c r="G27" s="158">
        <v>299.0</v>
      </c>
      <c r="H27" s="166" t="s">
        <v>2530</v>
      </c>
      <c r="I27" s="154" t="s">
        <v>2531</v>
      </c>
      <c r="J27" s="158" t="s">
        <v>70</v>
      </c>
      <c r="K27" s="158">
        <v>599.0</v>
      </c>
      <c r="L27" s="154" t="s">
        <v>1592</v>
      </c>
      <c r="M27" s="154" t="s">
        <v>1593</v>
      </c>
      <c r="N27" s="158" t="s">
        <v>85</v>
      </c>
      <c r="O27" s="152">
        <v>550.0</v>
      </c>
      <c r="P27" s="145" t="s">
        <v>1182</v>
      </c>
      <c r="Q27" s="154" t="s">
        <v>1183</v>
      </c>
      <c r="R27" s="152" t="s">
        <v>85</v>
      </c>
      <c r="S27" s="152">
        <v>500.0</v>
      </c>
      <c r="T27" s="145">
        <f t="shared" si="1"/>
        <v>1948</v>
      </c>
      <c r="U27" s="155">
        <v>1850.6000000000001</v>
      </c>
      <c r="V27" s="152"/>
      <c r="W27" s="152"/>
      <c r="X27" s="152"/>
      <c r="Y27" s="152"/>
      <c r="Z27" s="152"/>
      <c r="AA27" s="152"/>
      <c r="AB27" s="152"/>
      <c r="AC27" s="152"/>
      <c r="AD27" s="152"/>
      <c r="AE27" s="152"/>
      <c r="AF27" s="152"/>
      <c r="AG27" s="144"/>
      <c r="AH27" s="144"/>
      <c r="AI27" s="144"/>
      <c r="AJ27" s="144"/>
      <c r="AK27" s="144"/>
    </row>
    <row r="28" ht="22.5" customHeight="1">
      <c r="A28" s="145" t="s">
        <v>3008</v>
      </c>
      <c r="B28" s="145" t="s">
        <v>2954</v>
      </c>
      <c r="C28" s="145" t="s">
        <v>2955</v>
      </c>
      <c r="D28" s="146" t="s">
        <v>2230</v>
      </c>
      <c r="E28" s="160" t="s">
        <v>2231</v>
      </c>
      <c r="F28" s="159" t="s">
        <v>2232</v>
      </c>
      <c r="G28" s="159">
        <v>749.0</v>
      </c>
      <c r="H28" s="146" t="s">
        <v>2990</v>
      </c>
      <c r="I28" s="168" t="s">
        <v>2991</v>
      </c>
      <c r="J28" s="145" t="s">
        <v>2992</v>
      </c>
      <c r="K28" s="145">
        <v>283.0</v>
      </c>
      <c r="L28" s="146" t="s">
        <v>3009</v>
      </c>
      <c r="M28" s="168" t="s">
        <v>3010</v>
      </c>
      <c r="N28" s="145" t="s">
        <v>2979</v>
      </c>
      <c r="O28" s="145">
        <v>2250.0</v>
      </c>
      <c r="P28" s="149" t="s">
        <v>2737</v>
      </c>
      <c r="Q28" s="160" t="s">
        <v>2738</v>
      </c>
      <c r="R28" s="145" t="s">
        <v>454</v>
      </c>
      <c r="S28" s="145">
        <v>1570.0</v>
      </c>
      <c r="T28" s="145">
        <f t="shared" si="1"/>
        <v>4852</v>
      </c>
      <c r="U28" s="151">
        <v>4609.400000000001</v>
      </c>
      <c r="V28" s="145"/>
      <c r="W28" s="145"/>
      <c r="X28" s="145"/>
      <c r="Y28" s="145"/>
      <c r="Z28" s="145"/>
      <c r="AA28" s="145"/>
      <c r="AB28" s="145"/>
      <c r="AC28" s="145"/>
      <c r="AD28" s="145"/>
      <c r="AE28" s="145"/>
      <c r="AF28" s="145"/>
      <c r="AG28" s="144"/>
      <c r="AH28" s="144"/>
      <c r="AI28" s="144"/>
      <c r="AJ28" s="144"/>
      <c r="AK28" s="144"/>
    </row>
    <row r="29" ht="22.5" customHeight="1">
      <c r="A29" s="152" t="s">
        <v>3008</v>
      </c>
      <c r="B29" s="152" t="s">
        <v>2954</v>
      </c>
      <c r="C29" s="152" t="s">
        <v>2964</v>
      </c>
      <c r="D29" s="146" t="s">
        <v>2230</v>
      </c>
      <c r="E29" s="154" t="s">
        <v>2231</v>
      </c>
      <c r="F29" s="158" t="s">
        <v>2232</v>
      </c>
      <c r="G29" s="158">
        <v>749.0</v>
      </c>
      <c r="H29" s="146" t="s">
        <v>2990</v>
      </c>
      <c r="I29" s="168" t="s">
        <v>2991</v>
      </c>
      <c r="J29" s="152" t="s">
        <v>2992</v>
      </c>
      <c r="K29" s="152">
        <v>283.0</v>
      </c>
      <c r="L29" s="154" t="s">
        <v>860</v>
      </c>
      <c r="M29" s="154" t="s">
        <v>861</v>
      </c>
      <c r="N29" s="158" t="s">
        <v>85</v>
      </c>
      <c r="O29" s="152">
        <v>349.0</v>
      </c>
      <c r="P29" s="145" t="s">
        <v>356</v>
      </c>
      <c r="Q29" s="154" t="s">
        <v>357</v>
      </c>
      <c r="R29" s="152" t="s">
        <v>349</v>
      </c>
      <c r="S29" s="152">
        <v>399.0</v>
      </c>
      <c r="T29" s="145">
        <f t="shared" si="1"/>
        <v>1780</v>
      </c>
      <c r="U29" s="155">
        <v>1691.0</v>
      </c>
      <c r="V29" s="152"/>
      <c r="W29" s="152"/>
      <c r="X29" s="152"/>
      <c r="Y29" s="152"/>
      <c r="Z29" s="152"/>
      <c r="AA29" s="152"/>
      <c r="AB29" s="152"/>
      <c r="AC29" s="152"/>
      <c r="AD29" s="152"/>
      <c r="AE29" s="152"/>
      <c r="AF29" s="152"/>
      <c r="AG29" s="144"/>
      <c r="AH29" s="144"/>
      <c r="AI29" s="144"/>
      <c r="AJ29" s="144"/>
      <c r="AK29" s="144"/>
    </row>
    <row r="30" ht="22.5" customHeight="1">
      <c r="A30" s="145" t="s">
        <v>3008</v>
      </c>
      <c r="B30" s="145" t="s">
        <v>3011</v>
      </c>
      <c r="C30" s="145" t="s">
        <v>2955</v>
      </c>
      <c r="D30" s="146" t="s">
        <v>2183</v>
      </c>
      <c r="E30" s="150" t="s">
        <v>2184</v>
      </c>
      <c r="F30" s="147" t="s">
        <v>2846</v>
      </c>
      <c r="G30" s="145">
        <v>850.0</v>
      </c>
      <c r="H30" s="146" t="s">
        <v>3012</v>
      </c>
      <c r="I30" s="168" t="s">
        <v>3013</v>
      </c>
      <c r="J30" s="145" t="s">
        <v>70</v>
      </c>
      <c r="K30" s="145">
        <v>1150.0</v>
      </c>
      <c r="L30" s="146" t="s">
        <v>3009</v>
      </c>
      <c r="M30" s="168" t="s">
        <v>3010</v>
      </c>
      <c r="N30" s="145" t="s">
        <v>2979</v>
      </c>
      <c r="O30" s="145">
        <v>2250.0</v>
      </c>
      <c r="P30" s="146" t="s">
        <v>3000</v>
      </c>
      <c r="Q30" s="174" t="s">
        <v>3001</v>
      </c>
      <c r="R30" s="175" t="s">
        <v>2979</v>
      </c>
      <c r="S30" s="173">
        <v>1400.0</v>
      </c>
      <c r="T30" s="145">
        <f t="shared" si="1"/>
        <v>5650</v>
      </c>
      <c r="U30" s="151">
        <v>5367.5</v>
      </c>
      <c r="V30" s="154"/>
      <c r="W30" s="158"/>
      <c r="X30" s="152"/>
      <c r="Y30" s="152"/>
      <c r="Z30" s="152"/>
      <c r="AA30" s="152"/>
      <c r="AB30" s="152"/>
      <c r="AC30" s="152"/>
      <c r="AD30" s="152"/>
      <c r="AE30" s="152"/>
      <c r="AF30" s="152"/>
      <c r="AG30" s="144"/>
      <c r="AH30" s="144"/>
      <c r="AI30" s="144"/>
      <c r="AJ30" s="144"/>
      <c r="AK30" s="144"/>
    </row>
    <row r="31" ht="22.5" customHeight="1">
      <c r="A31" s="152" t="s">
        <v>3008</v>
      </c>
      <c r="B31" s="152" t="s">
        <v>3011</v>
      </c>
      <c r="C31" s="152" t="s">
        <v>2964</v>
      </c>
      <c r="D31" s="146" t="s">
        <v>2212</v>
      </c>
      <c r="E31" s="154" t="s">
        <v>2213</v>
      </c>
      <c r="F31" s="158" t="s">
        <v>126</v>
      </c>
      <c r="G31" s="158">
        <v>315.0</v>
      </c>
      <c r="H31" s="146" t="s">
        <v>2990</v>
      </c>
      <c r="I31" s="168" t="s">
        <v>2991</v>
      </c>
      <c r="J31" s="152" t="s">
        <v>2992</v>
      </c>
      <c r="K31" s="152">
        <v>283.0</v>
      </c>
      <c r="L31" s="154" t="s">
        <v>1592</v>
      </c>
      <c r="M31" s="154" t="s">
        <v>1593</v>
      </c>
      <c r="N31" s="158" t="s">
        <v>85</v>
      </c>
      <c r="O31" s="152">
        <v>550.0</v>
      </c>
      <c r="P31" s="145" t="s">
        <v>772</v>
      </c>
      <c r="Q31" s="154" t="s">
        <v>773</v>
      </c>
      <c r="R31" s="158" t="s">
        <v>85</v>
      </c>
      <c r="S31" s="152">
        <v>699.0</v>
      </c>
      <c r="T31" s="145">
        <f t="shared" si="1"/>
        <v>1847</v>
      </c>
      <c r="U31" s="155">
        <v>1754.6499999999999</v>
      </c>
      <c r="V31" s="152"/>
      <c r="W31" s="152"/>
      <c r="X31" s="152"/>
      <c r="Y31" s="152"/>
      <c r="Z31" s="152"/>
      <c r="AA31" s="152"/>
      <c r="AB31" s="152"/>
      <c r="AC31" s="152"/>
      <c r="AD31" s="152"/>
      <c r="AE31" s="152"/>
      <c r="AF31" s="152"/>
      <c r="AG31" s="144"/>
      <c r="AH31" s="144"/>
      <c r="AI31" s="144"/>
      <c r="AJ31" s="144"/>
      <c r="AK31" s="144"/>
    </row>
    <row r="32" ht="22.5" customHeight="1">
      <c r="A32" s="145" t="s">
        <v>3008</v>
      </c>
      <c r="B32" s="145" t="s">
        <v>2982</v>
      </c>
      <c r="C32" s="145" t="s">
        <v>2955</v>
      </c>
      <c r="D32" s="146" t="s">
        <v>2154</v>
      </c>
      <c r="E32" s="160" t="s">
        <v>2155</v>
      </c>
      <c r="F32" s="159" t="s">
        <v>322</v>
      </c>
      <c r="G32" s="159">
        <v>799.0</v>
      </c>
      <c r="H32" s="146" t="s">
        <v>3012</v>
      </c>
      <c r="I32" s="168" t="s">
        <v>3013</v>
      </c>
      <c r="J32" s="145" t="s">
        <v>70</v>
      </c>
      <c r="K32" s="145">
        <v>1150.0</v>
      </c>
      <c r="L32" s="154" t="s">
        <v>1465</v>
      </c>
      <c r="M32" s="160" t="s">
        <v>1466</v>
      </c>
      <c r="N32" s="159" t="s">
        <v>454</v>
      </c>
      <c r="O32" s="145">
        <v>1700.0</v>
      </c>
      <c r="P32" s="146" t="s">
        <v>3000</v>
      </c>
      <c r="Q32" s="174" t="s">
        <v>3001</v>
      </c>
      <c r="R32" s="175" t="s">
        <v>2979</v>
      </c>
      <c r="S32" s="173">
        <v>1400.0</v>
      </c>
      <c r="T32" s="145">
        <f t="shared" si="1"/>
        <v>5049</v>
      </c>
      <c r="U32" s="151">
        <v>4796.55</v>
      </c>
      <c r="V32" s="145"/>
      <c r="W32" s="145"/>
      <c r="X32" s="145"/>
      <c r="Y32" s="145"/>
      <c r="Z32" s="145"/>
      <c r="AA32" s="145"/>
      <c r="AB32" s="145"/>
      <c r="AC32" s="145"/>
      <c r="AD32" s="145"/>
      <c r="AE32" s="145"/>
      <c r="AF32" s="145"/>
      <c r="AG32" s="144"/>
      <c r="AH32" s="144"/>
      <c r="AI32" s="144"/>
      <c r="AJ32" s="144"/>
      <c r="AK32" s="144"/>
    </row>
    <row r="33" ht="22.5" customHeight="1">
      <c r="A33" s="152" t="s">
        <v>3008</v>
      </c>
      <c r="B33" s="152" t="s">
        <v>2982</v>
      </c>
      <c r="C33" s="152" t="s">
        <v>2964</v>
      </c>
      <c r="D33" s="146" t="s">
        <v>2163</v>
      </c>
      <c r="E33" s="157" t="s">
        <v>2164</v>
      </c>
      <c r="F33" s="158" t="s">
        <v>322</v>
      </c>
      <c r="G33" s="158">
        <v>799.0</v>
      </c>
      <c r="H33" s="146" t="s">
        <v>2990</v>
      </c>
      <c r="I33" s="168" t="s">
        <v>2991</v>
      </c>
      <c r="J33" s="152" t="s">
        <v>2992</v>
      </c>
      <c r="K33" s="152">
        <v>283.0</v>
      </c>
      <c r="L33" s="146" t="s">
        <v>3014</v>
      </c>
      <c r="M33" s="168" t="s">
        <v>3015</v>
      </c>
      <c r="N33" s="153" t="s">
        <v>349</v>
      </c>
      <c r="O33" s="152">
        <v>525.0</v>
      </c>
      <c r="P33" s="145" t="s">
        <v>765</v>
      </c>
      <c r="Q33" s="154" t="s">
        <v>766</v>
      </c>
      <c r="R33" s="158" t="s">
        <v>85</v>
      </c>
      <c r="S33" s="152">
        <v>499.0</v>
      </c>
      <c r="T33" s="145">
        <f t="shared" si="1"/>
        <v>2106</v>
      </c>
      <c r="U33" s="155">
        <v>2000.6999999999998</v>
      </c>
      <c r="V33" s="152"/>
      <c r="W33" s="152"/>
      <c r="X33" s="152"/>
      <c r="Y33" s="152"/>
      <c r="Z33" s="152"/>
      <c r="AA33" s="152"/>
      <c r="AB33" s="152"/>
      <c r="AC33" s="152"/>
      <c r="AD33" s="152"/>
      <c r="AE33" s="152"/>
      <c r="AF33" s="152"/>
      <c r="AG33" s="144"/>
      <c r="AH33" s="144"/>
      <c r="AI33" s="144"/>
      <c r="AJ33" s="144"/>
      <c r="AK33" s="144"/>
    </row>
    <row r="34" ht="22.5" customHeight="1">
      <c r="A34" s="145" t="s">
        <v>3008</v>
      </c>
      <c r="B34" s="145" t="s">
        <v>2986</v>
      </c>
      <c r="C34" s="145" t="s">
        <v>2955</v>
      </c>
      <c r="D34" s="146" t="s">
        <v>2154</v>
      </c>
      <c r="E34" s="160" t="s">
        <v>2155</v>
      </c>
      <c r="F34" s="159" t="s">
        <v>322</v>
      </c>
      <c r="G34" s="159">
        <v>799.0</v>
      </c>
      <c r="H34" s="166" t="s">
        <v>2685</v>
      </c>
      <c r="I34" s="160" t="s">
        <v>2686</v>
      </c>
      <c r="J34" s="159" t="s">
        <v>126</v>
      </c>
      <c r="K34" s="159">
        <v>2050.0</v>
      </c>
      <c r="L34" s="154" t="s">
        <v>1374</v>
      </c>
      <c r="M34" s="160" t="s">
        <v>1375</v>
      </c>
      <c r="N34" s="159" t="s">
        <v>54</v>
      </c>
      <c r="O34" s="145">
        <v>2350.0</v>
      </c>
      <c r="P34" s="146" t="s">
        <v>3000</v>
      </c>
      <c r="Q34" s="174" t="s">
        <v>3001</v>
      </c>
      <c r="R34" s="175" t="s">
        <v>2979</v>
      </c>
      <c r="S34" s="173">
        <v>1400.0</v>
      </c>
      <c r="T34" s="145">
        <f t="shared" si="1"/>
        <v>6599</v>
      </c>
      <c r="U34" s="151">
        <v>6269.049999999999</v>
      </c>
      <c r="V34" s="145"/>
      <c r="W34" s="145"/>
      <c r="X34" s="145"/>
      <c r="Y34" s="145"/>
      <c r="Z34" s="145"/>
      <c r="AA34" s="145"/>
      <c r="AB34" s="145"/>
      <c r="AC34" s="145"/>
      <c r="AD34" s="145"/>
      <c r="AE34" s="145"/>
      <c r="AF34" s="145"/>
      <c r="AG34" s="144"/>
      <c r="AH34" s="144"/>
      <c r="AI34" s="144"/>
      <c r="AJ34" s="144"/>
      <c r="AK34" s="144"/>
    </row>
    <row r="35" ht="22.5" customHeight="1">
      <c r="A35" s="152" t="s">
        <v>3008</v>
      </c>
      <c r="B35" s="152" t="s">
        <v>2986</v>
      </c>
      <c r="C35" s="152" t="s">
        <v>2964</v>
      </c>
      <c r="D35" s="146" t="s">
        <v>2163</v>
      </c>
      <c r="E35" s="157" t="s">
        <v>2164</v>
      </c>
      <c r="F35" s="158" t="s">
        <v>322</v>
      </c>
      <c r="G35" s="158">
        <v>799.0</v>
      </c>
      <c r="H35" s="166" t="s">
        <v>2616</v>
      </c>
      <c r="I35" s="154" t="s">
        <v>2617</v>
      </c>
      <c r="J35" s="158" t="s">
        <v>70</v>
      </c>
      <c r="K35" s="158">
        <v>699.0</v>
      </c>
      <c r="L35" s="154" t="s">
        <v>585</v>
      </c>
      <c r="M35" s="154" t="s">
        <v>586</v>
      </c>
      <c r="N35" s="158" t="s">
        <v>464</v>
      </c>
      <c r="O35" s="152">
        <v>495.0</v>
      </c>
      <c r="P35" s="145" t="s">
        <v>569</v>
      </c>
      <c r="Q35" s="154" t="s">
        <v>570</v>
      </c>
      <c r="R35" s="158" t="s">
        <v>85</v>
      </c>
      <c r="S35" s="152">
        <v>649.0</v>
      </c>
      <c r="T35" s="145">
        <f t="shared" si="1"/>
        <v>2642</v>
      </c>
      <c r="U35" s="155">
        <v>2509.9</v>
      </c>
      <c r="V35" s="152"/>
      <c r="W35" s="152"/>
      <c r="X35" s="152"/>
      <c r="Y35" s="152"/>
      <c r="Z35" s="152"/>
      <c r="AA35" s="152"/>
      <c r="AB35" s="152"/>
      <c r="AC35" s="152"/>
      <c r="AD35" s="152"/>
      <c r="AE35" s="152"/>
      <c r="AF35" s="152"/>
      <c r="AG35" s="144"/>
      <c r="AH35" s="144"/>
      <c r="AI35" s="144"/>
      <c r="AJ35" s="144"/>
      <c r="AK35" s="144"/>
    </row>
    <row r="36" ht="22.5" customHeight="1">
      <c r="A36" s="145" t="s">
        <v>3016</v>
      </c>
      <c r="B36" s="145" t="s">
        <v>2954</v>
      </c>
      <c r="C36" s="145" t="s">
        <v>2955</v>
      </c>
      <c r="D36" s="146" t="s">
        <v>2154</v>
      </c>
      <c r="E36" s="160" t="s">
        <v>2155</v>
      </c>
      <c r="F36" s="159" t="s">
        <v>322</v>
      </c>
      <c r="G36" s="159">
        <v>799.0</v>
      </c>
      <c r="H36" s="146" t="s">
        <v>3012</v>
      </c>
      <c r="I36" s="168" t="s">
        <v>3013</v>
      </c>
      <c r="J36" s="145" t="s">
        <v>70</v>
      </c>
      <c r="K36" s="145">
        <v>1150.0</v>
      </c>
      <c r="L36" s="146" t="s">
        <v>2998</v>
      </c>
      <c r="M36" s="168" t="s">
        <v>2999</v>
      </c>
      <c r="N36" s="159" t="s">
        <v>85</v>
      </c>
      <c r="O36" s="145">
        <v>1550.0</v>
      </c>
      <c r="P36" s="145" t="s">
        <v>1350</v>
      </c>
      <c r="Q36" s="160" t="s">
        <v>1351</v>
      </c>
      <c r="R36" s="159" t="s">
        <v>70</v>
      </c>
      <c r="S36" s="145">
        <v>849.0</v>
      </c>
      <c r="T36" s="145">
        <f t="shared" si="1"/>
        <v>4348</v>
      </c>
      <c r="U36" s="151">
        <v>4130.599999999999</v>
      </c>
      <c r="V36" s="145"/>
      <c r="W36" s="145"/>
      <c r="X36" s="145"/>
      <c r="Y36" s="145"/>
      <c r="Z36" s="145"/>
      <c r="AA36" s="145"/>
      <c r="AB36" s="145"/>
      <c r="AC36" s="145"/>
      <c r="AD36" s="145"/>
      <c r="AE36" s="145"/>
      <c r="AF36" s="145"/>
      <c r="AG36" s="144"/>
      <c r="AH36" s="144"/>
      <c r="AI36" s="144"/>
      <c r="AJ36" s="144"/>
      <c r="AK36" s="144"/>
    </row>
    <row r="37" ht="22.5" customHeight="1">
      <c r="A37" s="152" t="s">
        <v>3016</v>
      </c>
      <c r="B37" s="152" t="s">
        <v>2954</v>
      </c>
      <c r="C37" s="152" t="s">
        <v>2964</v>
      </c>
      <c r="D37" s="146" t="s">
        <v>2163</v>
      </c>
      <c r="E37" s="157" t="s">
        <v>2164</v>
      </c>
      <c r="F37" s="158" t="s">
        <v>322</v>
      </c>
      <c r="G37" s="158">
        <v>799.0</v>
      </c>
      <c r="H37" s="146" t="s">
        <v>2990</v>
      </c>
      <c r="I37" s="168" t="s">
        <v>2991</v>
      </c>
      <c r="J37" s="152" t="s">
        <v>2992</v>
      </c>
      <c r="K37" s="152">
        <v>283.0</v>
      </c>
      <c r="L37" s="154" t="s">
        <v>860</v>
      </c>
      <c r="M37" s="154" t="s">
        <v>861</v>
      </c>
      <c r="N37" s="158" t="s">
        <v>85</v>
      </c>
      <c r="O37" s="152">
        <v>349.0</v>
      </c>
      <c r="P37" s="149" t="s">
        <v>2763</v>
      </c>
      <c r="Q37" s="154" t="s">
        <v>2764</v>
      </c>
      <c r="R37" s="158" t="s">
        <v>85</v>
      </c>
      <c r="S37" s="152">
        <v>399.0</v>
      </c>
      <c r="T37" s="145">
        <f t="shared" si="1"/>
        <v>1830</v>
      </c>
      <c r="U37" s="155">
        <v>1738.5</v>
      </c>
      <c r="V37" s="152"/>
      <c r="W37" s="152"/>
      <c r="X37" s="152"/>
      <c r="Y37" s="152"/>
      <c r="Z37" s="152"/>
      <c r="AA37" s="152"/>
      <c r="AB37" s="152"/>
      <c r="AC37" s="152"/>
      <c r="AD37" s="152"/>
      <c r="AE37" s="152"/>
      <c r="AF37" s="152"/>
      <c r="AG37" s="144"/>
      <c r="AH37" s="144"/>
      <c r="AI37" s="144"/>
      <c r="AJ37" s="144"/>
      <c r="AK37" s="144"/>
    </row>
    <row r="38" ht="22.5" customHeight="1">
      <c r="A38" s="176" t="s">
        <v>3017</v>
      </c>
      <c r="B38" s="176" t="s">
        <v>28</v>
      </c>
      <c r="C38" s="177" t="s">
        <v>2955</v>
      </c>
      <c r="D38" s="178" t="s">
        <v>3006</v>
      </c>
      <c r="E38" s="178" t="s">
        <v>3007</v>
      </c>
      <c r="F38" s="178" t="s">
        <v>1306</v>
      </c>
      <c r="G38" s="178">
        <v>1130.0</v>
      </c>
      <c r="H38" s="178" t="s">
        <v>1228</v>
      </c>
      <c r="I38" s="178" t="s">
        <v>1229</v>
      </c>
      <c r="J38" s="178" t="s">
        <v>70</v>
      </c>
      <c r="K38" s="178">
        <v>2000.0</v>
      </c>
      <c r="L38" s="178" t="s">
        <v>2977</v>
      </c>
      <c r="M38" s="178" t="s">
        <v>2978</v>
      </c>
      <c r="N38" s="178" t="s">
        <v>2979</v>
      </c>
      <c r="O38" s="178">
        <v>1550.0</v>
      </c>
      <c r="P38" s="178" t="s">
        <v>2972</v>
      </c>
      <c r="Q38" s="178" t="s">
        <v>2973</v>
      </c>
      <c r="R38" s="178" t="s">
        <v>2963</v>
      </c>
      <c r="S38" s="178">
        <v>1950.0</v>
      </c>
      <c r="T38" s="145">
        <f t="shared" si="1"/>
        <v>6630</v>
      </c>
      <c r="U38" s="179"/>
      <c r="V38" s="156"/>
      <c r="W38" s="156"/>
      <c r="X38" s="156"/>
      <c r="Y38" s="156"/>
      <c r="Z38" s="156"/>
      <c r="AA38" s="156"/>
      <c r="AB38" s="156"/>
      <c r="AC38" s="156"/>
      <c r="AD38" s="156"/>
      <c r="AE38" s="156"/>
      <c r="AF38" s="156"/>
      <c r="AG38" s="144"/>
      <c r="AH38" s="144"/>
      <c r="AI38" s="144"/>
      <c r="AJ38" s="144"/>
      <c r="AK38" s="144"/>
    </row>
    <row r="39" ht="22.5" customHeight="1">
      <c r="A39" s="176" t="s">
        <v>3017</v>
      </c>
      <c r="B39" s="176" t="s">
        <v>28</v>
      </c>
      <c r="C39" s="180" t="s">
        <v>2964</v>
      </c>
      <c r="D39" s="178" t="s">
        <v>2190</v>
      </c>
      <c r="E39" s="178" t="s">
        <v>2191</v>
      </c>
      <c r="F39" s="178" t="s">
        <v>54</v>
      </c>
      <c r="G39" s="178">
        <v>299.0</v>
      </c>
      <c r="H39" s="178" t="s">
        <v>230</v>
      </c>
      <c r="I39" s="178" t="s">
        <v>231</v>
      </c>
      <c r="J39" s="178" t="s">
        <v>70</v>
      </c>
      <c r="K39" s="178">
        <v>699.0</v>
      </c>
      <c r="L39" s="178" t="s">
        <v>3014</v>
      </c>
      <c r="M39" s="178" t="s">
        <v>3015</v>
      </c>
      <c r="N39" s="178" t="s">
        <v>349</v>
      </c>
      <c r="O39" s="178">
        <v>525.0</v>
      </c>
      <c r="P39" s="178" t="s">
        <v>772</v>
      </c>
      <c r="Q39" s="178" t="s">
        <v>773</v>
      </c>
      <c r="R39" s="178" t="s">
        <v>85</v>
      </c>
      <c r="S39" s="178">
        <v>699.0</v>
      </c>
      <c r="T39" s="145">
        <f t="shared" si="1"/>
        <v>2222</v>
      </c>
      <c r="U39" s="179"/>
      <c r="V39" s="156"/>
      <c r="W39" s="156"/>
      <c r="X39" s="156"/>
      <c r="Y39" s="156"/>
      <c r="Z39" s="156"/>
      <c r="AA39" s="156"/>
      <c r="AB39" s="156"/>
      <c r="AC39" s="156"/>
      <c r="AD39" s="156"/>
      <c r="AE39" s="156"/>
      <c r="AF39" s="156"/>
      <c r="AG39" s="144"/>
      <c r="AH39" s="144"/>
      <c r="AI39" s="144"/>
      <c r="AJ39" s="144"/>
      <c r="AK39" s="144"/>
    </row>
    <row r="40" ht="22.5" customHeight="1">
      <c r="A40" s="180" t="s">
        <v>3016</v>
      </c>
      <c r="B40" s="176" t="s">
        <v>28</v>
      </c>
      <c r="C40" s="177" t="s">
        <v>2955</v>
      </c>
      <c r="D40" s="178" t="s">
        <v>3006</v>
      </c>
      <c r="E40" s="178" t="s">
        <v>3007</v>
      </c>
      <c r="F40" s="178" t="s">
        <v>1306</v>
      </c>
      <c r="G40" s="178">
        <v>1130.0</v>
      </c>
      <c r="H40" s="178" t="s">
        <v>2570</v>
      </c>
      <c r="I40" s="178" t="s">
        <v>2571</v>
      </c>
      <c r="J40" s="178" t="s">
        <v>70</v>
      </c>
      <c r="K40" s="178">
        <v>999.0</v>
      </c>
      <c r="L40" s="178" t="s">
        <v>2442</v>
      </c>
      <c r="M40" s="178" t="s">
        <v>2443</v>
      </c>
      <c r="N40" s="178" t="s">
        <v>549</v>
      </c>
      <c r="O40" s="178">
        <v>1650.0</v>
      </c>
      <c r="P40" s="178" t="s">
        <v>2752</v>
      </c>
      <c r="Q40" s="178" t="s">
        <v>2753</v>
      </c>
      <c r="R40" s="178" t="s">
        <v>454</v>
      </c>
      <c r="S40" s="178">
        <v>1400.0</v>
      </c>
      <c r="T40" s="145">
        <f t="shared" si="1"/>
        <v>5179</v>
      </c>
      <c r="U40" s="179"/>
      <c r="V40" s="156"/>
      <c r="W40" s="156"/>
      <c r="X40" s="145"/>
      <c r="Y40" s="145"/>
      <c r="Z40" s="145"/>
      <c r="AA40" s="145"/>
      <c r="AB40" s="145"/>
      <c r="AC40" s="145"/>
      <c r="AD40" s="145"/>
      <c r="AE40" s="145"/>
      <c r="AF40" s="145"/>
      <c r="AG40" s="144"/>
      <c r="AH40" s="144"/>
      <c r="AI40" s="144"/>
      <c r="AJ40" s="144"/>
      <c r="AK40" s="144"/>
    </row>
    <row r="41" ht="22.5" customHeight="1">
      <c r="A41" s="181"/>
      <c r="B41" s="176" t="s">
        <v>28</v>
      </c>
      <c r="C41" s="180" t="s">
        <v>2964</v>
      </c>
      <c r="D41" s="178" t="s">
        <v>2212</v>
      </c>
      <c r="E41" s="178" t="s">
        <v>2213</v>
      </c>
      <c r="F41" s="178" t="s">
        <v>126</v>
      </c>
      <c r="G41" s="178">
        <v>315.0</v>
      </c>
      <c r="H41" s="178" t="s">
        <v>230</v>
      </c>
      <c r="I41" s="178" t="s">
        <v>231</v>
      </c>
      <c r="J41" s="178" t="s">
        <v>70</v>
      </c>
      <c r="K41" s="178">
        <v>699.0</v>
      </c>
      <c r="L41" s="178" t="s">
        <v>2376</v>
      </c>
      <c r="M41" s="178" t="s">
        <v>2377</v>
      </c>
      <c r="N41" s="178" t="s">
        <v>549</v>
      </c>
      <c r="O41" s="178">
        <v>295.0</v>
      </c>
      <c r="P41" s="178" t="s">
        <v>894</v>
      </c>
      <c r="Q41" s="178" t="s">
        <v>895</v>
      </c>
      <c r="R41" s="178" t="s">
        <v>70</v>
      </c>
      <c r="S41" s="178">
        <v>299.0</v>
      </c>
      <c r="T41" s="145">
        <f t="shared" si="1"/>
        <v>1608</v>
      </c>
      <c r="U41" s="155"/>
      <c r="V41" s="152"/>
      <c r="W41" s="152"/>
      <c r="X41" s="152"/>
      <c r="Y41" s="152"/>
      <c r="Z41" s="152"/>
      <c r="AA41" s="152"/>
      <c r="AB41" s="152"/>
      <c r="AC41" s="152"/>
      <c r="AD41" s="152"/>
      <c r="AE41" s="152"/>
      <c r="AF41" s="152"/>
      <c r="AG41" s="144"/>
      <c r="AH41" s="144"/>
      <c r="AI41" s="144"/>
      <c r="AJ41" s="144"/>
      <c r="AK41" s="144"/>
    </row>
    <row r="42" ht="22.5" customHeight="1">
      <c r="A42" s="182"/>
      <c r="B42" s="182"/>
      <c r="C42" s="182"/>
      <c r="D42" s="178"/>
      <c r="E42" s="178"/>
      <c r="F42" s="178"/>
      <c r="G42" s="178"/>
      <c r="H42" s="178"/>
      <c r="I42" s="178"/>
      <c r="J42" s="178"/>
      <c r="K42" s="178"/>
      <c r="L42" s="178"/>
      <c r="M42" s="178"/>
      <c r="N42" s="178"/>
      <c r="O42" s="178"/>
      <c r="P42" s="178"/>
      <c r="Q42" s="178"/>
      <c r="R42" s="178"/>
      <c r="S42" s="178"/>
      <c r="T42" s="156"/>
      <c r="U42" s="151"/>
      <c r="V42" s="145"/>
      <c r="W42" s="145"/>
      <c r="X42" s="145"/>
      <c r="Y42" s="145"/>
      <c r="Z42" s="145"/>
      <c r="AA42" s="145"/>
      <c r="AB42" s="145"/>
      <c r="AC42" s="145"/>
      <c r="AD42" s="145"/>
      <c r="AE42" s="145"/>
      <c r="AF42" s="145"/>
      <c r="AG42" s="144"/>
      <c r="AH42" s="144"/>
      <c r="AI42" s="144"/>
      <c r="AJ42" s="144"/>
      <c r="AK42" s="144"/>
    </row>
    <row r="43" ht="22.5" customHeight="1">
      <c r="A43" s="183"/>
      <c r="B43" s="183"/>
      <c r="C43" s="183"/>
      <c r="D43" s="183"/>
      <c r="E43" s="183"/>
      <c r="F43" s="183"/>
      <c r="G43" s="183"/>
      <c r="H43" s="183"/>
      <c r="I43" s="183"/>
      <c r="J43" s="183"/>
      <c r="K43" s="183"/>
      <c r="L43" s="183"/>
      <c r="M43" s="183"/>
      <c r="N43" s="183"/>
      <c r="O43" s="183"/>
      <c r="P43" s="183"/>
      <c r="Q43" s="183"/>
      <c r="R43" s="183"/>
      <c r="S43" s="183"/>
      <c r="T43" s="152"/>
      <c r="U43" s="155"/>
      <c r="V43" s="152"/>
      <c r="W43" s="152"/>
      <c r="X43" s="152"/>
      <c r="Y43" s="152"/>
      <c r="Z43" s="152"/>
      <c r="AA43" s="152"/>
      <c r="AB43" s="152"/>
      <c r="AC43" s="152"/>
      <c r="AD43" s="152"/>
      <c r="AE43" s="152"/>
      <c r="AF43" s="152"/>
      <c r="AG43" s="144"/>
      <c r="AH43" s="144"/>
      <c r="AI43" s="144"/>
      <c r="AJ43" s="144"/>
      <c r="AK43" s="144"/>
    </row>
    <row r="44" ht="22.5" customHeight="1">
      <c r="A44" s="184"/>
      <c r="B44" s="184"/>
      <c r="C44" s="184"/>
      <c r="D44" s="183"/>
      <c r="E44" s="183"/>
      <c r="F44" s="183"/>
      <c r="G44" s="183"/>
      <c r="H44" s="183"/>
      <c r="I44" s="184"/>
      <c r="J44" s="184"/>
      <c r="K44" s="184"/>
      <c r="L44" s="184"/>
      <c r="M44" s="184"/>
      <c r="N44" s="184"/>
      <c r="O44" s="184"/>
      <c r="P44" s="184"/>
      <c r="Q44" s="184"/>
      <c r="R44" s="184"/>
      <c r="S44" s="184"/>
      <c r="T44" s="145"/>
      <c r="U44" s="151"/>
      <c r="V44" s="145"/>
      <c r="W44" s="145"/>
      <c r="X44" s="145"/>
      <c r="Y44" s="145"/>
      <c r="Z44" s="145"/>
      <c r="AA44" s="145"/>
      <c r="AB44" s="145"/>
      <c r="AC44" s="145"/>
      <c r="AD44" s="145"/>
      <c r="AE44" s="145"/>
      <c r="AF44" s="145"/>
      <c r="AG44" s="144"/>
      <c r="AH44" s="144"/>
      <c r="AI44" s="144"/>
      <c r="AJ44" s="144"/>
      <c r="AK44" s="144"/>
    </row>
    <row r="45" ht="22.5" customHeight="1">
      <c r="A45" s="183"/>
      <c r="B45" s="183"/>
      <c r="C45" s="183"/>
      <c r="D45" s="183"/>
      <c r="E45" s="183"/>
      <c r="F45" s="183"/>
      <c r="G45" s="183"/>
      <c r="H45" s="183"/>
      <c r="I45" s="183"/>
      <c r="J45" s="183"/>
      <c r="K45" s="183"/>
      <c r="L45" s="183"/>
      <c r="M45" s="183"/>
      <c r="N45" s="183"/>
      <c r="O45" s="183"/>
      <c r="P45" s="183"/>
      <c r="Q45" s="183"/>
      <c r="R45" s="183"/>
      <c r="S45" s="183"/>
      <c r="T45" s="152"/>
      <c r="U45" s="155"/>
      <c r="V45" s="152"/>
      <c r="W45" s="152"/>
      <c r="X45" s="152"/>
      <c r="Y45" s="152"/>
      <c r="Z45" s="152"/>
      <c r="AA45" s="152"/>
      <c r="AB45" s="152"/>
      <c r="AC45" s="152"/>
      <c r="AD45" s="152"/>
      <c r="AE45" s="152"/>
      <c r="AF45" s="152"/>
      <c r="AG45" s="144"/>
      <c r="AH45" s="144"/>
      <c r="AI45" s="144"/>
      <c r="AJ45" s="144"/>
      <c r="AK45" s="144"/>
    </row>
    <row r="46" ht="22.5" customHeight="1">
      <c r="A46" s="184"/>
      <c r="B46" s="184"/>
      <c r="C46" s="184"/>
      <c r="D46" s="183"/>
      <c r="E46" s="183"/>
      <c r="F46" s="183"/>
      <c r="G46" s="183"/>
      <c r="H46" s="183"/>
      <c r="I46" s="183"/>
      <c r="J46" s="183"/>
      <c r="K46" s="184"/>
      <c r="L46" s="184"/>
      <c r="M46" s="184"/>
      <c r="N46" s="184"/>
      <c r="O46" s="184"/>
      <c r="P46" s="184"/>
      <c r="Q46" s="184"/>
      <c r="R46" s="184"/>
      <c r="S46" s="184"/>
      <c r="T46" s="145"/>
      <c r="U46" s="151"/>
      <c r="V46" s="145"/>
      <c r="W46" s="145"/>
      <c r="X46" s="145"/>
      <c r="Y46" s="145"/>
      <c r="Z46" s="145"/>
      <c r="AA46" s="145"/>
      <c r="AB46" s="145"/>
      <c r="AC46" s="145"/>
      <c r="AD46" s="145"/>
      <c r="AE46" s="145"/>
      <c r="AF46" s="145"/>
      <c r="AG46" s="144"/>
      <c r="AH46" s="144"/>
      <c r="AI46" s="144"/>
      <c r="AJ46" s="144"/>
      <c r="AK46" s="144"/>
    </row>
    <row r="47" ht="22.5" customHeight="1">
      <c r="A47" s="183"/>
      <c r="B47" s="183"/>
      <c r="C47" s="183"/>
      <c r="D47" s="183"/>
      <c r="E47" s="183"/>
      <c r="F47" s="183"/>
      <c r="G47" s="183"/>
      <c r="H47" s="183"/>
      <c r="I47" s="183"/>
      <c r="J47" s="183"/>
      <c r="K47" s="183"/>
      <c r="L47" s="183"/>
      <c r="M47" s="183"/>
      <c r="N47" s="183"/>
      <c r="O47" s="183"/>
      <c r="P47" s="183"/>
      <c r="Q47" s="183"/>
      <c r="R47" s="183"/>
      <c r="S47" s="183"/>
      <c r="T47" s="152"/>
      <c r="U47" s="155"/>
      <c r="V47" s="152"/>
      <c r="W47" s="152"/>
      <c r="X47" s="152"/>
      <c r="Y47" s="152"/>
      <c r="Z47" s="152"/>
      <c r="AA47" s="152"/>
      <c r="AB47" s="152"/>
      <c r="AC47" s="152"/>
      <c r="AD47" s="152"/>
      <c r="AE47" s="152"/>
      <c r="AF47" s="152"/>
      <c r="AG47" s="144"/>
      <c r="AH47" s="144"/>
      <c r="AI47" s="144"/>
      <c r="AJ47" s="144"/>
      <c r="AK47" s="144"/>
    </row>
    <row r="48" ht="22.5" customHeight="1">
      <c r="A48" s="184"/>
      <c r="B48" s="184"/>
      <c r="C48" s="184"/>
      <c r="D48" s="183"/>
      <c r="E48" s="183"/>
      <c r="F48" s="183"/>
      <c r="G48" s="183"/>
      <c r="H48" s="183"/>
      <c r="I48" s="183"/>
      <c r="J48" s="183"/>
      <c r="K48" s="184"/>
      <c r="L48" s="184"/>
      <c r="M48" s="184"/>
      <c r="N48" s="184"/>
      <c r="O48" s="184"/>
      <c r="P48" s="184"/>
      <c r="Q48" s="184"/>
      <c r="R48" s="184"/>
      <c r="S48" s="184"/>
      <c r="T48" s="145"/>
      <c r="U48" s="151"/>
      <c r="V48" s="145"/>
      <c r="W48" s="145"/>
      <c r="X48" s="145"/>
      <c r="Y48" s="145"/>
      <c r="Z48" s="145"/>
      <c r="AA48" s="145"/>
      <c r="AB48" s="145"/>
      <c r="AC48" s="145"/>
      <c r="AD48" s="145"/>
      <c r="AE48" s="145"/>
      <c r="AF48" s="145"/>
      <c r="AG48" s="144"/>
      <c r="AH48" s="144"/>
      <c r="AI48" s="144"/>
      <c r="AJ48" s="144"/>
      <c r="AK48" s="144"/>
    </row>
    <row r="49" ht="22.5" customHeight="1">
      <c r="A49" s="183"/>
      <c r="B49" s="183"/>
      <c r="C49" s="183"/>
      <c r="D49" s="183"/>
      <c r="E49" s="183"/>
      <c r="F49" s="183"/>
      <c r="G49" s="183"/>
      <c r="H49" s="183"/>
      <c r="I49" s="183"/>
      <c r="J49" s="183"/>
      <c r="K49" s="183"/>
      <c r="L49" s="183"/>
      <c r="M49" s="183"/>
      <c r="N49" s="183"/>
      <c r="O49" s="183"/>
      <c r="P49" s="183"/>
      <c r="Q49" s="183"/>
      <c r="R49" s="183"/>
      <c r="S49" s="183"/>
      <c r="T49" s="152"/>
      <c r="U49" s="155"/>
      <c r="V49" s="152"/>
      <c r="W49" s="152"/>
      <c r="X49" s="152"/>
      <c r="Y49" s="152"/>
      <c r="Z49" s="152"/>
      <c r="AA49" s="152"/>
      <c r="AB49" s="152"/>
      <c r="AC49" s="152"/>
      <c r="AD49" s="152"/>
      <c r="AE49" s="152"/>
      <c r="AF49" s="152"/>
      <c r="AG49" s="144"/>
      <c r="AH49" s="144"/>
      <c r="AI49" s="144"/>
      <c r="AJ49" s="144"/>
      <c r="AK49" s="144"/>
    </row>
    <row r="50" ht="22.5" customHeight="1">
      <c r="A50" s="184"/>
      <c r="B50" s="184"/>
      <c r="C50" s="184"/>
      <c r="D50" s="184"/>
      <c r="E50" s="184"/>
      <c r="F50" s="184"/>
      <c r="G50" s="183"/>
      <c r="H50" s="183"/>
      <c r="I50" s="183"/>
      <c r="J50" s="183"/>
      <c r="K50" s="184"/>
      <c r="L50" s="184"/>
      <c r="M50" s="184"/>
      <c r="N50" s="184"/>
      <c r="O50" s="184"/>
      <c r="P50" s="184"/>
      <c r="Q50" s="184"/>
      <c r="R50" s="184"/>
      <c r="S50" s="184"/>
      <c r="T50" s="145"/>
      <c r="U50" s="151"/>
      <c r="V50" s="145"/>
      <c r="W50" s="145"/>
      <c r="X50" s="145"/>
      <c r="Y50" s="145"/>
      <c r="Z50" s="145"/>
      <c r="AA50" s="145"/>
      <c r="AB50" s="145"/>
      <c r="AC50" s="145"/>
      <c r="AD50" s="145"/>
      <c r="AE50" s="145"/>
      <c r="AF50" s="145"/>
      <c r="AG50" s="144"/>
      <c r="AH50" s="144"/>
      <c r="AI50" s="144"/>
      <c r="AJ50" s="144"/>
      <c r="AK50" s="144"/>
    </row>
    <row r="51" ht="22.5" customHeight="1">
      <c r="A51" s="183"/>
      <c r="B51" s="183"/>
      <c r="C51" s="183"/>
      <c r="D51" s="183"/>
      <c r="E51" s="183"/>
      <c r="F51" s="183"/>
      <c r="G51" s="183"/>
      <c r="H51" s="183"/>
      <c r="I51" s="183"/>
      <c r="J51" s="183"/>
      <c r="K51" s="183"/>
      <c r="L51" s="183"/>
      <c r="M51" s="183"/>
      <c r="N51" s="183"/>
      <c r="O51" s="183"/>
      <c r="P51" s="183"/>
      <c r="Q51" s="183"/>
      <c r="R51" s="183"/>
      <c r="S51" s="183"/>
      <c r="T51" s="152"/>
      <c r="U51" s="155"/>
      <c r="V51" s="152"/>
      <c r="W51" s="152"/>
      <c r="X51" s="152"/>
      <c r="Y51" s="152"/>
      <c r="Z51" s="152"/>
      <c r="AA51" s="152"/>
      <c r="AB51" s="152"/>
      <c r="AC51" s="152"/>
      <c r="AD51" s="152"/>
      <c r="AE51" s="152"/>
      <c r="AF51" s="152"/>
      <c r="AG51" s="144"/>
      <c r="AH51" s="144"/>
      <c r="AI51" s="144"/>
      <c r="AJ51" s="144"/>
      <c r="AK51" s="144"/>
    </row>
    <row r="52" ht="22.5" customHeight="1">
      <c r="A52" s="184"/>
      <c r="B52" s="184"/>
      <c r="C52" s="184"/>
      <c r="D52" s="184"/>
      <c r="E52" s="184"/>
      <c r="F52" s="184"/>
      <c r="G52" s="184"/>
      <c r="H52" s="184"/>
      <c r="I52" s="184"/>
      <c r="J52" s="184"/>
      <c r="K52" s="184"/>
      <c r="L52" s="184"/>
      <c r="M52" s="184"/>
      <c r="N52" s="184"/>
      <c r="O52" s="184"/>
      <c r="P52" s="184"/>
      <c r="Q52" s="184"/>
      <c r="R52" s="184"/>
      <c r="S52" s="184"/>
      <c r="T52" s="145"/>
      <c r="U52" s="151"/>
      <c r="V52" s="145"/>
      <c r="W52" s="145"/>
      <c r="X52" s="145"/>
      <c r="Y52" s="145"/>
      <c r="Z52" s="145"/>
      <c r="AA52" s="145"/>
      <c r="AB52" s="145"/>
      <c r="AC52" s="145"/>
      <c r="AD52" s="145"/>
      <c r="AE52" s="145"/>
      <c r="AF52" s="145"/>
      <c r="AG52" s="144"/>
      <c r="AH52" s="144"/>
      <c r="AI52" s="144"/>
      <c r="AJ52" s="144"/>
      <c r="AK52" s="144"/>
    </row>
    <row r="53" ht="22.5" customHeight="1">
      <c r="A53" s="183"/>
      <c r="B53" s="183"/>
      <c r="C53" s="183"/>
      <c r="D53" s="183"/>
      <c r="E53" s="183"/>
      <c r="F53" s="183"/>
      <c r="G53" s="183"/>
      <c r="H53" s="183"/>
      <c r="I53" s="183"/>
      <c r="J53" s="183"/>
      <c r="K53" s="183"/>
      <c r="L53" s="183"/>
      <c r="M53" s="183"/>
      <c r="N53" s="183"/>
      <c r="O53" s="183"/>
      <c r="P53" s="183"/>
      <c r="Q53" s="183"/>
      <c r="R53" s="183"/>
      <c r="S53" s="183"/>
      <c r="T53" s="152"/>
      <c r="U53" s="155"/>
      <c r="V53" s="152"/>
      <c r="W53" s="152"/>
      <c r="X53" s="152"/>
      <c r="Y53" s="152"/>
      <c r="Z53" s="152"/>
      <c r="AA53" s="152"/>
      <c r="AB53" s="152"/>
      <c r="AC53" s="152"/>
      <c r="AD53" s="152"/>
      <c r="AE53" s="152"/>
      <c r="AF53" s="152"/>
      <c r="AG53" s="144"/>
      <c r="AH53" s="144"/>
      <c r="AI53" s="144"/>
      <c r="AJ53" s="144"/>
      <c r="AK53" s="144"/>
    </row>
    <row r="54" ht="22.5" customHeight="1">
      <c r="A54" s="184"/>
      <c r="B54" s="184"/>
      <c r="C54" s="184"/>
      <c r="D54" s="184"/>
      <c r="E54" s="184"/>
      <c r="F54" s="184"/>
      <c r="G54" s="184"/>
      <c r="H54" s="184"/>
      <c r="I54" s="184"/>
      <c r="J54" s="184"/>
      <c r="K54" s="184"/>
      <c r="L54" s="184"/>
      <c r="M54" s="184"/>
      <c r="N54" s="184"/>
      <c r="O54" s="184"/>
      <c r="P54" s="184"/>
      <c r="Q54" s="184"/>
      <c r="R54" s="184"/>
      <c r="S54" s="184"/>
      <c r="T54" s="145"/>
      <c r="U54" s="151"/>
      <c r="V54" s="145"/>
      <c r="W54" s="145"/>
      <c r="X54" s="145"/>
      <c r="Y54" s="145"/>
      <c r="Z54" s="145"/>
      <c r="AA54" s="145"/>
      <c r="AB54" s="145"/>
      <c r="AC54" s="145"/>
      <c r="AD54" s="145"/>
      <c r="AE54" s="145"/>
      <c r="AF54" s="145"/>
      <c r="AG54" s="144"/>
      <c r="AH54" s="144"/>
      <c r="AI54" s="144"/>
      <c r="AJ54" s="144"/>
      <c r="AK54" s="144"/>
    </row>
    <row r="55" ht="22.5" customHeight="1">
      <c r="A55" s="183"/>
      <c r="B55" s="183"/>
      <c r="C55" s="183"/>
      <c r="D55" s="183"/>
      <c r="E55" s="183"/>
      <c r="F55" s="183"/>
      <c r="G55" s="183"/>
      <c r="H55" s="183"/>
      <c r="I55" s="183"/>
      <c r="J55" s="183"/>
      <c r="K55" s="183"/>
      <c r="L55" s="183"/>
      <c r="M55" s="183"/>
      <c r="N55" s="183"/>
      <c r="O55" s="183"/>
      <c r="P55" s="183"/>
      <c r="Q55" s="183"/>
      <c r="R55" s="183"/>
      <c r="S55" s="183"/>
      <c r="T55" s="152"/>
      <c r="U55" s="155"/>
      <c r="V55" s="152"/>
      <c r="W55" s="152"/>
      <c r="X55" s="152"/>
      <c r="Y55" s="152"/>
      <c r="Z55" s="152"/>
      <c r="AA55" s="152"/>
      <c r="AB55" s="152"/>
      <c r="AC55" s="152"/>
      <c r="AD55" s="152"/>
      <c r="AE55" s="152"/>
      <c r="AF55" s="152"/>
      <c r="AG55" s="144"/>
      <c r="AH55" s="144"/>
      <c r="AI55" s="144"/>
      <c r="AJ55" s="144"/>
      <c r="AK55" s="144"/>
    </row>
    <row r="56" ht="22.5" customHeight="1">
      <c r="A56" s="184"/>
      <c r="B56" s="184"/>
      <c r="C56" s="184"/>
      <c r="D56" s="184"/>
      <c r="E56" s="184"/>
      <c r="F56" s="184"/>
      <c r="G56" s="184"/>
      <c r="H56" s="184"/>
      <c r="I56" s="184"/>
      <c r="J56" s="184"/>
      <c r="K56" s="184"/>
      <c r="L56" s="184"/>
      <c r="M56" s="184"/>
      <c r="N56" s="184"/>
      <c r="O56" s="184"/>
      <c r="P56" s="184"/>
      <c r="Q56" s="184"/>
      <c r="R56" s="184"/>
      <c r="S56" s="184"/>
      <c r="T56" s="145"/>
      <c r="U56" s="151"/>
      <c r="V56" s="145"/>
      <c r="W56" s="145"/>
      <c r="X56" s="145"/>
      <c r="Y56" s="145"/>
      <c r="Z56" s="145"/>
      <c r="AA56" s="145"/>
      <c r="AB56" s="145"/>
      <c r="AC56" s="145"/>
      <c r="AD56" s="145"/>
      <c r="AE56" s="145"/>
      <c r="AF56" s="145"/>
      <c r="AG56" s="144"/>
      <c r="AH56" s="144"/>
      <c r="AI56" s="144"/>
      <c r="AJ56" s="144"/>
      <c r="AK56" s="144"/>
    </row>
    <row r="57" ht="22.5" customHeight="1">
      <c r="A57" s="183"/>
      <c r="B57" s="183"/>
      <c r="C57" s="183"/>
      <c r="D57" s="183"/>
      <c r="E57" s="183"/>
      <c r="F57" s="183"/>
      <c r="G57" s="183"/>
      <c r="H57" s="183"/>
      <c r="I57" s="183"/>
      <c r="J57" s="183"/>
      <c r="K57" s="183"/>
      <c r="L57" s="183"/>
      <c r="M57" s="183"/>
      <c r="N57" s="183"/>
      <c r="O57" s="183"/>
      <c r="P57" s="183"/>
      <c r="Q57" s="183"/>
      <c r="R57" s="183"/>
      <c r="S57" s="183"/>
      <c r="T57" s="152"/>
      <c r="U57" s="155"/>
      <c r="V57" s="152"/>
      <c r="W57" s="152"/>
      <c r="X57" s="152"/>
      <c r="Y57" s="152"/>
      <c r="Z57" s="152"/>
      <c r="AA57" s="152"/>
      <c r="AB57" s="152"/>
      <c r="AC57" s="152"/>
      <c r="AD57" s="152"/>
      <c r="AE57" s="152"/>
      <c r="AF57" s="152"/>
      <c r="AG57" s="144"/>
      <c r="AH57" s="144"/>
      <c r="AI57" s="144"/>
      <c r="AJ57" s="144"/>
      <c r="AK57" s="144"/>
    </row>
    <row r="58" ht="22.5" customHeight="1">
      <c r="A58" s="184"/>
      <c r="B58" s="184"/>
      <c r="C58" s="184"/>
      <c r="D58" s="184"/>
      <c r="E58" s="184"/>
      <c r="F58" s="184"/>
      <c r="G58" s="184"/>
      <c r="H58" s="184"/>
      <c r="I58" s="184"/>
      <c r="J58" s="184"/>
      <c r="K58" s="184"/>
      <c r="L58" s="184"/>
      <c r="M58" s="184"/>
      <c r="N58" s="184"/>
      <c r="O58" s="184"/>
      <c r="P58" s="184"/>
      <c r="Q58" s="184"/>
      <c r="R58" s="184"/>
      <c r="S58" s="184"/>
      <c r="T58" s="145"/>
      <c r="U58" s="151"/>
      <c r="V58" s="145"/>
      <c r="W58" s="145"/>
      <c r="X58" s="145"/>
      <c r="Y58" s="145"/>
      <c r="Z58" s="145"/>
      <c r="AA58" s="145"/>
      <c r="AB58" s="145"/>
      <c r="AC58" s="145"/>
      <c r="AD58" s="145"/>
      <c r="AE58" s="145"/>
      <c r="AF58" s="145"/>
      <c r="AG58" s="144"/>
      <c r="AH58" s="144"/>
      <c r="AI58" s="144"/>
      <c r="AJ58" s="144"/>
      <c r="AK58" s="144"/>
    </row>
    <row r="59" ht="22.5" customHeight="1">
      <c r="A59" s="183"/>
      <c r="B59" s="183"/>
      <c r="C59" s="183"/>
      <c r="D59" s="183"/>
      <c r="E59" s="183"/>
      <c r="F59" s="183"/>
      <c r="G59" s="183"/>
      <c r="H59" s="183"/>
      <c r="I59" s="183"/>
      <c r="J59" s="183"/>
      <c r="K59" s="183"/>
      <c r="L59" s="183"/>
      <c r="M59" s="183"/>
      <c r="N59" s="183"/>
      <c r="O59" s="183"/>
      <c r="P59" s="183"/>
      <c r="Q59" s="183"/>
      <c r="R59" s="183"/>
      <c r="S59" s="183"/>
      <c r="T59" s="152"/>
      <c r="U59" s="155"/>
      <c r="V59" s="152"/>
      <c r="W59" s="152"/>
      <c r="X59" s="152"/>
      <c r="Y59" s="152"/>
      <c r="Z59" s="152"/>
      <c r="AA59" s="152"/>
      <c r="AB59" s="152"/>
      <c r="AC59" s="152"/>
      <c r="AD59" s="152"/>
      <c r="AE59" s="152"/>
      <c r="AF59" s="152"/>
      <c r="AG59" s="144"/>
      <c r="AH59" s="144"/>
      <c r="AI59" s="144"/>
      <c r="AJ59" s="144"/>
      <c r="AK59" s="144"/>
    </row>
    <row r="60" ht="22.5" customHeight="1">
      <c r="A60" s="184"/>
      <c r="B60" s="184"/>
      <c r="C60" s="184"/>
      <c r="D60" s="184"/>
      <c r="E60" s="184"/>
      <c r="F60" s="184"/>
      <c r="G60" s="184"/>
      <c r="H60" s="184"/>
      <c r="I60" s="184"/>
      <c r="J60" s="184"/>
      <c r="K60" s="184"/>
      <c r="L60" s="184"/>
      <c r="M60" s="184"/>
      <c r="N60" s="184"/>
      <c r="O60" s="184"/>
      <c r="P60" s="184"/>
      <c r="Q60" s="184"/>
      <c r="R60" s="184"/>
      <c r="S60" s="184"/>
      <c r="T60" s="145"/>
      <c r="U60" s="151"/>
      <c r="V60" s="145"/>
      <c r="W60" s="145"/>
      <c r="X60" s="145"/>
      <c r="Y60" s="145"/>
      <c r="Z60" s="145"/>
      <c r="AA60" s="145"/>
      <c r="AB60" s="145"/>
      <c r="AC60" s="145"/>
      <c r="AD60" s="145"/>
      <c r="AE60" s="145"/>
      <c r="AF60" s="145"/>
      <c r="AG60" s="144"/>
      <c r="AH60" s="144"/>
      <c r="AI60" s="144"/>
      <c r="AJ60" s="144"/>
      <c r="AK60" s="144"/>
    </row>
    <row r="61" ht="22.5" customHeight="1">
      <c r="A61" s="183"/>
      <c r="B61" s="183"/>
      <c r="C61" s="183"/>
      <c r="D61" s="183"/>
      <c r="E61" s="183"/>
      <c r="F61" s="183"/>
      <c r="G61" s="183"/>
      <c r="H61" s="183"/>
      <c r="I61" s="183"/>
      <c r="J61" s="183"/>
      <c r="K61" s="183"/>
      <c r="L61" s="183"/>
      <c r="M61" s="183"/>
      <c r="N61" s="183"/>
      <c r="O61" s="183"/>
      <c r="P61" s="183"/>
      <c r="Q61" s="183"/>
      <c r="R61" s="183"/>
      <c r="S61" s="183"/>
      <c r="T61" s="152"/>
      <c r="U61" s="155"/>
      <c r="V61" s="152"/>
      <c r="W61" s="152"/>
      <c r="X61" s="152"/>
      <c r="Y61" s="152"/>
      <c r="Z61" s="152"/>
      <c r="AA61" s="152"/>
      <c r="AB61" s="152"/>
      <c r="AC61" s="152"/>
      <c r="AD61" s="152"/>
      <c r="AE61" s="152"/>
      <c r="AF61" s="152"/>
      <c r="AG61" s="144"/>
      <c r="AH61" s="144"/>
      <c r="AI61" s="144"/>
      <c r="AJ61" s="144"/>
      <c r="AK61" s="144"/>
    </row>
    <row r="62" ht="22.5" customHeight="1">
      <c r="A62" s="184"/>
      <c r="B62" s="184"/>
      <c r="C62" s="184"/>
      <c r="D62" s="184"/>
      <c r="E62" s="184"/>
      <c r="F62" s="184"/>
      <c r="G62" s="184"/>
      <c r="H62" s="184"/>
      <c r="I62" s="184"/>
      <c r="J62" s="184"/>
      <c r="K62" s="184"/>
      <c r="L62" s="184"/>
      <c r="M62" s="184"/>
      <c r="N62" s="184"/>
      <c r="O62" s="184"/>
      <c r="P62" s="184"/>
      <c r="Q62" s="184"/>
      <c r="R62" s="184"/>
      <c r="S62" s="184"/>
      <c r="T62" s="145"/>
      <c r="U62" s="151"/>
      <c r="V62" s="145"/>
      <c r="W62" s="145"/>
      <c r="X62" s="145"/>
      <c r="Y62" s="145"/>
      <c r="Z62" s="145"/>
      <c r="AA62" s="145"/>
      <c r="AB62" s="145"/>
      <c r="AC62" s="145"/>
      <c r="AD62" s="145"/>
      <c r="AE62" s="145"/>
      <c r="AF62" s="145"/>
      <c r="AG62" s="144"/>
      <c r="AH62" s="144"/>
      <c r="AI62" s="144"/>
      <c r="AJ62" s="144"/>
      <c r="AK62" s="144"/>
    </row>
    <row r="63" ht="22.5" customHeight="1">
      <c r="A63" s="183"/>
      <c r="B63" s="183"/>
      <c r="C63" s="183"/>
      <c r="D63" s="183"/>
      <c r="E63" s="183"/>
      <c r="F63" s="183"/>
      <c r="G63" s="183"/>
      <c r="H63" s="183"/>
      <c r="I63" s="183"/>
      <c r="J63" s="183"/>
      <c r="K63" s="183"/>
      <c r="L63" s="183"/>
      <c r="M63" s="183"/>
      <c r="N63" s="183"/>
      <c r="O63" s="183"/>
      <c r="P63" s="183"/>
      <c r="Q63" s="183"/>
      <c r="R63" s="183"/>
      <c r="S63" s="183"/>
      <c r="T63" s="152"/>
      <c r="U63" s="155"/>
      <c r="V63" s="152"/>
      <c r="W63" s="152"/>
      <c r="X63" s="152"/>
      <c r="Y63" s="152"/>
      <c r="Z63" s="152"/>
      <c r="AA63" s="152"/>
      <c r="AB63" s="152"/>
      <c r="AC63" s="152"/>
      <c r="AD63" s="152"/>
      <c r="AE63" s="152"/>
      <c r="AF63" s="152"/>
      <c r="AG63" s="144"/>
      <c r="AH63" s="144"/>
      <c r="AI63" s="144"/>
      <c r="AJ63" s="144"/>
      <c r="AK63" s="144"/>
    </row>
    <row r="64" ht="22.5" customHeight="1">
      <c r="A64" s="184"/>
      <c r="B64" s="184"/>
      <c r="C64" s="184"/>
      <c r="D64" s="184"/>
      <c r="E64" s="184"/>
      <c r="F64" s="184"/>
      <c r="G64" s="184"/>
      <c r="H64" s="184"/>
      <c r="I64" s="184"/>
      <c r="J64" s="184"/>
      <c r="K64" s="184"/>
      <c r="L64" s="184"/>
      <c r="M64" s="184"/>
      <c r="N64" s="184"/>
      <c r="O64" s="184"/>
      <c r="P64" s="184"/>
      <c r="Q64" s="184"/>
      <c r="R64" s="184"/>
      <c r="S64" s="184"/>
      <c r="T64" s="145"/>
      <c r="U64" s="151"/>
      <c r="V64" s="145"/>
      <c r="W64" s="145"/>
      <c r="X64" s="145"/>
      <c r="Y64" s="145"/>
      <c r="Z64" s="145"/>
      <c r="AA64" s="145"/>
      <c r="AB64" s="145"/>
      <c r="AC64" s="145"/>
      <c r="AD64" s="145"/>
      <c r="AE64" s="145"/>
      <c r="AF64" s="145"/>
      <c r="AG64" s="144"/>
      <c r="AH64" s="144"/>
      <c r="AI64" s="144"/>
      <c r="AJ64" s="144"/>
      <c r="AK64" s="144"/>
    </row>
    <row r="65" ht="22.5" customHeight="1">
      <c r="A65" s="183"/>
      <c r="B65" s="183"/>
      <c r="C65" s="183"/>
      <c r="D65" s="183"/>
      <c r="E65" s="183"/>
      <c r="F65" s="183"/>
      <c r="G65" s="183"/>
      <c r="H65" s="183"/>
      <c r="I65" s="183"/>
      <c r="J65" s="183"/>
      <c r="K65" s="183"/>
      <c r="L65" s="183"/>
      <c r="M65" s="183"/>
      <c r="N65" s="183"/>
      <c r="O65" s="183"/>
      <c r="P65" s="183"/>
      <c r="Q65" s="183"/>
      <c r="R65" s="183"/>
      <c r="S65" s="183"/>
      <c r="T65" s="152"/>
      <c r="U65" s="155"/>
      <c r="V65" s="152"/>
      <c r="W65" s="152"/>
      <c r="X65" s="152"/>
      <c r="Y65" s="152"/>
      <c r="Z65" s="152"/>
      <c r="AA65" s="152"/>
      <c r="AB65" s="152"/>
      <c r="AC65" s="152"/>
      <c r="AD65" s="152"/>
      <c r="AE65" s="152"/>
      <c r="AF65" s="152"/>
      <c r="AG65" s="144"/>
      <c r="AH65" s="144"/>
      <c r="AI65" s="144"/>
      <c r="AJ65" s="144"/>
      <c r="AK65" s="144"/>
    </row>
    <row r="66" ht="22.5" customHeight="1">
      <c r="A66" s="184"/>
      <c r="B66" s="184"/>
      <c r="C66" s="184"/>
      <c r="D66" s="184"/>
      <c r="E66" s="184"/>
      <c r="F66" s="184"/>
      <c r="G66" s="184"/>
      <c r="H66" s="184"/>
      <c r="I66" s="184"/>
      <c r="J66" s="184"/>
      <c r="K66" s="184"/>
      <c r="L66" s="184"/>
      <c r="M66" s="184"/>
      <c r="N66" s="184"/>
      <c r="O66" s="184"/>
      <c r="P66" s="184"/>
      <c r="Q66" s="184"/>
      <c r="R66" s="184"/>
      <c r="S66" s="184"/>
      <c r="T66" s="145"/>
      <c r="U66" s="151"/>
      <c r="V66" s="145"/>
      <c r="W66" s="145"/>
      <c r="X66" s="145"/>
      <c r="Y66" s="145"/>
      <c r="Z66" s="145"/>
      <c r="AA66" s="145"/>
      <c r="AB66" s="145"/>
      <c r="AC66" s="145"/>
      <c r="AD66" s="145"/>
      <c r="AE66" s="145"/>
      <c r="AF66" s="145"/>
      <c r="AG66" s="144"/>
      <c r="AH66" s="144"/>
      <c r="AI66" s="144"/>
      <c r="AJ66" s="144"/>
      <c r="AK66" s="144"/>
    </row>
    <row r="67" ht="22.5" customHeight="1">
      <c r="A67" s="183"/>
      <c r="B67" s="183"/>
      <c r="C67" s="183"/>
      <c r="D67" s="183"/>
      <c r="E67" s="183"/>
      <c r="F67" s="183"/>
      <c r="G67" s="183"/>
      <c r="H67" s="183"/>
      <c r="I67" s="183"/>
      <c r="J67" s="183"/>
      <c r="K67" s="183"/>
      <c r="L67" s="183"/>
      <c r="M67" s="183"/>
      <c r="N67" s="183"/>
      <c r="O67" s="183"/>
      <c r="P67" s="183"/>
      <c r="Q67" s="183"/>
      <c r="R67" s="183"/>
      <c r="S67" s="183"/>
      <c r="T67" s="152"/>
      <c r="U67" s="155"/>
      <c r="V67" s="152"/>
      <c r="W67" s="152"/>
      <c r="X67" s="152"/>
      <c r="Y67" s="152"/>
      <c r="Z67" s="152"/>
      <c r="AA67" s="152"/>
      <c r="AB67" s="152"/>
      <c r="AC67" s="152"/>
      <c r="AD67" s="152"/>
      <c r="AE67" s="152"/>
      <c r="AF67" s="152"/>
      <c r="AG67" s="144"/>
      <c r="AH67" s="144"/>
      <c r="AI67" s="144"/>
      <c r="AJ67" s="144"/>
      <c r="AK67" s="144"/>
    </row>
    <row r="68" ht="22.5" customHeight="1">
      <c r="A68" s="184"/>
      <c r="B68" s="184"/>
      <c r="C68" s="184"/>
      <c r="D68" s="184"/>
      <c r="E68" s="184"/>
      <c r="F68" s="184"/>
      <c r="G68" s="184"/>
      <c r="H68" s="184"/>
      <c r="I68" s="184"/>
      <c r="J68" s="184"/>
      <c r="K68" s="184"/>
      <c r="L68" s="184"/>
      <c r="M68" s="184"/>
      <c r="N68" s="184"/>
      <c r="O68" s="184"/>
      <c r="P68" s="184"/>
      <c r="Q68" s="184"/>
      <c r="R68" s="184"/>
      <c r="S68" s="184"/>
      <c r="T68" s="145"/>
      <c r="U68" s="151"/>
      <c r="V68" s="145"/>
      <c r="W68" s="145"/>
      <c r="X68" s="145"/>
      <c r="Y68" s="145"/>
      <c r="Z68" s="145"/>
      <c r="AA68" s="145"/>
      <c r="AB68" s="145"/>
      <c r="AC68" s="145"/>
      <c r="AD68" s="145"/>
      <c r="AE68" s="145"/>
      <c r="AF68" s="145"/>
      <c r="AG68" s="144"/>
      <c r="AH68" s="144"/>
      <c r="AI68" s="144"/>
      <c r="AJ68" s="144"/>
      <c r="AK68" s="144"/>
    </row>
    <row r="69" ht="22.5" customHeight="1">
      <c r="A69" s="183"/>
      <c r="B69" s="183"/>
      <c r="C69" s="183"/>
      <c r="D69" s="183"/>
      <c r="E69" s="183"/>
      <c r="F69" s="183"/>
      <c r="G69" s="183"/>
      <c r="H69" s="183"/>
      <c r="I69" s="183"/>
      <c r="J69" s="183"/>
      <c r="K69" s="183"/>
      <c r="L69" s="183"/>
      <c r="M69" s="183"/>
      <c r="N69" s="183"/>
      <c r="O69" s="183"/>
      <c r="P69" s="183"/>
      <c r="Q69" s="183"/>
      <c r="R69" s="183"/>
      <c r="S69" s="183"/>
      <c r="T69" s="152"/>
      <c r="U69" s="155"/>
      <c r="V69" s="152"/>
      <c r="W69" s="152"/>
      <c r="X69" s="152"/>
      <c r="Y69" s="152"/>
      <c r="Z69" s="152"/>
      <c r="AA69" s="152"/>
      <c r="AB69" s="152"/>
      <c r="AC69" s="152"/>
      <c r="AD69" s="152"/>
      <c r="AE69" s="152"/>
      <c r="AF69" s="152"/>
      <c r="AG69" s="144"/>
      <c r="AH69" s="144"/>
      <c r="AI69" s="144"/>
      <c r="AJ69" s="144"/>
      <c r="AK69" s="144"/>
    </row>
    <row r="70" ht="22.5" customHeight="1">
      <c r="A70" s="184"/>
      <c r="B70" s="184"/>
      <c r="C70" s="184"/>
      <c r="D70" s="184"/>
      <c r="E70" s="184"/>
      <c r="F70" s="184"/>
      <c r="G70" s="184"/>
      <c r="H70" s="184"/>
      <c r="I70" s="184"/>
      <c r="J70" s="184"/>
      <c r="K70" s="184"/>
      <c r="L70" s="184"/>
      <c r="M70" s="184"/>
      <c r="N70" s="184"/>
      <c r="O70" s="184"/>
      <c r="P70" s="184"/>
      <c r="Q70" s="184"/>
      <c r="R70" s="184"/>
      <c r="S70" s="184"/>
      <c r="T70" s="145"/>
      <c r="U70" s="151"/>
      <c r="V70" s="145"/>
      <c r="W70" s="145"/>
      <c r="X70" s="145"/>
      <c r="Y70" s="145"/>
      <c r="Z70" s="145"/>
      <c r="AA70" s="145"/>
      <c r="AB70" s="145"/>
      <c r="AC70" s="145"/>
      <c r="AD70" s="145"/>
      <c r="AE70" s="145"/>
      <c r="AF70" s="145"/>
      <c r="AG70" s="144"/>
      <c r="AH70" s="144"/>
      <c r="AI70" s="144"/>
      <c r="AJ70" s="144"/>
      <c r="AK70" s="144"/>
    </row>
    <row r="71" ht="22.5" customHeight="1">
      <c r="A71" s="183"/>
      <c r="B71" s="183"/>
      <c r="C71" s="183"/>
      <c r="D71" s="183"/>
      <c r="E71" s="183"/>
      <c r="F71" s="183"/>
      <c r="G71" s="183"/>
      <c r="H71" s="183"/>
      <c r="I71" s="183"/>
      <c r="J71" s="183"/>
      <c r="K71" s="183"/>
      <c r="L71" s="183"/>
      <c r="M71" s="183"/>
      <c r="N71" s="183"/>
      <c r="O71" s="183"/>
      <c r="P71" s="183"/>
      <c r="Q71" s="183"/>
      <c r="R71" s="183"/>
      <c r="S71" s="183"/>
      <c r="T71" s="152"/>
      <c r="U71" s="155"/>
      <c r="V71" s="152"/>
      <c r="W71" s="152"/>
      <c r="X71" s="152"/>
      <c r="Y71" s="152"/>
      <c r="Z71" s="152"/>
      <c r="AA71" s="152"/>
      <c r="AB71" s="152"/>
      <c r="AC71" s="152"/>
      <c r="AD71" s="152"/>
      <c r="AE71" s="152"/>
      <c r="AF71" s="152"/>
      <c r="AG71" s="144"/>
      <c r="AH71" s="144"/>
      <c r="AI71" s="144"/>
      <c r="AJ71" s="144"/>
      <c r="AK71" s="144"/>
    </row>
    <row r="72" ht="22.5" customHeight="1">
      <c r="A72" s="184"/>
      <c r="B72" s="184"/>
      <c r="C72" s="184"/>
      <c r="D72" s="184"/>
      <c r="E72" s="184"/>
      <c r="F72" s="184"/>
      <c r="G72" s="184"/>
      <c r="H72" s="184"/>
      <c r="I72" s="184"/>
      <c r="J72" s="184"/>
      <c r="K72" s="184"/>
      <c r="L72" s="184"/>
      <c r="M72" s="184"/>
      <c r="N72" s="184"/>
      <c r="O72" s="184"/>
      <c r="P72" s="184"/>
      <c r="Q72" s="184"/>
      <c r="R72" s="184"/>
      <c r="S72" s="184"/>
      <c r="T72" s="145"/>
      <c r="U72" s="151"/>
      <c r="V72" s="145"/>
      <c r="W72" s="145"/>
      <c r="X72" s="145"/>
      <c r="Y72" s="145"/>
      <c r="Z72" s="145"/>
      <c r="AA72" s="145"/>
      <c r="AB72" s="145"/>
      <c r="AC72" s="145"/>
      <c r="AD72" s="145"/>
      <c r="AE72" s="145"/>
      <c r="AF72" s="145"/>
      <c r="AG72" s="144"/>
      <c r="AH72" s="144"/>
      <c r="AI72" s="144"/>
      <c r="AJ72" s="144"/>
      <c r="AK72" s="144"/>
    </row>
    <row r="73" ht="22.5" customHeight="1">
      <c r="A73" s="183"/>
      <c r="B73" s="183"/>
      <c r="C73" s="183"/>
      <c r="D73" s="183"/>
      <c r="E73" s="183"/>
      <c r="F73" s="183"/>
      <c r="G73" s="183"/>
      <c r="H73" s="183"/>
      <c r="I73" s="183"/>
      <c r="J73" s="183"/>
      <c r="K73" s="183"/>
      <c r="L73" s="183"/>
      <c r="M73" s="183"/>
      <c r="N73" s="183"/>
      <c r="O73" s="183"/>
      <c r="P73" s="183"/>
      <c r="Q73" s="183"/>
      <c r="R73" s="183"/>
      <c r="S73" s="183"/>
      <c r="T73" s="152"/>
      <c r="U73" s="155"/>
      <c r="V73" s="152"/>
      <c r="W73" s="152"/>
      <c r="X73" s="152"/>
      <c r="Y73" s="152"/>
      <c r="Z73" s="152"/>
      <c r="AA73" s="152"/>
      <c r="AB73" s="152"/>
      <c r="AC73" s="152"/>
      <c r="AD73" s="152"/>
      <c r="AE73" s="152"/>
      <c r="AF73" s="152"/>
      <c r="AG73" s="144"/>
      <c r="AH73" s="144"/>
      <c r="AI73" s="144"/>
      <c r="AJ73" s="144"/>
      <c r="AK73" s="144"/>
    </row>
    <row r="74" ht="22.5" customHeight="1">
      <c r="A74" s="184"/>
      <c r="B74" s="184"/>
      <c r="C74" s="184"/>
      <c r="D74" s="184"/>
      <c r="E74" s="184"/>
      <c r="F74" s="184"/>
      <c r="G74" s="184"/>
      <c r="H74" s="184"/>
      <c r="I74" s="184"/>
      <c r="J74" s="184"/>
      <c r="K74" s="184"/>
      <c r="L74" s="184"/>
      <c r="M74" s="184"/>
      <c r="N74" s="184"/>
      <c r="O74" s="184"/>
      <c r="P74" s="184"/>
      <c r="Q74" s="184"/>
      <c r="R74" s="184"/>
      <c r="S74" s="184"/>
      <c r="T74" s="145"/>
      <c r="U74" s="151"/>
      <c r="V74" s="145"/>
      <c r="W74" s="145"/>
      <c r="X74" s="145"/>
      <c r="Y74" s="145"/>
      <c r="Z74" s="145"/>
      <c r="AA74" s="145"/>
      <c r="AB74" s="145"/>
      <c r="AC74" s="145"/>
      <c r="AD74" s="145"/>
      <c r="AE74" s="145"/>
      <c r="AF74" s="145"/>
      <c r="AG74" s="144"/>
      <c r="AH74" s="144"/>
      <c r="AI74" s="144"/>
      <c r="AJ74" s="144"/>
      <c r="AK74" s="144"/>
    </row>
    <row r="75" ht="22.5" customHeight="1">
      <c r="A75" s="183"/>
      <c r="B75" s="183"/>
      <c r="C75" s="183"/>
      <c r="D75" s="183"/>
      <c r="E75" s="183"/>
      <c r="F75" s="183"/>
      <c r="G75" s="183"/>
      <c r="H75" s="183"/>
      <c r="I75" s="183"/>
      <c r="J75" s="183"/>
      <c r="K75" s="183"/>
      <c r="L75" s="183"/>
      <c r="M75" s="183"/>
      <c r="N75" s="183"/>
      <c r="O75" s="183"/>
      <c r="P75" s="183"/>
      <c r="Q75" s="183"/>
      <c r="R75" s="183"/>
      <c r="S75" s="183"/>
      <c r="T75" s="152"/>
      <c r="U75" s="155"/>
      <c r="V75" s="152"/>
      <c r="W75" s="152"/>
      <c r="X75" s="152"/>
      <c r="Y75" s="152"/>
      <c r="Z75" s="152"/>
      <c r="AA75" s="152"/>
      <c r="AB75" s="152"/>
      <c r="AC75" s="152"/>
      <c r="AD75" s="152"/>
      <c r="AE75" s="152"/>
      <c r="AF75" s="152"/>
      <c r="AG75" s="144"/>
      <c r="AH75" s="144"/>
      <c r="AI75" s="144"/>
      <c r="AJ75" s="144"/>
      <c r="AK75" s="144"/>
    </row>
    <row r="76" ht="22.5" customHeight="1">
      <c r="A76" s="184"/>
      <c r="B76" s="184"/>
      <c r="C76" s="184"/>
      <c r="D76" s="184"/>
      <c r="E76" s="184"/>
      <c r="F76" s="184"/>
      <c r="G76" s="184"/>
      <c r="H76" s="184"/>
      <c r="I76" s="184"/>
      <c r="J76" s="184"/>
      <c r="K76" s="184"/>
      <c r="L76" s="184"/>
      <c r="M76" s="184"/>
      <c r="N76" s="184"/>
      <c r="O76" s="184"/>
      <c r="P76" s="184"/>
      <c r="Q76" s="184"/>
      <c r="R76" s="184"/>
      <c r="S76" s="184"/>
      <c r="T76" s="145"/>
      <c r="U76" s="151"/>
      <c r="V76" s="145"/>
      <c r="W76" s="145"/>
      <c r="X76" s="145"/>
      <c r="Y76" s="145"/>
      <c r="Z76" s="145"/>
      <c r="AA76" s="145"/>
      <c r="AB76" s="145"/>
      <c r="AC76" s="145"/>
      <c r="AD76" s="145"/>
      <c r="AE76" s="145"/>
      <c r="AF76" s="145"/>
      <c r="AG76" s="144"/>
      <c r="AH76" s="144"/>
      <c r="AI76" s="144"/>
      <c r="AJ76" s="144"/>
      <c r="AK76" s="144"/>
    </row>
    <row r="77" ht="22.5" customHeight="1">
      <c r="A77" s="183"/>
      <c r="B77" s="183"/>
      <c r="C77" s="183"/>
      <c r="D77" s="183"/>
      <c r="E77" s="183"/>
      <c r="F77" s="183"/>
      <c r="G77" s="183"/>
      <c r="H77" s="183"/>
      <c r="I77" s="183"/>
      <c r="J77" s="183"/>
      <c r="K77" s="183"/>
      <c r="L77" s="183"/>
      <c r="M77" s="183"/>
      <c r="N77" s="183"/>
      <c r="O77" s="183"/>
      <c r="P77" s="183"/>
      <c r="Q77" s="183"/>
      <c r="R77" s="183"/>
      <c r="S77" s="183"/>
      <c r="T77" s="152"/>
      <c r="U77" s="155"/>
      <c r="V77" s="152"/>
      <c r="W77" s="152"/>
      <c r="X77" s="152"/>
      <c r="Y77" s="152"/>
      <c r="Z77" s="152"/>
      <c r="AA77" s="152"/>
      <c r="AB77" s="152"/>
      <c r="AC77" s="152"/>
      <c r="AD77" s="152"/>
      <c r="AE77" s="152"/>
      <c r="AF77" s="152"/>
      <c r="AG77" s="144"/>
      <c r="AH77" s="144"/>
      <c r="AI77" s="144"/>
      <c r="AJ77" s="144"/>
      <c r="AK77" s="144"/>
    </row>
    <row r="78" ht="22.5" customHeight="1">
      <c r="A78" s="184"/>
      <c r="B78" s="184"/>
      <c r="C78" s="184"/>
      <c r="D78" s="184"/>
      <c r="E78" s="184"/>
      <c r="F78" s="184"/>
      <c r="G78" s="184"/>
      <c r="H78" s="184"/>
      <c r="I78" s="184"/>
      <c r="J78" s="184"/>
      <c r="K78" s="184"/>
      <c r="L78" s="184"/>
      <c r="M78" s="184"/>
      <c r="N78" s="184"/>
      <c r="O78" s="184"/>
      <c r="P78" s="184"/>
      <c r="Q78" s="184"/>
      <c r="R78" s="184"/>
      <c r="S78" s="184"/>
      <c r="T78" s="145"/>
      <c r="U78" s="151"/>
      <c r="V78" s="145"/>
      <c r="W78" s="145"/>
      <c r="X78" s="145"/>
      <c r="Y78" s="145"/>
      <c r="Z78" s="145"/>
      <c r="AA78" s="145"/>
      <c r="AB78" s="145"/>
      <c r="AC78" s="145"/>
      <c r="AD78" s="145"/>
      <c r="AE78" s="145"/>
      <c r="AF78" s="145"/>
      <c r="AG78" s="144"/>
      <c r="AH78" s="144"/>
      <c r="AI78" s="144"/>
      <c r="AJ78" s="144"/>
      <c r="AK78" s="144"/>
    </row>
    <row r="79" ht="22.5" customHeight="1">
      <c r="A79" s="183"/>
      <c r="B79" s="183"/>
      <c r="C79" s="183"/>
      <c r="D79" s="183"/>
      <c r="E79" s="183"/>
      <c r="F79" s="183"/>
      <c r="G79" s="183"/>
      <c r="H79" s="183"/>
      <c r="I79" s="183"/>
      <c r="J79" s="183"/>
      <c r="K79" s="183"/>
      <c r="L79" s="183"/>
      <c r="M79" s="183"/>
      <c r="N79" s="183"/>
      <c r="O79" s="183"/>
      <c r="P79" s="183"/>
      <c r="Q79" s="183"/>
      <c r="R79" s="183"/>
      <c r="S79" s="183"/>
      <c r="T79" s="152"/>
      <c r="U79" s="155"/>
      <c r="V79" s="152"/>
      <c r="W79" s="152"/>
      <c r="X79" s="152"/>
      <c r="Y79" s="152"/>
      <c r="Z79" s="152"/>
      <c r="AA79" s="152"/>
      <c r="AB79" s="152"/>
      <c r="AC79" s="152"/>
      <c r="AD79" s="152"/>
      <c r="AE79" s="152"/>
      <c r="AF79" s="152"/>
      <c r="AG79" s="144"/>
      <c r="AH79" s="144"/>
      <c r="AI79" s="144"/>
      <c r="AJ79" s="144"/>
      <c r="AK79" s="144"/>
    </row>
    <row r="80" ht="22.5" customHeight="1">
      <c r="A80" s="184"/>
      <c r="B80" s="184"/>
      <c r="C80" s="184"/>
      <c r="D80" s="184"/>
      <c r="E80" s="184"/>
      <c r="F80" s="184"/>
      <c r="G80" s="184"/>
      <c r="H80" s="184"/>
      <c r="I80" s="184"/>
      <c r="J80" s="184"/>
      <c r="K80" s="184"/>
      <c r="L80" s="184"/>
      <c r="M80" s="184"/>
      <c r="N80" s="184"/>
      <c r="O80" s="184"/>
      <c r="P80" s="184"/>
      <c r="Q80" s="184"/>
      <c r="R80" s="184"/>
      <c r="S80" s="184"/>
      <c r="T80" s="145"/>
      <c r="U80" s="151"/>
      <c r="V80" s="145"/>
      <c r="W80" s="145"/>
      <c r="X80" s="145"/>
      <c r="Y80" s="145"/>
      <c r="Z80" s="145"/>
      <c r="AA80" s="145"/>
      <c r="AB80" s="145"/>
      <c r="AC80" s="145"/>
      <c r="AD80" s="145"/>
      <c r="AE80" s="145"/>
      <c r="AF80" s="145"/>
      <c r="AG80" s="144"/>
      <c r="AH80" s="144"/>
      <c r="AI80" s="144"/>
      <c r="AJ80" s="144"/>
      <c r="AK80" s="144"/>
    </row>
    <row r="81" ht="22.5" customHeight="1">
      <c r="A81" s="183"/>
      <c r="B81" s="183"/>
      <c r="C81" s="183"/>
      <c r="D81" s="183"/>
      <c r="E81" s="183"/>
      <c r="F81" s="183"/>
      <c r="G81" s="183"/>
      <c r="H81" s="183"/>
      <c r="I81" s="183"/>
      <c r="J81" s="183"/>
      <c r="K81" s="183"/>
      <c r="L81" s="183"/>
      <c r="M81" s="183"/>
      <c r="N81" s="183"/>
      <c r="O81" s="183"/>
      <c r="P81" s="183"/>
      <c r="Q81" s="183"/>
      <c r="R81" s="183"/>
      <c r="S81" s="183"/>
      <c r="T81" s="152"/>
      <c r="U81" s="155"/>
      <c r="V81" s="152"/>
      <c r="W81" s="152"/>
      <c r="X81" s="152"/>
      <c r="Y81" s="152"/>
      <c r="Z81" s="152"/>
      <c r="AA81" s="152"/>
      <c r="AB81" s="152"/>
      <c r="AC81" s="152"/>
      <c r="AD81" s="152"/>
      <c r="AE81" s="152"/>
      <c r="AF81" s="152"/>
      <c r="AG81" s="144"/>
      <c r="AH81" s="144"/>
      <c r="AI81" s="144"/>
      <c r="AJ81" s="144"/>
      <c r="AK81" s="144"/>
    </row>
    <row r="82" ht="22.5" customHeight="1">
      <c r="A82" s="184"/>
      <c r="B82" s="184"/>
      <c r="C82" s="184"/>
      <c r="D82" s="184"/>
      <c r="E82" s="184"/>
      <c r="F82" s="184"/>
      <c r="G82" s="184"/>
      <c r="H82" s="184"/>
      <c r="I82" s="184"/>
      <c r="J82" s="184"/>
      <c r="K82" s="184"/>
      <c r="L82" s="184"/>
      <c r="M82" s="184"/>
      <c r="N82" s="184"/>
      <c r="O82" s="184"/>
      <c r="P82" s="184"/>
      <c r="Q82" s="184"/>
      <c r="R82" s="184"/>
      <c r="S82" s="184"/>
      <c r="T82" s="145"/>
      <c r="U82" s="151"/>
      <c r="V82" s="145"/>
      <c r="W82" s="145"/>
      <c r="X82" s="145"/>
      <c r="Y82" s="145"/>
      <c r="Z82" s="145"/>
      <c r="AA82" s="145"/>
      <c r="AB82" s="145"/>
      <c r="AC82" s="145"/>
      <c r="AD82" s="145"/>
      <c r="AE82" s="145"/>
      <c r="AF82" s="145"/>
      <c r="AG82" s="144"/>
      <c r="AH82" s="144"/>
      <c r="AI82" s="144"/>
      <c r="AJ82" s="144"/>
      <c r="AK82" s="144"/>
    </row>
    <row r="83" ht="22.5" customHeight="1">
      <c r="A83" s="183"/>
      <c r="B83" s="183"/>
      <c r="C83" s="183"/>
      <c r="D83" s="183"/>
      <c r="E83" s="183"/>
      <c r="F83" s="183"/>
      <c r="G83" s="183"/>
      <c r="H83" s="183"/>
      <c r="I83" s="183"/>
      <c r="J83" s="183"/>
      <c r="K83" s="183"/>
      <c r="L83" s="183"/>
      <c r="M83" s="183"/>
      <c r="N83" s="183"/>
      <c r="O83" s="183"/>
      <c r="P83" s="183"/>
      <c r="Q83" s="183"/>
      <c r="R83" s="183"/>
      <c r="S83" s="183"/>
      <c r="T83" s="152"/>
      <c r="U83" s="155"/>
      <c r="V83" s="152"/>
      <c r="W83" s="152"/>
      <c r="X83" s="152"/>
      <c r="Y83" s="152"/>
      <c r="Z83" s="152"/>
      <c r="AA83" s="152"/>
      <c r="AB83" s="152"/>
      <c r="AC83" s="152"/>
      <c r="AD83" s="152"/>
      <c r="AE83" s="152"/>
      <c r="AF83" s="152"/>
      <c r="AG83" s="144"/>
      <c r="AH83" s="144"/>
      <c r="AI83" s="144"/>
      <c r="AJ83" s="144"/>
      <c r="AK83" s="144"/>
    </row>
    <row r="84" ht="22.5" customHeight="1">
      <c r="A84" s="184"/>
      <c r="B84" s="184"/>
      <c r="C84" s="184"/>
      <c r="D84" s="184"/>
      <c r="E84" s="184"/>
      <c r="F84" s="184"/>
      <c r="G84" s="184"/>
      <c r="H84" s="184"/>
      <c r="I84" s="184"/>
      <c r="J84" s="184"/>
      <c r="K84" s="184"/>
      <c r="L84" s="184"/>
      <c r="M84" s="184"/>
      <c r="N84" s="184"/>
      <c r="O84" s="184"/>
      <c r="P84" s="184"/>
      <c r="Q84" s="184"/>
      <c r="R84" s="184"/>
      <c r="S84" s="184"/>
      <c r="T84" s="145"/>
      <c r="U84" s="151"/>
      <c r="V84" s="145"/>
      <c r="W84" s="145"/>
      <c r="X84" s="145"/>
      <c r="Y84" s="145"/>
      <c r="Z84" s="145"/>
      <c r="AA84" s="145"/>
      <c r="AB84" s="145"/>
      <c r="AC84" s="145"/>
      <c r="AD84" s="145"/>
      <c r="AE84" s="145"/>
      <c r="AF84" s="145"/>
      <c r="AG84" s="144"/>
      <c r="AH84" s="144"/>
      <c r="AI84" s="144"/>
      <c r="AJ84" s="144"/>
      <c r="AK84" s="144"/>
    </row>
    <row r="85" ht="22.5" customHeight="1">
      <c r="A85" s="183"/>
      <c r="B85" s="183"/>
      <c r="C85" s="183"/>
      <c r="D85" s="183"/>
      <c r="E85" s="183"/>
      <c r="F85" s="183"/>
      <c r="G85" s="183"/>
      <c r="H85" s="183"/>
      <c r="I85" s="183"/>
      <c r="J85" s="183"/>
      <c r="K85" s="183"/>
      <c r="L85" s="183"/>
      <c r="M85" s="183"/>
      <c r="N85" s="183"/>
      <c r="O85" s="183"/>
      <c r="P85" s="183"/>
      <c r="Q85" s="183"/>
      <c r="R85" s="183"/>
      <c r="S85" s="183"/>
      <c r="T85" s="152"/>
      <c r="U85" s="155"/>
      <c r="V85" s="152"/>
      <c r="W85" s="152"/>
      <c r="X85" s="152"/>
      <c r="Y85" s="152"/>
      <c r="Z85" s="152"/>
      <c r="AA85" s="152"/>
      <c r="AB85" s="152"/>
      <c r="AC85" s="152"/>
      <c r="AD85" s="152"/>
      <c r="AE85" s="152"/>
      <c r="AF85" s="152"/>
      <c r="AG85" s="144"/>
      <c r="AH85" s="144"/>
      <c r="AI85" s="144"/>
      <c r="AJ85" s="144"/>
      <c r="AK85" s="144"/>
    </row>
    <row r="86" ht="22.5" customHeight="1">
      <c r="A86" s="184"/>
      <c r="B86" s="184"/>
      <c r="C86" s="184"/>
      <c r="D86" s="184"/>
      <c r="E86" s="184"/>
      <c r="F86" s="184"/>
      <c r="G86" s="184"/>
      <c r="H86" s="184"/>
      <c r="I86" s="184"/>
      <c r="J86" s="184"/>
      <c r="K86" s="184"/>
      <c r="L86" s="184"/>
      <c r="M86" s="184"/>
      <c r="N86" s="184"/>
      <c r="O86" s="184"/>
      <c r="P86" s="184"/>
      <c r="Q86" s="184"/>
      <c r="R86" s="184"/>
      <c r="S86" s="184"/>
      <c r="T86" s="145"/>
      <c r="U86" s="151"/>
      <c r="V86" s="145"/>
      <c r="W86" s="145"/>
      <c r="X86" s="145"/>
      <c r="Y86" s="145"/>
      <c r="Z86" s="145"/>
      <c r="AA86" s="145"/>
      <c r="AB86" s="145"/>
      <c r="AC86" s="145"/>
      <c r="AD86" s="145"/>
      <c r="AE86" s="145"/>
      <c r="AF86" s="145"/>
      <c r="AG86" s="144"/>
      <c r="AH86" s="144"/>
      <c r="AI86" s="144"/>
      <c r="AJ86" s="144"/>
      <c r="AK86" s="144"/>
    </row>
    <row r="87" ht="22.5" customHeight="1">
      <c r="A87" s="183"/>
      <c r="B87" s="183"/>
      <c r="C87" s="183"/>
      <c r="D87" s="183"/>
      <c r="E87" s="183"/>
      <c r="F87" s="183"/>
      <c r="G87" s="183"/>
      <c r="H87" s="183"/>
      <c r="I87" s="183"/>
      <c r="J87" s="183"/>
      <c r="K87" s="183"/>
      <c r="L87" s="183"/>
      <c r="M87" s="183"/>
      <c r="N87" s="183"/>
      <c r="O87" s="183"/>
      <c r="P87" s="183"/>
      <c r="Q87" s="183"/>
      <c r="R87" s="183"/>
      <c r="S87" s="183"/>
      <c r="T87" s="152"/>
      <c r="U87" s="155"/>
      <c r="V87" s="152"/>
      <c r="W87" s="152"/>
      <c r="X87" s="152"/>
      <c r="Y87" s="152"/>
      <c r="Z87" s="152"/>
      <c r="AA87" s="152"/>
      <c r="AB87" s="152"/>
      <c r="AC87" s="152"/>
      <c r="AD87" s="152"/>
      <c r="AE87" s="152"/>
      <c r="AF87" s="152"/>
      <c r="AG87" s="144"/>
      <c r="AH87" s="144"/>
      <c r="AI87" s="144"/>
      <c r="AJ87" s="144"/>
      <c r="AK87" s="144"/>
    </row>
    <row r="88" ht="22.5" customHeight="1">
      <c r="A88" s="184"/>
      <c r="B88" s="184"/>
      <c r="C88" s="184"/>
      <c r="D88" s="184"/>
      <c r="E88" s="184"/>
      <c r="F88" s="184"/>
      <c r="G88" s="184"/>
      <c r="H88" s="184"/>
      <c r="I88" s="184"/>
      <c r="J88" s="184"/>
      <c r="K88" s="184"/>
      <c r="L88" s="184"/>
      <c r="M88" s="184"/>
      <c r="N88" s="184"/>
      <c r="O88" s="184"/>
      <c r="P88" s="184"/>
      <c r="Q88" s="184"/>
      <c r="R88" s="184"/>
      <c r="S88" s="184"/>
      <c r="T88" s="145"/>
      <c r="U88" s="151"/>
      <c r="V88" s="145"/>
      <c r="W88" s="145"/>
      <c r="X88" s="145"/>
      <c r="Y88" s="145"/>
      <c r="Z88" s="145"/>
      <c r="AA88" s="145"/>
      <c r="AB88" s="145"/>
      <c r="AC88" s="145"/>
      <c r="AD88" s="145"/>
      <c r="AE88" s="145"/>
      <c r="AF88" s="145"/>
      <c r="AG88" s="144"/>
      <c r="AH88" s="144"/>
      <c r="AI88" s="144"/>
      <c r="AJ88" s="144"/>
      <c r="AK88" s="144"/>
    </row>
    <row r="89" ht="22.5" customHeight="1">
      <c r="A89" s="183"/>
      <c r="B89" s="183"/>
      <c r="C89" s="183"/>
      <c r="D89" s="183"/>
      <c r="E89" s="183"/>
      <c r="F89" s="183"/>
      <c r="G89" s="183"/>
      <c r="H89" s="183"/>
      <c r="I89" s="183"/>
      <c r="J89" s="183"/>
      <c r="K89" s="183"/>
      <c r="L89" s="183"/>
      <c r="M89" s="183"/>
      <c r="N89" s="183"/>
      <c r="O89" s="183"/>
      <c r="P89" s="183"/>
      <c r="Q89" s="183"/>
      <c r="R89" s="183"/>
      <c r="S89" s="183"/>
      <c r="T89" s="152"/>
      <c r="U89" s="155"/>
      <c r="V89" s="152"/>
      <c r="W89" s="152"/>
      <c r="X89" s="152"/>
      <c r="Y89" s="152"/>
      <c r="Z89" s="152"/>
      <c r="AA89" s="152"/>
      <c r="AB89" s="152"/>
      <c r="AC89" s="152"/>
      <c r="AD89" s="152"/>
      <c r="AE89" s="152"/>
      <c r="AF89" s="152"/>
      <c r="AG89" s="144"/>
      <c r="AH89" s="144"/>
      <c r="AI89" s="144"/>
      <c r="AJ89" s="144"/>
      <c r="AK89" s="144"/>
    </row>
    <row r="90" ht="22.5" customHeight="1">
      <c r="A90" s="184"/>
      <c r="B90" s="184"/>
      <c r="C90" s="184"/>
      <c r="D90" s="184"/>
      <c r="E90" s="184"/>
      <c r="F90" s="184"/>
      <c r="G90" s="184"/>
      <c r="H90" s="184"/>
      <c r="I90" s="184"/>
      <c r="J90" s="184"/>
      <c r="K90" s="184"/>
      <c r="L90" s="184"/>
      <c r="M90" s="184"/>
      <c r="N90" s="184"/>
      <c r="O90" s="184"/>
      <c r="P90" s="184"/>
      <c r="Q90" s="184"/>
      <c r="R90" s="184"/>
      <c r="S90" s="184"/>
      <c r="T90" s="145"/>
      <c r="U90" s="151"/>
      <c r="V90" s="145"/>
      <c r="W90" s="145"/>
      <c r="X90" s="145"/>
      <c r="Y90" s="145"/>
      <c r="Z90" s="145"/>
      <c r="AA90" s="145"/>
      <c r="AB90" s="145"/>
      <c r="AC90" s="145"/>
      <c r="AD90" s="145"/>
      <c r="AE90" s="145"/>
      <c r="AF90" s="145"/>
      <c r="AG90" s="144"/>
      <c r="AH90" s="144"/>
      <c r="AI90" s="144"/>
      <c r="AJ90" s="144"/>
      <c r="AK90" s="144"/>
    </row>
    <row r="91" ht="22.5" customHeight="1">
      <c r="A91" s="183"/>
      <c r="B91" s="183"/>
      <c r="C91" s="183"/>
      <c r="D91" s="183"/>
      <c r="E91" s="183"/>
      <c r="F91" s="183"/>
      <c r="G91" s="183"/>
      <c r="H91" s="183"/>
      <c r="I91" s="183"/>
      <c r="J91" s="183"/>
      <c r="K91" s="183"/>
      <c r="L91" s="183"/>
      <c r="M91" s="183"/>
      <c r="N91" s="183"/>
      <c r="O91" s="183"/>
      <c r="P91" s="183"/>
      <c r="Q91" s="183"/>
      <c r="R91" s="183"/>
      <c r="S91" s="183"/>
      <c r="T91" s="152"/>
      <c r="U91" s="155"/>
      <c r="V91" s="152"/>
      <c r="W91" s="152"/>
      <c r="X91" s="152"/>
      <c r="Y91" s="152"/>
      <c r="Z91" s="152"/>
      <c r="AA91" s="152"/>
      <c r="AB91" s="152"/>
      <c r="AC91" s="152"/>
      <c r="AD91" s="152"/>
      <c r="AE91" s="152"/>
      <c r="AF91" s="152"/>
      <c r="AG91" s="144"/>
      <c r="AH91" s="144"/>
      <c r="AI91" s="144"/>
      <c r="AJ91" s="144"/>
      <c r="AK91" s="144"/>
    </row>
    <row r="92" ht="22.5" customHeight="1">
      <c r="A92" s="184"/>
      <c r="B92" s="184"/>
      <c r="C92" s="184"/>
      <c r="D92" s="184"/>
      <c r="E92" s="184"/>
      <c r="F92" s="184"/>
      <c r="G92" s="184"/>
      <c r="H92" s="184"/>
      <c r="I92" s="184"/>
      <c r="J92" s="184"/>
      <c r="K92" s="184"/>
      <c r="L92" s="184"/>
      <c r="M92" s="184"/>
      <c r="N92" s="184"/>
      <c r="O92" s="184"/>
      <c r="P92" s="184"/>
      <c r="Q92" s="184"/>
      <c r="R92" s="184"/>
      <c r="S92" s="184"/>
      <c r="T92" s="145"/>
      <c r="U92" s="151"/>
      <c r="V92" s="145"/>
      <c r="W92" s="145"/>
      <c r="X92" s="145"/>
      <c r="Y92" s="145"/>
      <c r="Z92" s="145"/>
      <c r="AA92" s="145"/>
      <c r="AB92" s="145"/>
      <c r="AC92" s="145"/>
      <c r="AD92" s="145"/>
      <c r="AE92" s="145"/>
      <c r="AF92" s="145"/>
      <c r="AG92" s="144"/>
      <c r="AH92" s="144"/>
      <c r="AI92" s="144"/>
      <c r="AJ92" s="144"/>
      <c r="AK92" s="144"/>
    </row>
    <row r="93" ht="22.5" customHeight="1">
      <c r="A93" s="183"/>
      <c r="B93" s="183"/>
      <c r="C93" s="183"/>
      <c r="D93" s="183"/>
      <c r="E93" s="183"/>
      <c r="F93" s="183"/>
      <c r="G93" s="183"/>
      <c r="H93" s="183"/>
      <c r="I93" s="183"/>
      <c r="J93" s="183"/>
      <c r="K93" s="183"/>
      <c r="L93" s="183"/>
      <c r="M93" s="183"/>
      <c r="N93" s="183"/>
      <c r="O93" s="183"/>
      <c r="P93" s="183"/>
      <c r="Q93" s="183"/>
      <c r="R93" s="183"/>
      <c r="S93" s="183"/>
      <c r="T93" s="152"/>
      <c r="U93" s="155"/>
      <c r="V93" s="152"/>
      <c r="W93" s="152"/>
      <c r="X93" s="152"/>
      <c r="Y93" s="152"/>
      <c r="Z93" s="152"/>
      <c r="AA93" s="152"/>
      <c r="AB93" s="152"/>
      <c r="AC93" s="152"/>
      <c r="AD93" s="152"/>
      <c r="AE93" s="152"/>
      <c r="AF93" s="152"/>
      <c r="AG93" s="144"/>
      <c r="AH93" s="144"/>
      <c r="AI93" s="144"/>
      <c r="AJ93" s="144"/>
      <c r="AK93" s="144"/>
    </row>
    <row r="94" ht="22.5" customHeight="1">
      <c r="A94" s="184"/>
      <c r="B94" s="184"/>
      <c r="C94" s="184"/>
      <c r="D94" s="184"/>
      <c r="E94" s="184"/>
      <c r="F94" s="184"/>
      <c r="G94" s="184"/>
      <c r="H94" s="184"/>
      <c r="I94" s="184"/>
      <c r="J94" s="184"/>
      <c r="K94" s="184"/>
      <c r="L94" s="184"/>
      <c r="M94" s="184"/>
      <c r="N94" s="184"/>
      <c r="O94" s="184"/>
      <c r="P94" s="184"/>
      <c r="Q94" s="184"/>
      <c r="R94" s="184"/>
      <c r="S94" s="184"/>
      <c r="T94" s="145"/>
      <c r="U94" s="151"/>
      <c r="V94" s="145"/>
      <c r="W94" s="145"/>
      <c r="X94" s="145"/>
      <c r="Y94" s="145"/>
      <c r="Z94" s="145"/>
      <c r="AA94" s="145"/>
      <c r="AB94" s="145"/>
      <c r="AC94" s="145"/>
      <c r="AD94" s="145"/>
      <c r="AE94" s="145"/>
      <c r="AF94" s="145"/>
      <c r="AG94" s="144"/>
      <c r="AH94" s="144"/>
      <c r="AI94" s="144"/>
      <c r="AJ94" s="144"/>
      <c r="AK94" s="144"/>
    </row>
    <row r="95" ht="22.5" customHeight="1">
      <c r="A95" s="183"/>
      <c r="B95" s="183"/>
      <c r="C95" s="183"/>
      <c r="D95" s="183"/>
      <c r="E95" s="183"/>
      <c r="F95" s="183"/>
      <c r="G95" s="183"/>
      <c r="H95" s="183"/>
      <c r="I95" s="183"/>
      <c r="J95" s="183"/>
      <c r="K95" s="183"/>
      <c r="L95" s="183"/>
      <c r="M95" s="183"/>
      <c r="N95" s="183"/>
      <c r="O95" s="183"/>
      <c r="P95" s="183"/>
      <c r="Q95" s="183"/>
      <c r="R95" s="183"/>
      <c r="S95" s="183"/>
      <c r="T95" s="152"/>
      <c r="U95" s="155"/>
      <c r="V95" s="152"/>
      <c r="W95" s="152"/>
      <c r="X95" s="152"/>
      <c r="Y95" s="152"/>
      <c r="Z95" s="152"/>
      <c r="AA95" s="152"/>
      <c r="AB95" s="152"/>
      <c r="AC95" s="152"/>
      <c r="AD95" s="152"/>
      <c r="AE95" s="152"/>
      <c r="AF95" s="152"/>
      <c r="AG95" s="144"/>
      <c r="AH95" s="144"/>
      <c r="AI95" s="144"/>
      <c r="AJ95" s="144"/>
      <c r="AK95" s="144"/>
    </row>
    <row r="96" ht="22.5" customHeight="1">
      <c r="A96" s="184"/>
      <c r="B96" s="184"/>
      <c r="C96" s="184"/>
      <c r="D96" s="184"/>
      <c r="E96" s="184"/>
      <c r="F96" s="184"/>
      <c r="G96" s="184"/>
      <c r="H96" s="184"/>
      <c r="I96" s="184"/>
      <c r="J96" s="184"/>
      <c r="K96" s="184"/>
      <c r="L96" s="184"/>
      <c r="M96" s="184"/>
      <c r="N96" s="184"/>
      <c r="O96" s="184"/>
      <c r="P96" s="184"/>
      <c r="Q96" s="184"/>
      <c r="R96" s="184"/>
      <c r="S96" s="184"/>
      <c r="T96" s="145"/>
      <c r="U96" s="151"/>
      <c r="V96" s="145"/>
      <c r="W96" s="145"/>
      <c r="X96" s="145"/>
      <c r="Y96" s="145"/>
      <c r="Z96" s="145"/>
      <c r="AA96" s="145"/>
      <c r="AB96" s="145"/>
      <c r="AC96" s="145"/>
      <c r="AD96" s="145"/>
      <c r="AE96" s="145"/>
      <c r="AF96" s="145"/>
      <c r="AG96" s="144"/>
      <c r="AH96" s="144"/>
      <c r="AI96" s="144"/>
      <c r="AJ96" s="144"/>
      <c r="AK96" s="144"/>
    </row>
    <row r="97" ht="22.5" customHeight="1">
      <c r="A97" s="183"/>
      <c r="B97" s="183"/>
      <c r="C97" s="183"/>
      <c r="D97" s="183"/>
      <c r="E97" s="183"/>
      <c r="F97" s="183"/>
      <c r="G97" s="183"/>
      <c r="H97" s="183"/>
      <c r="I97" s="183"/>
      <c r="J97" s="183"/>
      <c r="K97" s="183"/>
      <c r="L97" s="183"/>
      <c r="M97" s="183"/>
      <c r="N97" s="183"/>
      <c r="O97" s="183"/>
      <c r="P97" s="183"/>
      <c r="Q97" s="183"/>
      <c r="R97" s="183"/>
      <c r="S97" s="183"/>
      <c r="T97" s="152"/>
      <c r="U97" s="155"/>
      <c r="V97" s="152"/>
      <c r="W97" s="152"/>
      <c r="X97" s="152"/>
      <c r="Y97" s="152"/>
      <c r="Z97" s="152"/>
      <c r="AA97" s="152"/>
      <c r="AB97" s="152"/>
      <c r="AC97" s="152"/>
      <c r="AD97" s="152"/>
      <c r="AE97" s="152"/>
      <c r="AF97" s="152"/>
      <c r="AG97" s="144"/>
      <c r="AH97" s="144"/>
      <c r="AI97" s="144"/>
      <c r="AJ97" s="144"/>
      <c r="AK97" s="144"/>
    </row>
    <row r="98" ht="22.5" customHeight="1">
      <c r="A98" s="184"/>
      <c r="B98" s="184"/>
      <c r="C98" s="184"/>
      <c r="D98" s="184"/>
      <c r="E98" s="184"/>
      <c r="F98" s="184"/>
      <c r="G98" s="184"/>
      <c r="H98" s="184"/>
      <c r="I98" s="184"/>
      <c r="J98" s="184"/>
      <c r="K98" s="184"/>
      <c r="L98" s="184"/>
      <c r="M98" s="184"/>
      <c r="N98" s="184"/>
      <c r="O98" s="184"/>
      <c r="P98" s="184"/>
      <c r="Q98" s="184"/>
      <c r="R98" s="184"/>
      <c r="S98" s="184"/>
      <c r="T98" s="145"/>
      <c r="U98" s="151"/>
      <c r="V98" s="145"/>
      <c r="W98" s="145"/>
      <c r="X98" s="145"/>
      <c r="Y98" s="145"/>
      <c r="Z98" s="145"/>
      <c r="AA98" s="145"/>
      <c r="AB98" s="145"/>
      <c r="AC98" s="145"/>
      <c r="AD98" s="145"/>
      <c r="AE98" s="145"/>
      <c r="AF98" s="145"/>
      <c r="AG98" s="144"/>
      <c r="AH98" s="144"/>
      <c r="AI98" s="144"/>
      <c r="AJ98" s="144"/>
      <c r="AK98" s="144"/>
    </row>
    <row r="99" ht="22.5" customHeight="1">
      <c r="A99" s="183"/>
      <c r="B99" s="183"/>
      <c r="C99" s="183"/>
      <c r="D99" s="183"/>
      <c r="E99" s="183"/>
      <c r="F99" s="183"/>
      <c r="G99" s="183"/>
      <c r="H99" s="183"/>
      <c r="I99" s="183"/>
      <c r="J99" s="183"/>
      <c r="K99" s="183"/>
      <c r="L99" s="183"/>
      <c r="M99" s="183"/>
      <c r="N99" s="183"/>
      <c r="O99" s="183"/>
      <c r="P99" s="183"/>
      <c r="Q99" s="183"/>
      <c r="R99" s="183"/>
      <c r="S99" s="183"/>
      <c r="T99" s="152"/>
      <c r="U99" s="155"/>
      <c r="V99" s="152"/>
      <c r="W99" s="152"/>
      <c r="X99" s="152"/>
      <c r="Y99" s="152"/>
      <c r="Z99" s="152"/>
      <c r="AA99" s="152"/>
      <c r="AB99" s="152"/>
      <c r="AC99" s="152"/>
      <c r="AD99" s="152"/>
      <c r="AE99" s="152"/>
      <c r="AF99" s="152"/>
      <c r="AG99" s="144"/>
      <c r="AH99" s="144"/>
      <c r="AI99" s="144"/>
      <c r="AJ99" s="144"/>
      <c r="AK99" s="144"/>
    </row>
    <row r="100" ht="22.5" customHeight="1">
      <c r="A100" s="184"/>
      <c r="B100" s="184"/>
      <c r="C100" s="184"/>
      <c r="D100" s="184"/>
      <c r="E100" s="184"/>
      <c r="F100" s="184"/>
      <c r="G100" s="184"/>
      <c r="H100" s="184"/>
      <c r="I100" s="184"/>
      <c r="J100" s="184"/>
      <c r="K100" s="184"/>
      <c r="L100" s="184"/>
      <c r="M100" s="184"/>
      <c r="N100" s="184"/>
      <c r="O100" s="184"/>
      <c r="P100" s="184"/>
      <c r="Q100" s="184"/>
      <c r="R100" s="184"/>
      <c r="S100" s="184"/>
      <c r="T100" s="145"/>
      <c r="U100" s="151"/>
      <c r="V100" s="145"/>
      <c r="W100" s="145"/>
      <c r="X100" s="145"/>
      <c r="Y100" s="145"/>
      <c r="Z100" s="145"/>
      <c r="AA100" s="145"/>
      <c r="AB100" s="145"/>
      <c r="AC100" s="145"/>
      <c r="AD100" s="145"/>
      <c r="AE100" s="145"/>
      <c r="AF100" s="145"/>
      <c r="AG100" s="144"/>
      <c r="AH100" s="144"/>
      <c r="AI100" s="144"/>
      <c r="AJ100" s="144"/>
      <c r="AK100" s="144"/>
    </row>
    <row r="101" ht="22.5" customHeight="1">
      <c r="A101" s="183"/>
      <c r="B101" s="183"/>
      <c r="C101" s="183"/>
      <c r="D101" s="183"/>
      <c r="E101" s="183"/>
      <c r="F101" s="183"/>
      <c r="G101" s="183"/>
      <c r="H101" s="183"/>
      <c r="I101" s="183"/>
      <c r="J101" s="183"/>
      <c r="K101" s="183"/>
      <c r="L101" s="183"/>
      <c r="M101" s="183"/>
      <c r="N101" s="183"/>
      <c r="O101" s="183"/>
      <c r="P101" s="183"/>
      <c r="Q101" s="183"/>
      <c r="R101" s="183"/>
      <c r="S101" s="183"/>
      <c r="T101" s="152"/>
      <c r="U101" s="155"/>
      <c r="V101" s="152"/>
      <c r="W101" s="152"/>
      <c r="X101" s="152"/>
      <c r="Y101" s="152"/>
      <c r="Z101" s="152"/>
      <c r="AA101" s="152"/>
      <c r="AB101" s="152"/>
      <c r="AC101" s="152"/>
      <c r="AD101" s="152"/>
      <c r="AE101" s="152"/>
      <c r="AF101" s="152"/>
      <c r="AG101" s="144"/>
      <c r="AH101" s="144"/>
      <c r="AI101" s="144"/>
      <c r="AJ101" s="144"/>
      <c r="AK101" s="144"/>
    </row>
    <row r="102" ht="22.5" customHeight="1">
      <c r="A102" s="184"/>
      <c r="B102" s="184"/>
      <c r="C102" s="184"/>
      <c r="D102" s="184"/>
      <c r="E102" s="184"/>
      <c r="F102" s="184"/>
      <c r="G102" s="184"/>
      <c r="H102" s="184"/>
      <c r="I102" s="184"/>
      <c r="J102" s="184"/>
      <c r="K102" s="184"/>
      <c r="L102" s="184"/>
      <c r="M102" s="184"/>
      <c r="N102" s="184"/>
      <c r="O102" s="184"/>
      <c r="P102" s="184"/>
      <c r="Q102" s="184"/>
      <c r="R102" s="184"/>
      <c r="S102" s="184"/>
      <c r="T102" s="145"/>
      <c r="U102" s="151"/>
      <c r="V102" s="145"/>
      <c r="W102" s="145"/>
      <c r="X102" s="145"/>
      <c r="Y102" s="145"/>
      <c r="Z102" s="145"/>
      <c r="AA102" s="145"/>
      <c r="AB102" s="145"/>
      <c r="AC102" s="145"/>
      <c r="AD102" s="145"/>
      <c r="AE102" s="145"/>
      <c r="AF102" s="145"/>
      <c r="AG102" s="144"/>
      <c r="AH102" s="144"/>
      <c r="AI102" s="144"/>
      <c r="AJ102" s="144"/>
      <c r="AK102" s="144"/>
    </row>
    <row r="103" ht="22.5" customHeight="1">
      <c r="A103" s="183"/>
      <c r="B103" s="183"/>
      <c r="C103" s="183"/>
      <c r="D103" s="183"/>
      <c r="E103" s="183"/>
      <c r="F103" s="183"/>
      <c r="G103" s="183"/>
      <c r="H103" s="183"/>
      <c r="I103" s="183"/>
      <c r="J103" s="183"/>
      <c r="K103" s="183"/>
      <c r="L103" s="183"/>
      <c r="M103" s="183"/>
      <c r="N103" s="183"/>
      <c r="O103" s="183"/>
      <c r="P103" s="183"/>
      <c r="Q103" s="183"/>
      <c r="R103" s="183"/>
      <c r="S103" s="183"/>
      <c r="T103" s="152"/>
      <c r="U103" s="155"/>
      <c r="V103" s="152"/>
      <c r="W103" s="152"/>
      <c r="X103" s="152"/>
      <c r="Y103" s="152"/>
      <c r="Z103" s="152"/>
      <c r="AA103" s="152"/>
      <c r="AB103" s="152"/>
      <c r="AC103" s="152"/>
      <c r="AD103" s="152"/>
      <c r="AE103" s="152"/>
      <c r="AF103" s="152"/>
      <c r="AG103" s="144"/>
      <c r="AH103" s="144"/>
      <c r="AI103" s="144"/>
      <c r="AJ103" s="144"/>
      <c r="AK103" s="144"/>
    </row>
    <row r="104" ht="22.5" customHeight="1">
      <c r="A104" s="184"/>
      <c r="B104" s="184"/>
      <c r="C104" s="184"/>
      <c r="D104" s="184"/>
      <c r="E104" s="184"/>
      <c r="F104" s="184"/>
      <c r="G104" s="184"/>
      <c r="H104" s="184"/>
      <c r="I104" s="184"/>
      <c r="J104" s="184"/>
      <c r="K104" s="184"/>
      <c r="L104" s="184"/>
      <c r="M104" s="184"/>
      <c r="N104" s="184"/>
      <c r="O104" s="184"/>
      <c r="P104" s="184"/>
      <c r="Q104" s="184"/>
      <c r="R104" s="184"/>
      <c r="S104" s="184"/>
      <c r="T104" s="145"/>
      <c r="U104" s="151"/>
      <c r="V104" s="145"/>
      <c r="W104" s="145"/>
      <c r="X104" s="145"/>
      <c r="Y104" s="145"/>
      <c r="Z104" s="145"/>
      <c r="AA104" s="145"/>
      <c r="AB104" s="145"/>
      <c r="AC104" s="145"/>
      <c r="AD104" s="145"/>
      <c r="AE104" s="145"/>
      <c r="AF104" s="145"/>
      <c r="AG104" s="144"/>
      <c r="AH104" s="144"/>
      <c r="AI104" s="144"/>
      <c r="AJ104" s="144"/>
      <c r="AK104" s="144"/>
    </row>
    <row r="105" ht="22.5" customHeight="1">
      <c r="A105" s="183"/>
      <c r="B105" s="183"/>
      <c r="C105" s="183"/>
      <c r="D105" s="183"/>
      <c r="E105" s="183"/>
      <c r="F105" s="183"/>
      <c r="G105" s="183"/>
      <c r="H105" s="183"/>
      <c r="I105" s="183"/>
      <c r="J105" s="183"/>
      <c r="K105" s="183"/>
      <c r="L105" s="183"/>
      <c r="M105" s="183"/>
      <c r="N105" s="183"/>
      <c r="O105" s="183"/>
      <c r="P105" s="183"/>
      <c r="Q105" s="183"/>
      <c r="R105" s="183"/>
      <c r="S105" s="183"/>
      <c r="T105" s="152"/>
      <c r="U105" s="155"/>
      <c r="V105" s="152"/>
      <c r="W105" s="152"/>
      <c r="X105" s="152"/>
      <c r="Y105" s="152"/>
      <c r="Z105" s="152"/>
      <c r="AA105" s="152"/>
      <c r="AB105" s="152"/>
      <c r="AC105" s="152"/>
      <c r="AD105" s="152"/>
      <c r="AE105" s="152"/>
      <c r="AF105" s="152"/>
      <c r="AG105" s="144"/>
      <c r="AH105" s="144"/>
      <c r="AI105" s="144"/>
      <c r="AJ105" s="144"/>
      <c r="AK105" s="144"/>
    </row>
    <row r="106" ht="22.5" customHeight="1">
      <c r="A106" s="184"/>
      <c r="B106" s="184"/>
      <c r="C106" s="184"/>
      <c r="D106" s="184"/>
      <c r="E106" s="184"/>
      <c r="F106" s="184"/>
      <c r="G106" s="184"/>
      <c r="H106" s="184"/>
      <c r="I106" s="184"/>
      <c r="J106" s="184"/>
      <c r="K106" s="184"/>
      <c r="L106" s="184"/>
      <c r="M106" s="184"/>
      <c r="N106" s="184"/>
      <c r="O106" s="184"/>
      <c r="P106" s="184"/>
      <c r="Q106" s="184"/>
      <c r="R106" s="184"/>
      <c r="S106" s="184"/>
      <c r="T106" s="145"/>
      <c r="U106" s="151"/>
      <c r="V106" s="145"/>
      <c r="W106" s="145"/>
      <c r="X106" s="145"/>
      <c r="Y106" s="145"/>
      <c r="Z106" s="145"/>
      <c r="AA106" s="145"/>
      <c r="AB106" s="145"/>
      <c r="AC106" s="145"/>
      <c r="AD106" s="145"/>
      <c r="AE106" s="145"/>
      <c r="AF106" s="145"/>
      <c r="AG106" s="144"/>
      <c r="AH106" s="144"/>
      <c r="AI106" s="144"/>
      <c r="AJ106" s="144"/>
      <c r="AK106" s="144"/>
    </row>
    <row r="107" ht="22.5" customHeight="1">
      <c r="A107" s="183"/>
      <c r="B107" s="183"/>
      <c r="C107" s="183"/>
      <c r="D107" s="183"/>
      <c r="E107" s="183"/>
      <c r="F107" s="183"/>
      <c r="G107" s="183"/>
      <c r="H107" s="183"/>
      <c r="I107" s="183"/>
      <c r="J107" s="183"/>
      <c r="K107" s="183"/>
      <c r="L107" s="183"/>
      <c r="M107" s="183"/>
      <c r="N107" s="183"/>
      <c r="O107" s="183"/>
      <c r="P107" s="183"/>
      <c r="Q107" s="183"/>
      <c r="R107" s="183"/>
      <c r="S107" s="183"/>
      <c r="T107" s="152"/>
      <c r="U107" s="155"/>
      <c r="V107" s="152"/>
      <c r="W107" s="152"/>
      <c r="X107" s="152"/>
      <c r="Y107" s="152"/>
      <c r="Z107" s="152"/>
      <c r="AA107" s="152"/>
      <c r="AB107" s="152"/>
      <c r="AC107" s="152"/>
      <c r="AD107" s="152"/>
      <c r="AE107" s="152"/>
      <c r="AF107" s="152"/>
      <c r="AG107" s="144"/>
      <c r="AH107" s="144"/>
      <c r="AI107" s="144"/>
      <c r="AJ107" s="144"/>
      <c r="AK107" s="144"/>
    </row>
    <row r="108" ht="22.5" customHeight="1">
      <c r="A108" s="184"/>
      <c r="B108" s="184"/>
      <c r="C108" s="184"/>
      <c r="D108" s="184"/>
      <c r="E108" s="184"/>
      <c r="F108" s="184"/>
      <c r="G108" s="184"/>
      <c r="H108" s="184"/>
      <c r="I108" s="184"/>
      <c r="J108" s="184"/>
      <c r="K108" s="184"/>
      <c r="L108" s="184"/>
      <c r="M108" s="184"/>
      <c r="N108" s="184"/>
      <c r="O108" s="184"/>
      <c r="P108" s="184"/>
      <c r="Q108" s="184"/>
      <c r="R108" s="184"/>
      <c r="S108" s="184"/>
      <c r="T108" s="145"/>
      <c r="U108" s="151"/>
      <c r="V108" s="145"/>
      <c r="W108" s="145"/>
      <c r="X108" s="145"/>
      <c r="Y108" s="145"/>
      <c r="Z108" s="145"/>
      <c r="AA108" s="145"/>
      <c r="AB108" s="145"/>
      <c r="AC108" s="145"/>
      <c r="AD108" s="145"/>
      <c r="AE108" s="145"/>
      <c r="AF108" s="145"/>
      <c r="AG108" s="144"/>
      <c r="AH108" s="144"/>
      <c r="AI108" s="144"/>
      <c r="AJ108" s="144"/>
      <c r="AK108" s="144"/>
    </row>
    <row r="109" ht="22.5" customHeight="1">
      <c r="A109" s="183"/>
      <c r="B109" s="183"/>
      <c r="C109" s="183"/>
      <c r="D109" s="183"/>
      <c r="E109" s="183"/>
      <c r="F109" s="183"/>
      <c r="G109" s="183"/>
      <c r="H109" s="183"/>
      <c r="I109" s="183"/>
      <c r="J109" s="183"/>
      <c r="K109" s="183"/>
      <c r="L109" s="183"/>
      <c r="M109" s="183"/>
      <c r="N109" s="183"/>
      <c r="O109" s="183"/>
      <c r="P109" s="183"/>
      <c r="Q109" s="183"/>
      <c r="R109" s="183"/>
      <c r="S109" s="183"/>
      <c r="T109" s="152"/>
      <c r="U109" s="155"/>
      <c r="V109" s="152"/>
      <c r="W109" s="152"/>
      <c r="X109" s="152"/>
      <c r="Y109" s="152"/>
      <c r="Z109" s="152"/>
      <c r="AA109" s="152"/>
      <c r="AB109" s="152"/>
      <c r="AC109" s="152"/>
      <c r="AD109" s="152"/>
      <c r="AE109" s="152"/>
      <c r="AF109" s="152"/>
      <c r="AG109" s="144"/>
      <c r="AH109" s="144"/>
      <c r="AI109" s="144"/>
      <c r="AJ109" s="144"/>
      <c r="AK109" s="144"/>
    </row>
    <row r="110" ht="22.5" customHeight="1">
      <c r="A110" s="184"/>
      <c r="B110" s="184"/>
      <c r="C110" s="184"/>
      <c r="D110" s="184"/>
      <c r="E110" s="184"/>
      <c r="F110" s="184"/>
      <c r="G110" s="184"/>
      <c r="H110" s="184"/>
      <c r="I110" s="184"/>
      <c r="J110" s="184"/>
      <c r="K110" s="184"/>
      <c r="L110" s="184"/>
      <c r="M110" s="184"/>
      <c r="N110" s="184"/>
      <c r="O110" s="184"/>
      <c r="P110" s="184"/>
      <c r="Q110" s="184"/>
      <c r="R110" s="184"/>
      <c r="S110" s="184"/>
      <c r="T110" s="145"/>
      <c r="U110" s="151"/>
      <c r="V110" s="145"/>
      <c r="W110" s="145"/>
      <c r="X110" s="145"/>
      <c r="Y110" s="145"/>
      <c r="Z110" s="145"/>
      <c r="AA110" s="145"/>
      <c r="AB110" s="145"/>
      <c r="AC110" s="145"/>
      <c r="AD110" s="145"/>
      <c r="AE110" s="145"/>
      <c r="AF110" s="145"/>
      <c r="AG110" s="144"/>
      <c r="AH110" s="144"/>
      <c r="AI110" s="144"/>
      <c r="AJ110" s="144"/>
      <c r="AK110" s="144"/>
    </row>
    <row r="111" ht="22.5" customHeight="1">
      <c r="A111" s="183"/>
      <c r="B111" s="183"/>
      <c r="C111" s="183"/>
      <c r="D111" s="183"/>
      <c r="E111" s="183"/>
      <c r="F111" s="183"/>
      <c r="G111" s="183"/>
      <c r="H111" s="183"/>
      <c r="I111" s="183"/>
      <c r="J111" s="183"/>
      <c r="K111" s="183"/>
      <c r="L111" s="183"/>
      <c r="M111" s="183"/>
      <c r="N111" s="183"/>
      <c r="O111" s="183"/>
      <c r="P111" s="183"/>
      <c r="Q111" s="183"/>
      <c r="R111" s="183"/>
      <c r="S111" s="183"/>
      <c r="T111" s="152"/>
      <c r="U111" s="155"/>
      <c r="V111" s="152"/>
      <c r="W111" s="152"/>
      <c r="X111" s="152"/>
      <c r="Y111" s="152"/>
      <c r="Z111" s="152"/>
      <c r="AA111" s="152"/>
      <c r="AB111" s="152"/>
      <c r="AC111" s="152"/>
      <c r="AD111" s="152"/>
      <c r="AE111" s="152"/>
      <c r="AF111" s="152"/>
      <c r="AG111" s="144"/>
      <c r="AH111" s="144"/>
      <c r="AI111" s="144"/>
      <c r="AJ111" s="144"/>
      <c r="AK111" s="144"/>
    </row>
    <row r="112" ht="22.5" customHeight="1">
      <c r="A112" s="184"/>
      <c r="B112" s="184"/>
      <c r="C112" s="184"/>
      <c r="D112" s="184"/>
      <c r="E112" s="184"/>
      <c r="F112" s="184"/>
      <c r="G112" s="184"/>
      <c r="H112" s="184"/>
      <c r="I112" s="184"/>
      <c r="J112" s="184"/>
      <c r="K112" s="184"/>
      <c r="L112" s="184"/>
      <c r="M112" s="184"/>
      <c r="N112" s="184"/>
      <c r="O112" s="184"/>
      <c r="P112" s="184"/>
      <c r="Q112" s="184"/>
      <c r="R112" s="184"/>
      <c r="S112" s="184"/>
      <c r="T112" s="145"/>
      <c r="U112" s="151"/>
      <c r="V112" s="145"/>
      <c r="W112" s="145"/>
      <c r="X112" s="145"/>
      <c r="Y112" s="145"/>
      <c r="Z112" s="145"/>
      <c r="AA112" s="145"/>
      <c r="AB112" s="145"/>
      <c r="AC112" s="145"/>
      <c r="AD112" s="145"/>
      <c r="AE112" s="145"/>
      <c r="AF112" s="145"/>
      <c r="AG112" s="144"/>
      <c r="AH112" s="144"/>
      <c r="AI112" s="144"/>
      <c r="AJ112" s="144"/>
      <c r="AK112" s="144"/>
    </row>
    <row r="113" ht="22.5" customHeight="1">
      <c r="A113" s="183"/>
      <c r="B113" s="183"/>
      <c r="C113" s="183"/>
      <c r="D113" s="183"/>
      <c r="E113" s="183"/>
      <c r="F113" s="183"/>
      <c r="G113" s="183"/>
      <c r="H113" s="183"/>
      <c r="I113" s="183"/>
      <c r="J113" s="183"/>
      <c r="K113" s="183"/>
      <c r="L113" s="183"/>
      <c r="M113" s="183"/>
      <c r="N113" s="183"/>
      <c r="O113" s="183"/>
      <c r="P113" s="183"/>
      <c r="Q113" s="183"/>
      <c r="R113" s="183"/>
      <c r="S113" s="183"/>
      <c r="T113" s="152"/>
      <c r="U113" s="155"/>
      <c r="V113" s="152"/>
      <c r="W113" s="152"/>
      <c r="X113" s="152"/>
      <c r="Y113" s="152"/>
      <c r="Z113" s="152"/>
      <c r="AA113" s="152"/>
      <c r="AB113" s="152"/>
      <c r="AC113" s="152"/>
      <c r="AD113" s="152"/>
      <c r="AE113" s="152"/>
      <c r="AF113" s="152"/>
      <c r="AG113" s="144"/>
      <c r="AH113" s="144"/>
      <c r="AI113" s="144"/>
      <c r="AJ113" s="144"/>
      <c r="AK113" s="144"/>
    </row>
    <row r="114" ht="22.5" customHeight="1">
      <c r="A114" s="184"/>
      <c r="B114" s="184"/>
      <c r="C114" s="184"/>
      <c r="D114" s="184"/>
      <c r="E114" s="184"/>
      <c r="F114" s="184"/>
      <c r="G114" s="184"/>
      <c r="H114" s="184"/>
      <c r="I114" s="184"/>
      <c r="J114" s="184"/>
      <c r="K114" s="184"/>
      <c r="L114" s="184"/>
      <c r="M114" s="184"/>
      <c r="N114" s="184"/>
      <c r="O114" s="184"/>
      <c r="P114" s="184"/>
      <c r="Q114" s="184"/>
      <c r="R114" s="184"/>
      <c r="S114" s="184"/>
      <c r="T114" s="145"/>
      <c r="U114" s="151"/>
      <c r="V114" s="145"/>
      <c r="W114" s="145"/>
      <c r="X114" s="145"/>
      <c r="Y114" s="145"/>
      <c r="Z114" s="145"/>
      <c r="AA114" s="145"/>
      <c r="AB114" s="145"/>
      <c r="AC114" s="145"/>
      <c r="AD114" s="145"/>
      <c r="AE114" s="145"/>
      <c r="AF114" s="145"/>
      <c r="AG114" s="144"/>
      <c r="AH114" s="144"/>
      <c r="AI114" s="144"/>
      <c r="AJ114" s="144"/>
      <c r="AK114" s="144"/>
    </row>
    <row r="115" ht="22.5" customHeight="1">
      <c r="A115" s="183"/>
      <c r="B115" s="183"/>
      <c r="C115" s="183"/>
      <c r="D115" s="183"/>
      <c r="E115" s="183"/>
      <c r="F115" s="183"/>
      <c r="G115" s="183"/>
      <c r="H115" s="183"/>
      <c r="I115" s="183"/>
      <c r="J115" s="183"/>
      <c r="K115" s="183"/>
      <c r="L115" s="183"/>
      <c r="M115" s="183"/>
      <c r="N115" s="183"/>
      <c r="O115" s="183"/>
      <c r="P115" s="183"/>
      <c r="Q115" s="183"/>
      <c r="R115" s="183"/>
      <c r="S115" s="183"/>
      <c r="T115" s="152"/>
      <c r="U115" s="155"/>
      <c r="V115" s="152"/>
      <c r="W115" s="152"/>
      <c r="X115" s="152"/>
      <c r="Y115" s="152"/>
      <c r="Z115" s="152"/>
      <c r="AA115" s="152"/>
      <c r="AB115" s="152"/>
      <c r="AC115" s="152"/>
      <c r="AD115" s="152"/>
      <c r="AE115" s="152"/>
      <c r="AF115" s="152"/>
      <c r="AG115" s="144"/>
      <c r="AH115" s="144"/>
      <c r="AI115" s="144"/>
      <c r="AJ115" s="144"/>
      <c r="AK115" s="144"/>
    </row>
    <row r="116" ht="22.5" customHeight="1">
      <c r="A116" s="184"/>
      <c r="B116" s="184"/>
      <c r="C116" s="184"/>
      <c r="D116" s="184"/>
      <c r="E116" s="184"/>
      <c r="F116" s="184"/>
      <c r="G116" s="184"/>
      <c r="H116" s="184"/>
      <c r="I116" s="184"/>
      <c r="J116" s="184"/>
      <c r="K116" s="184"/>
      <c r="L116" s="184"/>
      <c r="M116" s="184"/>
      <c r="N116" s="184"/>
      <c r="O116" s="184"/>
      <c r="P116" s="184"/>
      <c r="Q116" s="184"/>
      <c r="R116" s="184"/>
      <c r="S116" s="184"/>
      <c r="T116" s="145"/>
      <c r="U116" s="151"/>
      <c r="V116" s="145"/>
      <c r="W116" s="145"/>
      <c r="X116" s="145"/>
      <c r="Y116" s="145"/>
      <c r="Z116" s="145"/>
      <c r="AA116" s="145"/>
      <c r="AB116" s="145"/>
      <c r="AC116" s="145"/>
      <c r="AD116" s="145"/>
      <c r="AE116" s="145"/>
      <c r="AF116" s="145"/>
      <c r="AG116" s="144"/>
      <c r="AH116" s="144"/>
      <c r="AI116" s="144"/>
      <c r="AJ116" s="144"/>
      <c r="AK116" s="144"/>
    </row>
    <row r="117" ht="22.5" customHeight="1">
      <c r="A117" s="183"/>
      <c r="B117" s="183"/>
      <c r="C117" s="183"/>
      <c r="D117" s="183"/>
      <c r="E117" s="183"/>
      <c r="F117" s="183"/>
      <c r="G117" s="183"/>
      <c r="H117" s="183"/>
      <c r="I117" s="183"/>
      <c r="J117" s="183"/>
      <c r="K117" s="183"/>
      <c r="L117" s="183"/>
      <c r="M117" s="183"/>
      <c r="N117" s="183"/>
      <c r="O117" s="183"/>
      <c r="P117" s="183"/>
      <c r="Q117" s="183"/>
      <c r="R117" s="183"/>
      <c r="S117" s="183"/>
      <c r="T117" s="152"/>
      <c r="U117" s="155"/>
      <c r="V117" s="152"/>
      <c r="W117" s="152"/>
      <c r="X117" s="152"/>
      <c r="Y117" s="152"/>
      <c r="Z117" s="152"/>
      <c r="AA117" s="152"/>
      <c r="AB117" s="152"/>
      <c r="AC117" s="152"/>
      <c r="AD117" s="152"/>
      <c r="AE117" s="152"/>
      <c r="AF117" s="152"/>
      <c r="AG117" s="144"/>
      <c r="AH117" s="144"/>
      <c r="AI117" s="144"/>
      <c r="AJ117" s="144"/>
      <c r="AK117" s="144"/>
    </row>
    <row r="118" ht="22.5" customHeight="1">
      <c r="A118" s="184"/>
      <c r="B118" s="184"/>
      <c r="C118" s="184"/>
      <c r="D118" s="184"/>
      <c r="E118" s="184"/>
      <c r="F118" s="184"/>
      <c r="G118" s="184"/>
      <c r="H118" s="184"/>
      <c r="I118" s="184"/>
      <c r="J118" s="184"/>
      <c r="K118" s="184"/>
      <c r="L118" s="184"/>
      <c r="M118" s="184"/>
      <c r="N118" s="184"/>
      <c r="O118" s="184"/>
      <c r="P118" s="184"/>
      <c r="Q118" s="184"/>
      <c r="R118" s="184"/>
      <c r="S118" s="184"/>
      <c r="T118" s="145"/>
      <c r="U118" s="151"/>
      <c r="V118" s="145"/>
      <c r="W118" s="145"/>
      <c r="X118" s="145"/>
      <c r="Y118" s="145"/>
      <c r="Z118" s="145"/>
      <c r="AA118" s="145"/>
      <c r="AB118" s="145"/>
      <c r="AC118" s="145"/>
      <c r="AD118" s="145"/>
      <c r="AE118" s="145"/>
      <c r="AF118" s="145"/>
      <c r="AG118" s="144"/>
      <c r="AH118" s="144"/>
      <c r="AI118" s="144"/>
      <c r="AJ118" s="144"/>
      <c r="AK118" s="144"/>
    </row>
    <row r="119" ht="22.5" customHeight="1">
      <c r="A119" s="183"/>
      <c r="B119" s="183"/>
      <c r="C119" s="183"/>
      <c r="D119" s="183"/>
      <c r="E119" s="183"/>
      <c r="F119" s="183"/>
      <c r="G119" s="183"/>
      <c r="H119" s="183"/>
      <c r="I119" s="183"/>
      <c r="J119" s="183"/>
      <c r="K119" s="183"/>
      <c r="L119" s="183"/>
      <c r="M119" s="183"/>
      <c r="N119" s="183"/>
      <c r="O119" s="183"/>
      <c r="P119" s="183"/>
      <c r="Q119" s="183"/>
      <c r="R119" s="183"/>
      <c r="S119" s="183"/>
      <c r="T119" s="152"/>
      <c r="U119" s="155"/>
      <c r="V119" s="152"/>
      <c r="W119" s="152"/>
      <c r="X119" s="152"/>
      <c r="Y119" s="152"/>
      <c r="Z119" s="152"/>
      <c r="AA119" s="152"/>
      <c r="AB119" s="152"/>
      <c r="AC119" s="152"/>
      <c r="AD119" s="152"/>
      <c r="AE119" s="152"/>
      <c r="AF119" s="152"/>
      <c r="AG119" s="144"/>
      <c r="AH119" s="144"/>
      <c r="AI119" s="144"/>
      <c r="AJ119" s="144"/>
      <c r="AK119" s="144"/>
    </row>
    <row r="120" ht="22.5" customHeight="1">
      <c r="A120" s="184"/>
      <c r="B120" s="184"/>
      <c r="C120" s="184"/>
      <c r="D120" s="184"/>
      <c r="E120" s="184"/>
      <c r="F120" s="184"/>
      <c r="G120" s="184"/>
      <c r="H120" s="184"/>
      <c r="I120" s="184"/>
      <c r="J120" s="184"/>
      <c r="K120" s="184"/>
      <c r="L120" s="184"/>
      <c r="M120" s="184"/>
      <c r="N120" s="184"/>
      <c r="O120" s="184"/>
      <c r="P120" s="184"/>
      <c r="Q120" s="184"/>
      <c r="R120" s="184"/>
      <c r="S120" s="184"/>
      <c r="T120" s="145"/>
      <c r="U120" s="151"/>
      <c r="V120" s="145"/>
      <c r="W120" s="145"/>
      <c r="X120" s="145"/>
      <c r="Y120" s="145"/>
      <c r="Z120" s="145"/>
      <c r="AA120" s="145"/>
      <c r="AB120" s="145"/>
      <c r="AC120" s="145"/>
      <c r="AD120" s="145"/>
      <c r="AE120" s="145"/>
      <c r="AF120" s="145"/>
      <c r="AG120" s="144"/>
      <c r="AH120" s="144"/>
      <c r="AI120" s="144"/>
      <c r="AJ120" s="144"/>
      <c r="AK120" s="144"/>
    </row>
    <row r="121" ht="22.5" customHeight="1">
      <c r="A121" s="183"/>
      <c r="B121" s="183"/>
      <c r="C121" s="183"/>
      <c r="D121" s="183"/>
      <c r="E121" s="183"/>
      <c r="F121" s="183"/>
      <c r="G121" s="183"/>
      <c r="H121" s="183"/>
      <c r="I121" s="183"/>
      <c r="J121" s="183"/>
      <c r="K121" s="183"/>
      <c r="L121" s="183"/>
      <c r="M121" s="183"/>
      <c r="N121" s="183"/>
      <c r="O121" s="183"/>
      <c r="P121" s="183"/>
      <c r="Q121" s="183"/>
      <c r="R121" s="183"/>
      <c r="S121" s="183"/>
      <c r="T121" s="152"/>
      <c r="U121" s="155"/>
      <c r="V121" s="152"/>
      <c r="W121" s="152"/>
      <c r="X121" s="152"/>
      <c r="Y121" s="152"/>
      <c r="Z121" s="152"/>
      <c r="AA121" s="152"/>
      <c r="AB121" s="152"/>
      <c r="AC121" s="152"/>
      <c r="AD121" s="152"/>
      <c r="AE121" s="152"/>
      <c r="AF121" s="152"/>
      <c r="AG121" s="144"/>
      <c r="AH121" s="144"/>
      <c r="AI121" s="144"/>
      <c r="AJ121" s="144"/>
      <c r="AK121" s="144"/>
    </row>
    <row r="122" ht="22.5" customHeight="1">
      <c r="A122" s="184"/>
      <c r="B122" s="184"/>
      <c r="C122" s="184"/>
      <c r="D122" s="184"/>
      <c r="E122" s="184"/>
      <c r="F122" s="184"/>
      <c r="G122" s="184"/>
      <c r="H122" s="184"/>
      <c r="I122" s="184"/>
      <c r="J122" s="184"/>
      <c r="K122" s="184"/>
      <c r="L122" s="184"/>
      <c r="M122" s="184"/>
      <c r="N122" s="184"/>
      <c r="O122" s="184"/>
      <c r="P122" s="184"/>
      <c r="Q122" s="184"/>
      <c r="R122" s="184"/>
      <c r="S122" s="184"/>
      <c r="T122" s="145"/>
      <c r="U122" s="151"/>
      <c r="V122" s="145"/>
      <c r="W122" s="145"/>
      <c r="X122" s="145"/>
      <c r="Y122" s="145"/>
      <c r="Z122" s="145"/>
      <c r="AA122" s="145"/>
      <c r="AB122" s="145"/>
      <c r="AC122" s="145"/>
      <c r="AD122" s="145"/>
      <c r="AE122" s="145"/>
      <c r="AF122" s="145"/>
      <c r="AG122" s="144"/>
      <c r="AH122" s="144"/>
      <c r="AI122" s="144"/>
      <c r="AJ122" s="144"/>
      <c r="AK122" s="144"/>
    </row>
    <row r="123" ht="22.5" customHeight="1">
      <c r="A123" s="183"/>
      <c r="B123" s="183"/>
      <c r="C123" s="183"/>
      <c r="D123" s="183"/>
      <c r="E123" s="183"/>
      <c r="F123" s="183"/>
      <c r="G123" s="183"/>
      <c r="H123" s="183"/>
      <c r="I123" s="183"/>
      <c r="J123" s="183"/>
      <c r="K123" s="183"/>
      <c r="L123" s="183"/>
      <c r="M123" s="183"/>
      <c r="N123" s="183"/>
      <c r="O123" s="183"/>
      <c r="P123" s="183"/>
      <c r="Q123" s="183"/>
      <c r="R123" s="183"/>
      <c r="S123" s="183"/>
      <c r="T123" s="152"/>
      <c r="U123" s="155"/>
      <c r="V123" s="152"/>
      <c r="W123" s="152"/>
      <c r="X123" s="152"/>
      <c r="Y123" s="152"/>
      <c r="Z123" s="152"/>
      <c r="AA123" s="152"/>
      <c r="AB123" s="152"/>
      <c r="AC123" s="152"/>
      <c r="AD123" s="152"/>
      <c r="AE123" s="152"/>
      <c r="AF123" s="152"/>
      <c r="AG123" s="144"/>
      <c r="AH123" s="144"/>
      <c r="AI123" s="144"/>
      <c r="AJ123" s="144"/>
      <c r="AK123" s="144"/>
    </row>
    <row r="124" ht="22.5" customHeight="1">
      <c r="A124" s="184"/>
      <c r="B124" s="184"/>
      <c r="C124" s="184"/>
      <c r="D124" s="184"/>
      <c r="E124" s="184"/>
      <c r="F124" s="184"/>
      <c r="G124" s="184"/>
      <c r="H124" s="184"/>
      <c r="I124" s="184"/>
      <c r="J124" s="184"/>
      <c r="K124" s="184"/>
      <c r="L124" s="184"/>
      <c r="M124" s="184"/>
      <c r="N124" s="184"/>
      <c r="O124" s="184"/>
      <c r="P124" s="184"/>
      <c r="Q124" s="184"/>
      <c r="R124" s="184"/>
      <c r="S124" s="184"/>
      <c r="T124" s="145"/>
      <c r="U124" s="151"/>
      <c r="V124" s="145"/>
      <c r="W124" s="145"/>
      <c r="X124" s="145"/>
      <c r="Y124" s="145"/>
      <c r="Z124" s="145"/>
      <c r="AA124" s="145"/>
      <c r="AB124" s="145"/>
      <c r="AC124" s="145"/>
      <c r="AD124" s="145"/>
      <c r="AE124" s="145"/>
      <c r="AF124" s="145"/>
      <c r="AG124" s="144"/>
      <c r="AH124" s="144"/>
      <c r="AI124" s="144"/>
      <c r="AJ124" s="144"/>
      <c r="AK124" s="144"/>
    </row>
    <row r="125" ht="22.5" customHeight="1">
      <c r="A125" s="183"/>
      <c r="B125" s="183"/>
      <c r="C125" s="183"/>
      <c r="D125" s="183"/>
      <c r="E125" s="183"/>
      <c r="F125" s="183"/>
      <c r="G125" s="183"/>
      <c r="H125" s="183"/>
      <c r="I125" s="183"/>
      <c r="J125" s="183"/>
      <c r="K125" s="183"/>
      <c r="L125" s="183"/>
      <c r="M125" s="183"/>
      <c r="N125" s="183"/>
      <c r="O125" s="183"/>
      <c r="P125" s="183"/>
      <c r="Q125" s="183"/>
      <c r="R125" s="183"/>
      <c r="S125" s="183"/>
      <c r="T125" s="152"/>
      <c r="U125" s="155"/>
      <c r="V125" s="152"/>
      <c r="W125" s="152"/>
      <c r="X125" s="152"/>
      <c r="Y125" s="152"/>
      <c r="Z125" s="152"/>
      <c r="AA125" s="152"/>
      <c r="AB125" s="152"/>
      <c r="AC125" s="152"/>
      <c r="AD125" s="152"/>
      <c r="AE125" s="152"/>
      <c r="AF125" s="152"/>
      <c r="AG125" s="144"/>
      <c r="AH125" s="144"/>
      <c r="AI125" s="144"/>
      <c r="AJ125" s="144"/>
      <c r="AK125" s="144"/>
    </row>
    <row r="126" ht="22.5" customHeight="1">
      <c r="A126" s="184"/>
      <c r="B126" s="184"/>
      <c r="C126" s="184"/>
      <c r="D126" s="184"/>
      <c r="E126" s="184"/>
      <c r="F126" s="184"/>
      <c r="G126" s="184"/>
      <c r="H126" s="184"/>
      <c r="I126" s="184"/>
      <c r="J126" s="184"/>
      <c r="K126" s="184"/>
      <c r="L126" s="184"/>
      <c r="M126" s="184"/>
      <c r="N126" s="184"/>
      <c r="O126" s="184"/>
      <c r="P126" s="184"/>
      <c r="Q126" s="184"/>
      <c r="R126" s="184"/>
      <c r="S126" s="184"/>
      <c r="T126" s="145"/>
      <c r="U126" s="151"/>
      <c r="V126" s="145"/>
      <c r="W126" s="145"/>
      <c r="X126" s="145"/>
      <c r="Y126" s="145"/>
      <c r="Z126" s="145"/>
      <c r="AA126" s="145"/>
      <c r="AB126" s="145"/>
      <c r="AC126" s="145"/>
      <c r="AD126" s="145"/>
      <c r="AE126" s="145"/>
      <c r="AF126" s="145"/>
      <c r="AG126" s="144"/>
      <c r="AH126" s="144"/>
      <c r="AI126" s="144"/>
      <c r="AJ126" s="144"/>
      <c r="AK126" s="144"/>
    </row>
    <row r="127" ht="22.5" customHeight="1">
      <c r="A127" s="183"/>
      <c r="B127" s="183"/>
      <c r="C127" s="183"/>
      <c r="D127" s="183"/>
      <c r="E127" s="183"/>
      <c r="F127" s="183"/>
      <c r="G127" s="183"/>
      <c r="H127" s="183"/>
      <c r="I127" s="183"/>
      <c r="J127" s="183"/>
      <c r="K127" s="183"/>
      <c r="L127" s="183"/>
      <c r="M127" s="183"/>
      <c r="N127" s="183"/>
      <c r="O127" s="183"/>
      <c r="P127" s="183"/>
      <c r="Q127" s="183"/>
      <c r="R127" s="183"/>
      <c r="S127" s="183"/>
      <c r="T127" s="152"/>
      <c r="U127" s="155"/>
      <c r="V127" s="152"/>
      <c r="W127" s="152"/>
      <c r="X127" s="152"/>
      <c r="Y127" s="152"/>
      <c r="Z127" s="152"/>
      <c r="AA127" s="152"/>
      <c r="AB127" s="152"/>
      <c r="AC127" s="152"/>
      <c r="AD127" s="152"/>
      <c r="AE127" s="152"/>
      <c r="AF127" s="152"/>
      <c r="AG127" s="144"/>
      <c r="AH127" s="144"/>
      <c r="AI127" s="144"/>
      <c r="AJ127" s="144"/>
      <c r="AK127" s="144"/>
    </row>
    <row r="128" ht="22.5" customHeight="1">
      <c r="A128" s="184"/>
      <c r="B128" s="184"/>
      <c r="C128" s="184"/>
      <c r="D128" s="184"/>
      <c r="E128" s="184"/>
      <c r="F128" s="184"/>
      <c r="G128" s="184"/>
      <c r="H128" s="184"/>
      <c r="I128" s="184"/>
      <c r="J128" s="184"/>
      <c r="K128" s="184"/>
      <c r="L128" s="184"/>
      <c r="M128" s="184"/>
      <c r="N128" s="184"/>
      <c r="O128" s="184"/>
      <c r="P128" s="184"/>
      <c r="Q128" s="184"/>
      <c r="R128" s="184"/>
      <c r="S128" s="184"/>
      <c r="T128" s="145"/>
      <c r="U128" s="151"/>
      <c r="V128" s="145"/>
      <c r="W128" s="145"/>
      <c r="X128" s="145"/>
      <c r="Y128" s="145"/>
      <c r="Z128" s="145"/>
      <c r="AA128" s="145"/>
      <c r="AB128" s="145"/>
      <c r="AC128" s="145"/>
      <c r="AD128" s="145"/>
      <c r="AE128" s="145"/>
      <c r="AF128" s="145"/>
      <c r="AG128" s="144"/>
      <c r="AH128" s="144"/>
      <c r="AI128" s="144"/>
      <c r="AJ128" s="144"/>
      <c r="AK128" s="144"/>
    </row>
    <row r="129" ht="22.5" customHeight="1">
      <c r="A129" s="183"/>
      <c r="B129" s="183"/>
      <c r="C129" s="183"/>
      <c r="D129" s="183"/>
      <c r="E129" s="183"/>
      <c r="F129" s="183"/>
      <c r="G129" s="183"/>
      <c r="H129" s="183"/>
      <c r="I129" s="183"/>
      <c r="J129" s="183"/>
      <c r="K129" s="183"/>
      <c r="L129" s="183"/>
      <c r="M129" s="183"/>
      <c r="N129" s="183"/>
      <c r="O129" s="183"/>
      <c r="P129" s="183"/>
      <c r="Q129" s="183"/>
      <c r="R129" s="183"/>
      <c r="S129" s="183"/>
      <c r="T129" s="152"/>
      <c r="U129" s="155"/>
      <c r="V129" s="152"/>
      <c r="W129" s="152"/>
      <c r="X129" s="152"/>
      <c r="Y129" s="152"/>
      <c r="Z129" s="152"/>
      <c r="AA129" s="152"/>
      <c r="AB129" s="152"/>
      <c r="AC129" s="152"/>
      <c r="AD129" s="152"/>
      <c r="AE129" s="152"/>
      <c r="AF129" s="152"/>
      <c r="AG129" s="144"/>
      <c r="AH129" s="144"/>
      <c r="AI129" s="144"/>
      <c r="AJ129" s="144"/>
      <c r="AK129" s="144"/>
    </row>
    <row r="130" ht="22.5" customHeight="1">
      <c r="A130" s="184"/>
      <c r="B130" s="184"/>
      <c r="C130" s="184"/>
      <c r="D130" s="184"/>
      <c r="E130" s="184"/>
      <c r="F130" s="184"/>
      <c r="G130" s="184"/>
      <c r="H130" s="184"/>
      <c r="I130" s="184"/>
      <c r="J130" s="184"/>
      <c r="K130" s="184"/>
      <c r="L130" s="184"/>
      <c r="M130" s="184"/>
      <c r="N130" s="184"/>
      <c r="O130" s="184"/>
      <c r="P130" s="184"/>
      <c r="Q130" s="184"/>
      <c r="R130" s="184"/>
      <c r="S130" s="184"/>
      <c r="T130" s="145"/>
      <c r="U130" s="151"/>
      <c r="V130" s="145"/>
      <c r="W130" s="145"/>
      <c r="X130" s="145"/>
      <c r="Y130" s="145"/>
      <c r="Z130" s="145"/>
      <c r="AA130" s="145"/>
      <c r="AB130" s="145"/>
      <c r="AC130" s="145"/>
      <c r="AD130" s="145"/>
      <c r="AE130" s="145"/>
      <c r="AF130" s="145"/>
      <c r="AG130" s="144"/>
      <c r="AH130" s="144"/>
      <c r="AI130" s="144"/>
      <c r="AJ130" s="144"/>
      <c r="AK130" s="144"/>
    </row>
    <row r="131" ht="22.5" customHeight="1">
      <c r="A131" s="183"/>
      <c r="B131" s="183"/>
      <c r="C131" s="183"/>
      <c r="D131" s="183"/>
      <c r="E131" s="183"/>
      <c r="F131" s="183"/>
      <c r="G131" s="183"/>
      <c r="H131" s="183"/>
      <c r="I131" s="183"/>
      <c r="J131" s="183"/>
      <c r="K131" s="183"/>
      <c r="L131" s="183"/>
      <c r="M131" s="183"/>
      <c r="N131" s="183"/>
      <c r="O131" s="183"/>
      <c r="P131" s="183"/>
      <c r="Q131" s="183"/>
      <c r="R131" s="183"/>
      <c r="S131" s="183"/>
      <c r="T131" s="152"/>
      <c r="U131" s="155"/>
      <c r="V131" s="152"/>
      <c r="W131" s="152"/>
      <c r="X131" s="152"/>
      <c r="Y131" s="152"/>
      <c r="Z131" s="152"/>
      <c r="AA131" s="152"/>
      <c r="AB131" s="152"/>
      <c r="AC131" s="152"/>
      <c r="AD131" s="152"/>
      <c r="AE131" s="152"/>
      <c r="AF131" s="152"/>
      <c r="AG131" s="144"/>
      <c r="AH131" s="144"/>
      <c r="AI131" s="144"/>
      <c r="AJ131" s="144"/>
      <c r="AK131" s="144"/>
    </row>
    <row r="132" ht="22.5" customHeight="1">
      <c r="A132" s="184"/>
      <c r="B132" s="184"/>
      <c r="C132" s="184"/>
      <c r="D132" s="184"/>
      <c r="E132" s="184"/>
      <c r="F132" s="184"/>
      <c r="G132" s="184"/>
      <c r="H132" s="184"/>
      <c r="I132" s="184"/>
      <c r="J132" s="184"/>
      <c r="K132" s="184"/>
      <c r="L132" s="184"/>
      <c r="M132" s="184"/>
      <c r="N132" s="184"/>
      <c r="O132" s="184"/>
      <c r="P132" s="184"/>
      <c r="Q132" s="184"/>
      <c r="R132" s="184"/>
      <c r="S132" s="184"/>
      <c r="T132" s="145"/>
      <c r="U132" s="151"/>
      <c r="V132" s="145"/>
      <c r="W132" s="145"/>
      <c r="X132" s="145"/>
      <c r="Y132" s="145"/>
      <c r="Z132" s="145"/>
      <c r="AA132" s="145"/>
      <c r="AB132" s="145"/>
      <c r="AC132" s="145"/>
      <c r="AD132" s="145"/>
      <c r="AE132" s="145"/>
      <c r="AF132" s="145"/>
      <c r="AG132" s="144"/>
      <c r="AH132" s="144"/>
      <c r="AI132" s="144"/>
      <c r="AJ132" s="144"/>
      <c r="AK132" s="144"/>
    </row>
    <row r="133" ht="22.5" customHeight="1">
      <c r="A133" s="183"/>
      <c r="B133" s="183"/>
      <c r="C133" s="183"/>
      <c r="D133" s="183"/>
      <c r="E133" s="183"/>
      <c r="F133" s="183"/>
      <c r="G133" s="183"/>
      <c r="H133" s="183"/>
      <c r="I133" s="183"/>
      <c r="J133" s="183"/>
      <c r="K133" s="183"/>
      <c r="L133" s="183"/>
      <c r="M133" s="183"/>
      <c r="N133" s="183"/>
      <c r="O133" s="183"/>
      <c r="P133" s="183"/>
      <c r="Q133" s="183"/>
      <c r="R133" s="183"/>
      <c r="S133" s="183"/>
      <c r="T133" s="152"/>
      <c r="U133" s="155"/>
      <c r="V133" s="152"/>
      <c r="W133" s="152"/>
      <c r="X133" s="152"/>
      <c r="Y133" s="152"/>
      <c r="Z133" s="152"/>
      <c r="AA133" s="152"/>
      <c r="AB133" s="152"/>
      <c r="AC133" s="152"/>
      <c r="AD133" s="152"/>
      <c r="AE133" s="152"/>
      <c r="AF133" s="152"/>
      <c r="AG133" s="144"/>
      <c r="AH133" s="144"/>
      <c r="AI133" s="144"/>
      <c r="AJ133" s="144"/>
      <c r="AK133" s="144"/>
    </row>
    <row r="134" ht="22.5" customHeight="1">
      <c r="A134" s="184"/>
      <c r="B134" s="184"/>
      <c r="C134" s="184"/>
      <c r="D134" s="184"/>
      <c r="E134" s="184"/>
      <c r="F134" s="184"/>
      <c r="G134" s="184"/>
      <c r="H134" s="184"/>
      <c r="I134" s="184"/>
      <c r="J134" s="184"/>
      <c r="K134" s="184"/>
      <c r="L134" s="184"/>
      <c r="M134" s="184"/>
      <c r="N134" s="184"/>
      <c r="O134" s="184"/>
      <c r="P134" s="184"/>
      <c r="Q134" s="184"/>
      <c r="R134" s="184"/>
      <c r="S134" s="184"/>
      <c r="T134" s="145"/>
      <c r="U134" s="151"/>
      <c r="V134" s="145"/>
      <c r="W134" s="145"/>
      <c r="X134" s="145"/>
      <c r="Y134" s="145"/>
      <c r="Z134" s="145"/>
      <c r="AA134" s="145"/>
      <c r="AB134" s="145"/>
      <c r="AC134" s="145"/>
      <c r="AD134" s="145"/>
      <c r="AE134" s="145"/>
      <c r="AF134" s="145"/>
      <c r="AG134" s="144"/>
      <c r="AH134" s="144"/>
      <c r="AI134" s="144"/>
      <c r="AJ134" s="144"/>
      <c r="AK134" s="144"/>
    </row>
    <row r="135" ht="22.5" customHeight="1">
      <c r="A135" s="183"/>
      <c r="B135" s="183"/>
      <c r="C135" s="183"/>
      <c r="D135" s="183"/>
      <c r="E135" s="183"/>
      <c r="F135" s="183"/>
      <c r="G135" s="183"/>
      <c r="H135" s="183"/>
      <c r="I135" s="183"/>
      <c r="J135" s="183"/>
      <c r="K135" s="183"/>
      <c r="L135" s="183"/>
      <c r="M135" s="183"/>
      <c r="N135" s="183"/>
      <c r="O135" s="183"/>
      <c r="P135" s="183"/>
      <c r="Q135" s="183"/>
      <c r="R135" s="183"/>
      <c r="S135" s="183"/>
      <c r="T135" s="152"/>
      <c r="U135" s="155"/>
      <c r="V135" s="152"/>
      <c r="W135" s="152"/>
      <c r="X135" s="152"/>
      <c r="Y135" s="152"/>
      <c r="Z135" s="152"/>
      <c r="AA135" s="152"/>
      <c r="AB135" s="152"/>
      <c r="AC135" s="152"/>
      <c r="AD135" s="152"/>
      <c r="AE135" s="152"/>
      <c r="AF135" s="152"/>
      <c r="AG135" s="144"/>
      <c r="AH135" s="144"/>
      <c r="AI135" s="144"/>
      <c r="AJ135" s="144"/>
      <c r="AK135" s="144"/>
    </row>
    <row r="136" ht="22.5" customHeight="1">
      <c r="A136" s="184"/>
      <c r="B136" s="184"/>
      <c r="C136" s="184"/>
      <c r="D136" s="184"/>
      <c r="E136" s="184"/>
      <c r="F136" s="184"/>
      <c r="G136" s="184"/>
      <c r="H136" s="184"/>
      <c r="I136" s="184"/>
      <c r="J136" s="184"/>
      <c r="K136" s="184"/>
      <c r="L136" s="184"/>
      <c r="M136" s="184"/>
      <c r="N136" s="184"/>
      <c r="O136" s="184"/>
      <c r="P136" s="184"/>
      <c r="Q136" s="184"/>
      <c r="R136" s="184"/>
      <c r="S136" s="184"/>
      <c r="T136" s="145"/>
      <c r="U136" s="151"/>
      <c r="V136" s="145"/>
      <c r="W136" s="145"/>
      <c r="X136" s="145"/>
      <c r="Y136" s="145"/>
      <c r="Z136" s="145"/>
      <c r="AA136" s="145"/>
      <c r="AB136" s="145"/>
      <c r="AC136" s="145"/>
      <c r="AD136" s="145"/>
      <c r="AE136" s="145"/>
      <c r="AF136" s="145"/>
      <c r="AG136" s="144"/>
      <c r="AH136" s="144"/>
      <c r="AI136" s="144"/>
      <c r="AJ136" s="144"/>
      <c r="AK136" s="144"/>
    </row>
    <row r="137" ht="22.5" customHeight="1">
      <c r="A137" s="183"/>
      <c r="B137" s="183"/>
      <c r="C137" s="183"/>
      <c r="D137" s="183"/>
      <c r="E137" s="183"/>
      <c r="F137" s="183"/>
      <c r="G137" s="183"/>
      <c r="H137" s="183"/>
      <c r="I137" s="183"/>
      <c r="J137" s="183"/>
      <c r="K137" s="183"/>
      <c r="L137" s="183"/>
      <c r="M137" s="183"/>
      <c r="N137" s="183"/>
      <c r="O137" s="183"/>
      <c r="P137" s="183"/>
      <c r="Q137" s="183"/>
      <c r="R137" s="183"/>
      <c r="S137" s="183"/>
      <c r="T137" s="152"/>
      <c r="U137" s="155"/>
      <c r="V137" s="152"/>
      <c r="W137" s="152"/>
      <c r="X137" s="152"/>
      <c r="Y137" s="152"/>
      <c r="Z137" s="152"/>
      <c r="AA137" s="152"/>
      <c r="AB137" s="152"/>
      <c r="AC137" s="152"/>
      <c r="AD137" s="152"/>
      <c r="AE137" s="152"/>
      <c r="AF137" s="152"/>
      <c r="AG137" s="144"/>
      <c r="AH137" s="144"/>
      <c r="AI137" s="144"/>
      <c r="AJ137" s="144"/>
      <c r="AK137" s="144"/>
    </row>
    <row r="138" ht="22.5" customHeight="1">
      <c r="A138" s="184"/>
      <c r="B138" s="184"/>
      <c r="C138" s="184"/>
      <c r="D138" s="184"/>
      <c r="E138" s="184"/>
      <c r="F138" s="184"/>
      <c r="G138" s="184"/>
      <c r="H138" s="184"/>
      <c r="I138" s="184"/>
      <c r="J138" s="184"/>
      <c r="K138" s="184"/>
      <c r="L138" s="184"/>
      <c r="M138" s="184"/>
      <c r="N138" s="184"/>
      <c r="O138" s="184"/>
      <c r="P138" s="184"/>
      <c r="Q138" s="184"/>
      <c r="R138" s="184"/>
      <c r="S138" s="184"/>
      <c r="T138" s="145"/>
      <c r="U138" s="151"/>
      <c r="V138" s="145"/>
      <c r="W138" s="145"/>
      <c r="X138" s="145"/>
      <c r="Y138" s="145"/>
      <c r="Z138" s="145"/>
      <c r="AA138" s="145"/>
      <c r="AB138" s="145"/>
      <c r="AC138" s="145"/>
      <c r="AD138" s="145"/>
      <c r="AE138" s="145"/>
      <c r="AF138" s="145"/>
      <c r="AG138" s="144"/>
      <c r="AH138" s="144"/>
      <c r="AI138" s="144"/>
      <c r="AJ138" s="144"/>
      <c r="AK138" s="144"/>
    </row>
    <row r="139" ht="22.5" customHeight="1">
      <c r="A139" s="183"/>
      <c r="B139" s="183"/>
      <c r="C139" s="183"/>
      <c r="D139" s="183"/>
      <c r="E139" s="183"/>
      <c r="F139" s="183"/>
      <c r="G139" s="183"/>
      <c r="H139" s="183"/>
      <c r="I139" s="183"/>
      <c r="J139" s="183"/>
      <c r="K139" s="183"/>
      <c r="L139" s="183"/>
      <c r="M139" s="183"/>
      <c r="N139" s="183"/>
      <c r="O139" s="183"/>
      <c r="P139" s="183"/>
      <c r="Q139" s="183"/>
      <c r="R139" s="183"/>
      <c r="S139" s="183"/>
      <c r="T139" s="152"/>
      <c r="U139" s="155"/>
      <c r="V139" s="152"/>
      <c r="W139" s="152"/>
      <c r="X139" s="152"/>
      <c r="Y139" s="152"/>
      <c r="Z139" s="152"/>
      <c r="AA139" s="152"/>
      <c r="AB139" s="152"/>
      <c r="AC139" s="152"/>
      <c r="AD139" s="152"/>
      <c r="AE139" s="152"/>
      <c r="AF139" s="152"/>
      <c r="AG139" s="144"/>
      <c r="AH139" s="144"/>
      <c r="AI139" s="144"/>
      <c r="AJ139" s="144"/>
      <c r="AK139" s="144"/>
    </row>
    <row r="140" ht="22.5" customHeight="1">
      <c r="A140" s="184"/>
      <c r="B140" s="184"/>
      <c r="C140" s="184"/>
      <c r="D140" s="184"/>
      <c r="E140" s="184"/>
      <c r="F140" s="184"/>
      <c r="G140" s="184"/>
      <c r="H140" s="184"/>
      <c r="I140" s="184"/>
      <c r="J140" s="184"/>
      <c r="K140" s="184"/>
      <c r="L140" s="184"/>
      <c r="M140" s="184"/>
      <c r="N140" s="184"/>
      <c r="O140" s="184"/>
      <c r="P140" s="184"/>
      <c r="Q140" s="184"/>
      <c r="R140" s="184"/>
      <c r="S140" s="184"/>
      <c r="T140" s="145"/>
      <c r="U140" s="151"/>
      <c r="V140" s="145"/>
      <c r="W140" s="145"/>
      <c r="X140" s="145"/>
      <c r="Y140" s="145"/>
      <c r="Z140" s="145"/>
      <c r="AA140" s="145"/>
      <c r="AB140" s="145"/>
      <c r="AC140" s="145"/>
      <c r="AD140" s="145"/>
      <c r="AE140" s="145"/>
      <c r="AF140" s="145"/>
      <c r="AG140" s="144"/>
      <c r="AH140" s="144"/>
      <c r="AI140" s="144"/>
      <c r="AJ140" s="144"/>
      <c r="AK140" s="144"/>
    </row>
    <row r="141" ht="22.5" customHeight="1">
      <c r="A141" s="183"/>
      <c r="B141" s="183"/>
      <c r="C141" s="183"/>
      <c r="D141" s="183"/>
      <c r="E141" s="183"/>
      <c r="F141" s="183"/>
      <c r="G141" s="183"/>
      <c r="H141" s="183"/>
      <c r="I141" s="183"/>
      <c r="J141" s="183"/>
      <c r="K141" s="183"/>
      <c r="L141" s="183"/>
      <c r="M141" s="183"/>
      <c r="N141" s="183"/>
      <c r="O141" s="183"/>
      <c r="P141" s="183"/>
      <c r="Q141" s="183"/>
      <c r="R141" s="183"/>
      <c r="S141" s="183"/>
      <c r="T141" s="152"/>
      <c r="U141" s="155"/>
      <c r="V141" s="152"/>
      <c r="W141" s="152"/>
      <c r="X141" s="152"/>
      <c r="Y141" s="152"/>
      <c r="Z141" s="152"/>
      <c r="AA141" s="152"/>
      <c r="AB141" s="152"/>
      <c r="AC141" s="152"/>
      <c r="AD141" s="152"/>
      <c r="AE141" s="152"/>
      <c r="AF141" s="152"/>
      <c r="AG141" s="144"/>
      <c r="AH141" s="144"/>
      <c r="AI141" s="144"/>
      <c r="AJ141" s="144"/>
      <c r="AK141" s="144"/>
    </row>
    <row r="142" ht="22.5" customHeight="1">
      <c r="A142" s="184"/>
      <c r="B142" s="184"/>
      <c r="C142" s="184"/>
      <c r="D142" s="184"/>
      <c r="E142" s="184"/>
      <c r="F142" s="184"/>
      <c r="G142" s="184"/>
      <c r="H142" s="184"/>
      <c r="I142" s="184"/>
      <c r="J142" s="184"/>
      <c r="K142" s="184"/>
      <c r="L142" s="184"/>
      <c r="M142" s="184"/>
      <c r="N142" s="184"/>
      <c r="O142" s="184"/>
      <c r="P142" s="184"/>
      <c r="Q142" s="184"/>
      <c r="R142" s="184"/>
      <c r="S142" s="184"/>
      <c r="T142" s="145"/>
      <c r="U142" s="151"/>
      <c r="V142" s="145"/>
      <c r="W142" s="145"/>
      <c r="X142" s="145"/>
      <c r="Y142" s="145"/>
      <c r="Z142" s="145"/>
      <c r="AA142" s="145"/>
      <c r="AB142" s="145"/>
      <c r="AC142" s="145"/>
      <c r="AD142" s="145"/>
      <c r="AE142" s="145"/>
      <c r="AF142" s="145"/>
      <c r="AG142" s="144"/>
      <c r="AH142" s="144"/>
      <c r="AI142" s="144"/>
      <c r="AJ142" s="144"/>
      <c r="AK142" s="144"/>
    </row>
    <row r="143" ht="22.5" customHeight="1">
      <c r="A143" s="183"/>
      <c r="B143" s="183"/>
      <c r="C143" s="183"/>
      <c r="D143" s="183"/>
      <c r="E143" s="183"/>
      <c r="F143" s="183"/>
      <c r="G143" s="183"/>
      <c r="H143" s="183"/>
      <c r="I143" s="183"/>
      <c r="J143" s="183"/>
      <c r="K143" s="183"/>
      <c r="L143" s="183"/>
      <c r="M143" s="183"/>
      <c r="N143" s="183"/>
      <c r="O143" s="183"/>
      <c r="P143" s="183"/>
      <c r="Q143" s="183"/>
      <c r="R143" s="183"/>
      <c r="S143" s="183"/>
      <c r="T143" s="152"/>
      <c r="U143" s="155"/>
      <c r="V143" s="152"/>
      <c r="W143" s="152"/>
      <c r="X143" s="152"/>
      <c r="Y143" s="152"/>
      <c r="Z143" s="152"/>
      <c r="AA143" s="152"/>
      <c r="AB143" s="152"/>
      <c r="AC143" s="152"/>
      <c r="AD143" s="152"/>
      <c r="AE143" s="152"/>
      <c r="AF143" s="152"/>
      <c r="AG143" s="144"/>
      <c r="AH143" s="144"/>
      <c r="AI143" s="144"/>
      <c r="AJ143" s="144"/>
      <c r="AK143" s="144"/>
    </row>
    <row r="144" ht="22.5" customHeight="1">
      <c r="A144" s="184"/>
      <c r="B144" s="184"/>
      <c r="C144" s="184"/>
      <c r="D144" s="184"/>
      <c r="E144" s="184"/>
      <c r="F144" s="184"/>
      <c r="G144" s="184"/>
      <c r="H144" s="184"/>
      <c r="I144" s="184"/>
      <c r="J144" s="184"/>
      <c r="K144" s="184"/>
      <c r="L144" s="184"/>
      <c r="M144" s="184"/>
      <c r="N144" s="184"/>
      <c r="O144" s="184"/>
      <c r="P144" s="184"/>
      <c r="Q144" s="184"/>
      <c r="R144" s="184"/>
      <c r="S144" s="184"/>
      <c r="T144" s="145"/>
      <c r="U144" s="151"/>
      <c r="V144" s="145"/>
      <c r="W144" s="145"/>
      <c r="X144" s="145"/>
      <c r="Y144" s="145"/>
      <c r="Z144" s="145"/>
      <c r="AA144" s="145"/>
      <c r="AB144" s="145"/>
      <c r="AC144" s="145"/>
      <c r="AD144" s="145"/>
      <c r="AE144" s="145"/>
      <c r="AF144" s="145"/>
      <c r="AG144" s="144"/>
      <c r="AH144" s="144"/>
      <c r="AI144" s="144"/>
      <c r="AJ144" s="144"/>
      <c r="AK144" s="144"/>
    </row>
    <row r="145" ht="22.5" customHeight="1">
      <c r="A145" s="183"/>
      <c r="B145" s="183"/>
      <c r="C145" s="183"/>
      <c r="D145" s="183"/>
      <c r="E145" s="183"/>
      <c r="F145" s="183"/>
      <c r="G145" s="183"/>
      <c r="H145" s="183"/>
      <c r="I145" s="183"/>
      <c r="J145" s="183"/>
      <c r="K145" s="183"/>
      <c r="L145" s="183"/>
      <c r="M145" s="183"/>
      <c r="N145" s="183"/>
      <c r="O145" s="183"/>
      <c r="P145" s="183"/>
      <c r="Q145" s="183"/>
      <c r="R145" s="183"/>
      <c r="S145" s="183"/>
      <c r="T145" s="152"/>
      <c r="U145" s="155"/>
      <c r="V145" s="152"/>
      <c r="W145" s="152"/>
      <c r="X145" s="152"/>
      <c r="Y145" s="152"/>
      <c r="Z145" s="152"/>
      <c r="AA145" s="152"/>
      <c r="AB145" s="152"/>
      <c r="AC145" s="152"/>
      <c r="AD145" s="152"/>
      <c r="AE145" s="152"/>
      <c r="AF145" s="152"/>
      <c r="AG145" s="144"/>
      <c r="AH145" s="144"/>
      <c r="AI145" s="144"/>
      <c r="AJ145" s="144"/>
      <c r="AK145" s="144"/>
    </row>
    <row r="146" ht="22.5" customHeight="1">
      <c r="A146" s="184"/>
      <c r="B146" s="184"/>
      <c r="C146" s="184"/>
      <c r="D146" s="184"/>
      <c r="E146" s="184"/>
      <c r="F146" s="184"/>
      <c r="G146" s="184"/>
      <c r="H146" s="184"/>
      <c r="I146" s="184"/>
      <c r="J146" s="184"/>
      <c r="K146" s="184"/>
      <c r="L146" s="184"/>
      <c r="M146" s="184"/>
      <c r="N146" s="184"/>
      <c r="O146" s="184"/>
      <c r="P146" s="184"/>
      <c r="Q146" s="184"/>
      <c r="R146" s="184"/>
      <c r="S146" s="184"/>
      <c r="T146" s="145"/>
      <c r="U146" s="151"/>
      <c r="V146" s="145"/>
      <c r="W146" s="145"/>
      <c r="X146" s="145"/>
      <c r="Y146" s="145"/>
      <c r="Z146" s="145"/>
      <c r="AA146" s="145"/>
      <c r="AB146" s="145"/>
      <c r="AC146" s="145"/>
      <c r="AD146" s="145"/>
      <c r="AE146" s="145"/>
      <c r="AF146" s="145"/>
      <c r="AG146" s="144"/>
      <c r="AH146" s="144"/>
      <c r="AI146" s="144"/>
      <c r="AJ146" s="144"/>
      <c r="AK146" s="144"/>
    </row>
    <row r="147" ht="22.5" customHeight="1">
      <c r="A147" s="183"/>
      <c r="B147" s="183"/>
      <c r="C147" s="183"/>
      <c r="D147" s="183"/>
      <c r="E147" s="183"/>
      <c r="F147" s="183"/>
      <c r="G147" s="183"/>
      <c r="H147" s="183"/>
      <c r="I147" s="183"/>
      <c r="J147" s="183"/>
      <c r="K147" s="183"/>
      <c r="L147" s="183"/>
      <c r="M147" s="183"/>
      <c r="N147" s="183"/>
      <c r="O147" s="183"/>
      <c r="P147" s="183"/>
      <c r="Q147" s="183"/>
      <c r="R147" s="183"/>
      <c r="S147" s="183"/>
      <c r="T147" s="152"/>
      <c r="U147" s="155"/>
      <c r="V147" s="152"/>
      <c r="W147" s="152"/>
      <c r="X147" s="152"/>
      <c r="Y147" s="152"/>
      <c r="Z147" s="152"/>
      <c r="AA147" s="152"/>
      <c r="AB147" s="152"/>
      <c r="AC147" s="152"/>
      <c r="AD147" s="152"/>
      <c r="AE147" s="152"/>
      <c r="AF147" s="152"/>
      <c r="AG147" s="144"/>
      <c r="AH147" s="144"/>
      <c r="AI147" s="144"/>
      <c r="AJ147" s="144"/>
      <c r="AK147" s="144"/>
    </row>
    <row r="148" ht="22.5" customHeight="1">
      <c r="A148" s="184"/>
      <c r="B148" s="184"/>
      <c r="C148" s="184"/>
      <c r="D148" s="184"/>
      <c r="E148" s="184"/>
      <c r="F148" s="184"/>
      <c r="G148" s="184"/>
      <c r="H148" s="184"/>
      <c r="I148" s="184"/>
      <c r="J148" s="184"/>
      <c r="K148" s="184"/>
      <c r="L148" s="184"/>
      <c r="M148" s="184"/>
      <c r="N148" s="184"/>
      <c r="O148" s="184"/>
      <c r="P148" s="184"/>
      <c r="Q148" s="184"/>
      <c r="R148" s="184"/>
      <c r="S148" s="184"/>
      <c r="T148" s="145"/>
      <c r="U148" s="151"/>
      <c r="V148" s="145"/>
      <c r="W148" s="145"/>
      <c r="X148" s="145"/>
      <c r="Y148" s="145"/>
      <c r="Z148" s="145"/>
      <c r="AA148" s="145"/>
      <c r="AB148" s="145"/>
      <c r="AC148" s="145"/>
      <c r="AD148" s="145"/>
      <c r="AE148" s="145"/>
      <c r="AF148" s="145"/>
      <c r="AG148" s="144"/>
      <c r="AH148" s="144"/>
      <c r="AI148" s="144"/>
      <c r="AJ148" s="144"/>
      <c r="AK148" s="144"/>
    </row>
    <row r="149" ht="22.5" customHeight="1">
      <c r="A149" s="183"/>
      <c r="B149" s="183"/>
      <c r="C149" s="183"/>
      <c r="D149" s="183"/>
      <c r="E149" s="183"/>
      <c r="F149" s="183"/>
      <c r="G149" s="183"/>
      <c r="H149" s="183"/>
      <c r="I149" s="183"/>
      <c r="J149" s="183"/>
      <c r="K149" s="183"/>
      <c r="L149" s="183"/>
      <c r="M149" s="183"/>
      <c r="N149" s="183"/>
      <c r="O149" s="183"/>
      <c r="P149" s="183"/>
      <c r="Q149" s="183"/>
      <c r="R149" s="183"/>
      <c r="S149" s="183"/>
      <c r="T149" s="152"/>
      <c r="U149" s="155"/>
      <c r="V149" s="152"/>
      <c r="W149" s="152"/>
      <c r="X149" s="152"/>
      <c r="Y149" s="152"/>
      <c r="Z149" s="152"/>
      <c r="AA149" s="152"/>
      <c r="AB149" s="152"/>
      <c r="AC149" s="152"/>
      <c r="AD149" s="152"/>
      <c r="AE149" s="152"/>
      <c r="AF149" s="152"/>
      <c r="AG149" s="144"/>
      <c r="AH149" s="144"/>
      <c r="AI149" s="144"/>
      <c r="AJ149" s="144"/>
      <c r="AK149" s="144"/>
    </row>
    <row r="150" ht="22.5" customHeight="1">
      <c r="A150" s="184"/>
      <c r="B150" s="184"/>
      <c r="C150" s="184"/>
      <c r="D150" s="184"/>
      <c r="E150" s="184"/>
      <c r="F150" s="184"/>
      <c r="G150" s="184"/>
      <c r="H150" s="184"/>
      <c r="I150" s="184"/>
      <c r="J150" s="184"/>
      <c r="K150" s="184"/>
      <c r="L150" s="184"/>
      <c r="M150" s="184"/>
      <c r="N150" s="184"/>
      <c r="O150" s="184"/>
      <c r="P150" s="184"/>
      <c r="Q150" s="184"/>
      <c r="R150" s="184"/>
      <c r="S150" s="184"/>
      <c r="T150" s="145"/>
      <c r="U150" s="151"/>
      <c r="V150" s="145"/>
      <c r="W150" s="145"/>
      <c r="X150" s="145"/>
      <c r="Y150" s="145"/>
      <c r="Z150" s="145"/>
      <c r="AA150" s="145"/>
      <c r="AB150" s="145"/>
      <c r="AC150" s="145"/>
      <c r="AD150" s="145"/>
      <c r="AE150" s="145"/>
      <c r="AF150" s="145"/>
      <c r="AG150" s="144"/>
      <c r="AH150" s="144"/>
      <c r="AI150" s="144"/>
      <c r="AJ150" s="144"/>
      <c r="AK150" s="144"/>
    </row>
    <row r="151" ht="22.5" customHeight="1">
      <c r="A151" s="183"/>
      <c r="B151" s="183"/>
      <c r="C151" s="183"/>
      <c r="D151" s="183"/>
      <c r="E151" s="183"/>
      <c r="F151" s="183"/>
      <c r="G151" s="183"/>
      <c r="H151" s="183"/>
      <c r="I151" s="183"/>
      <c r="J151" s="183"/>
      <c r="K151" s="183"/>
      <c r="L151" s="183"/>
      <c r="M151" s="183"/>
      <c r="N151" s="183"/>
      <c r="O151" s="183"/>
      <c r="P151" s="183"/>
      <c r="Q151" s="183"/>
      <c r="R151" s="183"/>
      <c r="S151" s="183"/>
      <c r="T151" s="152"/>
      <c r="U151" s="155"/>
      <c r="V151" s="152"/>
      <c r="W151" s="152"/>
      <c r="X151" s="152"/>
      <c r="Y151" s="152"/>
      <c r="Z151" s="152"/>
      <c r="AA151" s="152"/>
      <c r="AB151" s="152"/>
      <c r="AC151" s="152"/>
      <c r="AD151" s="152"/>
      <c r="AE151" s="152"/>
      <c r="AF151" s="152"/>
      <c r="AG151" s="144"/>
      <c r="AH151" s="144"/>
      <c r="AI151" s="144"/>
      <c r="AJ151" s="144"/>
      <c r="AK151" s="144"/>
    </row>
    <row r="152" ht="22.5" customHeight="1">
      <c r="A152" s="184"/>
      <c r="B152" s="184"/>
      <c r="C152" s="184"/>
      <c r="D152" s="184"/>
      <c r="E152" s="184"/>
      <c r="F152" s="184"/>
      <c r="G152" s="184"/>
      <c r="H152" s="184"/>
      <c r="I152" s="184"/>
      <c r="J152" s="184"/>
      <c r="K152" s="184"/>
      <c r="L152" s="184"/>
      <c r="M152" s="184"/>
      <c r="N152" s="184"/>
      <c r="O152" s="184"/>
      <c r="P152" s="184"/>
      <c r="Q152" s="184"/>
      <c r="R152" s="184"/>
      <c r="S152" s="184"/>
      <c r="T152" s="145"/>
      <c r="U152" s="151"/>
      <c r="V152" s="145"/>
      <c r="W152" s="145"/>
      <c r="X152" s="145"/>
      <c r="Y152" s="145"/>
      <c r="Z152" s="145"/>
      <c r="AA152" s="145"/>
      <c r="AB152" s="145"/>
      <c r="AC152" s="145"/>
      <c r="AD152" s="145"/>
      <c r="AE152" s="145"/>
      <c r="AF152" s="145"/>
      <c r="AG152" s="144"/>
      <c r="AH152" s="144"/>
      <c r="AI152" s="144"/>
      <c r="AJ152" s="144"/>
      <c r="AK152" s="144"/>
    </row>
    <row r="153" ht="22.5" customHeight="1">
      <c r="A153" s="183"/>
      <c r="B153" s="183"/>
      <c r="C153" s="183"/>
      <c r="D153" s="183"/>
      <c r="E153" s="183"/>
      <c r="F153" s="183"/>
      <c r="G153" s="183"/>
      <c r="H153" s="183"/>
      <c r="I153" s="183"/>
      <c r="J153" s="183"/>
      <c r="K153" s="183"/>
      <c r="L153" s="183"/>
      <c r="M153" s="183"/>
      <c r="N153" s="183"/>
      <c r="O153" s="183"/>
      <c r="P153" s="183"/>
      <c r="Q153" s="183"/>
      <c r="R153" s="183"/>
      <c r="S153" s="183"/>
      <c r="T153" s="152"/>
      <c r="U153" s="155"/>
      <c r="V153" s="152"/>
      <c r="W153" s="152"/>
      <c r="X153" s="152"/>
      <c r="Y153" s="152"/>
      <c r="Z153" s="152"/>
      <c r="AA153" s="152"/>
      <c r="AB153" s="152"/>
      <c r="AC153" s="152"/>
      <c r="AD153" s="152"/>
      <c r="AE153" s="152"/>
      <c r="AF153" s="152"/>
      <c r="AG153" s="144"/>
      <c r="AH153" s="144"/>
      <c r="AI153" s="144"/>
      <c r="AJ153" s="144"/>
      <c r="AK153" s="144"/>
    </row>
    <row r="154" ht="22.5" customHeight="1">
      <c r="A154" s="184"/>
      <c r="B154" s="184"/>
      <c r="C154" s="184"/>
      <c r="D154" s="184"/>
      <c r="E154" s="184"/>
      <c r="F154" s="184"/>
      <c r="G154" s="184"/>
      <c r="H154" s="184"/>
      <c r="I154" s="184"/>
      <c r="J154" s="184"/>
      <c r="K154" s="184"/>
      <c r="L154" s="184"/>
      <c r="M154" s="184"/>
      <c r="N154" s="184"/>
      <c r="O154" s="184"/>
      <c r="P154" s="184"/>
      <c r="Q154" s="184"/>
      <c r="R154" s="184"/>
      <c r="S154" s="184"/>
      <c r="T154" s="145"/>
      <c r="U154" s="151"/>
      <c r="V154" s="145"/>
      <c r="W154" s="145"/>
      <c r="X154" s="145"/>
      <c r="Y154" s="145"/>
      <c r="Z154" s="145"/>
      <c r="AA154" s="145"/>
      <c r="AB154" s="145"/>
      <c r="AC154" s="145"/>
      <c r="AD154" s="145"/>
      <c r="AE154" s="145"/>
      <c r="AF154" s="145"/>
      <c r="AG154" s="144"/>
      <c r="AH154" s="144"/>
      <c r="AI154" s="144"/>
      <c r="AJ154" s="144"/>
      <c r="AK154" s="144"/>
    </row>
    <row r="155" ht="22.5" customHeight="1">
      <c r="A155" s="183"/>
      <c r="B155" s="183"/>
      <c r="C155" s="183"/>
      <c r="D155" s="183"/>
      <c r="E155" s="183"/>
      <c r="F155" s="183"/>
      <c r="G155" s="183"/>
      <c r="H155" s="183"/>
      <c r="I155" s="183"/>
      <c r="J155" s="183"/>
      <c r="K155" s="183"/>
      <c r="L155" s="183"/>
      <c r="M155" s="183"/>
      <c r="N155" s="183"/>
      <c r="O155" s="183"/>
      <c r="P155" s="183"/>
      <c r="Q155" s="183"/>
      <c r="R155" s="183"/>
      <c r="S155" s="183"/>
      <c r="T155" s="152"/>
      <c r="U155" s="155"/>
      <c r="V155" s="152"/>
      <c r="W155" s="152"/>
      <c r="X155" s="152"/>
      <c r="Y155" s="152"/>
      <c r="Z155" s="152"/>
      <c r="AA155" s="152"/>
      <c r="AB155" s="152"/>
      <c r="AC155" s="152"/>
      <c r="AD155" s="152"/>
      <c r="AE155" s="152"/>
      <c r="AF155" s="152"/>
      <c r="AG155" s="144"/>
      <c r="AH155" s="144"/>
      <c r="AI155" s="144"/>
      <c r="AJ155" s="144"/>
      <c r="AK155" s="144"/>
    </row>
    <row r="156" ht="22.5" customHeight="1">
      <c r="A156" s="184"/>
      <c r="B156" s="184"/>
      <c r="C156" s="184"/>
      <c r="D156" s="184"/>
      <c r="E156" s="184"/>
      <c r="F156" s="184"/>
      <c r="G156" s="184"/>
      <c r="H156" s="184"/>
      <c r="I156" s="184"/>
      <c r="J156" s="184"/>
      <c r="K156" s="184"/>
      <c r="L156" s="184"/>
      <c r="M156" s="184"/>
      <c r="N156" s="184"/>
      <c r="O156" s="184"/>
      <c r="P156" s="184"/>
      <c r="Q156" s="184"/>
      <c r="R156" s="184"/>
      <c r="S156" s="184"/>
      <c r="T156" s="145"/>
      <c r="U156" s="151"/>
      <c r="V156" s="145"/>
      <c r="W156" s="145"/>
      <c r="X156" s="145"/>
      <c r="Y156" s="145"/>
      <c r="Z156" s="145"/>
      <c r="AA156" s="145"/>
      <c r="AB156" s="145"/>
      <c r="AC156" s="145"/>
      <c r="AD156" s="145"/>
      <c r="AE156" s="145"/>
      <c r="AF156" s="145"/>
      <c r="AG156" s="144"/>
      <c r="AH156" s="144"/>
      <c r="AI156" s="144"/>
      <c r="AJ156" s="144"/>
      <c r="AK156" s="144"/>
    </row>
    <row r="157" ht="22.5" customHeight="1">
      <c r="A157" s="183"/>
      <c r="B157" s="183"/>
      <c r="C157" s="183"/>
      <c r="D157" s="183"/>
      <c r="E157" s="183"/>
      <c r="F157" s="183"/>
      <c r="G157" s="183"/>
      <c r="H157" s="183"/>
      <c r="I157" s="183"/>
      <c r="J157" s="183"/>
      <c r="K157" s="183"/>
      <c r="L157" s="183"/>
      <c r="M157" s="183"/>
      <c r="N157" s="183"/>
      <c r="O157" s="183"/>
      <c r="P157" s="183"/>
      <c r="Q157" s="183"/>
      <c r="R157" s="183"/>
      <c r="S157" s="183"/>
      <c r="T157" s="152"/>
      <c r="U157" s="155"/>
      <c r="V157" s="152"/>
      <c r="W157" s="152"/>
      <c r="X157" s="152"/>
      <c r="Y157" s="152"/>
      <c r="Z157" s="152"/>
      <c r="AA157" s="152"/>
      <c r="AB157" s="152"/>
      <c r="AC157" s="152"/>
      <c r="AD157" s="152"/>
      <c r="AE157" s="152"/>
      <c r="AF157" s="152"/>
      <c r="AG157" s="144"/>
      <c r="AH157" s="144"/>
      <c r="AI157" s="144"/>
      <c r="AJ157" s="144"/>
      <c r="AK157" s="144"/>
    </row>
    <row r="158" ht="22.5" customHeight="1">
      <c r="A158" s="184"/>
      <c r="B158" s="184"/>
      <c r="C158" s="184"/>
      <c r="D158" s="184"/>
      <c r="E158" s="184"/>
      <c r="F158" s="184"/>
      <c r="G158" s="184"/>
      <c r="H158" s="184"/>
      <c r="I158" s="184"/>
      <c r="J158" s="184"/>
      <c r="K158" s="184"/>
      <c r="L158" s="184"/>
      <c r="M158" s="184"/>
      <c r="N158" s="184"/>
      <c r="O158" s="184"/>
      <c r="P158" s="184"/>
      <c r="Q158" s="184"/>
      <c r="R158" s="184"/>
      <c r="S158" s="184"/>
      <c r="T158" s="145"/>
      <c r="U158" s="151"/>
      <c r="V158" s="145"/>
      <c r="W158" s="145"/>
      <c r="X158" s="145"/>
      <c r="Y158" s="145"/>
      <c r="Z158" s="145"/>
      <c r="AA158" s="145"/>
      <c r="AB158" s="145"/>
      <c r="AC158" s="145"/>
      <c r="AD158" s="145"/>
      <c r="AE158" s="145"/>
      <c r="AF158" s="145"/>
      <c r="AG158" s="144"/>
      <c r="AH158" s="144"/>
      <c r="AI158" s="144"/>
      <c r="AJ158" s="144"/>
      <c r="AK158" s="144"/>
    </row>
    <row r="159" ht="22.5" customHeight="1">
      <c r="A159" s="183"/>
      <c r="B159" s="183"/>
      <c r="C159" s="183"/>
      <c r="D159" s="183"/>
      <c r="E159" s="183"/>
      <c r="F159" s="183"/>
      <c r="G159" s="183"/>
      <c r="H159" s="183"/>
      <c r="I159" s="183"/>
      <c r="J159" s="183"/>
      <c r="K159" s="183"/>
      <c r="L159" s="183"/>
      <c r="M159" s="183"/>
      <c r="N159" s="183"/>
      <c r="O159" s="183"/>
      <c r="P159" s="183"/>
      <c r="Q159" s="183"/>
      <c r="R159" s="183"/>
      <c r="S159" s="183"/>
      <c r="T159" s="152"/>
      <c r="U159" s="155"/>
      <c r="V159" s="152"/>
      <c r="W159" s="152"/>
      <c r="X159" s="152"/>
      <c r="Y159" s="152"/>
      <c r="Z159" s="152"/>
      <c r="AA159" s="152"/>
      <c r="AB159" s="152"/>
      <c r="AC159" s="152"/>
      <c r="AD159" s="152"/>
      <c r="AE159" s="152"/>
      <c r="AF159" s="152"/>
      <c r="AG159" s="144"/>
      <c r="AH159" s="144"/>
      <c r="AI159" s="144"/>
      <c r="AJ159" s="144"/>
      <c r="AK159" s="144"/>
    </row>
    <row r="160" ht="22.5" customHeight="1">
      <c r="A160" s="184"/>
      <c r="B160" s="184"/>
      <c r="C160" s="184"/>
      <c r="D160" s="184"/>
      <c r="E160" s="184"/>
      <c r="F160" s="184"/>
      <c r="G160" s="184"/>
      <c r="H160" s="184"/>
      <c r="I160" s="184"/>
      <c r="J160" s="184"/>
      <c r="K160" s="184"/>
      <c r="L160" s="184"/>
      <c r="M160" s="184"/>
      <c r="N160" s="184"/>
      <c r="O160" s="184"/>
      <c r="P160" s="184"/>
      <c r="Q160" s="184"/>
      <c r="R160" s="184"/>
      <c r="S160" s="184"/>
      <c r="T160" s="145"/>
      <c r="U160" s="151"/>
      <c r="V160" s="145"/>
      <c r="W160" s="145"/>
      <c r="X160" s="145"/>
      <c r="Y160" s="145"/>
      <c r="Z160" s="145"/>
      <c r="AA160" s="145"/>
      <c r="AB160" s="145"/>
      <c r="AC160" s="145"/>
      <c r="AD160" s="145"/>
      <c r="AE160" s="145"/>
      <c r="AF160" s="145"/>
      <c r="AG160" s="144"/>
      <c r="AH160" s="144"/>
      <c r="AI160" s="144"/>
      <c r="AJ160" s="144"/>
      <c r="AK160" s="144"/>
    </row>
    <row r="161" ht="22.5" customHeight="1">
      <c r="A161" s="183"/>
      <c r="B161" s="183"/>
      <c r="C161" s="183"/>
      <c r="D161" s="183"/>
      <c r="E161" s="183"/>
      <c r="F161" s="183"/>
      <c r="G161" s="183"/>
      <c r="H161" s="183"/>
      <c r="I161" s="183"/>
      <c r="J161" s="183"/>
      <c r="K161" s="183"/>
      <c r="L161" s="183"/>
      <c r="M161" s="183"/>
      <c r="N161" s="183"/>
      <c r="O161" s="183"/>
      <c r="P161" s="183"/>
      <c r="Q161" s="183"/>
      <c r="R161" s="183"/>
      <c r="S161" s="183"/>
      <c r="T161" s="152"/>
      <c r="U161" s="155"/>
      <c r="V161" s="152"/>
      <c r="W161" s="152"/>
      <c r="X161" s="152"/>
      <c r="Y161" s="152"/>
      <c r="Z161" s="152"/>
      <c r="AA161" s="152"/>
      <c r="AB161" s="152"/>
      <c r="AC161" s="152"/>
      <c r="AD161" s="152"/>
      <c r="AE161" s="152"/>
      <c r="AF161" s="152"/>
      <c r="AG161" s="144"/>
      <c r="AH161" s="144"/>
      <c r="AI161" s="144"/>
      <c r="AJ161" s="144"/>
      <c r="AK161" s="144"/>
    </row>
    <row r="162" ht="22.5" customHeight="1">
      <c r="A162" s="184"/>
      <c r="B162" s="184"/>
      <c r="C162" s="184"/>
      <c r="D162" s="184"/>
      <c r="E162" s="184"/>
      <c r="F162" s="184"/>
      <c r="G162" s="184"/>
      <c r="H162" s="184"/>
      <c r="I162" s="184"/>
      <c r="J162" s="184"/>
      <c r="K162" s="184"/>
      <c r="L162" s="184"/>
      <c r="M162" s="184"/>
      <c r="N162" s="184"/>
      <c r="O162" s="184"/>
      <c r="P162" s="184"/>
      <c r="Q162" s="184"/>
      <c r="R162" s="184"/>
      <c r="S162" s="184"/>
      <c r="T162" s="145"/>
      <c r="U162" s="151"/>
      <c r="V162" s="145"/>
      <c r="W162" s="145"/>
      <c r="X162" s="145"/>
      <c r="Y162" s="145"/>
      <c r="Z162" s="145"/>
      <c r="AA162" s="145"/>
      <c r="AB162" s="145"/>
      <c r="AC162" s="145"/>
      <c r="AD162" s="145"/>
      <c r="AE162" s="145"/>
      <c r="AF162" s="145"/>
      <c r="AG162" s="144"/>
      <c r="AH162" s="144"/>
      <c r="AI162" s="144"/>
      <c r="AJ162" s="144"/>
      <c r="AK162" s="144"/>
    </row>
    <row r="163" ht="22.5" customHeight="1">
      <c r="A163" s="183"/>
      <c r="B163" s="183"/>
      <c r="C163" s="183"/>
      <c r="D163" s="183"/>
      <c r="E163" s="183"/>
      <c r="F163" s="183"/>
      <c r="G163" s="183"/>
      <c r="H163" s="183"/>
      <c r="I163" s="183"/>
      <c r="J163" s="183"/>
      <c r="K163" s="183"/>
      <c r="L163" s="183"/>
      <c r="M163" s="183"/>
      <c r="N163" s="183"/>
      <c r="O163" s="183"/>
      <c r="P163" s="183"/>
      <c r="Q163" s="183"/>
      <c r="R163" s="183"/>
      <c r="S163" s="183"/>
      <c r="T163" s="152"/>
      <c r="U163" s="155"/>
      <c r="V163" s="152"/>
      <c r="W163" s="152"/>
      <c r="X163" s="152"/>
      <c r="Y163" s="152"/>
      <c r="Z163" s="152"/>
      <c r="AA163" s="152"/>
      <c r="AB163" s="152"/>
      <c r="AC163" s="152"/>
      <c r="AD163" s="152"/>
      <c r="AE163" s="152"/>
      <c r="AF163" s="152"/>
      <c r="AG163" s="144"/>
      <c r="AH163" s="144"/>
      <c r="AI163" s="144"/>
      <c r="AJ163" s="144"/>
      <c r="AK163" s="144"/>
    </row>
    <row r="164" ht="22.5" customHeight="1">
      <c r="A164" s="184"/>
      <c r="B164" s="184"/>
      <c r="C164" s="184"/>
      <c r="D164" s="184"/>
      <c r="E164" s="184"/>
      <c r="F164" s="184"/>
      <c r="G164" s="184"/>
      <c r="H164" s="184"/>
      <c r="I164" s="184"/>
      <c r="J164" s="184"/>
      <c r="K164" s="184"/>
      <c r="L164" s="184"/>
      <c r="M164" s="184"/>
      <c r="N164" s="184"/>
      <c r="O164" s="184"/>
      <c r="P164" s="184"/>
      <c r="Q164" s="184"/>
      <c r="R164" s="184"/>
      <c r="S164" s="184"/>
      <c r="T164" s="145"/>
      <c r="U164" s="151"/>
      <c r="V164" s="145"/>
      <c r="W164" s="145"/>
      <c r="X164" s="145"/>
      <c r="Y164" s="145"/>
      <c r="Z164" s="145"/>
      <c r="AA164" s="145"/>
      <c r="AB164" s="145"/>
      <c r="AC164" s="145"/>
      <c r="AD164" s="145"/>
      <c r="AE164" s="145"/>
      <c r="AF164" s="145"/>
      <c r="AG164" s="144"/>
      <c r="AH164" s="144"/>
      <c r="AI164" s="144"/>
      <c r="AJ164" s="144"/>
      <c r="AK164" s="144"/>
    </row>
    <row r="165" ht="22.5" customHeight="1">
      <c r="A165" s="183"/>
      <c r="B165" s="183"/>
      <c r="C165" s="183"/>
      <c r="D165" s="183"/>
      <c r="E165" s="183"/>
      <c r="F165" s="183"/>
      <c r="G165" s="183"/>
      <c r="H165" s="183"/>
      <c r="I165" s="183"/>
      <c r="J165" s="183"/>
      <c r="K165" s="183"/>
      <c r="L165" s="183"/>
      <c r="M165" s="183"/>
      <c r="N165" s="183"/>
      <c r="O165" s="183"/>
      <c r="P165" s="183"/>
      <c r="Q165" s="183"/>
      <c r="R165" s="183"/>
      <c r="S165" s="183"/>
      <c r="T165" s="152"/>
      <c r="U165" s="155"/>
      <c r="V165" s="152"/>
      <c r="W165" s="152"/>
      <c r="X165" s="152"/>
      <c r="Y165" s="152"/>
      <c r="Z165" s="152"/>
      <c r="AA165" s="152"/>
      <c r="AB165" s="152"/>
      <c r="AC165" s="152"/>
      <c r="AD165" s="152"/>
      <c r="AE165" s="152"/>
      <c r="AF165" s="152"/>
      <c r="AG165" s="144"/>
      <c r="AH165" s="144"/>
      <c r="AI165" s="144"/>
      <c r="AJ165" s="144"/>
      <c r="AK165" s="144"/>
    </row>
    <row r="166" ht="22.5" customHeight="1">
      <c r="A166" s="184"/>
      <c r="B166" s="184"/>
      <c r="C166" s="184"/>
      <c r="D166" s="184"/>
      <c r="E166" s="184"/>
      <c r="F166" s="184"/>
      <c r="G166" s="184"/>
      <c r="H166" s="184"/>
      <c r="I166" s="184"/>
      <c r="J166" s="184"/>
      <c r="K166" s="184"/>
      <c r="L166" s="184"/>
      <c r="M166" s="184"/>
      <c r="N166" s="184"/>
      <c r="O166" s="184"/>
      <c r="P166" s="184"/>
      <c r="Q166" s="184"/>
      <c r="R166" s="184"/>
      <c r="S166" s="184"/>
      <c r="T166" s="145"/>
      <c r="U166" s="151"/>
      <c r="V166" s="145"/>
      <c r="W166" s="145"/>
      <c r="X166" s="145"/>
      <c r="Y166" s="145"/>
      <c r="Z166" s="145"/>
      <c r="AA166" s="145"/>
      <c r="AB166" s="145"/>
      <c r="AC166" s="145"/>
      <c r="AD166" s="145"/>
      <c r="AE166" s="145"/>
      <c r="AF166" s="145"/>
      <c r="AG166" s="144"/>
      <c r="AH166" s="144"/>
      <c r="AI166" s="144"/>
      <c r="AJ166" s="144"/>
      <c r="AK166" s="144"/>
    </row>
    <row r="167" ht="22.5" customHeight="1">
      <c r="A167" s="183"/>
      <c r="B167" s="183"/>
      <c r="C167" s="183"/>
      <c r="D167" s="183"/>
      <c r="E167" s="183"/>
      <c r="F167" s="183"/>
      <c r="G167" s="183"/>
      <c r="H167" s="183"/>
      <c r="I167" s="183"/>
      <c r="J167" s="183"/>
      <c r="K167" s="183"/>
      <c r="L167" s="183"/>
      <c r="M167" s="183"/>
      <c r="N167" s="183"/>
      <c r="O167" s="183"/>
      <c r="P167" s="183"/>
      <c r="Q167" s="183"/>
      <c r="R167" s="183"/>
      <c r="S167" s="183"/>
      <c r="T167" s="152"/>
      <c r="U167" s="155"/>
      <c r="V167" s="152"/>
      <c r="W167" s="152"/>
      <c r="X167" s="152"/>
      <c r="Y167" s="152"/>
      <c r="Z167" s="152"/>
      <c r="AA167" s="152"/>
      <c r="AB167" s="152"/>
      <c r="AC167" s="152"/>
      <c r="AD167" s="152"/>
      <c r="AE167" s="152"/>
      <c r="AF167" s="152"/>
      <c r="AG167" s="144"/>
      <c r="AH167" s="144"/>
      <c r="AI167" s="144"/>
      <c r="AJ167" s="144"/>
      <c r="AK167" s="144"/>
    </row>
    <row r="168" ht="22.5" customHeight="1">
      <c r="A168" s="184"/>
      <c r="B168" s="184"/>
      <c r="C168" s="184"/>
      <c r="D168" s="184"/>
      <c r="E168" s="184"/>
      <c r="F168" s="184"/>
      <c r="G168" s="184"/>
      <c r="H168" s="184"/>
      <c r="I168" s="184"/>
      <c r="J168" s="184"/>
      <c r="K168" s="184"/>
      <c r="L168" s="184"/>
      <c r="M168" s="184"/>
      <c r="N168" s="184"/>
      <c r="O168" s="184"/>
      <c r="P168" s="184"/>
      <c r="Q168" s="184"/>
      <c r="R168" s="184"/>
      <c r="S168" s="184"/>
      <c r="T168" s="145"/>
      <c r="U168" s="151"/>
      <c r="V168" s="145"/>
      <c r="W168" s="145"/>
      <c r="X168" s="145"/>
      <c r="Y168" s="145"/>
      <c r="Z168" s="145"/>
      <c r="AA168" s="145"/>
      <c r="AB168" s="145"/>
      <c r="AC168" s="145"/>
      <c r="AD168" s="145"/>
      <c r="AE168" s="145"/>
      <c r="AF168" s="145"/>
      <c r="AG168" s="144"/>
      <c r="AH168" s="144"/>
      <c r="AI168" s="144"/>
      <c r="AJ168" s="144"/>
      <c r="AK168" s="144"/>
    </row>
    <row r="169" ht="22.5" customHeight="1">
      <c r="A169" s="183"/>
      <c r="B169" s="183"/>
      <c r="C169" s="183"/>
      <c r="D169" s="183"/>
      <c r="E169" s="183"/>
      <c r="F169" s="183"/>
      <c r="G169" s="183"/>
      <c r="H169" s="183"/>
      <c r="I169" s="183"/>
      <c r="J169" s="183"/>
      <c r="K169" s="183"/>
      <c r="L169" s="183"/>
      <c r="M169" s="183"/>
      <c r="N169" s="183"/>
      <c r="O169" s="183"/>
      <c r="P169" s="183"/>
      <c r="Q169" s="183"/>
      <c r="R169" s="183"/>
      <c r="S169" s="183"/>
      <c r="T169" s="152"/>
      <c r="U169" s="155"/>
      <c r="V169" s="152"/>
      <c r="W169" s="152"/>
      <c r="X169" s="152"/>
      <c r="Y169" s="152"/>
      <c r="Z169" s="152"/>
      <c r="AA169" s="152"/>
      <c r="AB169" s="152"/>
      <c r="AC169" s="152"/>
      <c r="AD169" s="152"/>
      <c r="AE169" s="152"/>
      <c r="AF169" s="152"/>
      <c r="AG169" s="144"/>
      <c r="AH169" s="144"/>
      <c r="AI169" s="144"/>
      <c r="AJ169" s="144"/>
      <c r="AK169" s="144"/>
    </row>
    <row r="170" ht="22.5" customHeight="1">
      <c r="A170" s="184"/>
      <c r="B170" s="184"/>
      <c r="C170" s="184"/>
      <c r="D170" s="184"/>
      <c r="E170" s="184"/>
      <c r="F170" s="184"/>
      <c r="G170" s="184"/>
      <c r="H170" s="184"/>
      <c r="I170" s="184"/>
      <c r="J170" s="184"/>
      <c r="K170" s="184"/>
      <c r="L170" s="184"/>
      <c r="M170" s="184"/>
      <c r="N170" s="184"/>
      <c r="O170" s="184"/>
      <c r="P170" s="184"/>
      <c r="Q170" s="184"/>
      <c r="R170" s="184"/>
      <c r="S170" s="184"/>
      <c r="T170" s="145"/>
      <c r="U170" s="151"/>
      <c r="V170" s="145"/>
      <c r="W170" s="145"/>
      <c r="X170" s="145"/>
      <c r="Y170" s="145"/>
      <c r="Z170" s="145"/>
      <c r="AA170" s="145"/>
      <c r="AB170" s="145"/>
      <c r="AC170" s="145"/>
      <c r="AD170" s="145"/>
      <c r="AE170" s="145"/>
      <c r="AF170" s="145"/>
      <c r="AG170" s="144"/>
      <c r="AH170" s="144"/>
      <c r="AI170" s="144"/>
      <c r="AJ170" s="144"/>
      <c r="AK170" s="144"/>
    </row>
    <row r="171" ht="22.5" customHeight="1">
      <c r="A171" s="183"/>
      <c r="B171" s="183"/>
      <c r="C171" s="183"/>
      <c r="D171" s="183"/>
      <c r="E171" s="183"/>
      <c r="F171" s="183"/>
      <c r="G171" s="183"/>
      <c r="H171" s="183"/>
      <c r="I171" s="183"/>
      <c r="J171" s="183"/>
      <c r="K171" s="183"/>
      <c r="L171" s="183"/>
      <c r="M171" s="183"/>
      <c r="N171" s="183"/>
      <c r="O171" s="183"/>
      <c r="P171" s="183"/>
      <c r="Q171" s="183"/>
      <c r="R171" s="183"/>
      <c r="S171" s="183"/>
      <c r="T171" s="152"/>
      <c r="U171" s="155"/>
      <c r="V171" s="152"/>
      <c r="W171" s="152"/>
      <c r="X171" s="152"/>
      <c r="Y171" s="152"/>
      <c r="Z171" s="152"/>
      <c r="AA171" s="152"/>
      <c r="AB171" s="152"/>
      <c r="AC171" s="152"/>
      <c r="AD171" s="152"/>
      <c r="AE171" s="152"/>
      <c r="AF171" s="152"/>
      <c r="AG171" s="144"/>
      <c r="AH171" s="144"/>
      <c r="AI171" s="144"/>
      <c r="AJ171" s="144"/>
      <c r="AK171" s="144"/>
    </row>
    <row r="172" ht="22.5" customHeight="1">
      <c r="A172" s="184"/>
      <c r="B172" s="184"/>
      <c r="C172" s="184"/>
      <c r="D172" s="184"/>
      <c r="E172" s="184"/>
      <c r="F172" s="184"/>
      <c r="G172" s="184"/>
      <c r="H172" s="184"/>
      <c r="I172" s="184"/>
      <c r="J172" s="184"/>
      <c r="K172" s="184"/>
      <c r="L172" s="184"/>
      <c r="M172" s="184"/>
      <c r="N172" s="184"/>
      <c r="O172" s="184"/>
      <c r="P172" s="184"/>
      <c r="Q172" s="184"/>
      <c r="R172" s="184"/>
      <c r="S172" s="184"/>
      <c r="T172" s="145"/>
      <c r="U172" s="151"/>
      <c r="V172" s="145"/>
      <c r="W172" s="145"/>
      <c r="X172" s="145"/>
      <c r="Y172" s="145"/>
      <c r="Z172" s="145"/>
      <c r="AA172" s="145"/>
      <c r="AB172" s="145"/>
      <c r="AC172" s="145"/>
      <c r="AD172" s="145"/>
      <c r="AE172" s="145"/>
      <c r="AF172" s="145"/>
      <c r="AG172" s="144"/>
      <c r="AH172" s="144"/>
      <c r="AI172" s="144"/>
      <c r="AJ172" s="144"/>
      <c r="AK172" s="144"/>
    </row>
    <row r="173" ht="22.5" customHeight="1">
      <c r="A173" s="183"/>
      <c r="B173" s="183"/>
      <c r="C173" s="183"/>
      <c r="D173" s="183"/>
      <c r="E173" s="183"/>
      <c r="F173" s="183"/>
      <c r="G173" s="183"/>
      <c r="H173" s="183"/>
      <c r="I173" s="183"/>
      <c r="J173" s="183"/>
      <c r="K173" s="183"/>
      <c r="L173" s="183"/>
      <c r="M173" s="183"/>
      <c r="N173" s="183"/>
      <c r="O173" s="183"/>
      <c r="P173" s="183"/>
      <c r="Q173" s="183"/>
      <c r="R173" s="183"/>
      <c r="S173" s="183"/>
      <c r="T173" s="152"/>
      <c r="U173" s="155"/>
      <c r="V173" s="152"/>
      <c r="W173" s="152"/>
      <c r="X173" s="152"/>
      <c r="Y173" s="152"/>
      <c r="Z173" s="152"/>
      <c r="AA173" s="152"/>
      <c r="AB173" s="152"/>
      <c r="AC173" s="152"/>
      <c r="AD173" s="152"/>
      <c r="AE173" s="152"/>
      <c r="AF173" s="152"/>
      <c r="AG173" s="144"/>
      <c r="AH173" s="144"/>
      <c r="AI173" s="144"/>
      <c r="AJ173" s="144"/>
      <c r="AK173" s="144"/>
    </row>
    <row r="174" ht="22.5" customHeight="1">
      <c r="A174" s="184"/>
      <c r="B174" s="184"/>
      <c r="C174" s="184"/>
      <c r="D174" s="184"/>
      <c r="E174" s="184"/>
      <c r="F174" s="184"/>
      <c r="G174" s="184"/>
      <c r="H174" s="184"/>
      <c r="I174" s="184"/>
      <c r="J174" s="184"/>
      <c r="K174" s="184"/>
      <c r="L174" s="184"/>
      <c r="M174" s="184"/>
      <c r="N174" s="184"/>
      <c r="O174" s="184"/>
      <c r="P174" s="184"/>
      <c r="Q174" s="184"/>
      <c r="R174" s="184"/>
      <c r="S174" s="184"/>
      <c r="T174" s="145"/>
      <c r="U174" s="151"/>
      <c r="V174" s="145"/>
      <c r="W174" s="145"/>
      <c r="X174" s="145"/>
      <c r="Y174" s="145"/>
      <c r="Z174" s="145"/>
      <c r="AA174" s="145"/>
      <c r="AB174" s="145"/>
      <c r="AC174" s="145"/>
      <c r="AD174" s="145"/>
      <c r="AE174" s="145"/>
      <c r="AF174" s="145"/>
      <c r="AG174" s="144"/>
      <c r="AH174" s="144"/>
      <c r="AI174" s="144"/>
      <c r="AJ174" s="144"/>
      <c r="AK174" s="144"/>
    </row>
    <row r="175" ht="22.5" customHeight="1">
      <c r="A175" s="183"/>
      <c r="B175" s="183"/>
      <c r="C175" s="183"/>
      <c r="D175" s="183"/>
      <c r="E175" s="183"/>
      <c r="F175" s="183"/>
      <c r="G175" s="183"/>
      <c r="H175" s="183"/>
      <c r="I175" s="183"/>
      <c r="J175" s="183"/>
      <c r="K175" s="183"/>
      <c r="L175" s="183"/>
      <c r="M175" s="183"/>
      <c r="N175" s="183"/>
      <c r="O175" s="183"/>
      <c r="P175" s="183"/>
      <c r="Q175" s="183"/>
      <c r="R175" s="183"/>
      <c r="S175" s="183"/>
      <c r="T175" s="152"/>
      <c r="U175" s="155"/>
      <c r="V175" s="152"/>
      <c r="W175" s="152"/>
      <c r="X175" s="152"/>
      <c r="Y175" s="152"/>
      <c r="Z175" s="152"/>
      <c r="AA175" s="152"/>
      <c r="AB175" s="152"/>
      <c r="AC175" s="152"/>
      <c r="AD175" s="152"/>
      <c r="AE175" s="152"/>
      <c r="AF175" s="152"/>
      <c r="AG175" s="144"/>
      <c r="AH175" s="144"/>
      <c r="AI175" s="144"/>
      <c r="AJ175" s="144"/>
      <c r="AK175" s="144"/>
    </row>
    <row r="176" ht="22.5" customHeight="1">
      <c r="A176" s="184"/>
      <c r="B176" s="184"/>
      <c r="C176" s="184"/>
      <c r="D176" s="184"/>
      <c r="E176" s="184"/>
      <c r="F176" s="184"/>
      <c r="G176" s="184"/>
      <c r="H176" s="184"/>
      <c r="I176" s="184"/>
      <c r="J176" s="184"/>
      <c r="K176" s="184"/>
      <c r="L176" s="184"/>
      <c r="M176" s="184"/>
      <c r="N176" s="184"/>
      <c r="O176" s="184"/>
      <c r="P176" s="184"/>
      <c r="Q176" s="184"/>
      <c r="R176" s="184"/>
      <c r="S176" s="184"/>
      <c r="T176" s="145"/>
      <c r="U176" s="151"/>
      <c r="V176" s="145"/>
      <c r="W176" s="145"/>
      <c r="X176" s="145"/>
      <c r="Y176" s="145"/>
      <c r="Z176" s="145"/>
      <c r="AA176" s="145"/>
      <c r="AB176" s="145"/>
      <c r="AC176" s="145"/>
      <c r="AD176" s="145"/>
      <c r="AE176" s="145"/>
      <c r="AF176" s="145"/>
      <c r="AG176" s="144"/>
      <c r="AH176" s="144"/>
      <c r="AI176" s="144"/>
      <c r="AJ176" s="144"/>
      <c r="AK176" s="144"/>
    </row>
    <row r="177" ht="22.5" customHeight="1">
      <c r="A177" s="183"/>
      <c r="B177" s="183"/>
      <c r="C177" s="183"/>
      <c r="D177" s="183"/>
      <c r="E177" s="183"/>
      <c r="F177" s="183"/>
      <c r="G177" s="183"/>
      <c r="H177" s="183"/>
      <c r="I177" s="183"/>
      <c r="J177" s="183"/>
      <c r="K177" s="183"/>
      <c r="L177" s="183"/>
      <c r="M177" s="183"/>
      <c r="N177" s="183"/>
      <c r="O177" s="183"/>
      <c r="P177" s="183"/>
      <c r="Q177" s="183"/>
      <c r="R177" s="183"/>
      <c r="S177" s="183"/>
      <c r="T177" s="152"/>
      <c r="U177" s="155"/>
      <c r="V177" s="152"/>
      <c r="W177" s="152"/>
      <c r="X177" s="152"/>
      <c r="Y177" s="152"/>
      <c r="Z177" s="152"/>
      <c r="AA177" s="152"/>
      <c r="AB177" s="152"/>
      <c r="AC177" s="152"/>
      <c r="AD177" s="152"/>
      <c r="AE177" s="152"/>
      <c r="AF177" s="152"/>
      <c r="AG177" s="144"/>
      <c r="AH177" s="144"/>
      <c r="AI177" s="144"/>
      <c r="AJ177" s="144"/>
      <c r="AK177" s="144"/>
    </row>
    <row r="178" ht="22.5" customHeight="1">
      <c r="A178" s="184"/>
      <c r="B178" s="184"/>
      <c r="C178" s="184"/>
      <c r="D178" s="184"/>
      <c r="E178" s="184"/>
      <c r="F178" s="184"/>
      <c r="G178" s="184"/>
      <c r="H178" s="184"/>
      <c r="I178" s="184"/>
      <c r="J178" s="184"/>
      <c r="K178" s="184"/>
      <c r="L178" s="184"/>
      <c r="M178" s="184"/>
      <c r="N178" s="184"/>
      <c r="O178" s="184"/>
      <c r="P178" s="184"/>
      <c r="Q178" s="184"/>
      <c r="R178" s="184"/>
      <c r="S178" s="184"/>
      <c r="T178" s="145"/>
      <c r="U178" s="151"/>
      <c r="V178" s="145"/>
      <c r="W178" s="145"/>
      <c r="X178" s="145"/>
      <c r="Y178" s="145"/>
      <c r="Z178" s="145"/>
      <c r="AA178" s="145"/>
      <c r="AB178" s="145"/>
      <c r="AC178" s="145"/>
      <c r="AD178" s="145"/>
      <c r="AE178" s="145"/>
      <c r="AF178" s="145"/>
      <c r="AG178" s="144"/>
      <c r="AH178" s="144"/>
      <c r="AI178" s="144"/>
      <c r="AJ178" s="144"/>
      <c r="AK178" s="144"/>
    </row>
    <row r="179" ht="22.5" customHeight="1">
      <c r="A179" s="183"/>
      <c r="B179" s="183"/>
      <c r="C179" s="183"/>
      <c r="D179" s="183"/>
      <c r="E179" s="183"/>
      <c r="F179" s="183"/>
      <c r="G179" s="183"/>
      <c r="H179" s="183"/>
      <c r="I179" s="183"/>
      <c r="J179" s="183"/>
      <c r="K179" s="183"/>
      <c r="L179" s="183"/>
      <c r="M179" s="183"/>
      <c r="N179" s="183"/>
      <c r="O179" s="183"/>
      <c r="P179" s="183"/>
      <c r="Q179" s="183"/>
      <c r="R179" s="183"/>
      <c r="S179" s="183"/>
      <c r="T179" s="152"/>
      <c r="U179" s="155"/>
      <c r="V179" s="152"/>
      <c r="W179" s="152"/>
      <c r="X179" s="152"/>
      <c r="Y179" s="152"/>
      <c r="Z179" s="152"/>
      <c r="AA179" s="152"/>
      <c r="AB179" s="152"/>
      <c r="AC179" s="152"/>
      <c r="AD179" s="152"/>
      <c r="AE179" s="152"/>
      <c r="AF179" s="152"/>
      <c r="AG179" s="144"/>
      <c r="AH179" s="144"/>
      <c r="AI179" s="144"/>
      <c r="AJ179" s="144"/>
      <c r="AK179" s="144"/>
    </row>
    <row r="180" ht="22.5" customHeight="1">
      <c r="A180" s="184"/>
      <c r="B180" s="184"/>
      <c r="C180" s="184"/>
      <c r="D180" s="184"/>
      <c r="E180" s="184"/>
      <c r="F180" s="184"/>
      <c r="G180" s="184"/>
      <c r="H180" s="184"/>
      <c r="I180" s="184"/>
      <c r="J180" s="184"/>
      <c r="K180" s="184"/>
      <c r="L180" s="184"/>
      <c r="M180" s="184"/>
      <c r="N180" s="184"/>
      <c r="O180" s="184"/>
      <c r="P180" s="184"/>
      <c r="Q180" s="184"/>
      <c r="R180" s="184"/>
      <c r="S180" s="184"/>
      <c r="T180" s="145"/>
      <c r="U180" s="151"/>
      <c r="V180" s="145"/>
      <c r="W180" s="145"/>
      <c r="X180" s="145"/>
      <c r="Y180" s="145"/>
      <c r="Z180" s="145"/>
      <c r="AA180" s="145"/>
      <c r="AB180" s="145"/>
      <c r="AC180" s="145"/>
      <c r="AD180" s="145"/>
      <c r="AE180" s="145"/>
      <c r="AF180" s="145"/>
      <c r="AG180" s="144"/>
      <c r="AH180" s="144"/>
      <c r="AI180" s="144"/>
      <c r="AJ180" s="144"/>
      <c r="AK180" s="144"/>
    </row>
    <row r="181" ht="22.5" customHeight="1">
      <c r="A181" s="183"/>
      <c r="B181" s="183"/>
      <c r="C181" s="183"/>
      <c r="D181" s="183"/>
      <c r="E181" s="183"/>
      <c r="F181" s="183"/>
      <c r="G181" s="183"/>
      <c r="H181" s="183"/>
      <c r="I181" s="183"/>
      <c r="J181" s="183"/>
      <c r="K181" s="183"/>
      <c r="L181" s="183"/>
      <c r="M181" s="183"/>
      <c r="N181" s="183"/>
      <c r="O181" s="183"/>
      <c r="P181" s="183"/>
      <c r="Q181" s="183"/>
      <c r="R181" s="183"/>
      <c r="S181" s="183"/>
      <c r="T181" s="152"/>
      <c r="U181" s="155"/>
      <c r="V181" s="152"/>
      <c r="W181" s="152"/>
      <c r="X181" s="152"/>
      <c r="Y181" s="152"/>
      <c r="Z181" s="152"/>
      <c r="AA181" s="152"/>
      <c r="AB181" s="152"/>
      <c r="AC181" s="152"/>
      <c r="AD181" s="152"/>
      <c r="AE181" s="152"/>
      <c r="AF181" s="152"/>
      <c r="AG181" s="144"/>
      <c r="AH181" s="144"/>
      <c r="AI181" s="144"/>
      <c r="AJ181" s="144"/>
      <c r="AK181" s="144"/>
    </row>
    <row r="182" ht="22.5" customHeight="1">
      <c r="A182" s="184"/>
      <c r="B182" s="184"/>
      <c r="C182" s="184"/>
      <c r="D182" s="184"/>
      <c r="E182" s="184"/>
      <c r="F182" s="184"/>
      <c r="G182" s="184"/>
      <c r="H182" s="184"/>
      <c r="I182" s="184"/>
      <c r="J182" s="184"/>
      <c r="K182" s="184"/>
      <c r="L182" s="184"/>
      <c r="M182" s="184"/>
      <c r="N182" s="184"/>
      <c r="O182" s="184"/>
      <c r="P182" s="184"/>
      <c r="Q182" s="184"/>
      <c r="R182" s="184"/>
      <c r="S182" s="184"/>
      <c r="T182" s="145"/>
      <c r="U182" s="151"/>
      <c r="V182" s="145"/>
      <c r="W182" s="145"/>
      <c r="X182" s="145"/>
      <c r="Y182" s="145"/>
      <c r="Z182" s="145"/>
      <c r="AA182" s="145"/>
      <c r="AB182" s="145"/>
      <c r="AC182" s="145"/>
      <c r="AD182" s="145"/>
      <c r="AE182" s="145"/>
      <c r="AF182" s="145"/>
      <c r="AG182" s="144"/>
      <c r="AH182" s="144"/>
      <c r="AI182" s="144"/>
      <c r="AJ182" s="144"/>
      <c r="AK182" s="144"/>
    </row>
    <row r="183" ht="22.5" customHeight="1">
      <c r="A183" s="183"/>
      <c r="B183" s="183"/>
      <c r="C183" s="183"/>
      <c r="D183" s="183"/>
      <c r="E183" s="183"/>
      <c r="F183" s="183"/>
      <c r="G183" s="183"/>
      <c r="H183" s="183"/>
      <c r="I183" s="183"/>
      <c r="J183" s="183"/>
      <c r="K183" s="183"/>
      <c r="L183" s="183"/>
      <c r="M183" s="183"/>
      <c r="N183" s="183"/>
      <c r="O183" s="183"/>
      <c r="P183" s="183"/>
      <c r="Q183" s="183"/>
      <c r="R183" s="183"/>
      <c r="S183" s="183"/>
      <c r="T183" s="152"/>
      <c r="U183" s="155"/>
      <c r="V183" s="152"/>
      <c r="W183" s="152"/>
      <c r="X183" s="152"/>
      <c r="Y183" s="152"/>
      <c r="Z183" s="152"/>
      <c r="AA183" s="152"/>
      <c r="AB183" s="152"/>
      <c r="AC183" s="152"/>
      <c r="AD183" s="152"/>
      <c r="AE183" s="152"/>
      <c r="AF183" s="152"/>
      <c r="AG183" s="144"/>
      <c r="AH183" s="144"/>
      <c r="AI183" s="144"/>
      <c r="AJ183" s="144"/>
      <c r="AK183" s="144"/>
    </row>
    <row r="184" ht="22.5" customHeight="1">
      <c r="A184" s="184"/>
      <c r="B184" s="184"/>
      <c r="C184" s="184"/>
      <c r="D184" s="184"/>
      <c r="E184" s="184"/>
      <c r="F184" s="184"/>
      <c r="G184" s="184"/>
      <c r="H184" s="184"/>
      <c r="I184" s="184"/>
      <c r="J184" s="184"/>
      <c r="K184" s="184"/>
      <c r="L184" s="184"/>
      <c r="M184" s="184"/>
      <c r="N184" s="184"/>
      <c r="O184" s="184"/>
      <c r="P184" s="184"/>
      <c r="Q184" s="184"/>
      <c r="R184" s="184"/>
      <c r="S184" s="184"/>
      <c r="T184" s="145"/>
      <c r="U184" s="151"/>
      <c r="V184" s="145"/>
      <c r="W184" s="145"/>
      <c r="X184" s="145"/>
      <c r="Y184" s="145"/>
      <c r="Z184" s="145"/>
      <c r="AA184" s="145"/>
      <c r="AB184" s="145"/>
      <c r="AC184" s="145"/>
      <c r="AD184" s="145"/>
      <c r="AE184" s="145"/>
      <c r="AF184" s="145"/>
      <c r="AG184" s="144"/>
      <c r="AH184" s="144"/>
      <c r="AI184" s="144"/>
      <c r="AJ184" s="144"/>
      <c r="AK184" s="144"/>
    </row>
    <row r="185" ht="22.5" customHeight="1">
      <c r="A185" s="183"/>
      <c r="B185" s="183"/>
      <c r="C185" s="183"/>
      <c r="D185" s="183"/>
      <c r="E185" s="183"/>
      <c r="F185" s="183"/>
      <c r="G185" s="183"/>
      <c r="H185" s="183"/>
      <c r="I185" s="183"/>
      <c r="J185" s="183"/>
      <c r="K185" s="183"/>
      <c r="L185" s="183"/>
      <c r="M185" s="183"/>
      <c r="N185" s="183"/>
      <c r="O185" s="183"/>
      <c r="P185" s="183"/>
      <c r="Q185" s="183"/>
      <c r="R185" s="183"/>
      <c r="S185" s="183"/>
      <c r="T185" s="152"/>
      <c r="U185" s="155"/>
      <c r="V185" s="152"/>
      <c r="W185" s="152"/>
      <c r="X185" s="152"/>
      <c r="Y185" s="152"/>
      <c r="Z185" s="152"/>
      <c r="AA185" s="152"/>
      <c r="AB185" s="152"/>
      <c r="AC185" s="152"/>
      <c r="AD185" s="152"/>
      <c r="AE185" s="152"/>
      <c r="AF185" s="152"/>
      <c r="AG185" s="144"/>
      <c r="AH185" s="144"/>
      <c r="AI185" s="144"/>
      <c r="AJ185" s="144"/>
      <c r="AK185" s="144"/>
    </row>
    <row r="186" ht="22.5" customHeight="1">
      <c r="A186" s="184"/>
      <c r="B186" s="184"/>
      <c r="C186" s="184"/>
      <c r="D186" s="184"/>
      <c r="E186" s="184"/>
      <c r="F186" s="184"/>
      <c r="G186" s="184"/>
      <c r="H186" s="184"/>
      <c r="I186" s="184"/>
      <c r="J186" s="184"/>
      <c r="K186" s="184"/>
      <c r="L186" s="184"/>
      <c r="M186" s="184"/>
      <c r="N186" s="184"/>
      <c r="O186" s="184"/>
      <c r="P186" s="184"/>
      <c r="Q186" s="184"/>
      <c r="R186" s="184"/>
      <c r="S186" s="184"/>
      <c r="T186" s="145"/>
      <c r="U186" s="151"/>
      <c r="V186" s="145"/>
      <c r="W186" s="145"/>
      <c r="X186" s="145"/>
      <c r="Y186" s="145"/>
      <c r="Z186" s="145"/>
      <c r="AA186" s="145"/>
      <c r="AB186" s="145"/>
      <c r="AC186" s="145"/>
      <c r="AD186" s="145"/>
      <c r="AE186" s="145"/>
      <c r="AF186" s="145"/>
      <c r="AG186" s="144"/>
      <c r="AH186" s="144"/>
      <c r="AI186" s="144"/>
      <c r="AJ186" s="144"/>
      <c r="AK186" s="144"/>
    </row>
    <row r="187" ht="22.5" customHeight="1">
      <c r="A187" s="183"/>
      <c r="B187" s="183"/>
      <c r="C187" s="183"/>
      <c r="D187" s="183"/>
      <c r="E187" s="183"/>
      <c r="F187" s="183"/>
      <c r="G187" s="183"/>
      <c r="H187" s="183"/>
      <c r="I187" s="183"/>
      <c r="J187" s="183"/>
      <c r="K187" s="183"/>
      <c r="L187" s="183"/>
      <c r="M187" s="183"/>
      <c r="N187" s="183"/>
      <c r="O187" s="183"/>
      <c r="P187" s="183"/>
      <c r="Q187" s="183"/>
      <c r="R187" s="183"/>
      <c r="S187" s="183"/>
      <c r="T187" s="152"/>
      <c r="U187" s="155"/>
      <c r="V187" s="152"/>
      <c r="W187" s="152"/>
      <c r="X187" s="152"/>
      <c r="Y187" s="152"/>
      <c r="Z187" s="152"/>
      <c r="AA187" s="152"/>
      <c r="AB187" s="152"/>
      <c r="AC187" s="152"/>
      <c r="AD187" s="152"/>
      <c r="AE187" s="152"/>
      <c r="AF187" s="152"/>
      <c r="AG187" s="144"/>
      <c r="AH187" s="144"/>
      <c r="AI187" s="144"/>
      <c r="AJ187" s="144"/>
      <c r="AK187" s="144"/>
    </row>
    <row r="188" ht="22.5" customHeight="1">
      <c r="A188" s="184"/>
      <c r="B188" s="184"/>
      <c r="C188" s="184"/>
      <c r="D188" s="184"/>
      <c r="E188" s="184"/>
      <c r="F188" s="184"/>
      <c r="G188" s="184"/>
      <c r="H188" s="184"/>
      <c r="I188" s="184"/>
      <c r="J188" s="184"/>
      <c r="K188" s="184"/>
      <c r="L188" s="184"/>
      <c r="M188" s="184"/>
      <c r="N188" s="184"/>
      <c r="O188" s="184"/>
      <c r="P188" s="184"/>
      <c r="Q188" s="184"/>
      <c r="R188" s="184"/>
      <c r="S188" s="184"/>
      <c r="T188" s="145"/>
      <c r="U188" s="151"/>
      <c r="V188" s="145"/>
      <c r="W188" s="145"/>
      <c r="X188" s="145"/>
      <c r="Y188" s="145"/>
      <c r="Z188" s="145"/>
      <c r="AA188" s="145"/>
      <c r="AB188" s="145"/>
      <c r="AC188" s="145"/>
      <c r="AD188" s="145"/>
      <c r="AE188" s="145"/>
      <c r="AF188" s="145"/>
      <c r="AG188" s="144"/>
      <c r="AH188" s="144"/>
      <c r="AI188" s="144"/>
      <c r="AJ188" s="144"/>
      <c r="AK188" s="144"/>
    </row>
    <row r="189" ht="22.5" customHeight="1">
      <c r="A189" s="183"/>
      <c r="B189" s="183"/>
      <c r="C189" s="183"/>
      <c r="D189" s="183"/>
      <c r="E189" s="183"/>
      <c r="F189" s="183"/>
      <c r="G189" s="183"/>
      <c r="H189" s="183"/>
      <c r="I189" s="183"/>
      <c r="J189" s="183"/>
      <c r="K189" s="183"/>
      <c r="L189" s="183"/>
      <c r="M189" s="183"/>
      <c r="N189" s="183"/>
      <c r="O189" s="183"/>
      <c r="P189" s="183"/>
      <c r="Q189" s="183"/>
      <c r="R189" s="183"/>
      <c r="S189" s="183"/>
      <c r="T189" s="152"/>
      <c r="U189" s="155"/>
      <c r="V189" s="152"/>
      <c r="W189" s="152"/>
      <c r="X189" s="152"/>
      <c r="Y189" s="152"/>
      <c r="Z189" s="152"/>
      <c r="AA189" s="152"/>
      <c r="AB189" s="152"/>
      <c r="AC189" s="152"/>
      <c r="AD189" s="152"/>
      <c r="AE189" s="152"/>
      <c r="AF189" s="152"/>
      <c r="AG189" s="144"/>
      <c r="AH189" s="144"/>
      <c r="AI189" s="144"/>
      <c r="AJ189" s="144"/>
      <c r="AK189" s="144"/>
    </row>
    <row r="190" ht="22.5" customHeight="1">
      <c r="A190" s="184"/>
      <c r="B190" s="184"/>
      <c r="C190" s="184"/>
      <c r="D190" s="184"/>
      <c r="E190" s="184"/>
      <c r="F190" s="184"/>
      <c r="G190" s="184"/>
      <c r="H190" s="184"/>
      <c r="I190" s="184"/>
      <c r="J190" s="184"/>
      <c r="K190" s="184"/>
      <c r="L190" s="184"/>
      <c r="M190" s="184"/>
      <c r="N190" s="184"/>
      <c r="O190" s="184"/>
      <c r="P190" s="184"/>
      <c r="Q190" s="184"/>
      <c r="R190" s="184"/>
      <c r="S190" s="184"/>
      <c r="T190" s="145"/>
      <c r="U190" s="151"/>
      <c r="V190" s="145"/>
      <c r="W190" s="145"/>
      <c r="X190" s="145"/>
      <c r="Y190" s="145"/>
      <c r="Z190" s="145"/>
      <c r="AA190" s="145"/>
      <c r="AB190" s="145"/>
      <c r="AC190" s="145"/>
      <c r="AD190" s="145"/>
      <c r="AE190" s="145"/>
      <c r="AF190" s="145"/>
      <c r="AG190" s="144"/>
      <c r="AH190" s="144"/>
      <c r="AI190" s="144"/>
      <c r="AJ190" s="144"/>
      <c r="AK190" s="144"/>
    </row>
    <row r="191" ht="22.5" customHeight="1">
      <c r="A191" s="183"/>
      <c r="B191" s="183"/>
      <c r="C191" s="183"/>
      <c r="D191" s="183"/>
      <c r="E191" s="183"/>
      <c r="F191" s="183"/>
      <c r="G191" s="183"/>
      <c r="H191" s="183"/>
      <c r="I191" s="183"/>
      <c r="J191" s="183"/>
      <c r="K191" s="183"/>
      <c r="L191" s="183"/>
      <c r="M191" s="183"/>
      <c r="N191" s="183"/>
      <c r="O191" s="183"/>
      <c r="P191" s="183"/>
      <c r="Q191" s="183"/>
      <c r="R191" s="183"/>
      <c r="S191" s="183"/>
      <c r="T191" s="152"/>
      <c r="U191" s="155"/>
      <c r="V191" s="152"/>
      <c r="W191" s="152"/>
      <c r="X191" s="152"/>
      <c r="Y191" s="152"/>
      <c r="Z191" s="152"/>
      <c r="AA191" s="152"/>
      <c r="AB191" s="152"/>
      <c r="AC191" s="152"/>
      <c r="AD191" s="152"/>
      <c r="AE191" s="152"/>
      <c r="AF191" s="152"/>
      <c r="AG191" s="144"/>
      <c r="AH191" s="144"/>
      <c r="AI191" s="144"/>
      <c r="AJ191" s="144"/>
      <c r="AK191" s="144"/>
    </row>
    <row r="192" ht="22.5" customHeight="1">
      <c r="A192" s="184"/>
      <c r="B192" s="184"/>
      <c r="C192" s="184"/>
      <c r="D192" s="184"/>
      <c r="E192" s="184"/>
      <c r="F192" s="184"/>
      <c r="G192" s="184"/>
      <c r="H192" s="184"/>
      <c r="I192" s="184"/>
      <c r="J192" s="184"/>
      <c r="K192" s="184"/>
      <c r="L192" s="184"/>
      <c r="M192" s="184"/>
      <c r="N192" s="184"/>
      <c r="O192" s="184"/>
      <c r="P192" s="184"/>
      <c r="Q192" s="184"/>
      <c r="R192" s="184"/>
      <c r="S192" s="184"/>
      <c r="T192" s="145"/>
      <c r="U192" s="151"/>
      <c r="V192" s="145"/>
      <c r="W192" s="145"/>
      <c r="X192" s="145"/>
      <c r="Y192" s="145"/>
      <c r="Z192" s="145"/>
      <c r="AA192" s="145"/>
      <c r="AB192" s="145"/>
      <c r="AC192" s="145"/>
      <c r="AD192" s="145"/>
      <c r="AE192" s="145"/>
      <c r="AF192" s="145"/>
      <c r="AG192" s="144"/>
      <c r="AH192" s="144"/>
      <c r="AI192" s="144"/>
      <c r="AJ192" s="144"/>
      <c r="AK192" s="144"/>
    </row>
    <row r="193" ht="22.5" customHeight="1">
      <c r="A193" s="183"/>
      <c r="B193" s="183"/>
      <c r="C193" s="183"/>
      <c r="D193" s="183"/>
      <c r="E193" s="183"/>
      <c r="F193" s="183"/>
      <c r="G193" s="183"/>
      <c r="H193" s="183"/>
      <c r="I193" s="183"/>
      <c r="J193" s="183"/>
      <c r="K193" s="183"/>
      <c r="L193" s="183"/>
      <c r="M193" s="183"/>
      <c r="N193" s="183"/>
      <c r="O193" s="183"/>
      <c r="P193" s="183"/>
      <c r="Q193" s="183"/>
      <c r="R193" s="183"/>
      <c r="S193" s="183"/>
      <c r="T193" s="152"/>
      <c r="U193" s="155"/>
      <c r="V193" s="152"/>
      <c r="W193" s="152"/>
      <c r="X193" s="152"/>
      <c r="Y193" s="152"/>
      <c r="Z193" s="152"/>
      <c r="AA193" s="152"/>
      <c r="AB193" s="152"/>
      <c r="AC193" s="152"/>
      <c r="AD193" s="152"/>
      <c r="AE193" s="152"/>
      <c r="AF193" s="152"/>
      <c r="AG193" s="144"/>
      <c r="AH193" s="144"/>
      <c r="AI193" s="144"/>
      <c r="AJ193" s="144"/>
      <c r="AK193" s="144"/>
    </row>
    <row r="194" ht="22.5" customHeight="1">
      <c r="A194" s="184"/>
      <c r="B194" s="184"/>
      <c r="C194" s="184"/>
      <c r="D194" s="184"/>
      <c r="E194" s="184"/>
      <c r="F194" s="184"/>
      <c r="G194" s="184"/>
      <c r="H194" s="184"/>
      <c r="I194" s="184"/>
      <c r="J194" s="184"/>
      <c r="K194" s="184"/>
      <c r="L194" s="184"/>
      <c r="M194" s="184"/>
      <c r="N194" s="184"/>
      <c r="O194" s="184"/>
      <c r="P194" s="184"/>
      <c r="Q194" s="184"/>
      <c r="R194" s="184"/>
      <c r="S194" s="184"/>
      <c r="T194" s="145"/>
      <c r="U194" s="151"/>
      <c r="V194" s="145"/>
      <c r="W194" s="145"/>
      <c r="X194" s="145"/>
      <c r="Y194" s="145"/>
      <c r="Z194" s="145"/>
      <c r="AA194" s="145"/>
      <c r="AB194" s="145"/>
      <c r="AC194" s="145"/>
      <c r="AD194" s="145"/>
      <c r="AE194" s="145"/>
      <c r="AF194" s="145"/>
      <c r="AG194" s="144"/>
      <c r="AH194" s="144"/>
      <c r="AI194" s="144"/>
      <c r="AJ194" s="144"/>
      <c r="AK194" s="144"/>
    </row>
    <row r="195" ht="22.5" customHeight="1">
      <c r="A195" s="183"/>
      <c r="B195" s="183"/>
      <c r="C195" s="183"/>
      <c r="D195" s="183"/>
      <c r="E195" s="183"/>
      <c r="F195" s="183"/>
      <c r="G195" s="183"/>
      <c r="H195" s="183"/>
      <c r="I195" s="183"/>
      <c r="J195" s="183"/>
      <c r="K195" s="183"/>
      <c r="L195" s="183"/>
      <c r="M195" s="183"/>
      <c r="N195" s="183"/>
      <c r="O195" s="183"/>
      <c r="P195" s="183"/>
      <c r="Q195" s="183"/>
      <c r="R195" s="183"/>
      <c r="S195" s="183"/>
      <c r="T195" s="152"/>
      <c r="U195" s="155"/>
      <c r="V195" s="152"/>
      <c r="W195" s="152"/>
      <c r="X195" s="152"/>
      <c r="Y195" s="152"/>
      <c r="Z195" s="152"/>
      <c r="AA195" s="152"/>
      <c r="AB195" s="152"/>
      <c r="AC195" s="152"/>
      <c r="AD195" s="152"/>
      <c r="AE195" s="152"/>
      <c r="AF195" s="152"/>
      <c r="AG195" s="144"/>
      <c r="AH195" s="144"/>
      <c r="AI195" s="144"/>
      <c r="AJ195" s="144"/>
      <c r="AK195" s="144"/>
    </row>
    <row r="196" ht="22.5" customHeight="1">
      <c r="A196" s="184"/>
      <c r="B196" s="184"/>
      <c r="C196" s="184"/>
      <c r="D196" s="184"/>
      <c r="E196" s="184"/>
      <c r="F196" s="184"/>
      <c r="G196" s="184"/>
      <c r="H196" s="184"/>
      <c r="I196" s="184"/>
      <c r="J196" s="184"/>
      <c r="K196" s="184"/>
      <c r="L196" s="184"/>
      <c r="M196" s="184"/>
      <c r="N196" s="184"/>
      <c r="O196" s="184"/>
      <c r="P196" s="184"/>
      <c r="Q196" s="184"/>
      <c r="R196" s="184"/>
      <c r="S196" s="184"/>
      <c r="T196" s="145"/>
      <c r="U196" s="151"/>
      <c r="V196" s="145"/>
      <c r="W196" s="145"/>
      <c r="X196" s="145"/>
      <c r="Y196" s="145"/>
      <c r="Z196" s="145"/>
      <c r="AA196" s="145"/>
      <c r="AB196" s="145"/>
      <c r="AC196" s="145"/>
      <c r="AD196" s="145"/>
      <c r="AE196" s="145"/>
      <c r="AF196" s="145"/>
      <c r="AG196" s="144"/>
      <c r="AH196" s="144"/>
      <c r="AI196" s="144"/>
      <c r="AJ196" s="144"/>
      <c r="AK196" s="144"/>
    </row>
    <row r="197" ht="22.5" customHeight="1">
      <c r="A197" s="183"/>
      <c r="B197" s="183"/>
      <c r="C197" s="183"/>
      <c r="D197" s="183"/>
      <c r="E197" s="183"/>
      <c r="F197" s="183"/>
      <c r="G197" s="183"/>
      <c r="H197" s="183"/>
      <c r="I197" s="183"/>
      <c r="J197" s="183"/>
      <c r="K197" s="183"/>
      <c r="L197" s="183"/>
      <c r="M197" s="183"/>
      <c r="N197" s="183"/>
      <c r="O197" s="183"/>
      <c r="P197" s="183"/>
      <c r="Q197" s="183"/>
      <c r="R197" s="183"/>
      <c r="S197" s="183"/>
      <c r="T197" s="152"/>
      <c r="U197" s="155"/>
      <c r="V197" s="152"/>
      <c r="W197" s="152"/>
      <c r="X197" s="152"/>
      <c r="Y197" s="152"/>
      <c r="Z197" s="152"/>
      <c r="AA197" s="152"/>
      <c r="AB197" s="152"/>
      <c r="AC197" s="152"/>
      <c r="AD197" s="152"/>
      <c r="AE197" s="152"/>
      <c r="AF197" s="152"/>
      <c r="AG197" s="144"/>
      <c r="AH197" s="144"/>
      <c r="AI197" s="144"/>
      <c r="AJ197" s="144"/>
      <c r="AK197" s="144"/>
    </row>
    <row r="198" ht="22.5" customHeight="1">
      <c r="A198" s="184"/>
      <c r="B198" s="184"/>
      <c r="C198" s="184"/>
      <c r="D198" s="184"/>
      <c r="E198" s="184"/>
      <c r="F198" s="184"/>
      <c r="G198" s="184"/>
      <c r="H198" s="184"/>
      <c r="I198" s="184"/>
      <c r="J198" s="184"/>
      <c r="K198" s="184"/>
      <c r="L198" s="184"/>
      <c r="M198" s="184"/>
      <c r="N198" s="184"/>
      <c r="O198" s="184"/>
      <c r="P198" s="184"/>
      <c r="Q198" s="184"/>
      <c r="R198" s="184"/>
      <c r="S198" s="184"/>
      <c r="T198" s="145"/>
      <c r="U198" s="151"/>
      <c r="V198" s="145"/>
      <c r="W198" s="145"/>
      <c r="X198" s="145"/>
      <c r="Y198" s="145"/>
      <c r="Z198" s="145"/>
      <c r="AA198" s="145"/>
      <c r="AB198" s="145"/>
      <c r="AC198" s="145"/>
      <c r="AD198" s="145"/>
      <c r="AE198" s="145"/>
      <c r="AF198" s="145"/>
      <c r="AG198" s="144"/>
      <c r="AH198" s="144"/>
      <c r="AI198" s="144"/>
      <c r="AJ198" s="144"/>
      <c r="AK198" s="144"/>
    </row>
    <row r="199" ht="22.5" customHeight="1">
      <c r="A199" s="183"/>
      <c r="B199" s="183"/>
      <c r="C199" s="183"/>
      <c r="D199" s="183"/>
      <c r="E199" s="183"/>
      <c r="F199" s="183"/>
      <c r="G199" s="183"/>
      <c r="H199" s="183"/>
      <c r="I199" s="183"/>
      <c r="J199" s="183"/>
      <c r="K199" s="183"/>
      <c r="L199" s="183"/>
      <c r="M199" s="183"/>
      <c r="N199" s="183"/>
      <c r="O199" s="183"/>
      <c r="P199" s="183"/>
      <c r="Q199" s="183"/>
      <c r="R199" s="183"/>
      <c r="S199" s="183"/>
      <c r="T199" s="152"/>
      <c r="U199" s="155"/>
      <c r="V199" s="152"/>
      <c r="W199" s="152"/>
      <c r="X199" s="152"/>
      <c r="Y199" s="152"/>
      <c r="Z199" s="152"/>
      <c r="AA199" s="152"/>
      <c r="AB199" s="152"/>
      <c r="AC199" s="152"/>
      <c r="AD199" s="152"/>
      <c r="AE199" s="152"/>
      <c r="AF199" s="152"/>
      <c r="AG199" s="144"/>
      <c r="AH199" s="144"/>
      <c r="AI199" s="144"/>
      <c r="AJ199" s="144"/>
      <c r="AK199" s="144"/>
    </row>
    <row r="200" ht="22.5" customHeight="1">
      <c r="A200" s="184"/>
      <c r="B200" s="184"/>
      <c r="C200" s="184"/>
      <c r="D200" s="184"/>
      <c r="E200" s="184"/>
      <c r="F200" s="184"/>
      <c r="G200" s="184"/>
      <c r="H200" s="184"/>
      <c r="I200" s="184"/>
      <c r="J200" s="184"/>
      <c r="K200" s="184"/>
      <c r="L200" s="184"/>
      <c r="M200" s="184"/>
      <c r="N200" s="184"/>
      <c r="O200" s="184"/>
      <c r="P200" s="184"/>
      <c r="Q200" s="184"/>
      <c r="R200" s="184"/>
      <c r="S200" s="184"/>
      <c r="T200" s="145"/>
      <c r="U200" s="151"/>
      <c r="V200" s="145"/>
      <c r="W200" s="145"/>
      <c r="X200" s="145"/>
      <c r="Y200" s="145"/>
      <c r="Z200" s="145"/>
      <c r="AA200" s="145"/>
      <c r="AB200" s="145"/>
      <c r="AC200" s="145"/>
      <c r="AD200" s="145"/>
      <c r="AE200" s="145"/>
      <c r="AF200" s="145"/>
      <c r="AG200" s="144"/>
      <c r="AH200" s="144"/>
      <c r="AI200" s="144"/>
      <c r="AJ200" s="144"/>
      <c r="AK200" s="144"/>
    </row>
    <row r="201" ht="22.5" customHeight="1">
      <c r="A201" s="183"/>
      <c r="B201" s="183"/>
      <c r="C201" s="183"/>
      <c r="D201" s="183"/>
      <c r="E201" s="183"/>
      <c r="F201" s="183"/>
      <c r="G201" s="183"/>
      <c r="H201" s="183"/>
      <c r="I201" s="183"/>
      <c r="J201" s="183"/>
      <c r="K201" s="183"/>
      <c r="L201" s="183"/>
      <c r="M201" s="183"/>
      <c r="N201" s="183"/>
      <c r="O201" s="183"/>
      <c r="P201" s="183"/>
      <c r="Q201" s="183"/>
      <c r="R201" s="183"/>
      <c r="S201" s="183"/>
      <c r="T201" s="152"/>
      <c r="U201" s="155"/>
      <c r="V201" s="152"/>
      <c r="W201" s="152"/>
      <c r="X201" s="152"/>
      <c r="Y201" s="152"/>
      <c r="Z201" s="152"/>
      <c r="AA201" s="152"/>
      <c r="AB201" s="152"/>
      <c r="AC201" s="152"/>
      <c r="AD201" s="152"/>
      <c r="AE201" s="152"/>
      <c r="AF201" s="152"/>
      <c r="AG201" s="144"/>
      <c r="AH201" s="144"/>
      <c r="AI201" s="144"/>
      <c r="AJ201" s="144"/>
      <c r="AK201" s="144"/>
    </row>
    <row r="202" ht="22.5" customHeight="1">
      <c r="A202" s="184"/>
      <c r="B202" s="184"/>
      <c r="C202" s="184"/>
      <c r="D202" s="184"/>
      <c r="E202" s="184"/>
      <c r="F202" s="184"/>
      <c r="G202" s="184"/>
      <c r="H202" s="184"/>
      <c r="I202" s="184"/>
      <c r="J202" s="184"/>
      <c r="K202" s="184"/>
      <c r="L202" s="184"/>
      <c r="M202" s="184"/>
      <c r="N202" s="184"/>
      <c r="O202" s="184"/>
      <c r="P202" s="184"/>
      <c r="Q202" s="184"/>
      <c r="R202" s="184"/>
      <c r="S202" s="184"/>
      <c r="T202" s="145"/>
      <c r="U202" s="151"/>
      <c r="V202" s="145"/>
      <c r="W202" s="145"/>
      <c r="X202" s="145"/>
      <c r="Y202" s="145"/>
      <c r="Z202" s="145"/>
      <c r="AA202" s="145"/>
      <c r="AB202" s="145"/>
      <c r="AC202" s="145"/>
      <c r="AD202" s="145"/>
      <c r="AE202" s="145"/>
      <c r="AF202" s="145"/>
      <c r="AG202" s="144"/>
      <c r="AH202" s="144"/>
      <c r="AI202" s="144"/>
      <c r="AJ202" s="144"/>
      <c r="AK202" s="144"/>
    </row>
    <row r="203" ht="22.5" customHeight="1">
      <c r="A203" s="183"/>
      <c r="B203" s="183"/>
      <c r="C203" s="183"/>
      <c r="D203" s="183"/>
      <c r="E203" s="183"/>
      <c r="F203" s="183"/>
      <c r="G203" s="183"/>
      <c r="H203" s="183"/>
      <c r="I203" s="183"/>
      <c r="J203" s="183"/>
      <c r="K203" s="183"/>
      <c r="L203" s="183"/>
      <c r="M203" s="183"/>
      <c r="N203" s="183"/>
      <c r="O203" s="183"/>
      <c r="P203" s="183"/>
      <c r="Q203" s="183"/>
      <c r="R203" s="183"/>
      <c r="S203" s="183"/>
      <c r="T203" s="152"/>
      <c r="U203" s="155"/>
      <c r="V203" s="152"/>
      <c r="W203" s="152"/>
      <c r="X203" s="152"/>
      <c r="Y203" s="152"/>
      <c r="Z203" s="152"/>
      <c r="AA203" s="152"/>
      <c r="AB203" s="152"/>
      <c r="AC203" s="152"/>
      <c r="AD203" s="152"/>
      <c r="AE203" s="152"/>
      <c r="AF203" s="152"/>
      <c r="AG203" s="144"/>
      <c r="AH203" s="144"/>
      <c r="AI203" s="144"/>
      <c r="AJ203" s="144"/>
      <c r="AK203" s="144"/>
    </row>
    <row r="204" ht="22.5" customHeight="1">
      <c r="A204" s="184"/>
      <c r="B204" s="184"/>
      <c r="C204" s="184"/>
      <c r="D204" s="184"/>
      <c r="E204" s="184"/>
      <c r="F204" s="184"/>
      <c r="G204" s="184"/>
      <c r="H204" s="184"/>
      <c r="I204" s="184"/>
      <c r="J204" s="184"/>
      <c r="K204" s="184"/>
      <c r="L204" s="184"/>
      <c r="M204" s="184"/>
      <c r="N204" s="184"/>
      <c r="O204" s="184"/>
      <c r="P204" s="184"/>
      <c r="Q204" s="184"/>
      <c r="R204" s="184"/>
      <c r="S204" s="184"/>
      <c r="T204" s="145"/>
      <c r="U204" s="151"/>
      <c r="V204" s="145"/>
      <c r="W204" s="145"/>
      <c r="X204" s="145"/>
      <c r="Y204" s="145"/>
      <c r="Z204" s="145"/>
      <c r="AA204" s="145"/>
      <c r="AB204" s="145"/>
      <c r="AC204" s="145"/>
      <c r="AD204" s="145"/>
      <c r="AE204" s="145"/>
      <c r="AF204" s="145"/>
      <c r="AG204" s="144"/>
      <c r="AH204" s="144"/>
      <c r="AI204" s="144"/>
      <c r="AJ204" s="144"/>
      <c r="AK204" s="144"/>
    </row>
    <row r="205" ht="22.5" customHeight="1">
      <c r="A205" s="183"/>
      <c r="B205" s="183"/>
      <c r="C205" s="183"/>
      <c r="D205" s="183"/>
      <c r="E205" s="183"/>
      <c r="F205" s="183"/>
      <c r="G205" s="183"/>
      <c r="H205" s="183"/>
      <c r="I205" s="183"/>
      <c r="J205" s="183"/>
      <c r="K205" s="183"/>
      <c r="L205" s="183"/>
      <c r="M205" s="183"/>
      <c r="N205" s="183"/>
      <c r="O205" s="183"/>
      <c r="P205" s="183"/>
      <c r="Q205" s="183"/>
      <c r="R205" s="183"/>
      <c r="S205" s="183"/>
      <c r="T205" s="152"/>
      <c r="U205" s="155"/>
      <c r="V205" s="152"/>
      <c r="W205" s="152"/>
      <c r="X205" s="152"/>
      <c r="Y205" s="152"/>
      <c r="Z205" s="152"/>
      <c r="AA205" s="152"/>
      <c r="AB205" s="152"/>
      <c r="AC205" s="152"/>
      <c r="AD205" s="152"/>
      <c r="AE205" s="152"/>
      <c r="AF205" s="152"/>
      <c r="AG205" s="144"/>
      <c r="AH205" s="144"/>
      <c r="AI205" s="144"/>
      <c r="AJ205" s="144"/>
      <c r="AK205" s="144"/>
    </row>
    <row r="206" ht="22.5" customHeight="1">
      <c r="A206" s="184"/>
      <c r="B206" s="184"/>
      <c r="C206" s="184"/>
      <c r="D206" s="184"/>
      <c r="E206" s="184"/>
      <c r="F206" s="184"/>
      <c r="G206" s="184"/>
      <c r="H206" s="184"/>
      <c r="I206" s="184"/>
      <c r="J206" s="184"/>
      <c r="K206" s="184"/>
      <c r="L206" s="184"/>
      <c r="M206" s="184"/>
      <c r="N206" s="184"/>
      <c r="O206" s="184"/>
      <c r="P206" s="184"/>
      <c r="Q206" s="184"/>
      <c r="R206" s="184"/>
      <c r="S206" s="184"/>
      <c r="T206" s="145"/>
      <c r="U206" s="151"/>
      <c r="V206" s="145"/>
      <c r="W206" s="145"/>
      <c r="X206" s="145"/>
      <c r="Y206" s="145"/>
      <c r="Z206" s="145"/>
      <c r="AA206" s="145"/>
      <c r="AB206" s="145"/>
      <c r="AC206" s="145"/>
      <c r="AD206" s="145"/>
      <c r="AE206" s="145"/>
      <c r="AF206" s="145"/>
      <c r="AG206" s="144"/>
      <c r="AH206" s="144"/>
      <c r="AI206" s="144"/>
      <c r="AJ206" s="144"/>
      <c r="AK206" s="144"/>
    </row>
    <row r="207" ht="22.5" customHeight="1">
      <c r="A207" s="183"/>
      <c r="B207" s="183"/>
      <c r="C207" s="183"/>
      <c r="D207" s="183"/>
      <c r="E207" s="183"/>
      <c r="F207" s="183"/>
      <c r="G207" s="183"/>
      <c r="H207" s="183"/>
      <c r="I207" s="183"/>
      <c r="J207" s="183"/>
      <c r="K207" s="183"/>
      <c r="L207" s="183"/>
      <c r="M207" s="183"/>
      <c r="N207" s="183"/>
      <c r="O207" s="183"/>
      <c r="P207" s="183"/>
      <c r="Q207" s="183"/>
      <c r="R207" s="183"/>
      <c r="S207" s="183"/>
      <c r="T207" s="152"/>
      <c r="U207" s="155"/>
      <c r="V207" s="152"/>
      <c r="W207" s="152"/>
      <c r="X207" s="152"/>
      <c r="Y207" s="152"/>
      <c r="Z207" s="152"/>
      <c r="AA207" s="152"/>
      <c r="AB207" s="152"/>
      <c r="AC207" s="152"/>
      <c r="AD207" s="152"/>
      <c r="AE207" s="152"/>
      <c r="AF207" s="152"/>
      <c r="AG207" s="144"/>
      <c r="AH207" s="144"/>
      <c r="AI207" s="144"/>
      <c r="AJ207" s="144"/>
      <c r="AK207" s="144"/>
    </row>
    <row r="208" ht="22.5" customHeight="1">
      <c r="A208" s="184"/>
      <c r="B208" s="184"/>
      <c r="C208" s="184"/>
      <c r="D208" s="184"/>
      <c r="E208" s="184"/>
      <c r="F208" s="184"/>
      <c r="G208" s="184"/>
      <c r="H208" s="184"/>
      <c r="I208" s="184"/>
      <c r="J208" s="184"/>
      <c r="K208" s="184"/>
      <c r="L208" s="184"/>
      <c r="M208" s="184"/>
      <c r="N208" s="184"/>
      <c r="O208" s="184"/>
      <c r="P208" s="184"/>
      <c r="Q208" s="184"/>
      <c r="R208" s="184"/>
      <c r="S208" s="184"/>
      <c r="T208" s="145"/>
      <c r="U208" s="151"/>
      <c r="V208" s="145"/>
      <c r="W208" s="145"/>
      <c r="X208" s="145"/>
      <c r="Y208" s="145"/>
      <c r="Z208" s="145"/>
      <c r="AA208" s="145"/>
      <c r="AB208" s="145"/>
      <c r="AC208" s="145"/>
      <c r="AD208" s="145"/>
      <c r="AE208" s="145"/>
      <c r="AF208" s="145"/>
      <c r="AG208" s="144"/>
      <c r="AH208" s="144"/>
      <c r="AI208" s="144"/>
      <c r="AJ208" s="144"/>
      <c r="AK208" s="144"/>
    </row>
    <row r="209" ht="22.5" customHeight="1">
      <c r="A209" s="183"/>
      <c r="B209" s="183"/>
      <c r="C209" s="183"/>
      <c r="D209" s="183"/>
      <c r="E209" s="183"/>
      <c r="F209" s="183"/>
      <c r="G209" s="183"/>
      <c r="H209" s="183"/>
      <c r="I209" s="183"/>
      <c r="J209" s="183"/>
      <c r="K209" s="183"/>
      <c r="L209" s="183"/>
      <c r="M209" s="183"/>
      <c r="N209" s="183"/>
      <c r="O209" s="183"/>
      <c r="P209" s="183"/>
      <c r="Q209" s="183"/>
      <c r="R209" s="183"/>
      <c r="S209" s="183"/>
      <c r="T209" s="152"/>
      <c r="U209" s="155"/>
      <c r="V209" s="152"/>
      <c r="W209" s="152"/>
      <c r="X209" s="152"/>
      <c r="Y209" s="152"/>
      <c r="Z209" s="152"/>
      <c r="AA209" s="152"/>
      <c r="AB209" s="152"/>
      <c r="AC209" s="152"/>
      <c r="AD209" s="152"/>
      <c r="AE209" s="152"/>
      <c r="AF209" s="152"/>
      <c r="AG209" s="144"/>
      <c r="AH209" s="144"/>
      <c r="AI209" s="144"/>
      <c r="AJ209" s="144"/>
      <c r="AK209" s="144"/>
    </row>
    <row r="210" ht="22.5" customHeight="1">
      <c r="A210" s="184"/>
      <c r="B210" s="184"/>
      <c r="C210" s="184"/>
      <c r="D210" s="184"/>
      <c r="E210" s="184"/>
      <c r="F210" s="184"/>
      <c r="G210" s="184"/>
      <c r="H210" s="184"/>
      <c r="I210" s="184"/>
      <c r="J210" s="184"/>
      <c r="K210" s="184"/>
      <c r="L210" s="184"/>
      <c r="M210" s="184"/>
      <c r="N210" s="184"/>
      <c r="O210" s="184"/>
      <c r="P210" s="184"/>
      <c r="Q210" s="184"/>
      <c r="R210" s="184"/>
      <c r="S210" s="184"/>
      <c r="T210" s="145"/>
      <c r="U210" s="151"/>
      <c r="V210" s="145"/>
      <c r="W210" s="145"/>
      <c r="X210" s="145"/>
      <c r="Y210" s="145"/>
      <c r="Z210" s="145"/>
      <c r="AA210" s="145"/>
      <c r="AB210" s="145"/>
      <c r="AC210" s="145"/>
      <c r="AD210" s="145"/>
      <c r="AE210" s="145"/>
      <c r="AF210" s="145"/>
      <c r="AG210" s="144"/>
      <c r="AH210" s="144"/>
      <c r="AI210" s="144"/>
      <c r="AJ210" s="144"/>
      <c r="AK210" s="144"/>
    </row>
    <row r="211" ht="22.5" customHeight="1">
      <c r="A211" s="183"/>
      <c r="B211" s="183"/>
      <c r="C211" s="183"/>
      <c r="D211" s="183"/>
      <c r="E211" s="183"/>
      <c r="F211" s="183"/>
      <c r="G211" s="183"/>
      <c r="H211" s="183"/>
      <c r="I211" s="183"/>
      <c r="J211" s="183"/>
      <c r="K211" s="183"/>
      <c r="L211" s="183"/>
      <c r="M211" s="183"/>
      <c r="N211" s="183"/>
      <c r="O211" s="183"/>
      <c r="P211" s="183"/>
      <c r="Q211" s="183"/>
      <c r="R211" s="183"/>
      <c r="S211" s="183"/>
      <c r="T211" s="152"/>
      <c r="U211" s="155"/>
      <c r="V211" s="152"/>
      <c r="W211" s="152"/>
      <c r="X211" s="152"/>
      <c r="Y211" s="152"/>
      <c r="Z211" s="152"/>
      <c r="AA211" s="152"/>
      <c r="AB211" s="152"/>
      <c r="AC211" s="152"/>
      <c r="AD211" s="152"/>
      <c r="AE211" s="152"/>
      <c r="AF211" s="152"/>
      <c r="AG211" s="144"/>
      <c r="AH211" s="144"/>
      <c r="AI211" s="144"/>
      <c r="AJ211" s="144"/>
      <c r="AK211" s="144"/>
    </row>
    <row r="212" ht="22.5" customHeight="1">
      <c r="A212" s="184"/>
      <c r="B212" s="184"/>
      <c r="C212" s="184"/>
      <c r="D212" s="184"/>
      <c r="E212" s="184"/>
      <c r="F212" s="184"/>
      <c r="G212" s="184"/>
      <c r="H212" s="184"/>
      <c r="I212" s="184"/>
      <c r="J212" s="184"/>
      <c r="K212" s="184"/>
      <c r="L212" s="184"/>
      <c r="M212" s="184"/>
      <c r="N212" s="184"/>
      <c r="O212" s="184"/>
      <c r="P212" s="184"/>
      <c r="Q212" s="184"/>
      <c r="R212" s="184"/>
      <c r="S212" s="184"/>
      <c r="T212" s="145"/>
      <c r="U212" s="151"/>
      <c r="V212" s="145"/>
      <c r="W212" s="145"/>
      <c r="X212" s="145"/>
      <c r="Y212" s="145"/>
      <c r="Z212" s="145"/>
      <c r="AA212" s="145"/>
      <c r="AB212" s="145"/>
      <c r="AC212" s="145"/>
      <c r="AD212" s="145"/>
      <c r="AE212" s="145"/>
      <c r="AF212" s="145"/>
      <c r="AG212" s="144"/>
      <c r="AH212" s="144"/>
      <c r="AI212" s="144"/>
      <c r="AJ212" s="144"/>
      <c r="AK212" s="144"/>
    </row>
    <row r="213" ht="22.5" customHeight="1">
      <c r="A213" s="183"/>
      <c r="B213" s="183"/>
      <c r="C213" s="183"/>
      <c r="D213" s="183"/>
      <c r="E213" s="183"/>
      <c r="F213" s="183"/>
      <c r="G213" s="183"/>
      <c r="H213" s="183"/>
      <c r="I213" s="183"/>
      <c r="J213" s="183"/>
      <c r="K213" s="183"/>
      <c r="L213" s="183"/>
      <c r="M213" s="183"/>
      <c r="N213" s="183"/>
      <c r="O213" s="183"/>
      <c r="P213" s="183"/>
      <c r="Q213" s="183"/>
      <c r="R213" s="183"/>
      <c r="S213" s="183"/>
      <c r="T213" s="152"/>
      <c r="U213" s="155"/>
      <c r="V213" s="152"/>
      <c r="W213" s="152"/>
      <c r="X213" s="152"/>
      <c r="Y213" s="152"/>
      <c r="Z213" s="152"/>
      <c r="AA213" s="152"/>
      <c r="AB213" s="152"/>
      <c r="AC213" s="152"/>
      <c r="AD213" s="152"/>
      <c r="AE213" s="152"/>
      <c r="AF213" s="152"/>
      <c r="AG213" s="144"/>
      <c r="AH213" s="144"/>
      <c r="AI213" s="144"/>
      <c r="AJ213" s="144"/>
      <c r="AK213" s="144"/>
    </row>
    <row r="214" ht="22.5" customHeight="1">
      <c r="A214" s="184"/>
      <c r="B214" s="184"/>
      <c r="C214" s="184"/>
      <c r="D214" s="184"/>
      <c r="E214" s="184"/>
      <c r="F214" s="184"/>
      <c r="G214" s="184"/>
      <c r="H214" s="184"/>
      <c r="I214" s="184"/>
      <c r="J214" s="184"/>
      <c r="K214" s="184"/>
      <c r="L214" s="184"/>
      <c r="M214" s="184"/>
      <c r="N214" s="184"/>
      <c r="O214" s="184"/>
      <c r="P214" s="184"/>
      <c r="Q214" s="184"/>
      <c r="R214" s="184"/>
      <c r="S214" s="184"/>
      <c r="T214" s="145"/>
      <c r="U214" s="151"/>
      <c r="V214" s="145"/>
      <c r="W214" s="145"/>
      <c r="X214" s="145"/>
      <c r="Y214" s="145"/>
      <c r="Z214" s="145"/>
      <c r="AA214" s="145"/>
      <c r="AB214" s="145"/>
      <c r="AC214" s="145"/>
      <c r="AD214" s="145"/>
      <c r="AE214" s="145"/>
      <c r="AF214" s="145"/>
      <c r="AG214" s="144"/>
      <c r="AH214" s="144"/>
      <c r="AI214" s="144"/>
      <c r="AJ214" s="144"/>
      <c r="AK214" s="144"/>
    </row>
    <row r="215" ht="22.5" customHeight="1">
      <c r="A215" s="183"/>
      <c r="B215" s="183"/>
      <c r="C215" s="183"/>
      <c r="D215" s="183"/>
      <c r="E215" s="183"/>
      <c r="F215" s="183"/>
      <c r="G215" s="183"/>
      <c r="H215" s="183"/>
      <c r="I215" s="183"/>
      <c r="J215" s="183"/>
      <c r="K215" s="183"/>
      <c r="L215" s="183"/>
      <c r="M215" s="183"/>
      <c r="N215" s="183"/>
      <c r="O215" s="183"/>
      <c r="P215" s="183"/>
      <c r="Q215" s="183"/>
      <c r="R215" s="183"/>
      <c r="S215" s="183"/>
      <c r="T215" s="152"/>
      <c r="U215" s="155"/>
      <c r="V215" s="152"/>
      <c r="W215" s="152"/>
      <c r="X215" s="152"/>
      <c r="Y215" s="152"/>
      <c r="Z215" s="152"/>
      <c r="AA215" s="152"/>
      <c r="AB215" s="152"/>
      <c r="AC215" s="152"/>
      <c r="AD215" s="152"/>
      <c r="AE215" s="152"/>
      <c r="AF215" s="152"/>
      <c r="AG215" s="144"/>
      <c r="AH215" s="144"/>
      <c r="AI215" s="144"/>
      <c r="AJ215" s="144"/>
      <c r="AK215" s="144"/>
    </row>
    <row r="216" ht="22.5" customHeight="1">
      <c r="A216" s="184"/>
      <c r="B216" s="184"/>
      <c r="C216" s="184"/>
      <c r="D216" s="184"/>
      <c r="E216" s="184"/>
      <c r="F216" s="184"/>
      <c r="G216" s="184"/>
      <c r="H216" s="184"/>
      <c r="I216" s="184"/>
      <c r="J216" s="184"/>
      <c r="K216" s="184"/>
      <c r="L216" s="184"/>
      <c r="M216" s="184"/>
      <c r="N216" s="184"/>
      <c r="O216" s="184"/>
      <c r="P216" s="184"/>
      <c r="Q216" s="184"/>
      <c r="R216" s="184"/>
      <c r="S216" s="184"/>
      <c r="T216" s="145"/>
      <c r="U216" s="151"/>
      <c r="V216" s="145"/>
      <c r="W216" s="145"/>
      <c r="X216" s="145"/>
      <c r="Y216" s="145"/>
      <c r="Z216" s="145"/>
      <c r="AA216" s="145"/>
      <c r="AB216" s="145"/>
      <c r="AC216" s="145"/>
      <c r="AD216" s="145"/>
      <c r="AE216" s="145"/>
      <c r="AF216" s="145"/>
      <c r="AG216" s="144"/>
      <c r="AH216" s="144"/>
      <c r="AI216" s="144"/>
      <c r="AJ216" s="144"/>
      <c r="AK216" s="144"/>
    </row>
    <row r="217" ht="22.5" customHeight="1">
      <c r="A217" s="183"/>
      <c r="B217" s="183"/>
      <c r="C217" s="183"/>
      <c r="D217" s="183"/>
      <c r="E217" s="183"/>
      <c r="F217" s="183"/>
      <c r="G217" s="183"/>
      <c r="H217" s="183"/>
      <c r="I217" s="183"/>
      <c r="J217" s="183"/>
      <c r="K217" s="183"/>
      <c r="L217" s="183"/>
      <c r="M217" s="183"/>
      <c r="N217" s="183"/>
      <c r="O217" s="183"/>
      <c r="P217" s="183"/>
      <c r="Q217" s="183"/>
      <c r="R217" s="183"/>
      <c r="S217" s="183"/>
      <c r="T217" s="152"/>
      <c r="U217" s="155"/>
      <c r="V217" s="152"/>
      <c r="W217" s="152"/>
      <c r="X217" s="152"/>
      <c r="Y217" s="152"/>
      <c r="Z217" s="152"/>
      <c r="AA217" s="152"/>
      <c r="AB217" s="152"/>
      <c r="AC217" s="152"/>
      <c r="AD217" s="152"/>
      <c r="AE217" s="152"/>
      <c r="AF217" s="152"/>
      <c r="AG217" s="144"/>
      <c r="AH217" s="144"/>
      <c r="AI217" s="144"/>
      <c r="AJ217" s="144"/>
      <c r="AK217" s="144"/>
    </row>
    <row r="218" ht="22.5" customHeight="1">
      <c r="A218" s="184"/>
      <c r="B218" s="184"/>
      <c r="C218" s="184"/>
      <c r="D218" s="184"/>
      <c r="E218" s="184"/>
      <c r="F218" s="184"/>
      <c r="G218" s="184"/>
      <c r="H218" s="184"/>
      <c r="I218" s="184"/>
      <c r="J218" s="184"/>
      <c r="K218" s="184"/>
      <c r="L218" s="184"/>
      <c r="M218" s="184"/>
      <c r="N218" s="184"/>
      <c r="O218" s="184"/>
      <c r="P218" s="184"/>
      <c r="Q218" s="184"/>
      <c r="R218" s="184"/>
      <c r="S218" s="184"/>
      <c r="T218" s="145"/>
      <c r="U218" s="151"/>
      <c r="V218" s="145"/>
      <c r="W218" s="145"/>
      <c r="X218" s="145"/>
      <c r="Y218" s="145"/>
      <c r="Z218" s="145"/>
      <c r="AA218" s="145"/>
      <c r="AB218" s="145"/>
      <c r="AC218" s="145"/>
      <c r="AD218" s="145"/>
      <c r="AE218" s="145"/>
      <c r="AF218" s="145"/>
      <c r="AG218" s="144"/>
      <c r="AH218" s="144"/>
      <c r="AI218" s="144"/>
      <c r="AJ218" s="144"/>
      <c r="AK218" s="144"/>
    </row>
    <row r="219" ht="22.5" customHeight="1">
      <c r="A219" s="183"/>
      <c r="B219" s="183"/>
      <c r="C219" s="183"/>
      <c r="D219" s="183"/>
      <c r="E219" s="183"/>
      <c r="F219" s="183"/>
      <c r="G219" s="183"/>
      <c r="H219" s="183"/>
      <c r="I219" s="183"/>
      <c r="J219" s="183"/>
      <c r="K219" s="183"/>
      <c r="L219" s="183"/>
      <c r="M219" s="183"/>
      <c r="N219" s="183"/>
      <c r="O219" s="183"/>
      <c r="P219" s="183"/>
      <c r="Q219" s="183"/>
      <c r="R219" s="183"/>
      <c r="S219" s="183"/>
      <c r="T219" s="152"/>
      <c r="U219" s="155"/>
      <c r="V219" s="152"/>
      <c r="W219" s="152"/>
      <c r="X219" s="152"/>
      <c r="Y219" s="152"/>
      <c r="Z219" s="152"/>
      <c r="AA219" s="152"/>
      <c r="AB219" s="152"/>
      <c r="AC219" s="152"/>
      <c r="AD219" s="152"/>
      <c r="AE219" s="152"/>
      <c r="AF219" s="152"/>
      <c r="AG219" s="144"/>
      <c r="AH219" s="144"/>
      <c r="AI219" s="144"/>
      <c r="AJ219" s="144"/>
      <c r="AK219" s="144"/>
    </row>
    <row r="220" ht="22.5" customHeight="1">
      <c r="A220" s="184"/>
      <c r="B220" s="184"/>
      <c r="C220" s="184"/>
      <c r="D220" s="184"/>
      <c r="E220" s="184"/>
      <c r="F220" s="184"/>
      <c r="G220" s="184"/>
      <c r="H220" s="184"/>
      <c r="I220" s="184"/>
      <c r="J220" s="184"/>
      <c r="K220" s="184"/>
      <c r="L220" s="184"/>
      <c r="M220" s="184"/>
      <c r="N220" s="184"/>
      <c r="O220" s="184"/>
      <c r="P220" s="184"/>
      <c r="Q220" s="184"/>
      <c r="R220" s="184"/>
      <c r="S220" s="184"/>
      <c r="T220" s="145"/>
      <c r="U220" s="151"/>
      <c r="V220" s="145"/>
      <c r="W220" s="145"/>
      <c r="X220" s="145"/>
      <c r="Y220" s="145"/>
      <c r="Z220" s="145"/>
      <c r="AA220" s="145"/>
      <c r="AB220" s="145"/>
      <c r="AC220" s="145"/>
      <c r="AD220" s="145"/>
      <c r="AE220" s="145"/>
      <c r="AF220" s="145"/>
      <c r="AG220" s="144"/>
      <c r="AH220" s="144"/>
      <c r="AI220" s="144"/>
      <c r="AJ220" s="144"/>
      <c r="AK220" s="144"/>
    </row>
    <row r="221" ht="22.5" customHeight="1">
      <c r="A221" s="183"/>
      <c r="B221" s="183"/>
      <c r="C221" s="183"/>
      <c r="D221" s="183"/>
      <c r="E221" s="183"/>
      <c r="F221" s="183"/>
      <c r="G221" s="183"/>
      <c r="H221" s="183"/>
      <c r="I221" s="183"/>
      <c r="J221" s="183"/>
      <c r="K221" s="183"/>
      <c r="L221" s="183"/>
      <c r="M221" s="183"/>
      <c r="N221" s="183"/>
      <c r="O221" s="183"/>
      <c r="P221" s="183"/>
      <c r="Q221" s="183"/>
      <c r="R221" s="183"/>
      <c r="S221" s="183"/>
      <c r="T221" s="152"/>
      <c r="U221" s="155"/>
      <c r="V221" s="152"/>
      <c r="W221" s="152"/>
      <c r="X221" s="152"/>
      <c r="Y221" s="152"/>
      <c r="Z221" s="152"/>
      <c r="AA221" s="152"/>
      <c r="AB221" s="152"/>
      <c r="AC221" s="152"/>
      <c r="AD221" s="152"/>
      <c r="AE221" s="152"/>
      <c r="AF221" s="152"/>
      <c r="AG221" s="144"/>
      <c r="AH221" s="144"/>
      <c r="AI221" s="144"/>
      <c r="AJ221" s="144"/>
      <c r="AK221" s="144"/>
    </row>
    <row r="222" ht="22.5" customHeight="1">
      <c r="A222" s="184"/>
      <c r="B222" s="184"/>
      <c r="C222" s="184"/>
      <c r="D222" s="184"/>
      <c r="E222" s="184"/>
      <c r="F222" s="184"/>
      <c r="G222" s="184"/>
      <c r="H222" s="184"/>
      <c r="I222" s="184"/>
      <c r="J222" s="184"/>
      <c r="K222" s="184"/>
      <c r="L222" s="184"/>
      <c r="M222" s="184"/>
      <c r="N222" s="184"/>
      <c r="O222" s="184"/>
      <c r="P222" s="184"/>
      <c r="Q222" s="184"/>
      <c r="R222" s="184"/>
      <c r="S222" s="184"/>
      <c r="T222" s="145"/>
      <c r="U222" s="151"/>
      <c r="V222" s="145"/>
      <c r="W222" s="145"/>
      <c r="X222" s="145"/>
      <c r="Y222" s="145"/>
      <c r="Z222" s="145"/>
      <c r="AA222" s="145"/>
      <c r="AB222" s="145"/>
      <c r="AC222" s="145"/>
      <c r="AD222" s="145"/>
      <c r="AE222" s="145"/>
      <c r="AF222" s="145"/>
      <c r="AG222" s="144"/>
      <c r="AH222" s="144"/>
      <c r="AI222" s="144"/>
      <c r="AJ222" s="144"/>
      <c r="AK222" s="144"/>
    </row>
    <row r="223" ht="22.5" customHeight="1">
      <c r="A223" s="183"/>
      <c r="B223" s="183"/>
      <c r="C223" s="183"/>
      <c r="D223" s="183"/>
      <c r="E223" s="183"/>
      <c r="F223" s="183"/>
      <c r="G223" s="183"/>
      <c r="H223" s="183"/>
      <c r="I223" s="183"/>
      <c r="J223" s="183"/>
      <c r="K223" s="183"/>
      <c r="L223" s="183"/>
      <c r="M223" s="183"/>
      <c r="N223" s="183"/>
      <c r="O223" s="183"/>
      <c r="P223" s="183"/>
      <c r="Q223" s="183"/>
      <c r="R223" s="183"/>
      <c r="S223" s="183"/>
      <c r="T223" s="152"/>
      <c r="U223" s="155"/>
      <c r="V223" s="152"/>
      <c r="W223" s="152"/>
      <c r="X223" s="152"/>
      <c r="Y223" s="152"/>
      <c r="Z223" s="152"/>
      <c r="AA223" s="152"/>
      <c r="AB223" s="152"/>
      <c r="AC223" s="152"/>
      <c r="AD223" s="152"/>
      <c r="AE223" s="152"/>
      <c r="AF223" s="152"/>
      <c r="AG223" s="144"/>
      <c r="AH223" s="144"/>
      <c r="AI223" s="144"/>
      <c r="AJ223" s="144"/>
      <c r="AK223" s="144"/>
    </row>
    <row r="224" ht="22.5" customHeight="1">
      <c r="A224" s="184"/>
      <c r="B224" s="184"/>
      <c r="C224" s="184"/>
      <c r="D224" s="184"/>
      <c r="E224" s="184"/>
      <c r="F224" s="184"/>
      <c r="G224" s="184"/>
      <c r="H224" s="184"/>
      <c r="I224" s="184"/>
      <c r="J224" s="184"/>
      <c r="K224" s="184"/>
      <c r="L224" s="184"/>
      <c r="M224" s="184"/>
      <c r="N224" s="184"/>
      <c r="O224" s="184"/>
      <c r="P224" s="184"/>
      <c r="Q224" s="184"/>
      <c r="R224" s="184"/>
      <c r="S224" s="184"/>
      <c r="T224" s="145"/>
      <c r="U224" s="151"/>
      <c r="V224" s="145"/>
      <c r="W224" s="145"/>
      <c r="X224" s="145"/>
      <c r="Y224" s="145"/>
      <c r="Z224" s="145"/>
      <c r="AA224" s="145"/>
      <c r="AB224" s="145"/>
      <c r="AC224" s="145"/>
      <c r="AD224" s="145"/>
      <c r="AE224" s="145"/>
      <c r="AF224" s="145"/>
      <c r="AG224" s="144"/>
      <c r="AH224" s="144"/>
      <c r="AI224" s="144"/>
      <c r="AJ224" s="144"/>
      <c r="AK224" s="144"/>
    </row>
    <row r="225" ht="22.5" customHeight="1">
      <c r="A225" s="183"/>
      <c r="B225" s="183"/>
      <c r="C225" s="183"/>
      <c r="D225" s="183"/>
      <c r="E225" s="183"/>
      <c r="F225" s="183"/>
      <c r="G225" s="183"/>
      <c r="H225" s="183"/>
      <c r="I225" s="183"/>
      <c r="J225" s="183"/>
      <c r="K225" s="183"/>
      <c r="L225" s="183"/>
      <c r="M225" s="183"/>
      <c r="N225" s="183"/>
      <c r="O225" s="183"/>
      <c r="P225" s="183"/>
      <c r="Q225" s="183"/>
      <c r="R225" s="183"/>
      <c r="S225" s="183"/>
      <c r="T225" s="152"/>
      <c r="U225" s="155"/>
      <c r="V225" s="152"/>
      <c r="W225" s="152"/>
      <c r="X225" s="152"/>
      <c r="Y225" s="152"/>
      <c r="Z225" s="152"/>
      <c r="AA225" s="152"/>
      <c r="AB225" s="152"/>
      <c r="AC225" s="152"/>
      <c r="AD225" s="152"/>
      <c r="AE225" s="152"/>
      <c r="AF225" s="152"/>
      <c r="AG225" s="144"/>
      <c r="AH225" s="144"/>
      <c r="AI225" s="144"/>
      <c r="AJ225" s="144"/>
      <c r="AK225" s="144"/>
    </row>
    <row r="226" ht="22.5" customHeight="1">
      <c r="A226" s="184"/>
      <c r="B226" s="184"/>
      <c r="C226" s="184"/>
      <c r="D226" s="184"/>
      <c r="E226" s="184"/>
      <c r="F226" s="184"/>
      <c r="G226" s="184"/>
      <c r="H226" s="184"/>
      <c r="I226" s="184"/>
      <c r="J226" s="184"/>
      <c r="K226" s="184"/>
      <c r="L226" s="184"/>
      <c r="M226" s="184"/>
      <c r="N226" s="184"/>
      <c r="O226" s="184"/>
      <c r="P226" s="184"/>
      <c r="Q226" s="184"/>
      <c r="R226" s="184"/>
      <c r="S226" s="184"/>
      <c r="T226" s="145"/>
      <c r="U226" s="151"/>
      <c r="V226" s="145"/>
      <c r="W226" s="145"/>
      <c r="X226" s="145"/>
      <c r="Y226" s="145"/>
      <c r="Z226" s="145"/>
      <c r="AA226" s="145"/>
      <c r="AB226" s="145"/>
      <c r="AC226" s="145"/>
      <c r="AD226" s="145"/>
      <c r="AE226" s="145"/>
      <c r="AF226" s="145"/>
      <c r="AG226" s="144"/>
      <c r="AH226" s="144"/>
      <c r="AI226" s="144"/>
      <c r="AJ226" s="144"/>
      <c r="AK226" s="144"/>
    </row>
    <row r="227" ht="22.5" customHeight="1">
      <c r="A227" s="183"/>
      <c r="B227" s="183"/>
      <c r="C227" s="183"/>
      <c r="D227" s="183"/>
      <c r="E227" s="183"/>
      <c r="F227" s="183"/>
      <c r="G227" s="183"/>
      <c r="H227" s="183"/>
      <c r="I227" s="183"/>
      <c r="J227" s="183"/>
      <c r="K227" s="183"/>
      <c r="L227" s="183"/>
      <c r="M227" s="183"/>
      <c r="N227" s="183"/>
      <c r="O227" s="183"/>
      <c r="P227" s="183"/>
      <c r="Q227" s="183"/>
      <c r="R227" s="183"/>
      <c r="S227" s="183"/>
      <c r="T227" s="152"/>
      <c r="U227" s="155"/>
      <c r="V227" s="152"/>
      <c r="W227" s="152"/>
      <c r="X227" s="152"/>
      <c r="Y227" s="152"/>
      <c r="Z227" s="152"/>
      <c r="AA227" s="152"/>
      <c r="AB227" s="152"/>
      <c r="AC227" s="152"/>
      <c r="AD227" s="152"/>
      <c r="AE227" s="152"/>
      <c r="AF227" s="152"/>
      <c r="AG227" s="144"/>
      <c r="AH227" s="144"/>
      <c r="AI227" s="144"/>
      <c r="AJ227" s="144"/>
      <c r="AK227" s="144"/>
    </row>
    <row r="228" ht="22.5" customHeight="1">
      <c r="A228" s="184"/>
      <c r="B228" s="184"/>
      <c r="C228" s="184"/>
      <c r="D228" s="184"/>
      <c r="E228" s="184"/>
      <c r="F228" s="184"/>
      <c r="G228" s="184"/>
      <c r="H228" s="184"/>
      <c r="I228" s="184"/>
      <c r="J228" s="184"/>
      <c r="K228" s="184"/>
      <c r="L228" s="184"/>
      <c r="M228" s="184"/>
      <c r="N228" s="184"/>
      <c r="O228" s="184"/>
      <c r="P228" s="184"/>
      <c r="Q228" s="184"/>
      <c r="R228" s="184"/>
      <c r="S228" s="184"/>
      <c r="T228" s="145"/>
      <c r="U228" s="151"/>
      <c r="V228" s="145"/>
      <c r="W228" s="145"/>
      <c r="X228" s="145"/>
      <c r="Y228" s="145"/>
      <c r="Z228" s="145"/>
      <c r="AA228" s="145"/>
      <c r="AB228" s="145"/>
      <c r="AC228" s="145"/>
      <c r="AD228" s="145"/>
      <c r="AE228" s="145"/>
      <c r="AF228" s="145"/>
      <c r="AG228" s="144"/>
      <c r="AH228" s="144"/>
      <c r="AI228" s="144"/>
      <c r="AJ228" s="144"/>
      <c r="AK228" s="144"/>
    </row>
    <row r="229" ht="22.5" customHeight="1">
      <c r="A229" s="183"/>
      <c r="B229" s="183"/>
      <c r="C229" s="183"/>
      <c r="D229" s="183"/>
      <c r="E229" s="183"/>
      <c r="F229" s="183"/>
      <c r="G229" s="183"/>
      <c r="H229" s="183"/>
      <c r="I229" s="183"/>
      <c r="J229" s="183"/>
      <c r="K229" s="183"/>
      <c r="L229" s="183"/>
      <c r="M229" s="183"/>
      <c r="N229" s="183"/>
      <c r="O229" s="183"/>
      <c r="P229" s="183"/>
      <c r="Q229" s="183"/>
      <c r="R229" s="183"/>
      <c r="S229" s="183"/>
      <c r="T229" s="152"/>
      <c r="U229" s="155"/>
      <c r="V229" s="152"/>
      <c r="W229" s="152"/>
      <c r="X229" s="152"/>
      <c r="Y229" s="152"/>
      <c r="Z229" s="152"/>
      <c r="AA229" s="152"/>
      <c r="AB229" s="152"/>
      <c r="AC229" s="152"/>
      <c r="AD229" s="152"/>
      <c r="AE229" s="152"/>
      <c r="AF229" s="152"/>
      <c r="AG229" s="144"/>
      <c r="AH229" s="144"/>
      <c r="AI229" s="144"/>
      <c r="AJ229" s="144"/>
      <c r="AK229" s="144"/>
    </row>
    <row r="230" ht="22.5" customHeight="1">
      <c r="A230" s="184"/>
      <c r="B230" s="184"/>
      <c r="C230" s="184"/>
      <c r="D230" s="184"/>
      <c r="E230" s="184"/>
      <c r="F230" s="184"/>
      <c r="G230" s="184"/>
      <c r="H230" s="184"/>
      <c r="I230" s="184"/>
      <c r="J230" s="184"/>
      <c r="K230" s="184"/>
      <c r="L230" s="184"/>
      <c r="M230" s="184"/>
      <c r="N230" s="184"/>
      <c r="O230" s="184"/>
      <c r="P230" s="184"/>
      <c r="Q230" s="184"/>
      <c r="R230" s="184"/>
      <c r="S230" s="184"/>
      <c r="T230" s="145"/>
      <c r="U230" s="151"/>
      <c r="V230" s="145"/>
      <c r="W230" s="145"/>
      <c r="X230" s="145"/>
      <c r="Y230" s="145"/>
      <c r="Z230" s="145"/>
      <c r="AA230" s="145"/>
      <c r="AB230" s="145"/>
      <c r="AC230" s="145"/>
      <c r="AD230" s="145"/>
      <c r="AE230" s="145"/>
      <c r="AF230" s="145"/>
      <c r="AG230" s="144"/>
      <c r="AH230" s="144"/>
      <c r="AI230" s="144"/>
      <c r="AJ230" s="144"/>
      <c r="AK230" s="144"/>
    </row>
    <row r="231" ht="22.5" customHeight="1">
      <c r="A231" s="183"/>
      <c r="B231" s="183"/>
      <c r="C231" s="183"/>
      <c r="D231" s="183"/>
      <c r="E231" s="183"/>
      <c r="F231" s="183"/>
      <c r="G231" s="183"/>
      <c r="H231" s="183"/>
      <c r="I231" s="183"/>
      <c r="J231" s="183"/>
      <c r="K231" s="183"/>
      <c r="L231" s="183"/>
      <c r="M231" s="183"/>
      <c r="N231" s="183"/>
      <c r="O231" s="183"/>
      <c r="P231" s="183"/>
      <c r="Q231" s="183"/>
      <c r="R231" s="183"/>
      <c r="S231" s="183"/>
      <c r="T231" s="152"/>
      <c r="U231" s="155"/>
      <c r="V231" s="152"/>
      <c r="W231" s="152"/>
      <c r="X231" s="152"/>
      <c r="Y231" s="152"/>
      <c r="Z231" s="152"/>
      <c r="AA231" s="152"/>
      <c r="AB231" s="152"/>
      <c r="AC231" s="152"/>
      <c r="AD231" s="152"/>
      <c r="AE231" s="152"/>
      <c r="AF231" s="152"/>
      <c r="AG231" s="144"/>
      <c r="AH231" s="144"/>
      <c r="AI231" s="144"/>
      <c r="AJ231" s="144"/>
      <c r="AK231" s="144"/>
    </row>
    <row r="232" ht="22.5" customHeight="1">
      <c r="A232" s="184"/>
      <c r="B232" s="184"/>
      <c r="C232" s="184"/>
      <c r="D232" s="184"/>
      <c r="E232" s="184"/>
      <c r="F232" s="184"/>
      <c r="G232" s="184"/>
      <c r="H232" s="184"/>
      <c r="I232" s="184"/>
      <c r="J232" s="184"/>
      <c r="K232" s="184"/>
      <c r="L232" s="184"/>
      <c r="M232" s="184"/>
      <c r="N232" s="184"/>
      <c r="O232" s="184"/>
      <c r="P232" s="184"/>
      <c r="Q232" s="184"/>
      <c r="R232" s="184"/>
      <c r="S232" s="184"/>
      <c r="T232" s="145"/>
      <c r="U232" s="151"/>
      <c r="V232" s="145"/>
      <c r="W232" s="145"/>
      <c r="X232" s="145"/>
      <c r="Y232" s="145"/>
      <c r="Z232" s="145"/>
      <c r="AA232" s="145"/>
      <c r="AB232" s="145"/>
      <c r="AC232" s="145"/>
      <c r="AD232" s="145"/>
      <c r="AE232" s="145"/>
      <c r="AF232" s="145"/>
      <c r="AG232" s="144"/>
      <c r="AH232" s="144"/>
      <c r="AI232" s="144"/>
      <c r="AJ232" s="144"/>
      <c r="AK232" s="144"/>
    </row>
    <row r="233" ht="22.5" customHeight="1">
      <c r="A233" s="183"/>
      <c r="B233" s="183"/>
      <c r="C233" s="183"/>
      <c r="D233" s="183"/>
      <c r="E233" s="183"/>
      <c r="F233" s="183"/>
      <c r="G233" s="183"/>
      <c r="H233" s="183"/>
      <c r="I233" s="183"/>
      <c r="J233" s="183"/>
      <c r="K233" s="183"/>
      <c r="L233" s="183"/>
      <c r="M233" s="183"/>
      <c r="N233" s="183"/>
      <c r="O233" s="183"/>
      <c r="P233" s="183"/>
      <c r="Q233" s="183"/>
      <c r="R233" s="183"/>
      <c r="S233" s="183"/>
      <c r="T233" s="152"/>
      <c r="U233" s="155"/>
      <c r="V233" s="152"/>
      <c r="W233" s="152"/>
      <c r="X233" s="152"/>
      <c r="Y233" s="152"/>
      <c r="Z233" s="152"/>
      <c r="AA233" s="152"/>
      <c r="AB233" s="152"/>
      <c r="AC233" s="152"/>
      <c r="AD233" s="152"/>
      <c r="AE233" s="152"/>
      <c r="AF233" s="152"/>
      <c r="AG233" s="144"/>
      <c r="AH233" s="144"/>
      <c r="AI233" s="144"/>
      <c r="AJ233" s="144"/>
      <c r="AK233" s="144"/>
    </row>
    <row r="234" ht="22.5" customHeight="1">
      <c r="A234" s="184"/>
      <c r="B234" s="184"/>
      <c r="C234" s="184"/>
      <c r="D234" s="184"/>
      <c r="E234" s="184"/>
      <c r="F234" s="184"/>
      <c r="G234" s="184"/>
      <c r="H234" s="184"/>
      <c r="I234" s="184"/>
      <c r="J234" s="184"/>
      <c r="K234" s="184"/>
      <c r="L234" s="184"/>
      <c r="M234" s="184"/>
      <c r="N234" s="184"/>
      <c r="O234" s="184"/>
      <c r="P234" s="184"/>
      <c r="Q234" s="184"/>
      <c r="R234" s="184"/>
      <c r="S234" s="184"/>
      <c r="T234" s="145"/>
      <c r="U234" s="151"/>
      <c r="V234" s="145"/>
      <c r="W234" s="145"/>
      <c r="X234" s="145"/>
      <c r="Y234" s="145"/>
      <c r="Z234" s="145"/>
      <c r="AA234" s="145"/>
      <c r="AB234" s="145"/>
      <c r="AC234" s="145"/>
      <c r="AD234" s="145"/>
      <c r="AE234" s="145"/>
      <c r="AF234" s="145"/>
      <c r="AG234" s="144"/>
      <c r="AH234" s="144"/>
      <c r="AI234" s="144"/>
      <c r="AJ234" s="144"/>
      <c r="AK234" s="144"/>
    </row>
    <row r="235" ht="22.5" customHeight="1">
      <c r="A235" s="183"/>
      <c r="B235" s="183"/>
      <c r="C235" s="183"/>
      <c r="D235" s="183"/>
      <c r="E235" s="183"/>
      <c r="F235" s="183"/>
      <c r="G235" s="183"/>
      <c r="H235" s="183"/>
      <c r="I235" s="183"/>
      <c r="J235" s="183"/>
      <c r="K235" s="183"/>
      <c r="L235" s="183"/>
      <c r="M235" s="183"/>
      <c r="N235" s="183"/>
      <c r="O235" s="183"/>
      <c r="P235" s="183"/>
      <c r="Q235" s="183"/>
      <c r="R235" s="183"/>
      <c r="S235" s="183"/>
      <c r="T235" s="152"/>
      <c r="U235" s="155"/>
      <c r="V235" s="152"/>
      <c r="W235" s="152"/>
      <c r="X235" s="152"/>
      <c r="Y235" s="152"/>
      <c r="Z235" s="152"/>
      <c r="AA235" s="152"/>
      <c r="AB235" s="152"/>
      <c r="AC235" s="152"/>
      <c r="AD235" s="152"/>
      <c r="AE235" s="152"/>
      <c r="AF235" s="152"/>
      <c r="AG235" s="144"/>
      <c r="AH235" s="144"/>
      <c r="AI235" s="144"/>
      <c r="AJ235" s="144"/>
      <c r="AK235" s="144"/>
    </row>
    <row r="236" ht="22.5" customHeight="1">
      <c r="A236" s="184"/>
      <c r="B236" s="184"/>
      <c r="C236" s="184"/>
      <c r="D236" s="184"/>
      <c r="E236" s="184"/>
      <c r="F236" s="184"/>
      <c r="G236" s="184"/>
      <c r="H236" s="184"/>
      <c r="I236" s="184"/>
      <c r="J236" s="184"/>
      <c r="K236" s="184"/>
      <c r="L236" s="184"/>
      <c r="M236" s="184"/>
      <c r="N236" s="184"/>
      <c r="O236" s="184"/>
      <c r="P236" s="184"/>
      <c r="Q236" s="184"/>
      <c r="R236" s="184"/>
      <c r="S236" s="184"/>
      <c r="T236" s="145"/>
      <c r="U236" s="151"/>
      <c r="V236" s="145"/>
      <c r="W236" s="145"/>
      <c r="X236" s="145"/>
      <c r="Y236" s="145"/>
      <c r="Z236" s="145"/>
      <c r="AA236" s="145"/>
      <c r="AB236" s="145"/>
      <c r="AC236" s="145"/>
      <c r="AD236" s="145"/>
      <c r="AE236" s="145"/>
      <c r="AF236" s="145"/>
      <c r="AG236" s="144"/>
      <c r="AH236" s="144"/>
      <c r="AI236" s="144"/>
      <c r="AJ236" s="144"/>
      <c r="AK236" s="144"/>
    </row>
    <row r="237" ht="22.5" customHeight="1">
      <c r="A237" s="183"/>
      <c r="B237" s="183"/>
      <c r="C237" s="183"/>
      <c r="D237" s="183"/>
      <c r="E237" s="183"/>
      <c r="F237" s="183"/>
      <c r="G237" s="183"/>
      <c r="H237" s="183"/>
      <c r="I237" s="183"/>
      <c r="J237" s="183"/>
      <c r="K237" s="183"/>
      <c r="L237" s="183"/>
      <c r="M237" s="183"/>
      <c r="N237" s="183"/>
      <c r="O237" s="183"/>
      <c r="P237" s="183"/>
      <c r="Q237" s="183"/>
      <c r="R237" s="183"/>
      <c r="S237" s="183"/>
      <c r="T237" s="152"/>
      <c r="U237" s="155"/>
      <c r="V237" s="152"/>
      <c r="W237" s="152"/>
      <c r="X237" s="152"/>
      <c r="Y237" s="152"/>
      <c r="Z237" s="152"/>
      <c r="AA237" s="152"/>
      <c r="AB237" s="152"/>
      <c r="AC237" s="152"/>
      <c r="AD237" s="152"/>
      <c r="AE237" s="152"/>
      <c r="AF237" s="152"/>
      <c r="AG237" s="144"/>
      <c r="AH237" s="144"/>
      <c r="AI237" s="144"/>
      <c r="AJ237" s="144"/>
      <c r="AK237" s="144"/>
    </row>
    <row r="238" ht="22.5" customHeight="1">
      <c r="A238" s="184"/>
      <c r="B238" s="184"/>
      <c r="C238" s="184"/>
      <c r="D238" s="184"/>
      <c r="E238" s="184"/>
      <c r="F238" s="184"/>
      <c r="G238" s="184"/>
      <c r="H238" s="184"/>
      <c r="I238" s="184"/>
      <c r="J238" s="184"/>
      <c r="K238" s="184"/>
      <c r="L238" s="184"/>
      <c r="M238" s="184"/>
      <c r="N238" s="184"/>
      <c r="O238" s="184"/>
      <c r="P238" s="184"/>
      <c r="Q238" s="184"/>
      <c r="R238" s="184"/>
      <c r="S238" s="184"/>
      <c r="T238" s="145"/>
      <c r="U238" s="151"/>
      <c r="V238" s="145"/>
      <c r="W238" s="145"/>
      <c r="X238" s="145"/>
      <c r="Y238" s="145"/>
      <c r="Z238" s="145"/>
      <c r="AA238" s="145"/>
      <c r="AB238" s="145"/>
      <c r="AC238" s="145"/>
      <c r="AD238" s="145"/>
      <c r="AE238" s="145"/>
      <c r="AF238" s="145"/>
      <c r="AG238" s="144"/>
      <c r="AH238" s="144"/>
      <c r="AI238" s="144"/>
      <c r="AJ238" s="144"/>
      <c r="AK238" s="144"/>
    </row>
    <row r="239" ht="22.5" customHeight="1">
      <c r="A239" s="183"/>
      <c r="B239" s="183"/>
      <c r="C239" s="183"/>
      <c r="D239" s="183"/>
      <c r="E239" s="183"/>
      <c r="F239" s="183"/>
      <c r="G239" s="183"/>
      <c r="H239" s="183"/>
      <c r="I239" s="183"/>
      <c r="J239" s="183"/>
      <c r="K239" s="183"/>
      <c r="L239" s="183"/>
      <c r="M239" s="183"/>
      <c r="N239" s="183"/>
      <c r="O239" s="183"/>
      <c r="P239" s="183"/>
      <c r="Q239" s="183"/>
      <c r="R239" s="183"/>
      <c r="S239" s="183"/>
      <c r="T239" s="152"/>
      <c r="U239" s="155"/>
      <c r="V239" s="152"/>
      <c r="W239" s="152"/>
      <c r="X239" s="152"/>
      <c r="Y239" s="152"/>
      <c r="Z239" s="152"/>
      <c r="AA239" s="152"/>
      <c r="AB239" s="152"/>
      <c r="AC239" s="152"/>
      <c r="AD239" s="152"/>
      <c r="AE239" s="152"/>
      <c r="AF239" s="152"/>
      <c r="AG239" s="144"/>
      <c r="AH239" s="144"/>
      <c r="AI239" s="144"/>
      <c r="AJ239" s="144"/>
      <c r="AK239" s="144"/>
    </row>
    <row r="240" ht="22.5" customHeight="1">
      <c r="A240" s="184"/>
      <c r="B240" s="184"/>
      <c r="C240" s="184"/>
      <c r="D240" s="184"/>
      <c r="E240" s="184"/>
      <c r="F240" s="184"/>
      <c r="G240" s="184"/>
      <c r="H240" s="184"/>
      <c r="I240" s="184"/>
      <c r="J240" s="184"/>
      <c r="K240" s="184"/>
      <c r="L240" s="184"/>
      <c r="M240" s="184"/>
      <c r="N240" s="184"/>
      <c r="O240" s="184"/>
      <c r="P240" s="184"/>
      <c r="Q240" s="184"/>
      <c r="R240" s="184"/>
      <c r="S240" s="184"/>
      <c r="T240" s="145"/>
      <c r="U240" s="151"/>
      <c r="V240" s="145"/>
      <c r="W240" s="145"/>
      <c r="X240" s="145"/>
      <c r="Y240" s="145"/>
      <c r="Z240" s="145"/>
      <c r="AA240" s="145"/>
      <c r="AB240" s="145"/>
      <c r="AC240" s="145"/>
      <c r="AD240" s="145"/>
      <c r="AE240" s="145"/>
      <c r="AF240" s="145"/>
      <c r="AG240" s="144"/>
      <c r="AH240" s="144"/>
      <c r="AI240" s="144"/>
      <c r="AJ240" s="144"/>
      <c r="AK240" s="144"/>
    </row>
    <row r="241" ht="22.5" customHeight="1">
      <c r="A241" s="183"/>
      <c r="B241" s="183"/>
      <c r="C241" s="183"/>
      <c r="D241" s="183"/>
      <c r="E241" s="183"/>
      <c r="F241" s="183"/>
      <c r="G241" s="183"/>
      <c r="H241" s="183"/>
      <c r="I241" s="183"/>
      <c r="J241" s="183"/>
      <c r="K241" s="183"/>
      <c r="L241" s="183"/>
      <c r="M241" s="183"/>
      <c r="N241" s="183"/>
      <c r="O241" s="183"/>
      <c r="P241" s="183"/>
      <c r="Q241" s="183"/>
      <c r="R241" s="183"/>
      <c r="S241" s="183"/>
      <c r="T241" s="152"/>
      <c r="U241" s="155"/>
      <c r="V241" s="152"/>
      <c r="W241" s="152"/>
      <c r="X241" s="152"/>
      <c r="Y241" s="152"/>
      <c r="Z241" s="152"/>
      <c r="AA241" s="152"/>
      <c r="AB241" s="152"/>
      <c r="AC241" s="152"/>
      <c r="AD241" s="152"/>
      <c r="AE241" s="152"/>
      <c r="AF241" s="152"/>
      <c r="AG241" s="144"/>
      <c r="AH241" s="144"/>
      <c r="AI241" s="144"/>
      <c r="AJ241" s="144"/>
      <c r="AK241" s="144"/>
    </row>
    <row r="242" ht="22.5" customHeight="1">
      <c r="A242" s="184"/>
      <c r="B242" s="184"/>
      <c r="C242" s="184"/>
      <c r="D242" s="184"/>
      <c r="E242" s="184"/>
      <c r="F242" s="184"/>
      <c r="G242" s="184"/>
      <c r="H242" s="184"/>
      <c r="I242" s="184"/>
      <c r="J242" s="184"/>
      <c r="K242" s="184"/>
      <c r="L242" s="184"/>
      <c r="M242" s="184"/>
      <c r="N242" s="184"/>
      <c r="O242" s="184"/>
      <c r="P242" s="184"/>
      <c r="Q242" s="184"/>
      <c r="R242" s="184"/>
      <c r="S242" s="184"/>
      <c r="T242" s="145"/>
      <c r="U242" s="151"/>
      <c r="V242" s="145"/>
      <c r="W242" s="145"/>
      <c r="X242" s="145"/>
      <c r="Y242" s="145"/>
      <c r="Z242" s="145"/>
      <c r="AA242" s="145"/>
      <c r="AB242" s="145"/>
      <c r="AC242" s="145"/>
      <c r="AD242" s="145"/>
      <c r="AE242" s="145"/>
      <c r="AF242" s="145"/>
      <c r="AG242" s="144"/>
      <c r="AH242" s="144"/>
      <c r="AI242" s="144"/>
      <c r="AJ242" s="144"/>
      <c r="AK242" s="144"/>
    </row>
    <row r="243" ht="22.5" customHeight="1">
      <c r="A243" s="183"/>
      <c r="B243" s="183"/>
      <c r="C243" s="183"/>
      <c r="D243" s="183"/>
      <c r="E243" s="183"/>
      <c r="F243" s="183"/>
      <c r="G243" s="183"/>
      <c r="H243" s="183"/>
      <c r="I243" s="183"/>
      <c r="J243" s="183"/>
      <c r="K243" s="183"/>
      <c r="L243" s="183"/>
      <c r="M243" s="183"/>
      <c r="N243" s="183"/>
      <c r="O243" s="183"/>
      <c r="P243" s="183"/>
      <c r="Q243" s="183"/>
      <c r="R243" s="183"/>
      <c r="S243" s="183"/>
      <c r="T243" s="152"/>
      <c r="U243" s="155"/>
      <c r="V243" s="152"/>
      <c r="W243" s="152"/>
      <c r="X243" s="152"/>
      <c r="Y243" s="152"/>
      <c r="Z243" s="152"/>
      <c r="AA243" s="152"/>
      <c r="AB243" s="152"/>
      <c r="AC243" s="152"/>
      <c r="AD243" s="152"/>
      <c r="AE243" s="152"/>
      <c r="AF243" s="152"/>
      <c r="AG243" s="144"/>
      <c r="AH243" s="144"/>
      <c r="AI243" s="144"/>
      <c r="AJ243" s="144"/>
      <c r="AK243" s="144"/>
    </row>
    <row r="244" ht="22.5" customHeight="1">
      <c r="A244" s="184"/>
      <c r="B244" s="184"/>
      <c r="C244" s="184"/>
      <c r="D244" s="184"/>
      <c r="E244" s="184"/>
      <c r="F244" s="184"/>
      <c r="G244" s="184"/>
      <c r="H244" s="184"/>
      <c r="I244" s="184"/>
      <c r="J244" s="184"/>
      <c r="K244" s="184"/>
      <c r="L244" s="184"/>
      <c r="M244" s="184"/>
      <c r="N244" s="184"/>
      <c r="O244" s="184"/>
      <c r="P244" s="184"/>
      <c r="Q244" s="184"/>
      <c r="R244" s="184"/>
      <c r="S244" s="184"/>
      <c r="T244" s="145"/>
      <c r="U244" s="151"/>
      <c r="V244" s="145"/>
      <c r="W244" s="145"/>
      <c r="X244" s="145"/>
      <c r="Y244" s="145"/>
      <c r="Z244" s="145"/>
      <c r="AA244" s="145"/>
      <c r="AB244" s="145"/>
      <c r="AC244" s="145"/>
      <c r="AD244" s="145"/>
      <c r="AE244" s="145"/>
      <c r="AF244" s="145"/>
      <c r="AG244" s="144"/>
      <c r="AH244" s="144"/>
      <c r="AI244" s="144"/>
      <c r="AJ244" s="144"/>
      <c r="AK244" s="144"/>
    </row>
    <row r="245" ht="22.5" customHeight="1">
      <c r="A245" s="183"/>
      <c r="B245" s="183"/>
      <c r="C245" s="183"/>
      <c r="D245" s="183"/>
      <c r="E245" s="183"/>
      <c r="F245" s="183"/>
      <c r="G245" s="183"/>
      <c r="H245" s="183"/>
      <c r="I245" s="183"/>
      <c r="J245" s="183"/>
      <c r="K245" s="183"/>
      <c r="L245" s="183"/>
      <c r="M245" s="183"/>
      <c r="N245" s="183"/>
      <c r="O245" s="183"/>
      <c r="P245" s="183"/>
      <c r="Q245" s="183"/>
      <c r="R245" s="183"/>
      <c r="S245" s="183"/>
      <c r="T245" s="152"/>
      <c r="U245" s="155"/>
      <c r="V245" s="152"/>
      <c r="W245" s="152"/>
      <c r="X245" s="152"/>
      <c r="Y245" s="152"/>
      <c r="Z245" s="152"/>
      <c r="AA245" s="152"/>
      <c r="AB245" s="152"/>
      <c r="AC245" s="152"/>
      <c r="AD245" s="152"/>
      <c r="AE245" s="152"/>
      <c r="AF245" s="152"/>
      <c r="AG245" s="144"/>
      <c r="AH245" s="144"/>
      <c r="AI245" s="144"/>
      <c r="AJ245" s="144"/>
      <c r="AK245" s="144"/>
    </row>
    <row r="246" ht="22.5" customHeight="1">
      <c r="A246" s="184"/>
      <c r="B246" s="184"/>
      <c r="C246" s="184"/>
      <c r="D246" s="184"/>
      <c r="E246" s="184"/>
      <c r="F246" s="184"/>
      <c r="G246" s="184"/>
      <c r="H246" s="184"/>
      <c r="I246" s="184"/>
      <c r="J246" s="184"/>
      <c r="K246" s="184"/>
      <c r="L246" s="184"/>
      <c r="M246" s="184"/>
      <c r="N246" s="184"/>
      <c r="O246" s="184"/>
      <c r="P246" s="184"/>
      <c r="Q246" s="184"/>
      <c r="R246" s="184"/>
      <c r="S246" s="184"/>
      <c r="T246" s="145"/>
      <c r="U246" s="151"/>
      <c r="V246" s="145"/>
      <c r="W246" s="145"/>
      <c r="X246" s="145"/>
      <c r="Y246" s="145"/>
      <c r="Z246" s="145"/>
      <c r="AA246" s="145"/>
      <c r="AB246" s="145"/>
      <c r="AC246" s="145"/>
      <c r="AD246" s="145"/>
      <c r="AE246" s="145"/>
      <c r="AF246" s="145"/>
      <c r="AG246" s="144"/>
      <c r="AH246" s="144"/>
      <c r="AI246" s="144"/>
      <c r="AJ246" s="144"/>
      <c r="AK246" s="144"/>
    </row>
    <row r="247" ht="22.5" customHeight="1">
      <c r="A247" s="183"/>
      <c r="B247" s="183"/>
      <c r="C247" s="183"/>
      <c r="D247" s="183"/>
      <c r="E247" s="183"/>
      <c r="F247" s="183"/>
      <c r="G247" s="183"/>
      <c r="H247" s="183"/>
      <c r="I247" s="183"/>
      <c r="J247" s="183"/>
      <c r="K247" s="183"/>
      <c r="L247" s="183"/>
      <c r="M247" s="183"/>
      <c r="N247" s="183"/>
      <c r="O247" s="183"/>
      <c r="P247" s="183"/>
      <c r="Q247" s="183"/>
      <c r="R247" s="183"/>
      <c r="S247" s="183"/>
      <c r="T247" s="152"/>
      <c r="U247" s="155"/>
      <c r="V247" s="152"/>
      <c r="W247" s="152"/>
      <c r="X247" s="152"/>
      <c r="Y247" s="152"/>
      <c r="Z247" s="152"/>
      <c r="AA247" s="152"/>
      <c r="AB247" s="152"/>
      <c r="AC247" s="152"/>
      <c r="AD247" s="152"/>
      <c r="AE247" s="152"/>
      <c r="AF247" s="152"/>
      <c r="AG247" s="144"/>
      <c r="AH247" s="144"/>
      <c r="AI247" s="144"/>
      <c r="AJ247" s="144"/>
      <c r="AK247" s="144"/>
    </row>
    <row r="248" ht="22.5" customHeight="1">
      <c r="A248" s="184"/>
      <c r="B248" s="184"/>
      <c r="C248" s="184"/>
      <c r="D248" s="184"/>
      <c r="E248" s="184"/>
      <c r="F248" s="184"/>
      <c r="G248" s="184"/>
      <c r="H248" s="184"/>
      <c r="I248" s="184"/>
      <c r="J248" s="184"/>
      <c r="K248" s="184"/>
      <c r="L248" s="184"/>
      <c r="M248" s="184"/>
      <c r="N248" s="184"/>
      <c r="O248" s="184"/>
      <c r="P248" s="184"/>
      <c r="Q248" s="184"/>
      <c r="R248" s="184"/>
      <c r="S248" s="184"/>
      <c r="T248" s="145"/>
      <c r="U248" s="151"/>
      <c r="V248" s="145"/>
      <c r="W248" s="145"/>
      <c r="X248" s="145"/>
      <c r="Y248" s="145"/>
      <c r="Z248" s="145"/>
      <c r="AA248" s="145"/>
      <c r="AB248" s="145"/>
      <c r="AC248" s="145"/>
      <c r="AD248" s="145"/>
      <c r="AE248" s="145"/>
      <c r="AF248" s="145"/>
      <c r="AG248" s="144"/>
      <c r="AH248" s="144"/>
      <c r="AI248" s="144"/>
      <c r="AJ248" s="144"/>
      <c r="AK248" s="144"/>
    </row>
    <row r="249" ht="22.5" customHeight="1">
      <c r="A249" s="183"/>
      <c r="B249" s="183"/>
      <c r="C249" s="183"/>
      <c r="D249" s="183"/>
      <c r="E249" s="183"/>
      <c r="F249" s="183"/>
      <c r="G249" s="183"/>
      <c r="H249" s="183"/>
      <c r="I249" s="183"/>
      <c r="J249" s="183"/>
      <c r="K249" s="183"/>
      <c r="L249" s="183"/>
      <c r="M249" s="183"/>
      <c r="N249" s="183"/>
      <c r="O249" s="183"/>
      <c r="P249" s="183"/>
      <c r="Q249" s="183"/>
      <c r="R249" s="183"/>
      <c r="S249" s="183"/>
      <c r="T249" s="152"/>
      <c r="U249" s="155"/>
      <c r="V249" s="152"/>
      <c r="W249" s="152"/>
      <c r="X249" s="152"/>
      <c r="Y249" s="152"/>
      <c r="Z249" s="152"/>
      <c r="AA249" s="152"/>
      <c r="AB249" s="152"/>
      <c r="AC249" s="152"/>
      <c r="AD249" s="152"/>
      <c r="AE249" s="152"/>
      <c r="AF249" s="152"/>
      <c r="AG249" s="144"/>
      <c r="AH249" s="144"/>
      <c r="AI249" s="144"/>
      <c r="AJ249" s="144"/>
      <c r="AK249" s="144"/>
    </row>
    <row r="250" ht="22.5" customHeight="1">
      <c r="A250" s="184"/>
      <c r="B250" s="184"/>
      <c r="C250" s="184"/>
      <c r="D250" s="184"/>
      <c r="E250" s="184"/>
      <c r="F250" s="184"/>
      <c r="G250" s="184"/>
      <c r="H250" s="184"/>
      <c r="I250" s="184"/>
      <c r="J250" s="184"/>
      <c r="K250" s="184"/>
      <c r="L250" s="184"/>
      <c r="M250" s="184"/>
      <c r="N250" s="184"/>
      <c r="O250" s="184"/>
      <c r="P250" s="184"/>
      <c r="Q250" s="184"/>
      <c r="R250" s="184"/>
      <c r="S250" s="184"/>
      <c r="T250" s="145"/>
      <c r="U250" s="151"/>
      <c r="V250" s="145"/>
      <c r="W250" s="145"/>
      <c r="X250" s="145"/>
      <c r="Y250" s="145"/>
      <c r="Z250" s="145"/>
      <c r="AA250" s="145"/>
      <c r="AB250" s="145"/>
      <c r="AC250" s="145"/>
      <c r="AD250" s="145"/>
      <c r="AE250" s="145"/>
      <c r="AF250" s="145"/>
      <c r="AG250" s="144"/>
      <c r="AH250" s="144"/>
      <c r="AI250" s="144"/>
      <c r="AJ250" s="144"/>
      <c r="AK250" s="144"/>
    </row>
    <row r="251" ht="22.5" customHeight="1">
      <c r="A251" s="183"/>
      <c r="B251" s="183"/>
      <c r="C251" s="183"/>
      <c r="D251" s="183"/>
      <c r="E251" s="183"/>
      <c r="F251" s="183"/>
      <c r="G251" s="183"/>
      <c r="H251" s="183"/>
      <c r="I251" s="183"/>
      <c r="J251" s="183"/>
      <c r="K251" s="183"/>
      <c r="L251" s="183"/>
      <c r="M251" s="183"/>
      <c r="N251" s="183"/>
      <c r="O251" s="183"/>
      <c r="P251" s="183"/>
      <c r="Q251" s="183"/>
      <c r="R251" s="183"/>
      <c r="S251" s="183"/>
      <c r="T251" s="152"/>
      <c r="U251" s="155"/>
      <c r="V251" s="152"/>
      <c r="W251" s="152"/>
      <c r="X251" s="152"/>
      <c r="Y251" s="152"/>
      <c r="Z251" s="152"/>
      <c r="AA251" s="152"/>
      <c r="AB251" s="152"/>
      <c r="AC251" s="152"/>
      <c r="AD251" s="152"/>
      <c r="AE251" s="152"/>
      <c r="AF251" s="152"/>
      <c r="AG251" s="144"/>
      <c r="AH251" s="144"/>
      <c r="AI251" s="144"/>
      <c r="AJ251" s="144"/>
      <c r="AK251" s="144"/>
    </row>
    <row r="252" ht="22.5" customHeight="1">
      <c r="A252" s="184"/>
      <c r="B252" s="184"/>
      <c r="C252" s="184"/>
      <c r="D252" s="184"/>
      <c r="E252" s="184"/>
      <c r="F252" s="184"/>
      <c r="G252" s="184"/>
      <c r="H252" s="184"/>
      <c r="I252" s="184"/>
      <c r="J252" s="184"/>
      <c r="K252" s="184"/>
      <c r="L252" s="184"/>
      <c r="M252" s="184"/>
      <c r="N252" s="184"/>
      <c r="O252" s="184"/>
      <c r="P252" s="184"/>
      <c r="Q252" s="184"/>
      <c r="R252" s="184"/>
      <c r="S252" s="184"/>
      <c r="T252" s="145"/>
      <c r="U252" s="151"/>
      <c r="V252" s="145"/>
      <c r="W252" s="145"/>
      <c r="X252" s="145"/>
      <c r="Y252" s="145"/>
      <c r="Z252" s="145"/>
      <c r="AA252" s="145"/>
      <c r="AB252" s="145"/>
      <c r="AC252" s="145"/>
      <c r="AD252" s="145"/>
      <c r="AE252" s="145"/>
      <c r="AF252" s="145"/>
      <c r="AG252" s="144"/>
      <c r="AH252" s="144"/>
      <c r="AI252" s="144"/>
      <c r="AJ252" s="144"/>
      <c r="AK252" s="144"/>
    </row>
    <row r="253" ht="22.5" customHeight="1">
      <c r="A253" s="183"/>
      <c r="B253" s="183"/>
      <c r="C253" s="183"/>
      <c r="D253" s="183"/>
      <c r="E253" s="183"/>
      <c r="F253" s="183"/>
      <c r="G253" s="183"/>
      <c r="H253" s="183"/>
      <c r="I253" s="183"/>
      <c r="J253" s="183"/>
      <c r="K253" s="183"/>
      <c r="L253" s="183"/>
      <c r="M253" s="183"/>
      <c r="N253" s="183"/>
      <c r="O253" s="183"/>
      <c r="P253" s="183"/>
      <c r="Q253" s="183"/>
      <c r="R253" s="183"/>
      <c r="S253" s="183"/>
      <c r="T253" s="152"/>
      <c r="U253" s="155"/>
      <c r="V253" s="152"/>
      <c r="W253" s="152"/>
      <c r="X253" s="152"/>
      <c r="Y253" s="152"/>
      <c r="Z253" s="152"/>
      <c r="AA253" s="152"/>
      <c r="AB253" s="152"/>
      <c r="AC253" s="152"/>
      <c r="AD253" s="152"/>
      <c r="AE253" s="152"/>
      <c r="AF253" s="152"/>
      <c r="AG253" s="144"/>
      <c r="AH253" s="144"/>
      <c r="AI253" s="144"/>
      <c r="AJ253" s="144"/>
      <c r="AK253" s="144"/>
    </row>
    <row r="254" ht="22.5" customHeight="1">
      <c r="A254" s="184"/>
      <c r="B254" s="184"/>
      <c r="C254" s="184"/>
      <c r="D254" s="184"/>
      <c r="E254" s="184"/>
      <c r="F254" s="184"/>
      <c r="G254" s="184"/>
      <c r="H254" s="184"/>
      <c r="I254" s="184"/>
      <c r="J254" s="184"/>
      <c r="K254" s="184"/>
      <c r="L254" s="184"/>
      <c r="M254" s="184"/>
      <c r="N254" s="184"/>
      <c r="O254" s="184"/>
      <c r="P254" s="184"/>
      <c r="Q254" s="184"/>
      <c r="R254" s="184"/>
      <c r="S254" s="184"/>
      <c r="T254" s="145"/>
      <c r="U254" s="151"/>
      <c r="V254" s="145"/>
      <c r="W254" s="145"/>
      <c r="X254" s="145"/>
      <c r="Y254" s="145"/>
      <c r="Z254" s="145"/>
      <c r="AA254" s="145"/>
      <c r="AB254" s="145"/>
      <c r="AC254" s="145"/>
      <c r="AD254" s="145"/>
      <c r="AE254" s="145"/>
      <c r="AF254" s="145"/>
      <c r="AG254" s="144"/>
      <c r="AH254" s="144"/>
      <c r="AI254" s="144"/>
      <c r="AJ254" s="144"/>
      <c r="AK254" s="144"/>
    </row>
    <row r="255" ht="22.5" customHeight="1">
      <c r="A255" s="183"/>
      <c r="B255" s="183"/>
      <c r="C255" s="183"/>
      <c r="D255" s="183"/>
      <c r="E255" s="183"/>
      <c r="F255" s="183"/>
      <c r="G255" s="183"/>
      <c r="H255" s="183"/>
      <c r="I255" s="183"/>
      <c r="J255" s="183"/>
      <c r="K255" s="183"/>
      <c r="L255" s="183"/>
      <c r="M255" s="183"/>
      <c r="N255" s="183"/>
      <c r="O255" s="183"/>
      <c r="P255" s="183"/>
      <c r="Q255" s="183"/>
      <c r="R255" s="183"/>
      <c r="S255" s="183"/>
      <c r="T255" s="152"/>
      <c r="U255" s="155"/>
      <c r="V255" s="152"/>
      <c r="W255" s="152"/>
      <c r="X255" s="152"/>
      <c r="Y255" s="152"/>
      <c r="Z255" s="152"/>
      <c r="AA255" s="152"/>
      <c r="AB255" s="152"/>
      <c r="AC255" s="152"/>
      <c r="AD255" s="152"/>
      <c r="AE255" s="152"/>
      <c r="AF255" s="152"/>
      <c r="AG255" s="144"/>
      <c r="AH255" s="144"/>
      <c r="AI255" s="144"/>
      <c r="AJ255" s="144"/>
      <c r="AK255" s="144"/>
    </row>
    <row r="256" ht="22.5" customHeight="1">
      <c r="A256" s="184"/>
      <c r="B256" s="184"/>
      <c r="C256" s="184"/>
      <c r="D256" s="184"/>
      <c r="E256" s="184"/>
      <c r="F256" s="184"/>
      <c r="G256" s="184"/>
      <c r="H256" s="184"/>
      <c r="I256" s="184"/>
      <c r="J256" s="184"/>
      <c r="K256" s="184"/>
      <c r="L256" s="184"/>
      <c r="M256" s="184"/>
      <c r="N256" s="184"/>
      <c r="O256" s="184"/>
      <c r="P256" s="184"/>
      <c r="Q256" s="184"/>
      <c r="R256" s="184"/>
      <c r="S256" s="184"/>
      <c r="T256" s="145"/>
      <c r="U256" s="151"/>
      <c r="V256" s="145"/>
      <c r="W256" s="145"/>
      <c r="X256" s="145"/>
      <c r="Y256" s="145"/>
      <c r="Z256" s="145"/>
      <c r="AA256" s="145"/>
      <c r="AB256" s="145"/>
      <c r="AC256" s="145"/>
      <c r="AD256" s="145"/>
      <c r="AE256" s="145"/>
      <c r="AF256" s="145"/>
      <c r="AG256" s="144"/>
      <c r="AH256" s="144"/>
      <c r="AI256" s="144"/>
      <c r="AJ256" s="144"/>
      <c r="AK256" s="144"/>
    </row>
    <row r="257" ht="22.5" customHeight="1">
      <c r="A257" s="183"/>
      <c r="B257" s="183"/>
      <c r="C257" s="183"/>
      <c r="D257" s="183"/>
      <c r="E257" s="183"/>
      <c r="F257" s="183"/>
      <c r="G257" s="183"/>
      <c r="H257" s="183"/>
      <c r="I257" s="183"/>
      <c r="J257" s="183"/>
      <c r="K257" s="183"/>
      <c r="L257" s="183"/>
      <c r="M257" s="183"/>
      <c r="N257" s="183"/>
      <c r="O257" s="183"/>
      <c r="P257" s="183"/>
      <c r="Q257" s="183"/>
      <c r="R257" s="183"/>
      <c r="S257" s="183"/>
      <c r="T257" s="152"/>
      <c r="U257" s="155"/>
      <c r="V257" s="152"/>
      <c r="W257" s="152"/>
      <c r="X257" s="152"/>
      <c r="Y257" s="152"/>
      <c r="Z257" s="152"/>
      <c r="AA257" s="152"/>
      <c r="AB257" s="152"/>
      <c r="AC257" s="152"/>
      <c r="AD257" s="152"/>
      <c r="AE257" s="152"/>
      <c r="AF257" s="152"/>
      <c r="AG257" s="144"/>
      <c r="AH257" s="144"/>
      <c r="AI257" s="144"/>
      <c r="AJ257" s="144"/>
      <c r="AK257" s="144"/>
    </row>
    <row r="258" ht="22.5" customHeight="1">
      <c r="A258" s="184"/>
      <c r="B258" s="184"/>
      <c r="C258" s="184"/>
      <c r="D258" s="184"/>
      <c r="E258" s="184"/>
      <c r="F258" s="184"/>
      <c r="G258" s="184"/>
      <c r="H258" s="184"/>
      <c r="I258" s="184"/>
      <c r="J258" s="184"/>
      <c r="K258" s="184"/>
      <c r="L258" s="184"/>
      <c r="M258" s="184"/>
      <c r="N258" s="184"/>
      <c r="O258" s="184"/>
      <c r="P258" s="184"/>
      <c r="Q258" s="184"/>
      <c r="R258" s="184"/>
      <c r="S258" s="184"/>
      <c r="T258" s="145"/>
      <c r="U258" s="151"/>
      <c r="V258" s="145"/>
      <c r="W258" s="145"/>
      <c r="X258" s="145"/>
      <c r="Y258" s="145"/>
      <c r="Z258" s="145"/>
      <c r="AA258" s="145"/>
      <c r="AB258" s="145"/>
      <c r="AC258" s="145"/>
      <c r="AD258" s="145"/>
      <c r="AE258" s="145"/>
      <c r="AF258" s="145"/>
      <c r="AG258" s="144"/>
      <c r="AH258" s="144"/>
      <c r="AI258" s="144"/>
      <c r="AJ258" s="144"/>
      <c r="AK258" s="144"/>
    </row>
    <row r="259" ht="22.5" customHeight="1">
      <c r="A259" s="183"/>
      <c r="B259" s="183"/>
      <c r="C259" s="183"/>
      <c r="D259" s="183"/>
      <c r="E259" s="183"/>
      <c r="F259" s="183"/>
      <c r="G259" s="183"/>
      <c r="H259" s="183"/>
      <c r="I259" s="183"/>
      <c r="J259" s="183"/>
      <c r="K259" s="183"/>
      <c r="L259" s="183"/>
      <c r="M259" s="183"/>
      <c r="N259" s="183"/>
      <c r="O259" s="183"/>
      <c r="P259" s="183"/>
      <c r="Q259" s="183"/>
      <c r="R259" s="183"/>
      <c r="S259" s="183"/>
      <c r="T259" s="152"/>
      <c r="U259" s="155"/>
      <c r="V259" s="152"/>
      <c r="W259" s="152"/>
      <c r="X259" s="152"/>
      <c r="Y259" s="152"/>
      <c r="Z259" s="152"/>
      <c r="AA259" s="152"/>
      <c r="AB259" s="152"/>
      <c r="AC259" s="152"/>
      <c r="AD259" s="152"/>
      <c r="AE259" s="152"/>
      <c r="AF259" s="152"/>
      <c r="AG259" s="144"/>
      <c r="AH259" s="144"/>
      <c r="AI259" s="144"/>
      <c r="AJ259" s="144"/>
      <c r="AK259" s="144"/>
    </row>
    <row r="260" ht="22.5" customHeight="1">
      <c r="A260" s="184"/>
      <c r="B260" s="184"/>
      <c r="C260" s="184"/>
      <c r="D260" s="184"/>
      <c r="E260" s="184"/>
      <c r="F260" s="184"/>
      <c r="G260" s="184"/>
      <c r="H260" s="184"/>
      <c r="I260" s="184"/>
      <c r="J260" s="184"/>
      <c r="K260" s="184"/>
      <c r="L260" s="184"/>
      <c r="M260" s="184"/>
      <c r="N260" s="184"/>
      <c r="O260" s="184"/>
      <c r="P260" s="184"/>
      <c r="Q260" s="184"/>
      <c r="R260" s="184"/>
      <c r="S260" s="184"/>
      <c r="T260" s="145"/>
      <c r="U260" s="151"/>
      <c r="V260" s="145"/>
      <c r="W260" s="145"/>
      <c r="X260" s="145"/>
      <c r="Y260" s="145"/>
      <c r="Z260" s="145"/>
      <c r="AA260" s="145"/>
      <c r="AB260" s="145"/>
      <c r="AC260" s="145"/>
      <c r="AD260" s="145"/>
      <c r="AE260" s="145"/>
      <c r="AF260" s="145"/>
      <c r="AG260" s="144"/>
      <c r="AH260" s="144"/>
      <c r="AI260" s="144"/>
      <c r="AJ260" s="144"/>
      <c r="AK260" s="144"/>
    </row>
    <row r="261" ht="22.5" customHeight="1">
      <c r="A261" s="183"/>
      <c r="B261" s="183"/>
      <c r="C261" s="183"/>
      <c r="D261" s="183"/>
      <c r="E261" s="183"/>
      <c r="F261" s="183"/>
      <c r="G261" s="183"/>
      <c r="H261" s="183"/>
      <c r="I261" s="183"/>
      <c r="J261" s="183"/>
      <c r="K261" s="183"/>
      <c r="L261" s="183"/>
      <c r="M261" s="183"/>
      <c r="N261" s="183"/>
      <c r="O261" s="183"/>
      <c r="P261" s="183"/>
      <c r="Q261" s="183"/>
      <c r="R261" s="183"/>
      <c r="S261" s="183"/>
      <c r="T261" s="152"/>
      <c r="U261" s="155"/>
      <c r="V261" s="152"/>
      <c r="W261" s="152"/>
      <c r="X261" s="152"/>
      <c r="Y261" s="152"/>
      <c r="Z261" s="152"/>
      <c r="AA261" s="152"/>
      <c r="AB261" s="152"/>
      <c r="AC261" s="152"/>
      <c r="AD261" s="152"/>
      <c r="AE261" s="152"/>
      <c r="AF261" s="152"/>
      <c r="AG261" s="144"/>
      <c r="AH261" s="144"/>
      <c r="AI261" s="144"/>
      <c r="AJ261" s="144"/>
      <c r="AK261" s="144"/>
    </row>
    <row r="262" ht="22.5" customHeight="1">
      <c r="A262" s="184"/>
      <c r="B262" s="184"/>
      <c r="C262" s="184"/>
      <c r="D262" s="184"/>
      <c r="E262" s="184"/>
      <c r="F262" s="184"/>
      <c r="G262" s="184"/>
      <c r="H262" s="184"/>
      <c r="I262" s="184"/>
      <c r="J262" s="184"/>
      <c r="K262" s="184"/>
      <c r="L262" s="184"/>
      <c r="M262" s="184"/>
      <c r="N262" s="184"/>
      <c r="O262" s="184"/>
      <c r="P262" s="184"/>
      <c r="Q262" s="184"/>
      <c r="R262" s="184"/>
      <c r="S262" s="184"/>
      <c r="T262" s="145"/>
      <c r="U262" s="151"/>
      <c r="V262" s="145"/>
      <c r="W262" s="145"/>
      <c r="X262" s="145"/>
      <c r="Y262" s="145"/>
      <c r="Z262" s="145"/>
      <c r="AA262" s="145"/>
      <c r="AB262" s="145"/>
      <c r="AC262" s="145"/>
      <c r="AD262" s="145"/>
      <c r="AE262" s="145"/>
      <c r="AF262" s="145"/>
      <c r="AG262" s="144"/>
      <c r="AH262" s="144"/>
      <c r="AI262" s="144"/>
      <c r="AJ262" s="144"/>
      <c r="AK262" s="144"/>
    </row>
    <row r="263" ht="22.5" customHeight="1">
      <c r="A263" s="183"/>
      <c r="B263" s="183"/>
      <c r="C263" s="183"/>
      <c r="D263" s="183"/>
      <c r="E263" s="183"/>
      <c r="F263" s="183"/>
      <c r="G263" s="183"/>
      <c r="H263" s="183"/>
      <c r="I263" s="183"/>
      <c r="J263" s="183"/>
      <c r="K263" s="183"/>
      <c r="L263" s="183"/>
      <c r="M263" s="183"/>
      <c r="N263" s="183"/>
      <c r="O263" s="183"/>
      <c r="P263" s="183"/>
      <c r="Q263" s="183"/>
      <c r="R263" s="183"/>
      <c r="S263" s="183"/>
      <c r="T263" s="152"/>
      <c r="U263" s="155"/>
      <c r="V263" s="152"/>
      <c r="W263" s="152"/>
      <c r="X263" s="152"/>
      <c r="Y263" s="152"/>
      <c r="Z263" s="152"/>
      <c r="AA263" s="152"/>
      <c r="AB263" s="152"/>
      <c r="AC263" s="152"/>
      <c r="AD263" s="152"/>
      <c r="AE263" s="152"/>
      <c r="AF263" s="152"/>
      <c r="AG263" s="144"/>
      <c r="AH263" s="144"/>
      <c r="AI263" s="144"/>
      <c r="AJ263" s="144"/>
      <c r="AK263" s="144"/>
    </row>
    <row r="264" ht="22.5" customHeight="1">
      <c r="A264" s="184"/>
      <c r="B264" s="184"/>
      <c r="C264" s="184"/>
      <c r="D264" s="184"/>
      <c r="E264" s="184"/>
      <c r="F264" s="184"/>
      <c r="G264" s="184"/>
      <c r="H264" s="184"/>
      <c r="I264" s="184"/>
      <c r="J264" s="184"/>
      <c r="K264" s="184"/>
      <c r="L264" s="184"/>
      <c r="M264" s="184"/>
      <c r="N264" s="184"/>
      <c r="O264" s="184"/>
      <c r="P264" s="184"/>
      <c r="Q264" s="184"/>
      <c r="R264" s="184"/>
      <c r="S264" s="184"/>
      <c r="T264" s="145"/>
      <c r="U264" s="151"/>
      <c r="V264" s="145"/>
      <c r="W264" s="145"/>
      <c r="X264" s="145"/>
      <c r="Y264" s="145"/>
      <c r="Z264" s="145"/>
      <c r="AA264" s="145"/>
      <c r="AB264" s="145"/>
      <c r="AC264" s="145"/>
      <c r="AD264" s="145"/>
      <c r="AE264" s="145"/>
      <c r="AF264" s="145"/>
      <c r="AG264" s="144"/>
      <c r="AH264" s="144"/>
      <c r="AI264" s="144"/>
      <c r="AJ264" s="144"/>
      <c r="AK264" s="144"/>
    </row>
    <row r="265" ht="22.5" customHeight="1">
      <c r="A265" s="183"/>
      <c r="B265" s="183"/>
      <c r="C265" s="183"/>
      <c r="D265" s="183"/>
      <c r="E265" s="183"/>
      <c r="F265" s="183"/>
      <c r="G265" s="183"/>
      <c r="H265" s="183"/>
      <c r="I265" s="183"/>
      <c r="J265" s="183"/>
      <c r="K265" s="183"/>
      <c r="L265" s="183"/>
      <c r="M265" s="183"/>
      <c r="N265" s="183"/>
      <c r="O265" s="183"/>
      <c r="P265" s="183"/>
      <c r="Q265" s="183"/>
      <c r="R265" s="183"/>
      <c r="S265" s="183"/>
      <c r="T265" s="152"/>
      <c r="U265" s="155"/>
      <c r="V265" s="152"/>
      <c r="W265" s="152"/>
      <c r="X265" s="152"/>
      <c r="Y265" s="152"/>
      <c r="Z265" s="152"/>
      <c r="AA265" s="152"/>
      <c r="AB265" s="152"/>
      <c r="AC265" s="152"/>
      <c r="AD265" s="152"/>
      <c r="AE265" s="152"/>
      <c r="AF265" s="152"/>
      <c r="AG265" s="144"/>
      <c r="AH265" s="144"/>
      <c r="AI265" s="144"/>
      <c r="AJ265" s="144"/>
      <c r="AK265" s="144"/>
    </row>
    <row r="266" ht="22.5" customHeight="1">
      <c r="A266" s="184"/>
      <c r="B266" s="184"/>
      <c r="C266" s="184"/>
      <c r="D266" s="184"/>
      <c r="E266" s="184"/>
      <c r="F266" s="184"/>
      <c r="G266" s="184"/>
      <c r="H266" s="184"/>
      <c r="I266" s="184"/>
      <c r="J266" s="184"/>
      <c r="K266" s="184"/>
      <c r="L266" s="184"/>
      <c r="M266" s="184"/>
      <c r="N266" s="184"/>
      <c r="O266" s="184"/>
      <c r="P266" s="184"/>
      <c r="Q266" s="184"/>
      <c r="R266" s="184"/>
      <c r="S266" s="184"/>
      <c r="T266" s="145"/>
      <c r="U266" s="151"/>
      <c r="V266" s="145"/>
      <c r="W266" s="145"/>
      <c r="X266" s="145"/>
      <c r="Y266" s="145"/>
      <c r="Z266" s="145"/>
      <c r="AA266" s="145"/>
      <c r="AB266" s="145"/>
      <c r="AC266" s="145"/>
      <c r="AD266" s="145"/>
      <c r="AE266" s="145"/>
      <c r="AF266" s="145"/>
      <c r="AG266" s="144"/>
      <c r="AH266" s="144"/>
      <c r="AI266" s="144"/>
      <c r="AJ266" s="144"/>
      <c r="AK266" s="144"/>
    </row>
    <row r="267" ht="22.5" customHeight="1">
      <c r="A267" s="183"/>
      <c r="B267" s="183"/>
      <c r="C267" s="183"/>
      <c r="D267" s="183"/>
      <c r="E267" s="183"/>
      <c r="F267" s="183"/>
      <c r="G267" s="183"/>
      <c r="H267" s="183"/>
      <c r="I267" s="183"/>
      <c r="J267" s="183"/>
      <c r="K267" s="183"/>
      <c r="L267" s="183"/>
      <c r="M267" s="183"/>
      <c r="N267" s="183"/>
      <c r="O267" s="183"/>
      <c r="P267" s="183"/>
      <c r="Q267" s="183"/>
      <c r="R267" s="183"/>
      <c r="S267" s="183"/>
      <c r="T267" s="152"/>
      <c r="U267" s="155"/>
      <c r="V267" s="152"/>
      <c r="W267" s="152"/>
      <c r="X267" s="152"/>
      <c r="Y267" s="152"/>
      <c r="Z267" s="152"/>
      <c r="AA267" s="152"/>
      <c r="AB267" s="152"/>
      <c r="AC267" s="152"/>
      <c r="AD267" s="152"/>
      <c r="AE267" s="152"/>
      <c r="AF267" s="152"/>
      <c r="AG267" s="144"/>
      <c r="AH267" s="144"/>
      <c r="AI267" s="144"/>
      <c r="AJ267" s="144"/>
      <c r="AK267" s="144"/>
    </row>
    <row r="268" ht="22.5" customHeight="1">
      <c r="A268" s="184"/>
      <c r="B268" s="184"/>
      <c r="C268" s="184"/>
      <c r="D268" s="184"/>
      <c r="E268" s="184"/>
      <c r="F268" s="184"/>
      <c r="G268" s="184"/>
      <c r="H268" s="184"/>
      <c r="I268" s="184"/>
      <c r="J268" s="184"/>
      <c r="K268" s="184"/>
      <c r="L268" s="184"/>
      <c r="M268" s="184"/>
      <c r="N268" s="184"/>
      <c r="O268" s="184"/>
      <c r="P268" s="184"/>
      <c r="Q268" s="184"/>
      <c r="R268" s="184"/>
      <c r="S268" s="184"/>
      <c r="T268" s="145"/>
      <c r="U268" s="151"/>
      <c r="V268" s="145"/>
      <c r="W268" s="145"/>
      <c r="X268" s="145"/>
      <c r="Y268" s="145"/>
      <c r="Z268" s="145"/>
      <c r="AA268" s="145"/>
      <c r="AB268" s="145"/>
      <c r="AC268" s="145"/>
      <c r="AD268" s="145"/>
      <c r="AE268" s="145"/>
      <c r="AF268" s="145"/>
      <c r="AG268" s="144"/>
      <c r="AH268" s="144"/>
      <c r="AI268" s="144"/>
      <c r="AJ268" s="144"/>
      <c r="AK268" s="144"/>
    </row>
    <row r="269" ht="22.5" customHeight="1">
      <c r="A269" s="183"/>
      <c r="B269" s="183"/>
      <c r="C269" s="183"/>
      <c r="D269" s="183"/>
      <c r="E269" s="183"/>
      <c r="F269" s="183"/>
      <c r="G269" s="183"/>
      <c r="H269" s="183"/>
      <c r="I269" s="183"/>
      <c r="J269" s="183"/>
      <c r="K269" s="183"/>
      <c r="L269" s="183"/>
      <c r="M269" s="183"/>
      <c r="N269" s="183"/>
      <c r="O269" s="183"/>
      <c r="P269" s="183"/>
      <c r="Q269" s="183"/>
      <c r="R269" s="183"/>
      <c r="S269" s="183"/>
      <c r="T269" s="152"/>
      <c r="U269" s="155"/>
      <c r="V269" s="152"/>
      <c r="W269" s="152"/>
      <c r="X269" s="152"/>
      <c r="Y269" s="152"/>
      <c r="Z269" s="152"/>
      <c r="AA269" s="152"/>
      <c r="AB269" s="152"/>
      <c r="AC269" s="152"/>
      <c r="AD269" s="152"/>
      <c r="AE269" s="152"/>
      <c r="AF269" s="152"/>
      <c r="AG269" s="144"/>
      <c r="AH269" s="144"/>
      <c r="AI269" s="144"/>
      <c r="AJ269" s="144"/>
      <c r="AK269" s="144"/>
    </row>
    <row r="270" ht="22.5" customHeight="1">
      <c r="A270" s="184"/>
      <c r="B270" s="184"/>
      <c r="C270" s="184"/>
      <c r="D270" s="184"/>
      <c r="E270" s="184"/>
      <c r="F270" s="184"/>
      <c r="G270" s="184"/>
      <c r="H270" s="184"/>
      <c r="I270" s="184"/>
      <c r="J270" s="184"/>
      <c r="K270" s="184"/>
      <c r="L270" s="184"/>
      <c r="M270" s="184"/>
      <c r="N270" s="184"/>
      <c r="O270" s="184"/>
      <c r="P270" s="184"/>
      <c r="Q270" s="184"/>
      <c r="R270" s="184"/>
      <c r="S270" s="184"/>
      <c r="T270" s="145"/>
      <c r="U270" s="151"/>
      <c r="V270" s="145"/>
      <c r="W270" s="145"/>
      <c r="X270" s="145"/>
      <c r="Y270" s="145"/>
      <c r="Z270" s="145"/>
      <c r="AA270" s="145"/>
      <c r="AB270" s="145"/>
      <c r="AC270" s="145"/>
      <c r="AD270" s="145"/>
      <c r="AE270" s="145"/>
      <c r="AF270" s="145"/>
      <c r="AG270" s="144"/>
      <c r="AH270" s="144"/>
      <c r="AI270" s="144"/>
      <c r="AJ270" s="144"/>
      <c r="AK270" s="144"/>
    </row>
    <row r="271" ht="22.5" customHeight="1">
      <c r="A271" s="183"/>
      <c r="B271" s="183"/>
      <c r="C271" s="183"/>
      <c r="D271" s="183"/>
      <c r="E271" s="183"/>
      <c r="F271" s="183"/>
      <c r="G271" s="183"/>
      <c r="H271" s="183"/>
      <c r="I271" s="183"/>
      <c r="J271" s="183"/>
      <c r="K271" s="183"/>
      <c r="L271" s="183"/>
      <c r="M271" s="183"/>
      <c r="N271" s="183"/>
      <c r="O271" s="183"/>
      <c r="P271" s="183"/>
      <c r="Q271" s="183"/>
      <c r="R271" s="183"/>
      <c r="S271" s="183"/>
      <c r="T271" s="152"/>
      <c r="U271" s="155"/>
      <c r="V271" s="152"/>
      <c r="W271" s="152"/>
      <c r="X271" s="152"/>
      <c r="Y271" s="152"/>
      <c r="Z271" s="152"/>
      <c r="AA271" s="152"/>
      <c r="AB271" s="152"/>
      <c r="AC271" s="152"/>
      <c r="AD271" s="152"/>
      <c r="AE271" s="152"/>
      <c r="AF271" s="152"/>
      <c r="AG271" s="144"/>
      <c r="AH271" s="144"/>
      <c r="AI271" s="144"/>
      <c r="AJ271" s="144"/>
      <c r="AK271" s="144"/>
    </row>
    <row r="272" ht="22.5" customHeight="1">
      <c r="A272" s="184"/>
      <c r="B272" s="184"/>
      <c r="C272" s="184"/>
      <c r="D272" s="184"/>
      <c r="E272" s="184"/>
      <c r="F272" s="184"/>
      <c r="G272" s="184"/>
      <c r="H272" s="184"/>
      <c r="I272" s="184"/>
      <c r="J272" s="184"/>
      <c r="K272" s="184"/>
      <c r="L272" s="184"/>
      <c r="M272" s="184"/>
      <c r="N272" s="184"/>
      <c r="O272" s="184"/>
      <c r="P272" s="184"/>
      <c r="Q272" s="184"/>
      <c r="R272" s="184"/>
      <c r="S272" s="184"/>
      <c r="T272" s="145"/>
      <c r="U272" s="151"/>
      <c r="V272" s="145"/>
      <c r="W272" s="145"/>
      <c r="X272" s="145"/>
      <c r="Y272" s="145"/>
      <c r="Z272" s="145"/>
      <c r="AA272" s="145"/>
      <c r="AB272" s="145"/>
      <c r="AC272" s="145"/>
      <c r="AD272" s="145"/>
      <c r="AE272" s="145"/>
      <c r="AF272" s="145"/>
      <c r="AG272" s="144"/>
      <c r="AH272" s="144"/>
      <c r="AI272" s="144"/>
      <c r="AJ272" s="144"/>
      <c r="AK272" s="144"/>
    </row>
    <row r="273" ht="22.5" customHeight="1">
      <c r="A273" s="183"/>
      <c r="B273" s="183"/>
      <c r="C273" s="183"/>
      <c r="D273" s="183"/>
      <c r="E273" s="183"/>
      <c r="F273" s="183"/>
      <c r="G273" s="183"/>
      <c r="H273" s="183"/>
      <c r="I273" s="183"/>
      <c r="J273" s="183"/>
      <c r="K273" s="183"/>
      <c r="L273" s="183"/>
      <c r="M273" s="183"/>
      <c r="N273" s="183"/>
      <c r="O273" s="183"/>
      <c r="P273" s="183"/>
      <c r="Q273" s="183"/>
      <c r="R273" s="183"/>
      <c r="S273" s="183"/>
      <c r="T273" s="152"/>
      <c r="U273" s="155"/>
      <c r="V273" s="152"/>
      <c r="W273" s="152"/>
      <c r="X273" s="152"/>
      <c r="Y273" s="152"/>
      <c r="Z273" s="152"/>
      <c r="AA273" s="152"/>
      <c r="AB273" s="152"/>
      <c r="AC273" s="152"/>
      <c r="AD273" s="152"/>
      <c r="AE273" s="152"/>
      <c r="AF273" s="152"/>
      <c r="AG273" s="144"/>
      <c r="AH273" s="144"/>
      <c r="AI273" s="144"/>
      <c r="AJ273" s="144"/>
      <c r="AK273" s="144"/>
    </row>
    <row r="274" ht="22.5" customHeight="1">
      <c r="A274" s="184"/>
      <c r="B274" s="184"/>
      <c r="C274" s="184"/>
      <c r="D274" s="184"/>
      <c r="E274" s="184"/>
      <c r="F274" s="184"/>
      <c r="G274" s="184"/>
      <c r="H274" s="184"/>
      <c r="I274" s="184"/>
      <c r="J274" s="184"/>
      <c r="K274" s="184"/>
      <c r="L274" s="184"/>
      <c r="M274" s="184"/>
      <c r="N274" s="184"/>
      <c r="O274" s="184"/>
      <c r="P274" s="184"/>
      <c r="Q274" s="184"/>
      <c r="R274" s="184"/>
      <c r="S274" s="184"/>
      <c r="T274" s="145"/>
      <c r="U274" s="151"/>
      <c r="V274" s="145"/>
      <c r="W274" s="145"/>
      <c r="X274" s="145"/>
      <c r="Y274" s="145"/>
      <c r="Z274" s="145"/>
      <c r="AA274" s="145"/>
      <c r="AB274" s="145"/>
      <c r="AC274" s="145"/>
      <c r="AD274" s="145"/>
      <c r="AE274" s="145"/>
      <c r="AF274" s="145"/>
      <c r="AG274" s="144"/>
      <c r="AH274" s="144"/>
      <c r="AI274" s="144"/>
      <c r="AJ274" s="144"/>
      <c r="AK274" s="144"/>
    </row>
    <row r="275" ht="22.5" customHeight="1">
      <c r="A275" s="183"/>
      <c r="B275" s="183"/>
      <c r="C275" s="183"/>
      <c r="D275" s="183"/>
      <c r="E275" s="183"/>
      <c r="F275" s="183"/>
      <c r="G275" s="183"/>
      <c r="H275" s="183"/>
      <c r="I275" s="183"/>
      <c r="J275" s="183"/>
      <c r="K275" s="183"/>
      <c r="L275" s="183"/>
      <c r="M275" s="183"/>
      <c r="N275" s="183"/>
      <c r="O275" s="183"/>
      <c r="P275" s="183"/>
      <c r="Q275" s="183"/>
      <c r="R275" s="183"/>
      <c r="S275" s="183"/>
      <c r="T275" s="152"/>
      <c r="U275" s="155"/>
      <c r="V275" s="152"/>
      <c r="W275" s="152"/>
      <c r="X275" s="152"/>
      <c r="Y275" s="152"/>
      <c r="Z275" s="152"/>
      <c r="AA275" s="152"/>
      <c r="AB275" s="152"/>
      <c r="AC275" s="152"/>
      <c r="AD275" s="152"/>
      <c r="AE275" s="152"/>
      <c r="AF275" s="152"/>
      <c r="AG275" s="144"/>
      <c r="AH275" s="144"/>
      <c r="AI275" s="144"/>
      <c r="AJ275" s="144"/>
      <c r="AK275" s="144"/>
    </row>
    <row r="276" ht="22.5" customHeight="1">
      <c r="A276" s="184"/>
      <c r="B276" s="184"/>
      <c r="C276" s="184"/>
      <c r="D276" s="184"/>
      <c r="E276" s="184"/>
      <c r="F276" s="184"/>
      <c r="G276" s="184"/>
      <c r="H276" s="184"/>
      <c r="I276" s="184"/>
      <c r="J276" s="184"/>
      <c r="K276" s="184"/>
      <c r="L276" s="184"/>
      <c r="M276" s="184"/>
      <c r="N276" s="184"/>
      <c r="O276" s="184"/>
      <c r="P276" s="184"/>
      <c r="Q276" s="184"/>
      <c r="R276" s="184"/>
      <c r="S276" s="184"/>
      <c r="T276" s="145"/>
      <c r="U276" s="151"/>
      <c r="V276" s="145"/>
      <c r="W276" s="145"/>
      <c r="X276" s="145"/>
      <c r="Y276" s="145"/>
      <c r="Z276" s="145"/>
      <c r="AA276" s="145"/>
      <c r="AB276" s="145"/>
      <c r="AC276" s="145"/>
      <c r="AD276" s="145"/>
      <c r="AE276" s="145"/>
      <c r="AF276" s="145"/>
      <c r="AG276" s="144"/>
      <c r="AH276" s="144"/>
      <c r="AI276" s="144"/>
      <c r="AJ276" s="144"/>
      <c r="AK276" s="144"/>
    </row>
    <row r="277" ht="22.5" customHeight="1">
      <c r="A277" s="183"/>
      <c r="B277" s="183"/>
      <c r="C277" s="183"/>
      <c r="D277" s="183"/>
      <c r="E277" s="183"/>
      <c r="F277" s="183"/>
      <c r="G277" s="183"/>
      <c r="H277" s="183"/>
      <c r="I277" s="183"/>
      <c r="J277" s="183"/>
      <c r="K277" s="183"/>
      <c r="L277" s="183"/>
      <c r="M277" s="183"/>
      <c r="N277" s="183"/>
      <c r="O277" s="183"/>
      <c r="P277" s="183"/>
      <c r="Q277" s="183"/>
      <c r="R277" s="183"/>
      <c r="S277" s="183"/>
      <c r="T277" s="152"/>
      <c r="U277" s="155"/>
      <c r="V277" s="152"/>
      <c r="W277" s="152"/>
      <c r="X277" s="152"/>
      <c r="Y277" s="152"/>
      <c r="Z277" s="152"/>
      <c r="AA277" s="152"/>
      <c r="AB277" s="152"/>
      <c r="AC277" s="152"/>
      <c r="AD277" s="152"/>
      <c r="AE277" s="152"/>
      <c r="AF277" s="152"/>
      <c r="AG277" s="144"/>
      <c r="AH277" s="144"/>
      <c r="AI277" s="144"/>
      <c r="AJ277" s="144"/>
      <c r="AK277" s="144"/>
    </row>
    <row r="278" ht="22.5" customHeight="1">
      <c r="A278" s="184"/>
      <c r="B278" s="184"/>
      <c r="C278" s="184"/>
      <c r="D278" s="184"/>
      <c r="E278" s="184"/>
      <c r="F278" s="184"/>
      <c r="G278" s="184"/>
      <c r="H278" s="184"/>
      <c r="I278" s="184"/>
      <c r="J278" s="184"/>
      <c r="K278" s="184"/>
      <c r="L278" s="184"/>
      <c r="M278" s="184"/>
      <c r="N278" s="184"/>
      <c r="O278" s="184"/>
      <c r="P278" s="184"/>
      <c r="Q278" s="184"/>
      <c r="R278" s="184"/>
      <c r="S278" s="184"/>
      <c r="T278" s="145"/>
      <c r="U278" s="151"/>
      <c r="V278" s="145"/>
      <c r="W278" s="145"/>
      <c r="X278" s="145"/>
      <c r="Y278" s="145"/>
      <c r="Z278" s="145"/>
      <c r="AA278" s="145"/>
      <c r="AB278" s="145"/>
      <c r="AC278" s="145"/>
      <c r="AD278" s="145"/>
      <c r="AE278" s="145"/>
      <c r="AF278" s="145"/>
      <c r="AG278" s="144"/>
      <c r="AH278" s="144"/>
      <c r="AI278" s="144"/>
      <c r="AJ278" s="144"/>
      <c r="AK278" s="144"/>
    </row>
    <row r="279" ht="22.5" customHeight="1">
      <c r="A279" s="183"/>
      <c r="B279" s="183"/>
      <c r="C279" s="183"/>
      <c r="D279" s="183"/>
      <c r="E279" s="183"/>
      <c r="F279" s="183"/>
      <c r="G279" s="183"/>
      <c r="H279" s="183"/>
      <c r="I279" s="183"/>
      <c r="J279" s="183"/>
      <c r="K279" s="183"/>
      <c r="L279" s="183"/>
      <c r="M279" s="183"/>
      <c r="N279" s="183"/>
      <c r="O279" s="183"/>
      <c r="P279" s="183"/>
      <c r="Q279" s="183"/>
      <c r="R279" s="183"/>
      <c r="S279" s="183"/>
      <c r="T279" s="152"/>
      <c r="U279" s="155"/>
      <c r="V279" s="152"/>
      <c r="W279" s="152"/>
      <c r="X279" s="152"/>
      <c r="Y279" s="152"/>
      <c r="Z279" s="152"/>
      <c r="AA279" s="152"/>
      <c r="AB279" s="152"/>
      <c r="AC279" s="152"/>
      <c r="AD279" s="152"/>
      <c r="AE279" s="152"/>
      <c r="AF279" s="152"/>
      <c r="AG279" s="144"/>
      <c r="AH279" s="144"/>
      <c r="AI279" s="144"/>
      <c r="AJ279" s="144"/>
      <c r="AK279" s="144"/>
    </row>
    <row r="280" ht="22.5" customHeight="1">
      <c r="A280" s="184"/>
      <c r="B280" s="184"/>
      <c r="C280" s="184"/>
      <c r="D280" s="184"/>
      <c r="E280" s="184"/>
      <c r="F280" s="184"/>
      <c r="G280" s="184"/>
      <c r="H280" s="184"/>
      <c r="I280" s="184"/>
      <c r="J280" s="184"/>
      <c r="K280" s="184"/>
      <c r="L280" s="184"/>
      <c r="M280" s="184"/>
      <c r="N280" s="184"/>
      <c r="O280" s="184"/>
      <c r="P280" s="184"/>
      <c r="Q280" s="184"/>
      <c r="R280" s="184"/>
      <c r="S280" s="184"/>
      <c r="T280" s="145"/>
      <c r="U280" s="151"/>
      <c r="V280" s="145"/>
      <c r="W280" s="145"/>
      <c r="X280" s="145"/>
      <c r="Y280" s="145"/>
      <c r="Z280" s="145"/>
      <c r="AA280" s="145"/>
      <c r="AB280" s="145"/>
      <c r="AC280" s="145"/>
      <c r="AD280" s="145"/>
      <c r="AE280" s="145"/>
      <c r="AF280" s="145"/>
      <c r="AG280" s="144"/>
      <c r="AH280" s="144"/>
      <c r="AI280" s="144"/>
      <c r="AJ280" s="144"/>
      <c r="AK280" s="144"/>
    </row>
    <row r="281" ht="22.5" customHeight="1">
      <c r="A281" s="183"/>
      <c r="B281" s="183"/>
      <c r="C281" s="183"/>
      <c r="D281" s="183"/>
      <c r="E281" s="183"/>
      <c r="F281" s="183"/>
      <c r="G281" s="183"/>
      <c r="H281" s="183"/>
      <c r="I281" s="183"/>
      <c r="J281" s="183"/>
      <c r="K281" s="183"/>
      <c r="L281" s="183"/>
      <c r="M281" s="183"/>
      <c r="N281" s="183"/>
      <c r="O281" s="183"/>
      <c r="P281" s="183"/>
      <c r="Q281" s="183"/>
      <c r="R281" s="183"/>
      <c r="S281" s="183"/>
      <c r="T281" s="152"/>
      <c r="U281" s="155"/>
      <c r="V281" s="152"/>
      <c r="W281" s="152"/>
      <c r="X281" s="152"/>
      <c r="Y281" s="152"/>
      <c r="Z281" s="152"/>
      <c r="AA281" s="152"/>
      <c r="AB281" s="152"/>
      <c r="AC281" s="152"/>
      <c r="AD281" s="152"/>
      <c r="AE281" s="152"/>
      <c r="AF281" s="152"/>
      <c r="AG281" s="144"/>
      <c r="AH281" s="144"/>
      <c r="AI281" s="144"/>
      <c r="AJ281" s="144"/>
      <c r="AK281" s="144"/>
    </row>
    <row r="282" ht="22.5" customHeight="1">
      <c r="A282" s="184"/>
      <c r="B282" s="184"/>
      <c r="C282" s="184"/>
      <c r="D282" s="184"/>
      <c r="E282" s="184"/>
      <c r="F282" s="184"/>
      <c r="G282" s="184"/>
      <c r="H282" s="184"/>
      <c r="I282" s="184"/>
      <c r="J282" s="184"/>
      <c r="K282" s="184"/>
      <c r="L282" s="184"/>
      <c r="M282" s="184"/>
      <c r="N282" s="184"/>
      <c r="O282" s="184"/>
      <c r="P282" s="184"/>
      <c r="Q282" s="184"/>
      <c r="R282" s="184"/>
      <c r="S282" s="184"/>
      <c r="T282" s="145"/>
      <c r="U282" s="151"/>
      <c r="V282" s="145"/>
      <c r="W282" s="145"/>
      <c r="X282" s="145"/>
      <c r="Y282" s="145"/>
      <c r="Z282" s="145"/>
      <c r="AA282" s="145"/>
      <c r="AB282" s="145"/>
      <c r="AC282" s="145"/>
      <c r="AD282" s="145"/>
      <c r="AE282" s="145"/>
      <c r="AF282" s="145"/>
      <c r="AG282" s="144"/>
      <c r="AH282" s="144"/>
      <c r="AI282" s="144"/>
      <c r="AJ282" s="144"/>
      <c r="AK282" s="144"/>
    </row>
    <row r="283" ht="22.5" customHeight="1">
      <c r="A283" s="183"/>
      <c r="B283" s="183"/>
      <c r="C283" s="183"/>
      <c r="D283" s="183"/>
      <c r="E283" s="183"/>
      <c r="F283" s="183"/>
      <c r="G283" s="183"/>
      <c r="H283" s="183"/>
      <c r="I283" s="183"/>
      <c r="J283" s="183"/>
      <c r="K283" s="183"/>
      <c r="L283" s="183"/>
      <c r="M283" s="183"/>
      <c r="N283" s="183"/>
      <c r="O283" s="183"/>
      <c r="P283" s="183"/>
      <c r="Q283" s="183"/>
      <c r="R283" s="183"/>
      <c r="S283" s="183"/>
      <c r="T283" s="152"/>
      <c r="U283" s="155"/>
      <c r="V283" s="152"/>
      <c r="W283" s="152"/>
      <c r="X283" s="152"/>
      <c r="Y283" s="152"/>
      <c r="Z283" s="152"/>
      <c r="AA283" s="152"/>
      <c r="AB283" s="152"/>
      <c r="AC283" s="152"/>
      <c r="AD283" s="152"/>
      <c r="AE283" s="152"/>
      <c r="AF283" s="152"/>
      <c r="AG283" s="144"/>
      <c r="AH283" s="144"/>
      <c r="AI283" s="144"/>
      <c r="AJ283" s="144"/>
      <c r="AK283" s="144"/>
    </row>
    <row r="284" ht="22.5" customHeight="1">
      <c r="A284" s="184"/>
      <c r="B284" s="184"/>
      <c r="C284" s="184"/>
      <c r="D284" s="184"/>
      <c r="E284" s="184"/>
      <c r="F284" s="184"/>
      <c r="G284" s="184"/>
      <c r="H284" s="184"/>
      <c r="I284" s="184"/>
      <c r="J284" s="184"/>
      <c r="K284" s="184"/>
      <c r="L284" s="184"/>
      <c r="M284" s="184"/>
      <c r="N284" s="184"/>
      <c r="O284" s="184"/>
      <c r="P284" s="184"/>
      <c r="Q284" s="184"/>
      <c r="R284" s="184"/>
      <c r="S284" s="184"/>
      <c r="T284" s="145"/>
      <c r="U284" s="151"/>
      <c r="V284" s="145"/>
      <c r="W284" s="145"/>
      <c r="X284" s="145"/>
      <c r="Y284" s="145"/>
      <c r="Z284" s="145"/>
      <c r="AA284" s="145"/>
      <c r="AB284" s="145"/>
      <c r="AC284" s="145"/>
      <c r="AD284" s="145"/>
      <c r="AE284" s="145"/>
      <c r="AF284" s="145"/>
      <c r="AG284" s="144"/>
      <c r="AH284" s="144"/>
      <c r="AI284" s="144"/>
      <c r="AJ284" s="144"/>
      <c r="AK284" s="144"/>
    </row>
    <row r="285" ht="22.5" customHeight="1">
      <c r="A285" s="183"/>
      <c r="B285" s="183"/>
      <c r="C285" s="183"/>
      <c r="D285" s="183"/>
      <c r="E285" s="183"/>
      <c r="F285" s="183"/>
      <c r="G285" s="183"/>
      <c r="H285" s="183"/>
      <c r="I285" s="183"/>
      <c r="J285" s="183"/>
      <c r="K285" s="183"/>
      <c r="L285" s="183"/>
      <c r="M285" s="183"/>
      <c r="N285" s="183"/>
      <c r="O285" s="183"/>
      <c r="P285" s="183"/>
      <c r="Q285" s="183"/>
      <c r="R285" s="183"/>
      <c r="S285" s="183"/>
      <c r="T285" s="152"/>
      <c r="U285" s="155"/>
      <c r="V285" s="152"/>
      <c r="W285" s="152"/>
      <c r="X285" s="152"/>
      <c r="Y285" s="152"/>
      <c r="Z285" s="152"/>
      <c r="AA285" s="152"/>
      <c r="AB285" s="152"/>
      <c r="AC285" s="152"/>
      <c r="AD285" s="152"/>
      <c r="AE285" s="152"/>
      <c r="AF285" s="152"/>
      <c r="AG285" s="144"/>
      <c r="AH285" s="144"/>
      <c r="AI285" s="144"/>
      <c r="AJ285" s="144"/>
      <c r="AK285" s="144"/>
    </row>
    <row r="286" ht="22.5" customHeight="1">
      <c r="A286" s="184"/>
      <c r="B286" s="184"/>
      <c r="C286" s="184"/>
      <c r="D286" s="184"/>
      <c r="E286" s="184"/>
      <c r="F286" s="184"/>
      <c r="G286" s="184"/>
      <c r="H286" s="184"/>
      <c r="I286" s="184"/>
      <c r="J286" s="184"/>
      <c r="K286" s="184"/>
      <c r="L286" s="184"/>
      <c r="M286" s="184"/>
      <c r="N286" s="184"/>
      <c r="O286" s="184"/>
      <c r="P286" s="184"/>
      <c r="Q286" s="184"/>
      <c r="R286" s="184"/>
      <c r="S286" s="184"/>
      <c r="T286" s="145"/>
      <c r="U286" s="151"/>
      <c r="V286" s="145"/>
      <c r="W286" s="145"/>
      <c r="X286" s="145"/>
      <c r="Y286" s="145"/>
      <c r="Z286" s="145"/>
      <c r="AA286" s="145"/>
      <c r="AB286" s="145"/>
      <c r="AC286" s="145"/>
      <c r="AD286" s="145"/>
      <c r="AE286" s="145"/>
      <c r="AF286" s="145"/>
      <c r="AG286" s="144"/>
      <c r="AH286" s="144"/>
      <c r="AI286" s="144"/>
      <c r="AJ286" s="144"/>
      <c r="AK286" s="144"/>
    </row>
    <row r="287" ht="22.5" customHeight="1">
      <c r="A287" s="183"/>
      <c r="B287" s="183"/>
      <c r="C287" s="183"/>
      <c r="D287" s="183"/>
      <c r="E287" s="183"/>
      <c r="F287" s="183"/>
      <c r="G287" s="183"/>
      <c r="H287" s="183"/>
      <c r="I287" s="183"/>
      <c r="J287" s="183"/>
      <c r="K287" s="183"/>
      <c r="L287" s="183"/>
      <c r="M287" s="183"/>
      <c r="N287" s="183"/>
      <c r="O287" s="183"/>
      <c r="P287" s="183"/>
      <c r="Q287" s="183"/>
      <c r="R287" s="183"/>
      <c r="S287" s="183"/>
      <c r="T287" s="152"/>
      <c r="U287" s="155"/>
      <c r="V287" s="152"/>
      <c r="W287" s="152"/>
      <c r="X287" s="152"/>
      <c r="Y287" s="152"/>
      <c r="Z287" s="152"/>
      <c r="AA287" s="152"/>
      <c r="AB287" s="152"/>
      <c r="AC287" s="152"/>
      <c r="AD287" s="152"/>
      <c r="AE287" s="152"/>
      <c r="AF287" s="152"/>
      <c r="AG287" s="144"/>
      <c r="AH287" s="144"/>
      <c r="AI287" s="144"/>
      <c r="AJ287" s="144"/>
      <c r="AK287" s="144"/>
    </row>
    <row r="288" ht="22.5" customHeight="1">
      <c r="A288" s="184"/>
      <c r="B288" s="184"/>
      <c r="C288" s="184"/>
      <c r="D288" s="184"/>
      <c r="E288" s="184"/>
      <c r="F288" s="184"/>
      <c r="G288" s="184"/>
      <c r="H288" s="184"/>
      <c r="I288" s="184"/>
      <c r="J288" s="184"/>
      <c r="K288" s="184"/>
      <c r="L288" s="184"/>
      <c r="M288" s="184"/>
      <c r="N288" s="184"/>
      <c r="O288" s="184"/>
      <c r="P288" s="184"/>
      <c r="Q288" s="184"/>
      <c r="R288" s="184"/>
      <c r="S288" s="184"/>
      <c r="T288" s="145"/>
      <c r="U288" s="151"/>
      <c r="V288" s="145"/>
      <c r="W288" s="145"/>
      <c r="X288" s="145"/>
      <c r="Y288" s="145"/>
      <c r="Z288" s="145"/>
      <c r="AA288" s="145"/>
      <c r="AB288" s="145"/>
      <c r="AC288" s="145"/>
      <c r="AD288" s="145"/>
      <c r="AE288" s="145"/>
      <c r="AF288" s="145"/>
      <c r="AG288" s="144"/>
      <c r="AH288" s="144"/>
      <c r="AI288" s="144"/>
      <c r="AJ288" s="144"/>
      <c r="AK288" s="144"/>
    </row>
    <row r="289" ht="22.5" customHeight="1">
      <c r="A289" s="183"/>
      <c r="B289" s="183"/>
      <c r="C289" s="183"/>
      <c r="D289" s="183"/>
      <c r="E289" s="183"/>
      <c r="F289" s="183"/>
      <c r="G289" s="183"/>
      <c r="H289" s="183"/>
      <c r="I289" s="183"/>
      <c r="J289" s="183"/>
      <c r="K289" s="183"/>
      <c r="L289" s="183"/>
      <c r="M289" s="183"/>
      <c r="N289" s="183"/>
      <c r="O289" s="183"/>
      <c r="P289" s="183"/>
      <c r="Q289" s="183"/>
      <c r="R289" s="183"/>
      <c r="S289" s="183"/>
      <c r="T289" s="152"/>
      <c r="U289" s="155"/>
      <c r="V289" s="152"/>
      <c r="W289" s="152"/>
      <c r="X289" s="152"/>
      <c r="Y289" s="152"/>
      <c r="Z289" s="152"/>
      <c r="AA289" s="152"/>
      <c r="AB289" s="152"/>
      <c r="AC289" s="152"/>
      <c r="AD289" s="152"/>
      <c r="AE289" s="152"/>
      <c r="AF289" s="152"/>
      <c r="AG289" s="144"/>
      <c r="AH289" s="144"/>
      <c r="AI289" s="144"/>
      <c r="AJ289" s="144"/>
      <c r="AK289" s="144"/>
    </row>
    <row r="290" ht="22.5" customHeight="1">
      <c r="A290" s="184"/>
      <c r="B290" s="184"/>
      <c r="C290" s="184"/>
      <c r="D290" s="184"/>
      <c r="E290" s="184"/>
      <c r="F290" s="184"/>
      <c r="G290" s="184"/>
      <c r="H290" s="184"/>
      <c r="I290" s="184"/>
      <c r="J290" s="184"/>
      <c r="K290" s="184"/>
      <c r="L290" s="184"/>
      <c r="M290" s="184"/>
      <c r="N290" s="184"/>
      <c r="O290" s="184"/>
      <c r="P290" s="184"/>
      <c r="Q290" s="184"/>
      <c r="R290" s="184"/>
      <c r="S290" s="184"/>
      <c r="T290" s="145"/>
      <c r="U290" s="151"/>
      <c r="V290" s="145"/>
      <c r="W290" s="145"/>
      <c r="X290" s="145"/>
      <c r="Y290" s="145"/>
      <c r="Z290" s="145"/>
      <c r="AA290" s="145"/>
      <c r="AB290" s="145"/>
      <c r="AC290" s="145"/>
      <c r="AD290" s="145"/>
      <c r="AE290" s="145"/>
      <c r="AF290" s="145"/>
      <c r="AG290" s="144"/>
      <c r="AH290" s="144"/>
      <c r="AI290" s="144"/>
      <c r="AJ290" s="144"/>
      <c r="AK290" s="144"/>
    </row>
    <row r="291" ht="22.5" customHeight="1">
      <c r="A291" s="183"/>
      <c r="B291" s="183"/>
      <c r="C291" s="183"/>
      <c r="D291" s="183"/>
      <c r="E291" s="183"/>
      <c r="F291" s="183"/>
      <c r="G291" s="183"/>
      <c r="H291" s="183"/>
      <c r="I291" s="183"/>
      <c r="J291" s="183"/>
      <c r="K291" s="183"/>
      <c r="L291" s="183"/>
      <c r="M291" s="183"/>
      <c r="N291" s="183"/>
      <c r="O291" s="183"/>
      <c r="P291" s="183"/>
      <c r="Q291" s="183"/>
      <c r="R291" s="183"/>
      <c r="S291" s="183"/>
      <c r="T291" s="152"/>
      <c r="U291" s="155"/>
      <c r="V291" s="152"/>
      <c r="W291" s="152"/>
      <c r="X291" s="152"/>
      <c r="Y291" s="152"/>
      <c r="Z291" s="152"/>
      <c r="AA291" s="152"/>
      <c r="AB291" s="152"/>
      <c r="AC291" s="152"/>
      <c r="AD291" s="152"/>
      <c r="AE291" s="152"/>
      <c r="AF291" s="152"/>
      <c r="AG291" s="144"/>
      <c r="AH291" s="144"/>
      <c r="AI291" s="144"/>
      <c r="AJ291" s="144"/>
      <c r="AK291" s="144"/>
    </row>
    <row r="292" ht="22.5" customHeight="1">
      <c r="A292" s="184"/>
      <c r="B292" s="184"/>
      <c r="C292" s="184"/>
      <c r="D292" s="184"/>
      <c r="E292" s="184"/>
      <c r="F292" s="184"/>
      <c r="G292" s="184"/>
      <c r="H292" s="184"/>
      <c r="I292" s="184"/>
      <c r="J292" s="184"/>
      <c r="K292" s="184"/>
      <c r="L292" s="184"/>
      <c r="M292" s="184"/>
      <c r="N292" s="184"/>
      <c r="O292" s="184"/>
      <c r="P292" s="184"/>
      <c r="Q292" s="184"/>
      <c r="R292" s="184"/>
      <c r="S292" s="184"/>
      <c r="T292" s="145"/>
      <c r="U292" s="151"/>
      <c r="V292" s="145"/>
      <c r="W292" s="145"/>
      <c r="X292" s="145"/>
      <c r="Y292" s="145"/>
      <c r="Z292" s="145"/>
      <c r="AA292" s="145"/>
      <c r="AB292" s="145"/>
      <c r="AC292" s="145"/>
      <c r="AD292" s="145"/>
      <c r="AE292" s="145"/>
      <c r="AF292" s="145"/>
      <c r="AG292" s="144"/>
      <c r="AH292" s="144"/>
      <c r="AI292" s="144"/>
      <c r="AJ292" s="144"/>
      <c r="AK292" s="144"/>
    </row>
    <row r="293" ht="22.5" customHeight="1">
      <c r="A293" s="183"/>
      <c r="B293" s="183"/>
      <c r="C293" s="183"/>
      <c r="D293" s="183"/>
      <c r="E293" s="183"/>
      <c r="F293" s="183"/>
      <c r="G293" s="183"/>
      <c r="H293" s="183"/>
      <c r="I293" s="183"/>
      <c r="J293" s="183"/>
      <c r="K293" s="183"/>
      <c r="L293" s="183"/>
      <c r="M293" s="183"/>
      <c r="N293" s="183"/>
      <c r="O293" s="183"/>
      <c r="P293" s="183"/>
      <c r="Q293" s="183"/>
      <c r="R293" s="183"/>
      <c r="S293" s="183"/>
      <c r="T293" s="152"/>
      <c r="U293" s="155"/>
      <c r="V293" s="152"/>
      <c r="W293" s="152"/>
      <c r="X293" s="152"/>
      <c r="Y293" s="152"/>
      <c r="Z293" s="152"/>
      <c r="AA293" s="152"/>
      <c r="AB293" s="152"/>
      <c r="AC293" s="152"/>
      <c r="AD293" s="152"/>
      <c r="AE293" s="152"/>
      <c r="AF293" s="152"/>
      <c r="AG293" s="144"/>
      <c r="AH293" s="144"/>
      <c r="AI293" s="144"/>
      <c r="AJ293" s="144"/>
      <c r="AK293" s="144"/>
    </row>
    <row r="294" ht="22.5" customHeight="1">
      <c r="A294" s="184"/>
      <c r="B294" s="184"/>
      <c r="C294" s="184"/>
      <c r="D294" s="184"/>
      <c r="E294" s="184"/>
      <c r="F294" s="184"/>
      <c r="G294" s="184"/>
      <c r="H294" s="184"/>
      <c r="I294" s="184"/>
      <c r="J294" s="184"/>
      <c r="K294" s="184"/>
      <c r="L294" s="184"/>
      <c r="M294" s="184"/>
      <c r="N294" s="184"/>
      <c r="O294" s="184"/>
      <c r="P294" s="184"/>
      <c r="Q294" s="184"/>
      <c r="R294" s="184"/>
      <c r="S294" s="184"/>
      <c r="T294" s="145"/>
      <c r="U294" s="151"/>
      <c r="V294" s="145"/>
      <c r="W294" s="145"/>
      <c r="X294" s="145"/>
      <c r="Y294" s="145"/>
      <c r="Z294" s="145"/>
      <c r="AA294" s="145"/>
      <c r="AB294" s="145"/>
      <c r="AC294" s="145"/>
      <c r="AD294" s="145"/>
      <c r="AE294" s="145"/>
      <c r="AF294" s="145"/>
      <c r="AG294" s="144"/>
      <c r="AH294" s="144"/>
      <c r="AI294" s="144"/>
      <c r="AJ294" s="144"/>
      <c r="AK294" s="144"/>
    </row>
    <row r="295" ht="22.5" customHeight="1">
      <c r="A295" s="183"/>
      <c r="B295" s="183"/>
      <c r="C295" s="183"/>
      <c r="D295" s="183"/>
      <c r="E295" s="183"/>
      <c r="F295" s="183"/>
      <c r="G295" s="183"/>
      <c r="H295" s="183"/>
      <c r="I295" s="183"/>
      <c r="J295" s="183"/>
      <c r="K295" s="183"/>
      <c r="L295" s="183"/>
      <c r="M295" s="183"/>
      <c r="N295" s="183"/>
      <c r="O295" s="183"/>
      <c r="P295" s="183"/>
      <c r="Q295" s="183"/>
      <c r="R295" s="183"/>
      <c r="S295" s="183"/>
      <c r="T295" s="152"/>
      <c r="U295" s="155"/>
      <c r="V295" s="152"/>
      <c r="W295" s="152"/>
      <c r="X295" s="152"/>
      <c r="Y295" s="152"/>
      <c r="Z295" s="152"/>
      <c r="AA295" s="152"/>
      <c r="AB295" s="152"/>
      <c r="AC295" s="152"/>
      <c r="AD295" s="152"/>
      <c r="AE295" s="152"/>
      <c r="AF295" s="152"/>
      <c r="AG295" s="144"/>
      <c r="AH295" s="144"/>
      <c r="AI295" s="144"/>
      <c r="AJ295" s="144"/>
      <c r="AK295" s="144"/>
    </row>
    <row r="296" ht="22.5" customHeight="1">
      <c r="A296" s="184"/>
      <c r="B296" s="184"/>
      <c r="C296" s="184"/>
      <c r="D296" s="184"/>
      <c r="E296" s="184"/>
      <c r="F296" s="184"/>
      <c r="G296" s="184"/>
      <c r="H296" s="184"/>
      <c r="I296" s="184"/>
      <c r="J296" s="184"/>
      <c r="K296" s="184"/>
      <c r="L296" s="184"/>
      <c r="M296" s="184"/>
      <c r="N296" s="184"/>
      <c r="O296" s="184"/>
      <c r="P296" s="184"/>
      <c r="Q296" s="184"/>
      <c r="R296" s="184"/>
      <c r="S296" s="184"/>
      <c r="T296" s="145"/>
      <c r="U296" s="151"/>
      <c r="V296" s="145"/>
      <c r="W296" s="145"/>
      <c r="X296" s="145"/>
      <c r="Y296" s="145"/>
      <c r="Z296" s="145"/>
      <c r="AA296" s="145"/>
      <c r="AB296" s="145"/>
      <c r="AC296" s="145"/>
      <c r="AD296" s="145"/>
      <c r="AE296" s="145"/>
      <c r="AF296" s="145"/>
      <c r="AG296" s="144"/>
      <c r="AH296" s="144"/>
      <c r="AI296" s="144"/>
      <c r="AJ296" s="144"/>
      <c r="AK296" s="144"/>
    </row>
    <row r="297" ht="22.5" customHeight="1">
      <c r="A297" s="183"/>
      <c r="B297" s="183"/>
      <c r="C297" s="183"/>
      <c r="D297" s="183"/>
      <c r="E297" s="183"/>
      <c r="F297" s="183"/>
      <c r="G297" s="183"/>
      <c r="H297" s="183"/>
      <c r="I297" s="183"/>
      <c r="J297" s="183"/>
      <c r="K297" s="183"/>
      <c r="L297" s="183"/>
      <c r="M297" s="183"/>
      <c r="N297" s="183"/>
      <c r="O297" s="183"/>
      <c r="P297" s="183"/>
      <c r="Q297" s="183"/>
      <c r="R297" s="183"/>
      <c r="S297" s="183"/>
      <c r="T297" s="152"/>
      <c r="U297" s="155"/>
      <c r="V297" s="152"/>
      <c r="W297" s="152"/>
      <c r="X297" s="152"/>
      <c r="Y297" s="152"/>
      <c r="Z297" s="152"/>
      <c r="AA297" s="152"/>
      <c r="AB297" s="152"/>
      <c r="AC297" s="152"/>
      <c r="AD297" s="152"/>
      <c r="AE297" s="152"/>
      <c r="AF297" s="152"/>
      <c r="AG297" s="144"/>
      <c r="AH297" s="144"/>
      <c r="AI297" s="144"/>
      <c r="AJ297" s="144"/>
      <c r="AK297" s="144"/>
    </row>
    <row r="298" ht="22.5" customHeight="1">
      <c r="A298" s="184"/>
      <c r="B298" s="184"/>
      <c r="C298" s="184"/>
      <c r="D298" s="184"/>
      <c r="E298" s="184"/>
      <c r="F298" s="184"/>
      <c r="G298" s="184"/>
      <c r="H298" s="184"/>
      <c r="I298" s="184"/>
      <c r="J298" s="184"/>
      <c r="K298" s="184"/>
      <c r="L298" s="184"/>
      <c r="M298" s="184"/>
      <c r="N298" s="184"/>
      <c r="O298" s="184"/>
      <c r="P298" s="184"/>
      <c r="Q298" s="184"/>
      <c r="R298" s="184"/>
      <c r="S298" s="184"/>
      <c r="T298" s="145"/>
      <c r="U298" s="151"/>
      <c r="V298" s="145"/>
      <c r="W298" s="145"/>
      <c r="X298" s="145"/>
      <c r="Y298" s="145"/>
      <c r="Z298" s="145"/>
      <c r="AA298" s="145"/>
      <c r="AB298" s="145"/>
      <c r="AC298" s="145"/>
      <c r="AD298" s="145"/>
      <c r="AE298" s="145"/>
      <c r="AF298" s="145"/>
      <c r="AG298" s="144"/>
      <c r="AH298" s="144"/>
      <c r="AI298" s="144"/>
      <c r="AJ298" s="144"/>
      <c r="AK298" s="144"/>
    </row>
    <row r="299" ht="22.5" customHeight="1">
      <c r="A299" s="183"/>
      <c r="B299" s="183"/>
      <c r="C299" s="183"/>
      <c r="D299" s="183"/>
      <c r="E299" s="183"/>
      <c r="F299" s="183"/>
      <c r="G299" s="183"/>
      <c r="H299" s="183"/>
      <c r="I299" s="183"/>
      <c r="J299" s="183"/>
      <c r="K299" s="183"/>
      <c r="L299" s="183"/>
      <c r="M299" s="183"/>
      <c r="N299" s="183"/>
      <c r="O299" s="183"/>
      <c r="P299" s="183"/>
      <c r="Q299" s="183"/>
      <c r="R299" s="183"/>
      <c r="S299" s="183"/>
      <c r="T299" s="152"/>
      <c r="U299" s="155"/>
      <c r="V299" s="152"/>
      <c r="W299" s="152"/>
      <c r="X299" s="152"/>
      <c r="Y299" s="152"/>
      <c r="Z299" s="152"/>
      <c r="AA299" s="152"/>
      <c r="AB299" s="152"/>
      <c r="AC299" s="152"/>
      <c r="AD299" s="152"/>
      <c r="AE299" s="152"/>
      <c r="AF299" s="152"/>
      <c r="AG299" s="144"/>
      <c r="AH299" s="144"/>
      <c r="AI299" s="144"/>
      <c r="AJ299" s="144"/>
      <c r="AK299" s="144"/>
    </row>
    <row r="300" ht="22.5" customHeight="1">
      <c r="A300" s="184"/>
      <c r="B300" s="184"/>
      <c r="C300" s="184"/>
      <c r="D300" s="184"/>
      <c r="E300" s="184"/>
      <c r="F300" s="184"/>
      <c r="G300" s="184"/>
      <c r="H300" s="184"/>
      <c r="I300" s="184"/>
      <c r="J300" s="184"/>
      <c r="K300" s="184"/>
      <c r="L300" s="184"/>
      <c r="M300" s="184"/>
      <c r="N300" s="184"/>
      <c r="O300" s="184"/>
      <c r="P300" s="184"/>
      <c r="Q300" s="184"/>
      <c r="R300" s="184"/>
      <c r="S300" s="184"/>
      <c r="T300" s="145"/>
      <c r="U300" s="151"/>
      <c r="V300" s="145"/>
      <c r="W300" s="145"/>
      <c r="X300" s="145"/>
      <c r="Y300" s="145"/>
      <c r="Z300" s="145"/>
      <c r="AA300" s="145"/>
      <c r="AB300" s="145"/>
      <c r="AC300" s="145"/>
      <c r="AD300" s="145"/>
      <c r="AE300" s="145"/>
      <c r="AF300" s="145"/>
      <c r="AG300" s="144"/>
      <c r="AH300" s="144"/>
      <c r="AI300" s="144"/>
      <c r="AJ300" s="144"/>
      <c r="AK300" s="144"/>
    </row>
    <row r="301" ht="22.5" customHeight="1">
      <c r="A301" s="183"/>
      <c r="B301" s="183"/>
      <c r="C301" s="183"/>
      <c r="D301" s="183"/>
      <c r="E301" s="183"/>
      <c r="F301" s="183"/>
      <c r="G301" s="183"/>
      <c r="H301" s="183"/>
      <c r="I301" s="183"/>
      <c r="J301" s="183"/>
      <c r="K301" s="183"/>
      <c r="L301" s="183"/>
      <c r="M301" s="183"/>
      <c r="N301" s="183"/>
      <c r="O301" s="183"/>
      <c r="P301" s="183"/>
      <c r="Q301" s="183"/>
      <c r="R301" s="183"/>
      <c r="S301" s="183"/>
      <c r="T301" s="152"/>
      <c r="U301" s="155"/>
      <c r="V301" s="152"/>
      <c r="W301" s="152"/>
      <c r="X301" s="152"/>
      <c r="Y301" s="152"/>
      <c r="Z301" s="152"/>
      <c r="AA301" s="152"/>
      <c r="AB301" s="152"/>
      <c r="AC301" s="152"/>
      <c r="AD301" s="152"/>
      <c r="AE301" s="152"/>
      <c r="AF301" s="152"/>
      <c r="AG301" s="144"/>
      <c r="AH301" s="144"/>
      <c r="AI301" s="144"/>
      <c r="AJ301" s="144"/>
      <c r="AK301" s="144"/>
    </row>
    <row r="302" ht="22.5" customHeight="1">
      <c r="A302" s="184"/>
      <c r="B302" s="184"/>
      <c r="C302" s="184"/>
      <c r="D302" s="184"/>
      <c r="E302" s="184"/>
      <c r="F302" s="184"/>
      <c r="G302" s="184"/>
      <c r="H302" s="184"/>
      <c r="I302" s="184"/>
      <c r="J302" s="184"/>
      <c r="K302" s="184"/>
      <c r="L302" s="184"/>
      <c r="M302" s="184"/>
      <c r="N302" s="184"/>
      <c r="O302" s="184"/>
      <c r="P302" s="184"/>
      <c r="Q302" s="184"/>
      <c r="R302" s="184"/>
      <c r="S302" s="184"/>
      <c r="T302" s="145"/>
      <c r="U302" s="151"/>
      <c r="V302" s="145"/>
      <c r="W302" s="145"/>
      <c r="X302" s="145"/>
      <c r="Y302" s="145"/>
      <c r="Z302" s="145"/>
      <c r="AA302" s="145"/>
      <c r="AB302" s="145"/>
      <c r="AC302" s="145"/>
      <c r="AD302" s="145"/>
      <c r="AE302" s="145"/>
      <c r="AF302" s="145"/>
      <c r="AG302" s="144"/>
      <c r="AH302" s="144"/>
      <c r="AI302" s="144"/>
      <c r="AJ302" s="144"/>
      <c r="AK302" s="144"/>
    </row>
    <row r="303" ht="22.5" customHeight="1">
      <c r="A303" s="183"/>
      <c r="B303" s="183"/>
      <c r="C303" s="183"/>
      <c r="D303" s="183"/>
      <c r="E303" s="183"/>
      <c r="F303" s="183"/>
      <c r="G303" s="183"/>
      <c r="H303" s="183"/>
      <c r="I303" s="183"/>
      <c r="J303" s="183"/>
      <c r="K303" s="183"/>
      <c r="L303" s="183"/>
      <c r="M303" s="183"/>
      <c r="N303" s="183"/>
      <c r="O303" s="183"/>
      <c r="P303" s="183"/>
      <c r="Q303" s="183"/>
      <c r="R303" s="183"/>
      <c r="S303" s="183"/>
      <c r="T303" s="152"/>
      <c r="U303" s="155"/>
      <c r="V303" s="152"/>
      <c r="W303" s="152"/>
      <c r="X303" s="152"/>
      <c r="Y303" s="152"/>
      <c r="Z303" s="152"/>
      <c r="AA303" s="152"/>
      <c r="AB303" s="152"/>
      <c r="AC303" s="152"/>
      <c r="AD303" s="152"/>
      <c r="AE303" s="152"/>
      <c r="AF303" s="152"/>
      <c r="AG303" s="144"/>
      <c r="AH303" s="144"/>
      <c r="AI303" s="144"/>
      <c r="AJ303" s="144"/>
      <c r="AK303" s="144"/>
    </row>
    <row r="304" ht="22.5" customHeight="1">
      <c r="A304" s="184"/>
      <c r="B304" s="184"/>
      <c r="C304" s="184"/>
      <c r="D304" s="184"/>
      <c r="E304" s="184"/>
      <c r="F304" s="184"/>
      <c r="G304" s="184"/>
      <c r="H304" s="184"/>
      <c r="I304" s="184"/>
      <c r="J304" s="184"/>
      <c r="K304" s="184"/>
      <c r="L304" s="184"/>
      <c r="M304" s="184"/>
      <c r="N304" s="184"/>
      <c r="O304" s="184"/>
      <c r="P304" s="184"/>
      <c r="Q304" s="184"/>
      <c r="R304" s="184"/>
      <c r="S304" s="184"/>
      <c r="T304" s="145"/>
      <c r="U304" s="151"/>
      <c r="V304" s="145"/>
      <c r="W304" s="145"/>
      <c r="X304" s="145"/>
      <c r="Y304" s="145"/>
      <c r="Z304" s="145"/>
      <c r="AA304" s="145"/>
      <c r="AB304" s="145"/>
      <c r="AC304" s="145"/>
      <c r="AD304" s="145"/>
      <c r="AE304" s="145"/>
      <c r="AF304" s="145"/>
      <c r="AG304" s="144"/>
      <c r="AH304" s="144"/>
      <c r="AI304" s="144"/>
      <c r="AJ304" s="144"/>
      <c r="AK304" s="144"/>
    </row>
    <row r="305" ht="22.5" customHeight="1">
      <c r="A305" s="183"/>
      <c r="B305" s="183"/>
      <c r="C305" s="183"/>
      <c r="D305" s="183"/>
      <c r="E305" s="183"/>
      <c r="F305" s="183"/>
      <c r="G305" s="183"/>
      <c r="H305" s="183"/>
      <c r="I305" s="183"/>
      <c r="J305" s="183"/>
      <c r="K305" s="183"/>
      <c r="L305" s="183"/>
      <c r="M305" s="183"/>
      <c r="N305" s="183"/>
      <c r="O305" s="183"/>
      <c r="P305" s="183"/>
      <c r="Q305" s="183"/>
      <c r="R305" s="183"/>
      <c r="S305" s="183"/>
      <c r="T305" s="152"/>
      <c r="U305" s="155"/>
      <c r="V305" s="152"/>
      <c r="W305" s="152"/>
      <c r="X305" s="152"/>
      <c r="Y305" s="152"/>
      <c r="Z305" s="152"/>
      <c r="AA305" s="152"/>
      <c r="AB305" s="152"/>
      <c r="AC305" s="152"/>
      <c r="AD305" s="152"/>
      <c r="AE305" s="152"/>
      <c r="AF305" s="152"/>
      <c r="AG305" s="144"/>
      <c r="AH305" s="144"/>
      <c r="AI305" s="144"/>
      <c r="AJ305" s="144"/>
      <c r="AK305" s="144"/>
    </row>
    <row r="306" ht="22.5" customHeight="1">
      <c r="A306" s="184"/>
      <c r="B306" s="184"/>
      <c r="C306" s="184"/>
      <c r="D306" s="184"/>
      <c r="E306" s="184"/>
      <c r="F306" s="184"/>
      <c r="G306" s="184"/>
      <c r="H306" s="184"/>
      <c r="I306" s="184"/>
      <c r="J306" s="184"/>
      <c r="K306" s="184"/>
      <c r="L306" s="184"/>
      <c r="M306" s="184"/>
      <c r="N306" s="184"/>
      <c r="O306" s="184"/>
      <c r="P306" s="184"/>
      <c r="Q306" s="184"/>
      <c r="R306" s="184"/>
      <c r="S306" s="184"/>
      <c r="T306" s="145"/>
      <c r="U306" s="151"/>
      <c r="V306" s="145"/>
      <c r="W306" s="145"/>
      <c r="X306" s="145"/>
      <c r="Y306" s="145"/>
      <c r="Z306" s="145"/>
      <c r="AA306" s="145"/>
      <c r="AB306" s="145"/>
      <c r="AC306" s="145"/>
      <c r="AD306" s="145"/>
      <c r="AE306" s="145"/>
      <c r="AF306" s="145"/>
      <c r="AG306" s="144"/>
      <c r="AH306" s="144"/>
      <c r="AI306" s="144"/>
      <c r="AJ306" s="144"/>
      <c r="AK306" s="144"/>
    </row>
    <row r="307" ht="22.5" customHeight="1">
      <c r="A307" s="183"/>
      <c r="B307" s="183"/>
      <c r="C307" s="183"/>
      <c r="D307" s="183"/>
      <c r="E307" s="183"/>
      <c r="F307" s="183"/>
      <c r="G307" s="183"/>
      <c r="H307" s="183"/>
      <c r="I307" s="183"/>
      <c r="J307" s="183"/>
      <c r="K307" s="183"/>
      <c r="L307" s="183"/>
      <c r="M307" s="183"/>
      <c r="N307" s="183"/>
      <c r="O307" s="183"/>
      <c r="P307" s="183"/>
      <c r="Q307" s="183"/>
      <c r="R307" s="183"/>
      <c r="S307" s="183"/>
      <c r="T307" s="152"/>
      <c r="U307" s="155"/>
      <c r="V307" s="152"/>
      <c r="W307" s="152"/>
      <c r="X307" s="152"/>
      <c r="Y307" s="152"/>
      <c r="Z307" s="152"/>
      <c r="AA307" s="152"/>
      <c r="AB307" s="152"/>
      <c r="AC307" s="152"/>
      <c r="AD307" s="152"/>
      <c r="AE307" s="152"/>
      <c r="AF307" s="152"/>
      <c r="AG307" s="144"/>
      <c r="AH307" s="144"/>
      <c r="AI307" s="144"/>
      <c r="AJ307" s="144"/>
      <c r="AK307" s="144"/>
    </row>
    <row r="308" ht="22.5" customHeight="1">
      <c r="A308" s="184"/>
      <c r="B308" s="184"/>
      <c r="C308" s="184"/>
      <c r="D308" s="184"/>
      <c r="E308" s="184"/>
      <c r="F308" s="184"/>
      <c r="G308" s="184"/>
      <c r="H308" s="184"/>
      <c r="I308" s="184"/>
      <c r="J308" s="184"/>
      <c r="K308" s="184"/>
      <c r="L308" s="184"/>
      <c r="M308" s="184"/>
      <c r="N308" s="184"/>
      <c r="O308" s="184"/>
      <c r="P308" s="184"/>
      <c r="Q308" s="184"/>
      <c r="R308" s="184"/>
      <c r="S308" s="184"/>
      <c r="T308" s="145"/>
      <c r="U308" s="151"/>
      <c r="V308" s="145"/>
      <c r="W308" s="145"/>
      <c r="X308" s="145"/>
      <c r="Y308" s="145"/>
      <c r="Z308" s="145"/>
      <c r="AA308" s="145"/>
      <c r="AB308" s="145"/>
      <c r="AC308" s="145"/>
      <c r="AD308" s="145"/>
      <c r="AE308" s="145"/>
      <c r="AF308" s="145"/>
      <c r="AG308" s="144"/>
      <c r="AH308" s="144"/>
      <c r="AI308" s="144"/>
      <c r="AJ308" s="144"/>
      <c r="AK308" s="144"/>
    </row>
    <row r="309" ht="22.5" customHeight="1">
      <c r="A309" s="183"/>
      <c r="B309" s="183"/>
      <c r="C309" s="183"/>
      <c r="D309" s="183"/>
      <c r="E309" s="183"/>
      <c r="F309" s="183"/>
      <c r="G309" s="183"/>
      <c r="H309" s="183"/>
      <c r="I309" s="183"/>
      <c r="J309" s="183"/>
      <c r="K309" s="183"/>
      <c r="L309" s="183"/>
      <c r="M309" s="183"/>
      <c r="N309" s="183"/>
      <c r="O309" s="183"/>
      <c r="P309" s="183"/>
      <c r="Q309" s="183"/>
      <c r="R309" s="183"/>
      <c r="S309" s="183"/>
      <c r="T309" s="152"/>
      <c r="U309" s="155"/>
      <c r="V309" s="152"/>
      <c r="W309" s="152"/>
      <c r="X309" s="152"/>
      <c r="Y309" s="152"/>
      <c r="Z309" s="152"/>
      <c r="AA309" s="152"/>
      <c r="AB309" s="152"/>
      <c r="AC309" s="152"/>
      <c r="AD309" s="152"/>
      <c r="AE309" s="152"/>
      <c r="AF309" s="152"/>
      <c r="AG309" s="144"/>
      <c r="AH309" s="144"/>
      <c r="AI309" s="144"/>
      <c r="AJ309" s="144"/>
      <c r="AK309" s="144"/>
    </row>
    <row r="310" ht="22.5" customHeight="1">
      <c r="A310" s="184"/>
      <c r="B310" s="184"/>
      <c r="C310" s="184"/>
      <c r="D310" s="184"/>
      <c r="E310" s="184"/>
      <c r="F310" s="184"/>
      <c r="G310" s="184"/>
      <c r="H310" s="184"/>
      <c r="I310" s="184"/>
      <c r="J310" s="184"/>
      <c r="K310" s="184"/>
      <c r="L310" s="184"/>
      <c r="M310" s="184"/>
      <c r="N310" s="184"/>
      <c r="O310" s="184"/>
      <c r="P310" s="184"/>
      <c r="Q310" s="184"/>
      <c r="R310" s="184"/>
      <c r="S310" s="184"/>
      <c r="T310" s="145"/>
      <c r="U310" s="151"/>
      <c r="V310" s="145"/>
      <c r="W310" s="145"/>
      <c r="X310" s="145"/>
      <c r="Y310" s="145"/>
      <c r="Z310" s="145"/>
      <c r="AA310" s="145"/>
      <c r="AB310" s="145"/>
      <c r="AC310" s="145"/>
      <c r="AD310" s="145"/>
      <c r="AE310" s="145"/>
      <c r="AF310" s="145"/>
      <c r="AG310" s="144"/>
      <c r="AH310" s="144"/>
      <c r="AI310" s="144"/>
      <c r="AJ310" s="144"/>
      <c r="AK310" s="144"/>
    </row>
    <row r="311" ht="22.5" customHeight="1">
      <c r="A311" s="183"/>
      <c r="B311" s="183"/>
      <c r="C311" s="183"/>
      <c r="D311" s="183"/>
      <c r="E311" s="183"/>
      <c r="F311" s="183"/>
      <c r="G311" s="183"/>
      <c r="H311" s="183"/>
      <c r="I311" s="183"/>
      <c r="J311" s="183"/>
      <c r="K311" s="183"/>
      <c r="L311" s="183"/>
      <c r="M311" s="183"/>
      <c r="N311" s="183"/>
      <c r="O311" s="183"/>
      <c r="P311" s="183"/>
      <c r="Q311" s="183"/>
      <c r="R311" s="183"/>
      <c r="S311" s="183"/>
      <c r="T311" s="152"/>
      <c r="U311" s="155"/>
      <c r="V311" s="152"/>
      <c r="W311" s="152"/>
      <c r="X311" s="152"/>
      <c r="Y311" s="152"/>
      <c r="Z311" s="152"/>
      <c r="AA311" s="152"/>
      <c r="AB311" s="152"/>
      <c r="AC311" s="152"/>
      <c r="AD311" s="152"/>
      <c r="AE311" s="152"/>
      <c r="AF311" s="152"/>
      <c r="AG311" s="144"/>
      <c r="AH311" s="144"/>
      <c r="AI311" s="144"/>
      <c r="AJ311" s="144"/>
      <c r="AK311" s="144"/>
    </row>
    <row r="312" ht="22.5" customHeight="1">
      <c r="A312" s="184"/>
      <c r="B312" s="184"/>
      <c r="C312" s="184"/>
      <c r="D312" s="184"/>
      <c r="E312" s="184"/>
      <c r="F312" s="184"/>
      <c r="G312" s="184"/>
      <c r="H312" s="184"/>
      <c r="I312" s="184"/>
      <c r="J312" s="184"/>
      <c r="K312" s="184"/>
      <c r="L312" s="184"/>
      <c r="M312" s="184"/>
      <c r="N312" s="184"/>
      <c r="O312" s="184"/>
      <c r="P312" s="184"/>
      <c r="Q312" s="184"/>
      <c r="R312" s="184"/>
      <c r="S312" s="184"/>
      <c r="T312" s="145"/>
      <c r="U312" s="151"/>
      <c r="V312" s="145"/>
      <c r="W312" s="145"/>
      <c r="X312" s="145"/>
      <c r="Y312" s="145"/>
      <c r="Z312" s="145"/>
      <c r="AA312" s="145"/>
      <c r="AB312" s="145"/>
      <c r="AC312" s="145"/>
      <c r="AD312" s="145"/>
      <c r="AE312" s="145"/>
      <c r="AF312" s="145"/>
      <c r="AG312" s="144"/>
      <c r="AH312" s="144"/>
      <c r="AI312" s="144"/>
      <c r="AJ312" s="144"/>
      <c r="AK312" s="144"/>
    </row>
    <row r="313" ht="22.5" customHeight="1">
      <c r="A313" s="183"/>
      <c r="B313" s="183"/>
      <c r="C313" s="183"/>
      <c r="D313" s="183"/>
      <c r="E313" s="183"/>
      <c r="F313" s="183"/>
      <c r="G313" s="183"/>
      <c r="H313" s="183"/>
      <c r="I313" s="183"/>
      <c r="J313" s="183"/>
      <c r="K313" s="183"/>
      <c r="L313" s="183"/>
      <c r="M313" s="183"/>
      <c r="N313" s="183"/>
      <c r="O313" s="183"/>
      <c r="P313" s="183"/>
      <c r="Q313" s="183"/>
      <c r="R313" s="183"/>
      <c r="S313" s="183"/>
      <c r="T313" s="152"/>
      <c r="U313" s="155"/>
      <c r="V313" s="152"/>
      <c r="W313" s="152"/>
      <c r="X313" s="152"/>
      <c r="Y313" s="152"/>
      <c r="Z313" s="152"/>
      <c r="AA313" s="152"/>
      <c r="AB313" s="152"/>
      <c r="AC313" s="152"/>
      <c r="AD313" s="152"/>
      <c r="AE313" s="152"/>
      <c r="AF313" s="152"/>
      <c r="AG313" s="144"/>
      <c r="AH313" s="144"/>
      <c r="AI313" s="144"/>
      <c r="AJ313" s="144"/>
      <c r="AK313" s="144"/>
    </row>
    <row r="314" ht="22.5" customHeight="1">
      <c r="A314" s="184"/>
      <c r="B314" s="184"/>
      <c r="C314" s="184"/>
      <c r="D314" s="184"/>
      <c r="E314" s="184"/>
      <c r="F314" s="184"/>
      <c r="G314" s="184"/>
      <c r="H314" s="184"/>
      <c r="I314" s="184"/>
      <c r="J314" s="184"/>
      <c r="K314" s="184"/>
      <c r="L314" s="184"/>
      <c r="M314" s="184"/>
      <c r="N314" s="184"/>
      <c r="O314" s="184"/>
      <c r="P314" s="184"/>
      <c r="Q314" s="184"/>
      <c r="R314" s="184"/>
      <c r="S314" s="184"/>
      <c r="T314" s="145"/>
      <c r="U314" s="151"/>
      <c r="V314" s="145"/>
      <c r="W314" s="145"/>
      <c r="X314" s="145"/>
      <c r="Y314" s="145"/>
      <c r="Z314" s="145"/>
      <c r="AA314" s="145"/>
      <c r="AB314" s="145"/>
      <c r="AC314" s="145"/>
      <c r="AD314" s="145"/>
      <c r="AE314" s="145"/>
      <c r="AF314" s="145"/>
      <c r="AG314" s="144"/>
      <c r="AH314" s="144"/>
      <c r="AI314" s="144"/>
      <c r="AJ314" s="144"/>
      <c r="AK314" s="144"/>
    </row>
    <row r="315" ht="22.5" customHeight="1">
      <c r="A315" s="183"/>
      <c r="B315" s="183"/>
      <c r="C315" s="183"/>
      <c r="D315" s="183"/>
      <c r="E315" s="183"/>
      <c r="F315" s="183"/>
      <c r="G315" s="183"/>
      <c r="H315" s="183"/>
      <c r="I315" s="183"/>
      <c r="J315" s="183"/>
      <c r="K315" s="183"/>
      <c r="L315" s="183"/>
      <c r="M315" s="183"/>
      <c r="N315" s="183"/>
      <c r="O315" s="183"/>
      <c r="P315" s="183"/>
      <c r="Q315" s="183"/>
      <c r="R315" s="183"/>
      <c r="S315" s="183"/>
      <c r="T315" s="152"/>
      <c r="U315" s="155"/>
      <c r="V315" s="152"/>
      <c r="W315" s="152"/>
      <c r="X315" s="152"/>
      <c r="Y315" s="152"/>
      <c r="Z315" s="152"/>
      <c r="AA315" s="152"/>
      <c r="AB315" s="152"/>
      <c r="AC315" s="152"/>
      <c r="AD315" s="152"/>
      <c r="AE315" s="152"/>
      <c r="AF315" s="152"/>
      <c r="AG315" s="144"/>
      <c r="AH315" s="144"/>
      <c r="AI315" s="144"/>
      <c r="AJ315" s="144"/>
      <c r="AK315" s="144"/>
    </row>
    <row r="316" ht="22.5" customHeight="1">
      <c r="A316" s="184"/>
      <c r="B316" s="184"/>
      <c r="C316" s="184"/>
      <c r="D316" s="184"/>
      <c r="E316" s="184"/>
      <c r="F316" s="184"/>
      <c r="G316" s="184"/>
      <c r="H316" s="184"/>
      <c r="I316" s="184"/>
      <c r="J316" s="184"/>
      <c r="K316" s="184"/>
      <c r="L316" s="184"/>
      <c r="M316" s="184"/>
      <c r="N316" s="184"/>
      <c r="O316" s="184"/>
      <c r="P316" s="184"/>
      <c r="Q316" s="184"/>
      <c r="R316" s="184"/>
      <c r="S316" s="184"/>
      <c r="T316" s="145"/>
      <c r="U316" s="151"/>
      <c r="V316" s="145"/>
      <c r="W316" s="145"/>
      <c r="X316" s="145"/>
      <c r="Y316" s="145"/>
      <c r="Z316" s="145"/>
      <c r="AA316" s="145"/>
      <c r="AB316" s="145"/>
      <c r="AC316" s="145"/>
      <c r="AD316" s="145"/>
      <c r="AE316" s="145"/>
      <c r="AF316" s="145"/>
      <c r="AG316" s="144"/>
      <c r="AH316" s="144"/>
      <c r="AI316" s="144"/>
      <c r="AJ316" s="144"/>
      <c r="AK316" s="144"/>
    </row>
    <row r="317" ht="22.5" customHeight="1">
      <c r="A317" s="183"/>
      <c r="B317" s="183"/>
      <c r="C317" s="183"/>
      <c r="D317" s="183"/>
      <c r="E317" s="183"/>
      <c r="F317" s="183"/>
      <c r="G317" s="183"/>
      <c r="H317" s="183"/>
      <c r="I317" s="183"/>
      <c r="J317" s="183"/>
      <c r="K317" s="183"/>
      <c r="L317" s="183"/>
      <c r="M317" s="183"/>
      <c r="N317" s="183"/>
      <c r="O317" s="183"/>
      <c r="P317" s="183"/>
      <c r="Q317" s="183"/>
      <c r="R317" s="183"/>
      <c r="S317" s="183"/>
      <c r="T317" s="152"/>
      <c r="U317" s="155"/>
      <c r="V317" s="152"/>
      <c r="W317" s="152"/>
      <c r="X317" s="152"/>
      <c r="Y317" s="152"/>
      <c r="Z317" s="152"/>
      <c r="AA317" s="152"/>
      <c r="AB317" s="152"/>
      <c r="AC317" s="152"/>
      <c r="AD317" s="152"/>
      <c r="AE317" s="152"/>
      <c r="AF317" s="152"/>
      <c r="AG317" s="144"/>
      <c r="AH317" s="144"/>
      <c r="AI317" s="144"/>
      <c r="AJ317" s="144"/>
      <c r="AK317" s="144"/>
    </row>
    <row r="318" ht="22.5" customHeight="1">
      <c r="A318" s="184"/>
      <c r="B318" s="184"/>
      <c r="C318" s="184"/>
      <c r="D318" s="184"/>
      <c r="E318" s="184"/>
      <c r="F318" s="184"/>
      <c r="G318" s="184"/>
      <c r="H318" s="184"/>
      <c r="I318" s="184"/>
      <c r="J318" s="184"/>
      <c r="K318" s="184"/>
      <c r="L318" s="184"/>
      <c r="M318" s="184"/>
      <c r="N318" s="184"/>
      <c r="O318" s="184"/>
      <c r="P318" s="184"/>
      <c r="Q318" s="184"/>
      <c r="R318" s="184"/>
      <c r="S318" s="184"/>
      <c r="T318" s="145"/>
      <c r="U318" s="151"/>
      <c r="V318" s="145"/>
      <c r="W318" s="145"/>
      <c r="X318" s="145"/>
      <c r="Y318" s="145"/>
      <c r="Z318" s="145"/>
      <c r="AA318" s="145"/>
      <c r="AB318" s="145"/>
      <c r="AC318" s="145"/>
      <c r="AD318" s="145"/>
      <c r="AE318" s="145"/>
      <c r="AF318" s="145"/>
      <c r="AG318" s="144"/>
      <c r="AH318" s="144"/>
      <c r="AI318" s="144"/>
      <c r="AJ318" s="144"/>
      <c r="AK318" s="144"/>
    </row>
    <row r="319" ht="22.5" customHeight="1">
      <c r="A319" s="183"/>
      <c r="B319" s="183"/>
      <c r="C319" s="183"/>
      <c r="D319" s="183"/>
      <c r="E319" s="183"/>
      <c r="F319" s="183"/>
      <c r="G319" s="183"/>
      <c r="H319" s="183"/>
      <c r="I319" s="183"/>
      <c r="J319" s="183"/>
      <c r="K319" s="183"/>
      <c r="L319" s="183"/>
      <c r="M319" s="183"/>
      <c r="N319" s="183"/>
      <c r="O319" s="183"/>
      <c r="P319" s="183"/>
      <c r="Q319" s="183"/>
      <c r="R319" s="183"/>
      <c r="S319" s="183"/>
      <c r="T319" s="152"/>
      <c r="U319" s="155"/>
      <c r="V319" s="152"/>
      <c r="W319" s="152"/>
      <c r="X319" s="152"/>
      <c r="Y319" s="152"/>
      <c r="Z319" s="152"/>
      <c r="AA319" s="152"/>
      <c r="AB319" s="152"/>
      <c r="AC319" s="152"/>
      <c r="AD319" s="152"/>
      <c r="AE319" s="152"/>
      <c r="AF319" s="152"/>
      <c r="AG319" s="144"/>
      <c r="AH319" s="144"/>
      <c r="AI319" s="144"/>
      <c r="AJ319" s="144"/>
      <c r="AK319" s="144"/>
    </row>
    <row r="320" ht="22.5" customHeight="1">
      <c r="A320" s="184"/>
      <c r="B320" s="184"/>
      <c r="C320" s="184"/>
      <c r="D320" s="184"/>
      <c r="E320" s="184"/>
      <c r="F320" s="184"/>
      <c r="G320" s="184"/>
      <c r="H320" s="184"/>
      <c r="I320" s="184"/>
      <c r="J320" s="184"/>
      <c r="K320" s="184"/>
      <c r="L320" s="184"/>
      <c r="M320" s="184"/>
      <c r="N320" s="184"/>
      <c r="O320" s="184"/>
      <c r="P320" s="184"/>
      <c r="Q320" s="184"/>
      <c r="R320" s="184"/>
      <c r="S320" s="184"/>
      <c r="T320" s="145"/>
      <c r="U320" s="151"/>
      <c r="V320" s="145"/>
      <c r="W320" s="145"/>
      <c r="X320" s="145"/>
      <c r="Y320" s="145"/>
      <c r="Z320" s="145"/>
      <c r="AA320" s="145"/>
      <c r="AB320" s="145"/>
      <c r="AC320" s="145"/>
      <c r="AD320" s="145"/>
      <c r="AE320" s="145"/>
      <c r="AF320" s="145"/>
      <c r="AG320" s="144"/>
      <c r="AH320" s="144"/>
      <c r="AI320" s="144"/>
      <c r="AJ320" s="144"/>
      <c r="AK320" s="144"/>
    </row>
    <row r="321" ht="22.5" customHeight="1">
      <c r="A321" s="183"/>
      <c r="B321" s="183"/>
      <c r="C321" s="183"/>
      <c r="D321" s="183"/>
      <c r="E321" s="183"/>
      <c r="F321" s="183"/>
      <c r="G321" s="183"/>
      <c r="H321" s="183"/>
      <c r="I321" s="183"/>
      <c r="J321" s="183"/>
      <c r="K321" s="183"/>
      <c r="L321" s="183"/>
      <c r="M321" s="183"/>
      <c r="N321" s="183"/>
      <c r="O321" s="183"/>
      <c r="P321" s="183"/>
      <c r="Q321" s="183"/>
      <c r="R321" s="183"/>
      <c r="S321" s="183"/>
      <c r="T321" s="152"/>
      <c r="U321" s="155"/>
      <c r="V321" s="152"/>
      <c r="W321" s="152"/>
      <c r="X321" s="152"/>
      <c r="Y321" s="152"/>
      <c r="Z321" s="152"/>
      <c r="AA321" s="152"/>
      <c r="AB321" s="152"/>
      <c r="AC321" s="152"/>
      <c r="AD321" s="152"/>
      <c r="AE321" s="152"/>
      <c r="AF321" s="152"/>
      <c r="AG321" s="144"/>
      <c r="AH321" s="144"/>
      <c r="AI321" s="144"/>
      <c r="AJ321" s="144"/>
      <c r="AK321" s="144"/>
    </row>
    <row r="322" ht="22.5" customHeight="1">
      <c r="A322" s="184"/>
      <c r="B322" s="184"/>
      <c r="C322" s="184"/>
      <c r="D322" s="184"/>
      <c r="E322" s="184"/>
      <c r="F322" s="184"/>
      <c r="G322" s="184"/>
      <c r="H322" s="184"/>
      <c r="I322" s="184"/>
      <c r="J322" s="184"/>
      <c r="K322" s="184"/>
      <c r="L322" s="184"/>
      <c r="M322" s="184"/>
      <c r="N322" s="184"/>
      <c r="O322" s="184"/>
      <c r="P322" s="184"/>
      <c r="Q322" s="184"/>
      <c r="R322" s="184"/>
      <c r="S322" s="184"/>
      <c r="T322" s="145"/>
      <c r="U322" s="151"/>
      <c r="V322" s="145"/>
      <c r="W322" s="145"/>
      <c r="X322" s="145"/>
      <c r="Y322" s="145"/>
      <c r="Z322" s="145"/>
      <c r="AA322" s="145"/>
      <c r="AB322" s="145"/>
      <c r="AC322" s="145"/>
      <c r="AD322" s="145"/>
      <c r="AE322" s="145"/>
      <c r="AF322" s="145"/>
      <c r="AG322" s="144"/>
      <c r="AH322" s="144"/>
      <c r="AI322" s="144"/>
      <c r="AJ322" s="144"/>
      <c r="AK322" s="144"/>
    </row>
    <row r="323" ht="22.5" customHeight="1">
      <c r="A323" s="183"/>
      <c r="B323" s="183"/>
      <c r="C323" s="183"/>
      <c r="D323" s="183"/>
      <c r="E323" s="183"/>
      <c r="F323" s="183"/>
      <c r="G323" s="183"/>
      <c r="H323" s="183"/>
      <c r="I323" s="183"/>
      <c r="J323" s="183"/>
      <c r="K323" s="183"/>
      <c r="L323" s="183"/>
      <c r="M323" s="183"/>
      <c r="N323" s="183"/>
      <c r="O323" s="183"/>
      <c r="P323" s="183"/>
      <c r="Q323" s="183"/>
      <c r="R323" s="183"/>
      <c r="S323" s="183"/>
      <c r="T323" s="152"/>
      <c r="U323" s="155"/>
      <c r="V323" s="152"/>
      <c r="W323" s="152"/>
      <c r="X323" s="152"/>
      <c r="Y323" s="152"/>
      <c r="Z323" s="152"/>
      <c r="AA323" s="152"/>
      <c r="AB323" s="152"/>
      <c r="AC323" s="152"/>
      <c r="AD323" s="152"/>
      <c r="AE323" s="152"/>
      <c r="AF323" s="152"/>
      <c r="AG323" s="144"/>
      <c r="AH323" s="144"/>
      <c r="AI323" s="144"/>
      <c r="AJ323" s="144"/>
      <c r="AK323" s="144"/>
    </row>
    <row r="324" ht="22.5" customHeight="1">
      <c r="A324" s="184"/>
      <c r="B324" s="184"/>
      <c r="C324" s="184"/>
      <c r="D324" s="184"/>
      <c r="E324" s="184"/>
      <c r="F324" s="184"/>
      <c r="G324" s="184"/>
      <c r="H324" s="184"/>
      <c r="I324" s="184"/>
      <c r="J324" s="184"/>
      <c r="K324" s="184"/>
      <c r="L324" s="184"/>
      <c r="M324" s="184"/>
      <c r="N324" s="184"/>
      <c r="O324" s="184"/>
      <c r="P324" s="184"/>
      <c r="Q324" s="184"/>
      <c r="R324" s="184"/>
      <c r="S324" s="184"/>
      <c r="T324" s="145"/>
      <c r="U324" s="151"/>
      <c r="V324" s="145"/>
      <c r="W324" s="145"/>
      <c r="X324" s="145"/>
      <c r="Y324" s="145"/>
      <c r="Z324" s="145"/>
      <c r="AA324" s="145"/>
      <c r="AB324" s="145"/>
      <c r="AC324" s="145"/>
      <c r="AD324" s="145"/>
      <c r="AE324" s="145"/>
      <c r="AF324" s="145"/>
      <c r="AG324" s="144"/>
      <c r="AH324" s="144"/>
      <c r="AI324" s="144"/>
      <c r="AJ324" s="144"/>
      <c r="AK324" s="144"/>
    </row>
    <row r="325" ht="22.5" customHeight="1">
      <c r="A325" s="183"/>
      <c r="B325" s="183"/>
      <c r="C325" s="183"/>
      <c r="D325" s="183"/>
      <c r="E325" s="183"/>
      <c r="F325" s="183"/>
      <c r="G325" s="183"/>
      <c r="H325" s="183"/>
      <c r="I325" s="183"/>
      <c r="J325" s="183"/>
      <c r="K325" s="183"/>
      <c r="L325" s="183"/>
      <c r="M325" s="183"/>
      <c r="N325" s="183"/>
      <c r="O325" s="183"/>
      <c r="P325" s="183"/>
      <c r="Q325" s="183"/>
      <c r="R325" s="183"/>
      <c r="S325" s="183"/>
      <c r="T325" s="152"/>
      <c r="U325" s="155"/>
      <c r="V325" s="152"/>
      <c r="W325" s="152"/>
      <c r="X325" s="152"/>
      <c r="Y325" s="152"/>
      <c r="Z325" s="152"/>
      <c r="AA325" s="152"/>
      <c r="AB325" s="152"/>
      <c r="AC325" s="152"/>
      <c r="AD325" s="152"/>
      <c r="AE325" s="152"/>
      <c r="AF325" s="152"/>
      <c r="AG325" s="144"/>
      <c r="AH325" s="144"/>
      <c r="AI325" s="144"/>
      <c r="AJ325" s="144"/>
      <c r="AK325" s="144"/>
    </row>
    <row r="326" ht="22.5" customHeight="1">
      <c r="A326" s="184"/>
      <c r="B326" s="184"/>
      <c r="C326" s="184"/>
      <c r="D326" s="184"/>
      <c r="E326" s="184"/>
      <c r="F326" s="184"/>
      <c r="G326" s="184"/>
      <c r="H326" s="184"/>
      <c r="I326" s="184"/>
      <c r="J326" s="184"/>
      <c r="K326" s="184"/>
      <c r="L326" s="184"/>
      <c r="M326" s="184"/>
      <c r="N326" s="184"/>
      <c r="O326" s="184"/>
      <c r="P326" s="184"/>
      <c r="Q326" s="184"/>
      <c r="R326" s="184"/>
      <c r="S326" s="184"/>
      <c r="T326" s="145"/>
      <c r="U326" s="151"/>
      <c r="V326" s="145"/>
      <c r="W326" s="145"/>
      <c r="X326" s="145"/>
      <c r="Y326" s="145"/>
      <c r="Z326" s="145"/>
      <c r="AA326" s="145"/>
      <c r="AB326" s="145"/>
      <c r="AC326" s="145"/>
      <c r="AD326" s="145"/>
      <c r="AE326" s="145"/>
      <c r="AF326" s="145"/>
      <c r="AG326" s="144"/>
      <c r="AH326" s="144"/>
      <c r="AI326" s="144"/>
      <c r="AJ326" s="144"/>
      <c r="AK326" s="144"/>
    </row>
    <row r="327" ht="22.5" customHeight="1">
      <c r="A327" s="183"/>
      <c r="B327" s="183"/>
      <c r="C327" s="183"/>
      <c r="D327" s="183"/>
      <c r="E327" s="183"/>
      <c r="F327" s="183"/>
      <c r="G327" s="183"/>
      <c r="H327" s="183"/>
      <c r="I327" s="183"/>
      <c r="J327" s="183"/>
      <c r="K327" s="183"/>
      <c r="L327" s="183"/>
      <c r="M327" s="183"/>
      <c r="N327" s="183"/>
      <c r="O327" s="183"/>
      <c r="P327" s="183"/>
      <c r="Q327" s="183"/>
      <c r="R327" s="183"/>
      <c r="S327" s="183"/>
      <c r="T327" s="152"/>
      <c r="U327" s="155"/>
      <c r="V327" s="152"/>
      <c r="W327" s="152"/>
      <c r="X327" s="152"/>
      <c r="Y327" s="152"/>
      <c r="Z327" s="152"/>
      <c r="AA327" s="152"/>
      <c r="AB327" s="152"/>
      <c r="AC327" s="152"/>
      <c r="AD327" s="152"/>
      <c r="AE327" s="152"/>
      <c r="AF327" s="152"/>
      <c r="AG327" s="144"/>
      <c r="AH327" s="144"/>
      <c r="AI327" s="144"/>
      <c r="AJ327" s="144"/>
      <c r="AK327" s="144"/>
    </row>
    <row r="328" ht="22.5" customHeight="1">
      <c r="A328" s="184"/>
      <c r="B328" s="184"/>
      <c r="C328" s="184"/>
      <c r="D328" s="184"/>
      <c r="E328" s="184"/>
      <c r="F328" s="184"/>
      <c r="G328" s="184"/>
      <c r="H328" s="184"/>
      <c r="I328" s="184"/>
      <c r="J328" s="184"/>
      <c r="K328" s="184"/>
      <c r="L328" s="184"/>
      <c r="M328" s="184"/>
      <c r="N328" s="184"/>
      <c r="O328" s="184"/>
      <c r="P328" s="184"/>
      <c r="Q328" s="184"/>
      <c r="R328" s="184"/>
      <c r="S328" s="184"/>
      <c r="T328" s="145"/>
      <c r="U328" s="151"/>
      <c r="V328" s="145"/>
      <c r="W328" s="145"/>
      <c r="X328" s="145"/>
      <c r="Y328" s="145"/>
      <c r="Z328" s="145"/>
      <c r="AA328" s="145"/>
      <c r="AB328" s="145"/>
      <c r="AC328" s="145"/>
      <c r="AD328" s="145"/>
      <c r="AE328" s="145"/>
      <c r="AF328" s="145"/>
      <c r="AG328" s="144"/>
      <c r="AH328" s="144"/>
      <c r="AI328" s="144"/>
      <c r="AJ328" s="144"/>
      <c r="AK328" s="144"/>
    </row>
    <row r="329" ht="22.5" customHeight="1">
      <c r="A329" s="183"/>
      <c r="B329" s="183"/>
      <c r="C329" s="183"/>
      <c r="D329" s="183"/>
      <c r="E329" s="183"/>
      <c r="F329" s="183"/>
      <c r="G329" s="183"/>
      <c r="H329" s="183"/>
      <c r="I329" s="183"/>
      <c r="J329" s="183"/>
      <c r="K329" s="183"/>
      <c r="L329" s="183"/>
      <c r="M329" s="183"/>
      <c r="N329" s="183"/>
      <c r="O329" s="183"/>
      <c r="P329" s="183"/>
      <c r="Q329" s="183"/>
      <c r="R329" s="183"/>
      <c r="S329" s="183"/>
      <c r="T329" s="152"/>
      <c r="U329" s="155"/>
      <c r="V329" s="152"/>
      <c r="W329" s="152"/>
      <c r="X329" s="152"/>
      <c r="Y329" s="152"/>
      <c r="Z329" s="152"/>
      <c r="AA329" s="152"/>
      <c r="AB329" s="152"/>
      <c r="AC329" s="152"/>
      <c r="AD329" s="152"/>
      <c r="AE329" s="152"/>
      <c r="AF329" s="152"/>
      <c r="AG329" s="144"/>
      <c r="AH329" s="144"/>
      <c r="AI329" s="144"/>
      <c r="AJ329" s="144"/>
      <c r="AK329" s="144"/>
    </row>
    <row r="330" ht="22.5" customHeight="1">
      <c r="A330" s="184"/>
      <c r="B330" s="184"/>
      <c r="C330" s="184"/>
      <c r="D330" s="184"/>
      <c r="E330" s="184"/>
      <c r="F330" s="184"/>
      <c r="G330" s="184"/>
      <c r="H330" s="184"/>
      <c r="I330" s="184"/>
      <c r="J330" s="184"/>
      <c r="K330" s="184"/>
      <c r="L330" s="184"/>
      <c r="M330" s="184"/>
      <c r="N330" s="184"/>
      <c r="O330" s="184"/>
      <c r="P330" s="184"/>
      <c r="Q330" s="184"/>
      <c r="R330" s="184"/>
      <c r="S330" s="184"/>
      <c r="T330" s="145"/>
      <c r="U330" s="151"/>
      <c r="V330" s="145"/>
      <c r="W330" s="145"/>
      <c r="X330" s="145"/>
      <c r="Y330" s="145"/>
      <c r="Z330" s="145"/>
      <c r="AA330" s="145"/>
      <c r="AB330" s="145"/>
      <c r="AC330" s="145"/>
      <c r="AD330" s="145"/>
      <c r="AE330" s="145"/>
      <c r="AF330" s="145"/>
      <c r="AG330" s="144"/>
      <c r="AH330" s="144"/>
      <c r="AI330" s="144"/>
      <c r="AJ330" s="144"/>
      <c r="AK330" s="144"/>
    </row>
    <row r="331" ht="22.5" customHeight="1">
      <c r="A331" s="183"/>
      <c r="B331" s="183"/>
      <c r="C331" s="183"/>
      <c r="D331" s="183"/>
      <c r="E331" s="183"/>
      <c r="F331" s="183"/>
      <c r="G331" s="183"/>
      <c r="H331" s="183"/>
      <c r="I331" s="183"/>
      <c r="J331" s="183"/>
      <c r="K331" s="183"/>
      <c r="L331" s="183"/>
      <c r="M331" s="183"/>
      <c r="N331" s="183"/>
      <c r="O331" s="183"/>
      <c r="P331" s="183"/>
      <c r="Q331" s="183"/>
      <c r="R331" s="183"/>
      <c r="S331" s="183"/>
      <c r="T331" s="152"/>
      <c r="U331" s="155"/>
      <c r="V331" s="152"/>
      <c r="W331" s="152"/>
      <c r="X331" s="152"/>
      <c r="Y331" s="152"/>
      <c r="Z331" s="152"/>
      <c r="AA331" s="152"/>
      <c r="AB331" s="152"/>
      <c r="AC331" s="152"/>
      <c r="AD331" s="152"/>
      <c r="AE331" s="152"/>
      <c r="AF331" s="152"/>
      <c r="AG331" s="144"/>
      <c r="AH331" s="144"/>
      <c r="AI331" s="144"/>
      <c r="AJ331" s="144"/>
      <c r="AK331" s="144"/>
    </row>
    <row r="332" ht="22.5" customHeight="1">
      <c r="A332" s="184"/>
      <c r="B332" s="184"/>
      <c r="C332" s="184"/>
      <c r="D332" s="184"/>
      <c r="E332" s="184"/>
      <c r="F332" s="184"/>
      <c r="G332" s="184"/>
      <c r="H332" s="184"/>
      <c r="I332" s="184"/>
      <c r="J332" s="184"/>
      <c r="K332" s="184"/>
      <c r="L332" s="184"/>
      <c r="M332" s="184"/>
      <c r="N332" s="184"/>
      <c r="O332" s="184"/>
      <c r="P332" s="184"/>
      <c r="Q332" s="184"/>
      <c r="R332" s="184"/>
      <c r="S332" s="184"/>
      <c r="T332" s="145"/>
      <c r="U332" s="151"/>
      <c r="V332" s="145"/>
      <c r="W332" s="145"/>
      <c r="X332" s="145"/>
      <c r="Y332" s="145"/>
      <c r="Z332" s="145"/>
      <c r="AA332" s="145"/>
      <c r="AB332" s="145"/>
      <c r="AC332" s="145"/>
      <c r="AD332" s="145"/>
      <c r="AE332" s="145"/>
      <c r="AF332" s="145"/>
      <c r="AG332" s="144"/>
      <c r="AH332" s="144"/>
      <c r="AI332" s="144"/>
      <c r="AJ332" s="144"/>
      <c r="AK332" s="144"/>
    </row>
    <row r="333" ht="22.5" customHeight="1">
      <c r="A333" s="183"/>
      <c r="B333" s="183"/>
      <c r="C333" s="183"/>
      <c r="D333" s="183"/>
      <c r="E333" s="183"/>
      <c r="F333" s="183"/>
      <c r="G333" s="183"/>
      <c r="H333" s="183"/>
      <c r="I333" s="183"/>
      <c r="J333" s="183"/>
      <c r="K333" s="183"/>
      <c r="L333" s="183"/>
      <c r="M333" s="183"/>
      <c r="N333" s="183"/>
      <c r="O333" s="183"/>
      <c r="P333" s="183"/>
      <c r="Q333" s="183"/>
      <c r="R333" s="183"/>
      <c r="S333" s="183"/>
      <c r="T333" s="152"/>
      <c r="U333" s="155"/>
      <c r="V333" s="152"/>
      <c r="W333" s="152"/>
      <c r="X333" s="152"/>
      <c r="Y333" s="152"/>
      <c r="Z333" s="152"/>
      <c r="AA333" s="152"/>
      <c r="AB333" s="152"/>
      <c r="AC333" s="152"/>
      <c r="AD333" s="152"/>
      <c r="AE333" s="152"/>
      <c r="AF333" s="152"/>
      <c r="AG333" s="144"/>
      <c r="AH333" s="144"/>
      <c r="AI333" s="144"/>
      <c r="AJ333" s="144"/>
      <c r="AK333" s="144"/>
    </row>
    <row r="334" ht="22.5" customHeight="1">
      <c r="A334" s="184"/>
      <c r="B334" s="184"/>
      <c r="C334" s="184"/>
      <c r="D334" s="184"/>
      <c r="E334" s="184"/>
      <c r="F334" s="184"/>
      <c r="G334" s="184"/>
      <c r="H334" s="184"/>
      <c r="I334" s="184"/>
      <c r="J334" s="184"/>
      <c r="K334" s="184"/>
      <c r="L334" s="184"/>
      <c r="M334" s="184"/>
      <c r="N334" s="184"/>
      <c r="O334" s="184"/>
      <c r="P334" s="184"/>
      <c r="Q334" s="184"/>
      <c r="R334" s="184"/>
      <c r="S334" s="184"/>
      <c r="T334" s="145"/>
      <c r="U334" s="151"/>
      <c r="V334" s="145"/>
      <c r="W334" s="145"/>
      <c r="X334" s="145"/>
      <c r="Y334" s="145"/>
      <c r="Z334" s="145"/>
      <c r="AA334" s="145"/>
      <c r="AB334" s="145"/>
      <c r="AC334" s="145"/>
      <c r="AD334" s="145"/>
      <c r="AE334" s="145"/>
      <c r="AF334" s="145"/>
      <c r="AG334" s="144"/>
      <c r="AH334" s="144"/>
      <c r="AI334" s="144"/>
      <c r="AJ334" s="144"/>
      <c r="AK334" s="144"/>
    </row>
    <row r="335" ht="22.5" customHeight="1">
      <c r="A335" s="183"/>
      <c r="B335" s="183"/>
      <c r="C335" s="183"/>
      <c r="D335" s="183"/>
      <c r="E335" s="183"/>
      <c r="F335" s="183"/>
      <c r="G335" s="183"/>
      <c r="H335" s="183"/>
      <c r="I335" s="183"/>
      <c r="J335" s="183"/>
      <c r="K335" s="183"/>
      <c r="L335" s="183"/>
      <c r="M335" s="183"/>
      <c r="N335" s="183"/>
      <c r="O335" s="183"/>
      <c r="P335" s="183"/>
      <c r="Q335" s="183"/>
      <c r="R335" s="183"/>
      <c r="S335" s="183"/>
      <c r="T335" s="152"/>
      <c r="U335" s="155"/>
      <c r="V335" s="152"/>
      <c r="W335" s="152"/>
      <c r="X335" s="152"/>
      <c r="Y335" s="152"/>
      <c r="Z335" s="152"/>
      <c r="AA335" s="152"/>
      <c r="AB335" s="152"/>
      <c r="AC335" s="152"/>
      <c r="AD335" s="152"/>
      <c r="AE335" s="152"/>
      <c r="AF335" s="152"/>
      <c r="AG335" s="144"/>
      <c r="AH335" s="144"/>
      <c r="AI335" s="144"/>
      <c r="AJ335" s="144"/>
      <c r="AK335" s="144"/>
    </row>
    <row r="336" ht="22.5" customHeight="1">
      <c r="A336" s="184"/>
      <c r="B336" s="184"/>
      <c r="C336" s="184"/>
      <c r="D336" s="184"/>
      <c r="E336" s="184"/>
      <c r="F336" s="184"/>
      <c r="G336" s="184"/>
      <c r="H336" s="184"/>
      <c r="I336" s="184"/>
      <c r="J336" s="184"/>
      <c r="K336" s="184"/>
      <c r="L336" s="184"/>
      <c r="M336" s="184"/>
      <c r="N336" s="184"/>
      <c r="O336" s="184"/>
      <c r="P336" s="184"/>
      <c r="Q336" s="184"/>
      <c r="R336" s="184"/>
      <c r="S336" s="184"/>
      <c r="T336" s="145"/>
      <c r="U336" s="151"/>
      <c r="V336" s="145"/>
      <c r="W336" s="145"/>
      <c r="X336" s="145"/>
      <c r="Y336" s="145"/>
      <c r="Z336" s="145"/>
      <c r="AA336" s="145"/>
      <c r="AB336" s="145"/>
      <c r="AC336" s="145"/>
      <c r="AD336" s="145"/>
      <c r="AE336" s="145"/>
      <c r="AF336" s="145"/>
      <c r="AG336" s="144"/>
      <c r="AH336" s="144"/>
      <c r="AI336" s="144"/>
      <c r="AJ336" s="144"/>
      <c r="AK336" s="144"/>
    </row>
    <row r="337" ht="22.5" customHeight="1">
      <c r="A337" s="183"/>
      <c r="B337" s="183"/>
      <c r="C337" s="183"/>
      <c r="D337" s="183"/>
      <c r="E337" s="183"/>
      <c r="F337" s="183"/>
      <c r="G337" s="183"/>
      <c r="H337" s="183"/>
      <c r="I337" s="183"/>
      <c r="J337" s="183"/>
      <c r="K337" s="183"/>
      <c r="L337" s="183"/>
      <c r="M337" s="183"/>
      <c r="N337" s="183"/>
      <c r="O337" s="183"/>
      <c r="P337" s="183"/>
      <c r="Q337" s="183"/>
      <c r="R337" s="183"/>
      <c r="S337" s="183"/>
      <c r="T337" s="152"/>
      <c r="U337" s="155"/>
      <c r="V337" s="152"/>
      <c r="W337" s="152"/>
      <c r="X337" s="152"/>
      <c r="Y337" s="152"/>
      <c r="Z337" s="152"/>
      <c r="AA337" s="152"/>
      <c r="AB337" s="152"/>
      <c r="AC337" s="152"/>
      <c r="AD337" s="152"/>
      <c r="AE337" s="152"/>
      <c r="AF337" s="152"/>
      <c r="AG337" s="144"/>
      <c r="AH337" s="144"/>
      <c r="AI337" s="144"/>
      <c r="AJ337" s="144"/>
      <c r="AK337" s="144"/>
    </row>
    <row r="338" ht="22.5" customHeight="1">
      <c r="A338" s="184"/>
      <c r="B338" s="184"/>
      <c r="C338" s="184"/>
      <c r="D338" s="184"/>
      <c r="E338" s="184"/>
      <c r="F338" s="184"/>
      <c r="G338" s="184"/>
      <c r="H338" s="184"/>
      <c r="I338" s="184"/>
      <c r="J338" s="184"/>
      <c r="K338" s="184"/>
      <c r="L338" s="184"/>
      <c r="M338" s="184"/>
      <c r="N338" s="184"/>
      <c r="O338" s="184"/>
      <c r="P338" s="184"/>
      <c r="Q338" s="184"/>
      <c r="R338" s="184"/>
      <c r="S338" s="184"/>
      <c r="T338" s="145"/>
      <c r="U338" s="151"/>
      <c r="V338" s="145"/>
      <c r="W338" s="145"/>
      <c r="X338" s="145"/>
      <c r="Y338" s="145"/>
      <c r="Z338" s="145"/>
      <c r="AA338" s="145"/>
      <c r="AB338" s="145"/>
      <c r="AC338" s="145"/>
      <c r="AD338" s="145"/>
      <c r="AE338" s="145"/>
      <c r="AF338" s="145"/>
      <c r="AG338" s="144"/>
      <c r="AH338" s="144"/>
      <c r="AI338" s="144"/>
      <c r="AJ338" s="144"/>
      <c r="AK338" s="144"/>
    </row>
    <row r="339" ht="22.5" customHeight="1">
      <c r="A339" s="183"/>
      <c r="B339" s="183"/>
      <c r="C339" s="183"/>
      <c r="D339" s="183"/>
      <c r="E339" s="183"/>
      <c r="F339" s="183"/>
      <c r="G339" s="183"/>
      <c r="H339" s="183"/>
      <c r="I339" s="183"/>
      <c r="J339" s="183"/>
      <c r="K339" s="183"/>
      <c r="L339" s="183"/>
      <c r="M339" s="183"/>
      <c r="N339" s="183"/>
      <c r="O339" s="183"/>
      <c r="P339" s="183"/>
      <c r="Q339" s="183"/>
      <c r="R339" s="183"/>
      <c r="S339" s="183"/>
      <c r="T339" s="152"/>
      <c r="U339" s="155"/>
      <c r="V339" s="152"/>
      <c r="W339" s="152"/>
      <c r="X339" s="152"/>
      <c r="Y339" s="152"/>
      <c r="Z339" s="152"/>
      <c r="AA339" s="152"/>
      <c r="AB339" s="152"/>
      <c r="AC339" s="152"/>
      <c r="AD339" s="152"/>
      <c r="AE339" s="152"/>
      <c r="AF339" s="152"/>
      <c r="AG339" s="144"/>
      <c r="AH339" s="144"/>
      <c r="AI339" s="144"/>
      <c r="AJ339" s="144"/>
      <c r="AK339" s="144"/>
    </row>
    <row r="340" ht="22.5" customHeight="1">
      <c r="A340" s="184"/>
      <c r="B340" s="184"/>
      <c r="C340" s="184"/>
      <c r="D340" s="184"/>
      <c r="E340" s="184"/>
      <c r="F340" s="184"/>
      <c r="G340" s="184"/>
      <c r="H340" s="184"/>
      <c r="I340" s="184"/>
      <c r="J340" s="184"/>
      <c r="K340" s="184"/>
      <c r="L340" s="184"/>
      <c r="M340" s="184"/>
      <c r="N340" s="184"/>
      <c r="O340" s="184"/>
      <c r="P340" s="184"/>
      <c r="Q340" s="184"/>
      <c r="R340" s="184"/>
      <c r="S340" s="184"/>
      <c r="T340" s="145"/>
      <c r="U340" s="151"/>
      <c r="V340" s="145"/>
      <c r="W340" s="145"/>
      <c r="X340" s="145"/>
      <c r="Y340" s="145"/>
      <c r="Z340" s="145"/>
      <c r="AA340" s="145"/>
      <c r="AB340" s="145"/>
      <c r="AC340" s="145"/>
      <c r="AD340" s="145"/>
      <c r="AE340" s="145"/>
      <c r="AF340" s="145"/>
      <c r="AG340" s="144"/>
      <c r="AH340" s="144"/>
      <c r="AI340" s="144"/>
      <c r="AJ340" s="144"/>
      <c r="AK340" s="144"/>
    </row>
    <row r="341" ht="22.5" customHeight="1">
      <c r="A341" s="183"/>
      <c r="B341" s="183"/>
      <c r="C341" s="183"/>
      <c r="D341" s="183"/>
      <c r="E341" s="183"/>
      <c r="F341" s="183"/>
      <c r="G341" s="183"/>
      <c r="H341" s="183"/>
      <c r="I341" s="183"/>
      <c r="J341" s="183"/>
      <c r="K341" s="183"/>
      <c r="L341" s="183"/>
      <c r="M341" s="183"/>
      <c r="N341" s="183"/>
      <c r="O341" s="183"/>
      <c r="P341" s="183"/>
      <c r="Q341" s="183"/>
      <c r="R341" s="183"/>
      <c r="S341" s="183"/>
      <c r="T341" s="152"/>
      <c r="U341" s="155"/>
      <c r="V341" s="152"/>
      <c r="W341" s="152"/>
      <c r="X341" s="152"/>
      <c r="Y341" s="152"/>
      <c r="Z341" s="152"/>
      <c r="AA341" s="152"/>
      <c r="AB341" s="152"/>
      <c r="AC341" s="152"/>
      <c r="AD341" s="152"/>
      <c r="AE341" s="152"/>
      <c r="AF341" s="152"/>
      <c r="AG341" s="144"/>
      <c r="AH341" s="144"/>
      <c r="AI341" s="144"/>
      <c r="AJ341" s="144"/>
      <c r="AK341" s="144"/>
    </row>
    <row r="342" ht="22.5" customHeight="1">
      <c r="A342" s="184"/>
      <c r="B342" s="184"/>
      <c r="C342" s="184"/>
      <c r="D342" s="184"/>
      <c r="E342" s="184"/>
      <c r="F342" s="184"/>
      <c r="G342" s="184"/>
      <c r="H342" s="184"/>
      <c r="I342" s="184"/>
      <c r="J342" s="184"/>
      <c r="K342" s="184"/>
      <c r="L342" s="184"/>
      <c r="M342" s="184"/>
      <c r="N342" s="184"/>
      <c r="O342" s="184"/>
      <c r="P342" s="184"/>
      <c r="Q342" s="184"/>
      <c r="R342" s="184"/>
      <c r="S342" s="184"/>
      <c r="T342" s="145"/>
      <c r="U342" s="151"/>
      <c r="V342" s="145"/>
      <c r="W342" s="145"/>
      <c r="X342" s="145"/>
      <c r="Y342" s="145"/>
      <c r="Z342" s="145"/>
      <c r="AA342" s="145"/>
      <c r="AB342" s="145"/>
      <c r="AC342" s="145"/>
      <c r="AD342" s="145"/>
      <c r="AE342" s="145"/>
      <c r="AF342" s="145"/>
      <c r="AG342" s="144"/>
      <c r="AH342" s="144"/>
      <c r="AI342" s="144"/>
      <c r="AJ342" s="144"/>
      <c r="AK342" s="144"/>
    </row>
    <row r="343" ht="22.5" customHeight="1">
      <c r="A343" s="183"/>
      <c r="B343" s="183"/>
      <c r="C343" s="183"/>
      <c r="D343" s="183"/>
      <c r="E343" s="183"/>
      <c r="F343" s="183"/>
      <c r="G343" s="183"/>
      <c r="H343" s="183"/>
      <c r="I343" s="183"/>
      <c r="J343" s="183"/>
      <c r="K343" s="183"/>
      <c r="L343" s="183"/>
      <c r="M343" s="183"/>
      <c r="N343" s="183"/>
      <c r="O343" s="183"/>
      <c r="P343" s="183"/>
      <c r="Q343" s="183"/>
      <c r="R343" s="183"/>
      <c r="S343" s="183"/>
      <c r="T343" s="152"/>
      <c r="U343" s="155"/>
      <c r="V343" s="152"/>
      <c r="W343" s="152"/>
      <c r="X343" s="152"/>
      <c r="Y343" s="152"/>
      <c r="Z343" s="152"/>
      <c r="AA343" s="152"/>
      <c r="AB343" s="152"/>
      <c r="AC343" s="152"/>
      <c r="AD343" s="152"/>
      <c r="AE343" s="152"/>
      <c r="AF343" s="152"/>
      <c r="AG343" s="144"/>
      <c r="AH343" s="144"/>
      <c r="AI343" s="144"/>
      <c r="AJ343" s="144"/>
      <c r="AK343" s="144"/>
    </row>
    <row r="344" ht="22.5" customHeight="1">
      <c r="A344" s="184"/>
      <c r="B344" s="184"/>
      <c r="C344" s="184"/>
      <c r="D344" s="184"/>
      <c r="E344" s="184"/>
      <c r="F344" s="184"/>
      <c r="G344" s="184"/>
      <c r="H344" s="184"/>
      <c r="I344" s="184"/>
      <c r="J344" s="184"/>
      <c r="K344" s="184"/>
      <c r="L344" s="184"/>
      <c r="M344" s="184"/>
      <c r="N344" s="184"/>
      <c r="O344" s="184"/>
      <c r="P344" s="184"/>
      <c r="Q344" s="184"/>
      <c r="R344" s="184"/>
      <c r="S344" s="184"/>
      <c r="T344" s="145"/>
      <c r="U344" s="151"/>
      <c r="V344" s="145"/>
      <c r="W344" s="145"/>
      <c r="X344" s="145"/>
      <c r="Y344" s="145"/>
      <c r="Z344" s="145"/>
      <c r="AA344" s="145"/>
      <c r="AB344" s="145"/>
      <c r="AC344" s="145"/>
      <c r="AD344" s="145"/>
      <c r="AE344" s="145"/>
      <c r="AF344" s="145"/>
      <c r="AG344" s="144"/>
      <c r="AH344" s="144"/>
      <c r="AI344" s="144"/>
      <c r="AJ344" s="144"/>
      <c r="AK344" s="144"/>
    </row>
    <row r="345" ht="22.5" customHeight="1">
      <c r="A345" s="183"/>
      <c r="B345" s="183"/>
      <c r="C345" s="183"/>
      <c r="D345" s="183"/>
      <c r="E345" s="183"/>
      <c r="F345" s="183"/>
      <c r="G345" s="183"/>
      <c r="H345" s="183"/>
      <c r="I345" s="183"/>
      <c r="J345" s="183"/>
      <c r="K345" s="183"/>
      <c r="L345" s="183"/>
      <c r="M345" s="183"/>
      <c r="N345" s="183"/>
      <c r="O345" s="183"/>
      <c r="P345" s="183"/>
      <c r="Q345" s="183"/>
      <c r="R345" s="183"/>
      <c r="S345" s="183"/>
      <c r="T345" s="152"/>
      <c r="U345" s="155"/>
      <c r="V345" s="152"/>
      <c r="W345" s="152"/>
      <c r="X345" s="152"/>
      <c r="Y345" s="152"/>
      <c r="Z345" s="152"/>
      <c r="AA345" s="152"/>
      <c r="AB345" s="152"/>
      <c r="AC345" s="152"/>
      <c r="AD345" s="152"/>
      <c r="AE345" s="152"/>
      <c r="AF345" s="152"/>
      <c r="AG345" s="144"/>
      <c r="AH345" s="144"/>
      <c r="AI345" s="144"/>
      <c r="AJ345" s="144"/>
      <c r="AK345" s="144"/>
    </row>
    <row r="346" ht="22.5" customHeight="1">
      <c r="A346" s="184"/>
      <c r="B346" s="184"/>
      <c r="C346" s="184"/>
      <c r="D346" s="184"/>
      <c r="E346" s="184"/>
      <c r="F346" s="184"/>
      <c r="G346" s="184"/>
      <c r="H346" s="184"/>
      <c r="I346" s="184"/>
      <c r="J346" s="184"/>
      <c r="K346" s="184"/>
      <c r="L346" s="184"/>
      <c r="M346" s="184"/>
      <c r="N346" s="184"/>
      <c r="O346" s="184"/>
      <c r="P346" s="184"/>
      <c r="Q346" s="184"/>
      <c r="R346" s="184"/>
      <c r="S346" s="184"/>
      <c r="T346" s="145"/>
      <c r="U346" s="151"/>
      <c r="V346" s="145"/>
      <c r="W346" s="145"/>
      <c r="X346" s="145"/>
      <c r="Y346" s="145"/>
      <c r="Z346" s="145"/>
      <c r="AA346" s="145"/>
      <c r="AB346" s="145"/>
      <c r="AC346" s="145"/>
      <c r="AD346" s="145"/>
      <c r="AE346" s="145"/>
      <c r="AF346" s="145"/>
      <c r="AG346" s="144"/>
      <c r="AH346" s="144"/>
      <c r="AI346" s="144"/>
      <c r="AJ346" s="144"/>
      <c r="AK346" s="144"/>
    </row>
    <row r="347" ht="22.5" customHeight="1">
      <c r="A347" s="183"/>
      <c r="B347" s="183"/>
      <c r="C347" s="183"/>
      <c r="D347" s="183"/>
      <c r="E347" s="183"/>
      <c r="F347" s="183"/>
      <c r="G347" s="183"/>
      <c r="H347" s="183"/>
      <c r="I347" s="183"/>
      <c r="J347" s="183"/>
      <c r="K347" s="183"/>
      <c r="L347" s="183"/>
      <c r="M347" s="183"/>
      <c r="N347" s="183"/>
      <c r="O347" s="183"/>
      <c r="P347" s="183"/>
      <c r="Q347" s="183"/>
      <c r="R347" s="183"/>
      <c r="S347" s="183"/>
      <c r="T347" s="152"/>
      <c r="U347" s="155"/>
      <c r="V347" s="152"/>
      <c r="W347" s="152"/>
      <c r="X347" s="152"/>
      <c r="Y347" s="152"/>
      <c r="Z347" s="152"/>
      <c r="AA347" s="152"/>
      <c r="AB347" s="152"/>
      <c r="AC347" s="152"/>
      <c r="AD347" s="152"/>
      <c r="AE347" s="152"/>
      <c r="AF347" s="152"/>
      <c r="AG347" s="144"/>
      <c r="AH347" s="144"/>
      <c r="AI347" s="144"/>
      <c r="AJ347" s="144"/>
      <c r="AK347" s="144"/>
    </row>
    <row r="348" ht="22.5" customHeight="1">
      <c r="A348" s="184"/>
      <c r="B348" s="184"/>
      <c r="C348" s="184"/>
      <c r="D348" s="184"/>
      <c r="E348" s="184"/>
      <c r="F348" s="184"/>
      <c r="G348" s="184"/>
      <c r="H348" s="184"/>
      <c r="I348" s="184"/>
      <c r="J348" s="184"/>
      <c r="K348" s="184"/>
      <c r="L348" s="184"/>
      <c r="M348" s="184"/>
      <c r="N348" s="184"/>
      <c r="O348" s="184"/>
      <c r="P348" s="184"/>
      <c r="Q348" s="184"/>
      <c r="R348" s="184"/>
      <c r="S348" s="184"/>
      <c r="T348" s="145"/>
      <c r="U348" s="151"/>
      <c r="V348" s="145"/>
      <c r="W348" s="145"/>
      <c r="X348" s="145"/>
      <c r="Y348" s="145"/>
      <c r="Z348" s="145"/>
      <c r="AA348" s="145"/>
      <c r="AB348" s="145"/>
      <c r="AC348" s="145"/>
      <c r="AD348" s="145"/>
      <c r="AE348" s="145"/>
      <c r="AF348" s="145"/>
      <c r="AG348" s="144"/>
      <c r="AH348" s="144"/>
      <c r="AI348" s="144"/>
      <c r="AJ348" s="144"/>
      <c r="AK348" s="144"/>
    </row>
    <row r="349" ht="22.5" customHeight="1">
      <c r="A349" s="183"/>
      <c r="B349" s="183"/>
      <c r="C349" s="183"/>
      <c r="D349" s="183"/>
      <c r="E349" s="183"/>
      <c r="F349" s="183"/>
      <c r="G349" s="183"/>
      <c r="H349" s="183"/>
      <c r="I349" s="183"/>
      <c r="J349" s="183"/>
      <c r="K349" s="183"/>
      <c r="L349" s="183"/>
      <c r="M349" s="183"/>
      <c r="N349" s="183"/>
      <c r="O349" s="183"/>
      <c r="P349" s="183"/>
      <c r="Q349" s="183"/>
      <c r="R349" s="183"/>
      <c r="S349" s="183"/>
      <c r="T349" s="152"/>
      <c r="U349" s="155"/>
      <c r="V349" s="152"/>
      <c r="W349" s="152"/>
      <c r="X349" s="152"/>
      <c r="Y349" s="152"/>
      <c r="Z349" s="152"/>
      <c r="AA349" s="152"/>
      <c r="AB349" s="152"/>
      <c r="AC349" s="152"/>
      <c r="AD349" s="152"/>
      <c r="AE349" s="152"/>
      <c r="AF349" s="152"/>
      <c r="AG349" s="144"/>
      <c r="AH349" s="144"/>
      <c r="AI349" s="144"/>
      <c r="AJ349" s="144"/>
      <c r="AK349" s="144"/>
    </row>
    <row r="350" ht="22.5" customHeight="1">
      <c r="A350" s="184"/>
      <c r="B350" s="184"/>
      <c r="C350" s="184"/>
      <c r="D350" s="184"/>
      <c r="E350" s="184"/>
      <c r="F350" s="184"/>
      <c r="G350" s="184"/>
      <c r="H350" s="184"/>
      <c r="I350" s="184"/>
      <c r="J350" s="184"/>
      <c r="K350" s="184"/>
      <c r="L350" s="184"/>
      <c r="M350" s="184"/>
      <c r="N350" s="184"/>
      <c r="O350" s="184"/>
      <c r="P350" s="184"/>
      <c r="Q350" s="184"/>
      <c r="R350" s="184"/>
      <c r="S350" s="184"/>
      <c r="T350" s="145"/>
      <c r="U350" s="151"/>
      <c r="V350" s="145"/>
      <c r="W350" s="145"/>
      <c r="X350" s="145"/>
      <c r="Y350" s="145"/>
      <c r="Z350" s="145"/>
      <c r="AA350" s="145"/>
      <c r="AB350" s="145"/>
      <c r="AC350" s="145"/>
      <c r="AD350" s="145"/>
      <c r="AE350" s="145"/>
      <c r="AF350" s="145"/>
      <c r="AG350" s="144"/>
      <c r="AH350" s="144"/>
      <c r="AI350" s="144"/>
      <c r="AJ350" s="144"/>
      <c r="AK350" s="144"/>
    </row>
    <row r="351" ht="22.5" customHeight="1">
      <c r="A351" s="183"/>
      <c r="B351" s="183"/>
      <c r="C351" s="183"/>
      <c r="D351" s="183"/>
      <c r="E351" s="183"/>
      <c r="F351" s="183"/>
      <c r="G351" s="183"/>
      <c r="H351" s="183"/>
      <c r="I351" s="183"/>
      <c r="J351" s="183"/>
      <c r="K351" s="183"/>
      <c r="L351" s="183"/>
      <c r="M351" s="183"/>
      <c r="N351" s="183"/>
      <c r="O351" s="183"/>
      <c r="P351" s="183"/>
      <c r="Q351" s="183"/>
      <c r="R351" s="183"/>
      <c r="S351" s="183"/>
      <c r="T351" s="152"/>
      <c r="U351" s="155"/>
      <c r="V351" s="152"/>
      <c r="W351" s="152"/>
      <c r="X351" s="152"/>
      <c r="Y351" s="152"/>
      <c r="Z351" s="152"/>
      <c r="AA351" s="152"/>
      <c r="AB351" s="152"/>
      <c r="AC351" s="152"/>
      <c r="AD351" s="152"/>
      <c r="AE351" s="152"/>
      <c r="AF351" s="152"/>
      <c r="AG351" s="144"/>
      <c r="AH351" s="144"/>
      <c r="AI351" s="144"/>
      <c r="AJ351" s="144"/>
      <c r="AK351" s="144"/>
    </row>
    <row r="352" ht="22.5" customHeight="1">
      <c r="A352" s="184"/>
      <c r="B352" s="184"/>
      <c r="C352" s="184"/>
      <c r="D352" s="184"/>
      <c r="E352" s="184"/>
      <c r="F352" s="184"/>
      <c r="G352" s="184"/>
      <c r="H352" s="184"/>
      <c r="I352" s="184"/>
      <c r="J352" s="184"/>
      <c r="K352" s="184"/>
      <c r="L352" s="184"/>
      <c r="M352" s="184"/>
      <c r="N352" s="184"/>
      <c r="O352" s="184"/>
      <c r="P352" s="184"/>
      <c r="Q352" s="184"/>
      <c r="R352" s="184"/>
      <c r="S352" s="184"/>
      <c r="T352" s="145"/>
      <c r="U352" s="151"/>
      <c r="V352" s="145"/>
      <c r="W352" s="145"/>
      <c r="X352" s="145"/>
      <c r="Y352" s="145"/>
      <c r="Z352" s="145"/>
      <c r="AA352" s="145"/>
      <c r="AB352" s="145"/>
      <c r="AC352" s="145"/>
      <c r="AD352" s="145"/>
      <c r="AE352" s="145"/>
      <c r="AF352" s="145"/>
      <c r="AG352" s="144"/>
      <c r="AH352" s="144"/>
      <c r="AI352" s="144"/>
      <c r="AJ352" s="144"/>
      <c r="AK352" s="144"/>
    </row>
    <row r="353" ht="22.5" customHeight="1">
      <c r="A353" s="183"/>
      <c r="B353" s="183"/>
      <c r="C353" s="183"/>
      <c r="D353" s="183"/>
      <c r="E353" s="183"/>
      <c r="F353" s="183"/>
      <c r="G353" s="183"/>
      <c r="H353" s="183"/>
      <c r="I353" s="183"/>
      <c r="J353" s="183"/>
      <c r="K353" s="183"/>
      <c r="L353" s="183"/>
      <c r="M353" s="183"/>
      <c r="N353" s="183"/>
      <c r="O353" s="183"/>
      <c r="P353" s="183"/>
      <c r="Q353" s="183"/>
      <c r="R353" s="183"/>
      <c r="S353" s="183"/>
      <c r="T353" s="152"/>
      <c r="U353" s="155"/>
      <c r="V353" s="152"/>
      <c r="W353" s="152"/>
      <c r="X353" s="152"/>
      <c r="Y353" s="152"/>
      <c r="Z353" s="152"/>
      <c r="AA353" s="152"/>
      <c r="AB353" s="152"/>
      <c r="AC353" s="152"/>
      <c r="AD353" s="152"/>
      <c r="AE353" s="152"/>
      <c r="AF353" s="152"/>
      <c r="AG353" s="144"/>
      <c r="AH353" s="144"/>
      <c r="AI353" s="144"/>
      <c r="AJ353" s="144"/>
      <c r="AK353" s="144"/>
    </row>
    <row r="354" ht="22.5" customHeight="1">
      <c r="A354" s="184"/>
      <c r="B354" s="184"/>
      <c r="C354" s="184"/>
      <c r="D354" s="184"/>
      <c r="E354" s="184"/>
      <c r="F354" s="184"/>
      <c r="G354" s="184"/>
      <c r="H354" s="184"/>
      <c r="I354" s="184"/>
      <c r="J354" s="184"/>
      <c r="K354" s="184"/>
      <c r="L354" s="184"/>
      <c r="M354" s="184"/>
      <c r="N354" s="184"/>
      <c r="O354" s="184"/>
      <c r="P354" s="184"/>
      <c r="Q354" s="184"/>
      <c r="R354" s="184"/>
      <c r="S354" s="184"/>
      <c r="T354" s="145"/>
      <c r="U354" s="151"/>
      <c r="V354" s="145"/>
      <c r="W354" s="145"/>
      <c r="X354" s="145"/>
      <c r="Y354" s="145"/>
      <c r="Z354" s="145"/>
      <c r="AA354" s="145"/>
      <c r="AB354" s="145"/>
      <c r="AC354" s="145"/>
      <c r="AD354" s="145"/>
      <c r="AE354" s="145"/>
      <c r="AF354" s="145"/>
      <c r="AG354" s="144"/>
      <c r="AH354" s="144"/>
      <c r="AI354" s="144"/>
      <c r="AJ354" s="144"/>
      <c r="AK354" s="144"/>
    </row>
    <row r="355" ht="22.5" customHeight="1">
      <c r="A355" s="183"/>
      <c r="B355" s="183"/>
      <c r="C355" s="183"/>
      <c r="D355" s="183"/>
      <c r="E355" s="183"/>
      <c r="F355" s="183"/>
      <c r="G355" s="183"/>
      <c r="H355" s="183"/>
      <c r="I355" s="183"/>
      <c r="J355" s="183"/>
      <c r="K355" s="183"/>
      <c r="L355" s="183"/>
      <c r="M355" s="183"/>
      <c r="N355" s="183"/>
      <c r="O355" s="183"/>
      <c r="P355" s="183"/>
      <c r="Q355" s="183"/>
      <c r="R355" s="183"/>
      <c r="S355" s="183"/>
      <c r="T355" s="152"/>
      <c r="U355" s="155"/>
      <c r="V355" s="152"/>
      <c r="W355" s="152"/>
      <c r="X355" s="152"/>
      <c r="Y355" s="152"/>
      <c r="Z355" s="152"/>
      <c r="AA355" s="152"/>
      <c r="AB355" s="152"/>
      <c r="AC355" s="152"/>
      <c r="AD355" s="152"/>
      <c r="AE355" s="152"/>
      <c r="AF355" s="152"/>
      <c r="AG355" s="144"/>
      <c r="AH355" s="144"/>
      <c r="AI355" s="144"/>
      <c r="AJ355" s="144"/>
      <c r="AK355" s="144"/>
    </row>
    <row r="356" ht="22.5" customHeight="1">
      <c r="A356" s="184"/>
      <c r="B356" s="184"/>
      <c r="C356" s="184"/>
      <c r="D356" s="184"/>
      <c r="E356" s="184"/>
      <c r="F356" s="184"/>
      <c r="G356" s="184"/>
      <c r="H356" s="184"/>
      <c r="I356" s="184"/>
      <c r="J356" s="184"/>
      <c r="K356" s="184"/>
      <c r="L356" s="184"/>
      <c r="M356" s="184"/>
      <c r="N356" s="184"/>
      <c r="O356" s="184"/>
      <c r="P356" s="184"/>
      <c r="Q356" s="184"/>
      <c r="R356" s="184"/>
      <c r="S356" s="184"/>
      <c r="T356" s="145"/>
      <c r="U356" s="151"/>
      <c r="V356" s="145"/>
      <c r="W356" s="145"/>
      <c r="X356" s="145"/>
      <c r="Y356" s="145"/>
      <c r="Z356" s="145"/>
      <c r="AA356" s="145"/>
      <c r="AB356" s="145"/>
      <c r="AC356" s="145"/>
      <c r="AD356" s="145"/>
      <c r="AE356" s="145"/>
      <c r="AF356" s="145"/>
      <c r="AG356" s="144"/>
      <c r="AH356" s="144"/>
      <c r="AI356" s="144"/>
      <c r="AJ356" s="144"/>
      <c r="AK356" s="144"/>
    </row>
    <row r="357" ht="22.5" customHeight="1">
      <c r="A357" s="183"/>
      <c r="B357" s="183"/>
      <c r="C357" s="183"/>
      <c r="D357" s="183"/>
      <c r="E357" s="183"/>
      <c r="F357" s="183"/>
      <c r="G357" s="183"/>
      <c r="H357" s="183"/>
      <c r="I357" s="183"/>
      <c r="J357" s="183"/>
      <c r="K357" s="183"/>
      <c r="L357" s="183"/>
      <c r="M357" s="183"/>
      <c r="N357" s="183"/>
      <c r="O357" s="183"/>
      <c r="P357" s="183"/>
      <c r="Q357" s="183"/>
      <c r="R357" s="183"/>
      <c r="S357" s="183"/>
      <c r="T357" s="152"/>
      <c r="U357" s="155"/>
      <c r="V357" s="152"/>
      <c r="W357" s="152"/>
      <c r="X357" s="152"/>
      <c r="Y357" s="152"/>
      <c r="Z357" s="152"/>
      <c r="AA357" s="152"/>
      <c r="AB357" s="152"/>
      <c r="AC357" s="152"/>
      <c r="AD357" s="152"/>
      <c r="AE357" s="152"/>
      <c r="AF357" s="152"/>
      <c r="AG357" s="144"/>
      <c r="AH357" s="144"/>
      <c r="AI357" s="144"/>
      <c r="AJ357" s="144"/>
      <c r="AK357" s="144"/>
    </row>
    <row r="358" ht="22.5" customHeight="1">
      <c r="A358" s="184"/>
      <c r="B358" s="184"/>
      <c r="C358" s="184"/>
      <c r="D358" s="184"/>
      <c r="E358" s="184"/>
      <c r="F358" s="184"/>
      <c r="G358" s="184"/>
      <c r="H358" s="184"/>
      <c r="I358" s="184"/>
      <c r="J358" s="184"/>
      <c r="K358" s="184"/>
      <c r="L358" s="184"/>
      <c r="M358" s="184"/>
      <c r="N358" s="184"/>
      <c r="O358" s="184"/>
      <c r="P358" s="184"/>
      <c r="Q358" s="184"/>
      <c r="R358" s="184"/>
      <c r="S358" s="184"/>
      <c r="T358" s="145"/>
      <c r="U358" s="151"/>
      <c r="V358" s="145"/>
      <c r="W358" s="145"/>
      <c r="X358" s="145"/>
      <c r="Y358" s="145"/>
      <c r="Z358" s="145"/>
      <c r="AA358" s="145"/>
      <c r="AB358" s="145"/>
      <c r="AC358" s="145"/>
      <c r="AD358" s="145"/>
      <c r="AE358" s="145"/>
      <c r="AF358" s="145"/>
      <c r="AG358" s="144"/>
      <c r="AH358" s="144"/>
      <c r="AI358" s="144"/>
      <c r="AJ358" s="144"/>
      <c r="AK358" s="144"/>
    </row>
    <row r="359" ht="22.5" customHeight="1">
      <c r="A359" s="183"/>
      <c r="B359" s="183"/>
      <c r="C359" s="183"/>
      <c r="D359" s="183"/>
      <c r="E359" s="183"/>
      <c r="F359" s="183"/>
      <c r="G359" s="183"/>
      <c r="H359" s="183"/>
      <c r="I359" s="183"/>
      <c r="J359" s="183"/>
      <c r="K359" s="183"/>
      <c r="L359" s="183"/>
      <c r="M359" s="183"/>
      <c r="N359" s="183"/>
      <c r="O359" s="183"/>
      <c r="P359" s="183"/>
      <c r="Q359" s="183"/>
      <c r="R359" s="183"/>
      <c r="S359" s="183"/>
      <c r="T359" s="152"/>
      <c r="U359" s="155"/>
      <c r="V359" s="152"/>
      <c r="W359" s="152"/>
      <c r="X359" s="152"/>
      <c r="Y359" s="152"/>
      <c r="Z359" s="152"/>
      <c r="AA359" s="152"/>
      <c r="AB359" s="152"/>
      <c r="AC359" s="152"/>
      <c r="AD359" s="152"/>
      <c r="AE359" s="152"/>
      <c r="AF359" s="152"/>
      <c r="AG359" s="144"/>
      <c r="AH359" s="144"/>
      <c r="AI359" s="144"/>
      <c r="AJ359" s="144"/>
      <c r="AK359" s="144"/>
    </row>
    <row r="360" ht="22.5" customHeight="1">
      <c r="A360" s="184"/>
      <c r="B360" s="184"/>
      <c r="C360" s="184"/>
      <c r="D360" s="184"/>
      <c r="E360" s="184"/>
      <c r="F360" s="184"/>
      <c r="G360" s="184"/>
      <c r="H360" s="184"/>
      <c r="I360" s="184"/>
      <c r="J360" s="184"/>
      <c r="K360" s="184"/>
      <c r="L360" s="184"/>
      <c r="M360" s="184"/>
      <c r="N360" s="184"/>
      <c r="O360" s="184"/>
      <c r="P360" s="184"/>
      <c r="Q360" s="184"/>
      <c r="R360" s="184"/>
      <c r="S360" s="184"/>
      <c r="T360" s="145"/>
      <c r="U360" s="151"/>
      <c r="V360" s="145"/>
      <c r="W360" s="145"/>
      <c r="X360" s="145"/>
      <c r="Y360" s="145"/>
      <c r="Z360" s="145"/>
      <c r="AA360" s="145"/>
      <c r="AB360" s="145"/>
      <c r="AC360" s="145"/>
      <c r="AD360" s="145"/>
      <c r="AE360" s="145"/>
      <c r="AF360" s="145"/>
      <c r="AG360" s="144"/>
      <c r="AH360" s="144"/>
      <c r="AI360" s="144"/>
      <c r="AJ360" s="144"/>
      <c r="AK360" s="144"/>
    </row>
    <row r="361" ht="22.5" customHeight="1">
      <c r="A361" s="183"/>
      <c r="B361" s="183"/>
      <c r="C361" s="183"/>
      <c r="D361" s="183"/>
      <c r="E361" s="183"/>
      <c r="F361" s="183"/>
      <c r="G361" s="183"/>
      <c r="H361" s="183"/>
      <c r="I361" s="183"/>
      <c r="J361" s="183"/>
      <c r="K361" s="183"/>
      <c r="L361" s="183"/>
      <c r="M361" s="183"/>
      <c r="N361" s="183"/>
      <c r="O361" s="183"/>
      <c r="P361" s="183"/>
      <c r="Q361" s="183"/>
      <c r="R361" s="183"/>
      <c r="S361" s="183"/>
      <c r="T361" s="152"/>
      <c r="U361" s="155"/>
      <c r="V361" s="152"/>
      <c r="W361" s="152"/>
      <c r="X361" s="152"/>
      <c r="Y361" s="152"/>
      <c r="Z361" s="152"/>
      <c r="AA361" s="152"/>
      <c r="AB361" s="152"/>
      <c r="AC361" s="152"/>
      <c r="AD361" s="152"/>
      <c r="AE361" s="152"/>
      <c r="AF361" s="152"/>
      <c r="AG361" s="144"/>
      <c r="AH361" s="144"/>
      <c r="AI361" s="144"/>
      <c r="AJ361" s="144"/>
      <c r="AK361" s="144"/>
    </row>
    <row r="362" ht="22.5" customHeight="1">
      <c r="A362" s="184"/>
      <c r="B362" s="184"/>
      <c r="C362" s="184"/>
      <c r="D362" s="184"/>
      <c r="E362" s="184"/>
      <c r="F362" s="184"/>
      <c r="G362" s="184"/>
      <c r="H362" s="184"/>
      <c r="I362" s="184"/>
      <c r="J362" s="184"/>
      <c r="K362" s="184"/>
      <c r="L362" s="184"/>
      <c r="M362" s="184"/>
      <c r="N362" s="184"/>
      <c r="O362" s="184"/>
      <c r="P362" s="184"/>
      <c r="Q362" s="184"/>
      <c r="R362" s="184"/>
      <c r="S362" s="184"/>
      <c r="T362" s="145"/>
      <c r="U362" s="151"/>
      <c r="V362" s="145"/>
      <c r="W362" s="145"/>
      <c r="X362" s="145"/>
      <c r="Y362" s="145"/>
      <c r="Z362" s="145"/>
      <c r="AA362" s="145"/>
      <c r="AB362" s="145"/>
      <c r="AC362" s="145"/>
      <c r="AD362" s="145"/>
      <c r="AE362" s="145"/>
      <c r="AF362" s="145"/>
      <c r="AG362" s="144"/>
      <c r="AH362" s="144"/>
      <c r="AI362" s="144"/>
      <c r="AJ362" s="144"/>
      <c r="AK362" s="144"/>
    </row>
    <row r="363" ht="22.5" customHeight="1">
      <c r="A363" s="183"/>
      <c r="B363" s="183"/>
      <c r="C363" s="183"/>
      <c r="D363" s="183"/>
      <c r="E363" s="183"/>
      <c r="F363" s="183"/>
      <c r="G363" s="183"/>
      <c r="H363" s="183"/>
      <c r="I363" s="183"/>
      <c r="J363" s="183"/>
      <c r="K363" s="183"/>
      <c r="L363" s="183"/>
      <c r="M363" s="183"/>
      <c r="N363" s="183"/>
      <c r="O363" s="183"/>
      <c r="P363" s="183"/>
      <c r="Q363" s="183"/>
      <c r="R363" s="183"/>
      <c r="S363" s="183"/>
      <c r="T363" s="152"/>
      <c r="U363" s="155"/>
      <c r="V363" s="152"/>
      <c r="W363" s="152"/>
      <c r="X363" s="152"/>
      <c r="Y363" s="152"/>
      <c r="Z363" s="152"/>
      <c r="AA363" s="152"/>
      <c r="AB363" s="152"/>
      <c r="AC363" s="152"/>
      <c r="AD363" s="152"/>
      <c r="AE363" s="152"/>
      <c r="AF363" s="152"/>
      <c r="AG363" s="144"/>
      <c r="AH363" s="144"/>
      <c r="AI363" s="144"/>
      <c r="AJ363" s="144"/>
      <c r="AK363" s="144"/>
    </row>
    <row r="364" ht="22.5" customHeight="1">
      <c r="A364" s="184"/>
      <c r="B364" s="184"/>
      <c r="C364" s="184"/>
      <c r="D364" s="184"/>
      <c r="E364" s="184"/>
      <c r="F364" s="184"/>
      <c r="G364" s="184"/>
      <c r="H364" s="184"/>
      <c r="I364" s="184"/>
      <c r="J364" s="184"/>
      <c r="K364" s="184"/>
      <c r="L364" s="184"/>
      <c r="M364" s="184"/>
      <c r="N364" s="184"/>
      <c r="O364" s="184"/>
      <c r="P364" s="184"/>
      <c r="Q364" s="184"/>
      <c r="R364" s="184"/>
      <c r="S364" s="184"/>
      <c r="T364" s="145"/>
      <c r="U364" s="151"/>
      <c r="V364" s="145"/>
      <c r="W364" s="145"/>
      <c r="X364" s="145"/>
      <c r="Y364" s="145"/>
      <c r="Z364" s="145"/>
      <c r="AA364" s="145"/>
      <c r="AB364" s="145"/>
      <c r="AC364" s="145"/>
      <c r="AD364" s="145"/>
      <c r="AE364" s="145"/>
      <c r="AF364" s="145"/>
      <c r="AG364" s="144"/>
      <c r="AH364" s="144"/>
      <c r="AI364" s="144"/>
      <c r="AJ364" s="144"/>
      <c r="AK364" s="144"/>
    </row>
    <row r="365" ht="22.5" customHeight="1">
      <c r="A365" s="183"/>
      <c r="B365" s="183"/>
      <c r="C365" s="183"/>
      <c r="D365" s="183"/>
      <c r="E365" s="183"/>
      <c r="F365" s="183"/>
      <c r="G365" s="183"/>
      <c r="H365" s="183"/>
      <c r="I365" s="183"/>
      <c r="J365" s="183"/>
      <c r="K365" s="183"/>
      <c r="L365" s="183"/>
      <c r="M365" s="183"/>
      <c r="N365" s="183"/>
      <c r="O365" s="183"/>
      <c r="P365" s="183"/>
      <c r="Q365" s="183"/>
      <c r="R365" s="183"/>
      <c r="S365" s="183"/>
      <c r="T365" s="152"/>
      <c r="U365" s="155"/>
      <c r="V365" s="152"/>
      <c r="W365" s="152"/>
      <c r="X365" s="152"/>
      <c r="Y365" s="152"/>
      <c r="Z365" s="152"/>
      <c r="AA365" s="152"/>
      <c r="AB365" s="152"/>
      <c r="AC365" s="152"/>
      <c r="AD365" s="152"/>
      <c r="AE365" s="152"/>
      <c r="AF365" s="152"/>
      <c r="AG365" s="144"/>
      <c r="AH365" s="144"/>
      <c r="AI365" s="144"/>
      <c r="AJ365" s="144"/>
      <c r="AK365" s="144"/>
    </row>
    <row r="366" ht="22.5" customHeight="1">
      <c r="A366" s="184"/>
      <c r="B366" s="184"/>
      <c r="C366" s="184"/>
      <c r="D366" s="184"/>
      <c r="E366" s="184"/>
      <c r="F366" s="184"/>
      <c r="G366" s="184"/>
      <c r="H366" s="184"/>
      <c r="I366" s="184"/>
      <c r="J366" s="184"/>
      <c r="K366" s="184"/>
      <c r="L366" s="184"/>
      <c r="M366" s="184"/>
      <c r="N366" s="184"/>
      <c r="O366" s="184"/>
      <c r="P366" s="184"/>
      <c r="Q366" s="184"/>
      <c r="R366" s="184"/>
      <c r="S366" s="184"/>
      <c r="T366" s="145"/>
      <c r="U366" s="151"/>
      <c r="V366" s="145"/>
      <c r="W366" s="145"/>
      <c r="X366" s="145"/>
      <c r="Y366" s="145"/>
      <c r="Z366" s="145"/>
      <c r="AA366" s="145"/>
      <c r="AB366" s="145"/>
      <c r="AC366" s="145"/>
      <c r="AD366" s="145"/>
      <c r="AE366" s="145"/>
      <c r="AF366" s="145"/>
      <c r="AG366" s="144"/>
      <c r="AH366" s="144"/>
      <c r="AI366" s="144"/>
      <c r="AJ366" s="144"/>
      <c r="AK366" s="144"/>
    </row>
    <row r="367" ht="22.5" customHeight="1">
      <c r="A367" s="183"/>
      <c r="B367" s="183"/>
      <c r="C367" s="183"/>
      <c r="D367" s="183"/>
      <c r="E367" s="183"/>
      <c r="F367" s="183"/>
      <c r="G367" s="183"/>
      <c r="H367" s="183"/>
      <c r="I367" s="183"/>
      <c r="J367" s="183"/>
      <c r="K367" s="183"/>
      <c r="L367" s="183"/>
      <c r="M367" s="183"/>
      <c r="N367" s="183"/>
      <c r="O367" s="183"/>
      <c r="P367" s="183"/>
      <c r="Q367" s="183"/>
      <c r="R367" s="183"/>
      <c r="S367" s="183"/>
      <c r="T367" s="152"/>
      <c r="U367" s="155"/>
      <c r="V367" s="152"/>
      <c r="W367" s="152"/>
      <c r="X367" s="152"/>
      <c r="Y367" s="152"/>
      <c r="Z367" s="152"/>
      <c r="AA367" s="152"/>
      <c r="AB367" s="152"/>
      <c r="AC367" s="152"/>
      <c r="AD367" s="152"/>
      <c r="AE367" s="152"/>
      <c r="AF367" s="152"/>
      <c r="AG367" s="144"/>
      <c r="AH367" s="144"/>
      <c r="AI367" s="144"/>
      <c r="AJ367" s="144"/>
      <c r="AK367" s="144"/>
    </row>
    <row r="368" ht="22.5" customHeight="1">
      <c r="A368" s="184"/>
      <c r="B368" s="184"/>
      <c r="C368" s="184"/>
      <c r="D368" s="184"/>
      <c r="E368" s="184"/>
      <c r="F368" s="184"/>
      <c r="G368" s="184"/>
      <c r="H368" s="184"/>
      <c r="I368" s="184"/>
      <c r="J368" s="184"/>
      <c r="K368" s="184"/>
      <c r="L368" s="184"/>
      <c r="M368" s="184"/>
      <c r="N368" s="184"/>
      <c r="O368" s="184"/>
      <c r="P368" s="184"/>
      <c r="Q368" s="184"/>
      <c r="R368" s="184"/>
      <c r="S368" s="184"/>
      <c r="T368" s="145"/>
      <c r="U368" s="151"/>
      <c r="V368" s="145"/>
      <c r="W368" s="145"/>
      <c r="X368" s="145"/>
      <c r="Y368" s="145"/>
      <c r="Z368" s="145"/>
      <c r="AA368" s="145"/>
      <c r="AB368" s="145"/>
      <c r="AC368" s="145"/>
      <c r="AD368" s="145"/>
      <c r="AE368" s="145"/>
      <c r="AF368" s="145"/>
      <c r="AG368" s="144"/>
      <c r="AH368" s="144"/>
      <c r="AI368" s="144"/>
      <c r="AJ368" s="144"/>
      <c r="AK368" s="144"/>
    </row>
    <row r="369" ht="22.5" customHeight="1">
      <c r="A369" s="183"/>
      <c r="B369" s="183"/>
      <c r="C369" s="183"/>
      <c r="D369" s="183"/>
      <c r="E369" s="183"/>
      <c r="F369" s="183"/>
      <c r="G369" s="183"/>
      <c r="H369" s="183"/>
      <c r="I369" s="183"/>
      <c r="J369" s="183"/>
      <c r="K369" s="183"/>
      <c r="L369" s="183"/>
      <c r="M369" s="183"/>
      <c r="N369" s="183"/>
      <c r="O369" s="183"/>
      <c r="P369" s="183"/>
      <c r="Q369" s="183"/>
      <c r="R369" s="183"/>
      <c r="S369" s="183"/>
      <c r="T369" s="152"/>
      <c r="U369" s="155"/>
      <c r="V369" s="152"/>
      <c r="W369" s="152"/>
      <c r="X369" s="152"/>
      <c r="Y369" s="152"/>
      <c r="Z369" s="152"/>
      <c r="AA369" s="152"/>
      <c r="AB369" s="152"/>
      <c r="AC369" s="152"/>
      <c r="AD369" s="152"/>
      <c r="AE369" s="152"/>
      <c r="AF369" s="152"/>
      <c r="AG369" s="144"/>
      <c r="AH369" s="144"/>
      <c r="AI369" s="144"/>
      <c r="AJ369" s="144"/>
      <c r="AK369" s="144"/>
    </row>
    <row r="370" ht="22.5" customHeight="1">
      <c r="A370" s="184"/>
      <c r="B370" s="184"/>
      <c r="C370" s="184"/>
      <c r="D370" s="184"/>
      <c r="E370" s="184"/>
      <c r="F370" s="184"/>
      <c r="G370" s="184"/>
      <c r="H370" s="184"/>
      <c r="I370" s="184"/>
      <c r="J370" s="184"/>
      <c r="K370" s="184"/>
      <c r="L370" s="184"/>
      <c r="M370" s="184"/>
      <c r="N370" s="184"/>
      <c r="O370" s="184"/>
      <c r="P370" s="184"/>
      <c r="Q370" s="184"/>
      <c r="R370" s="184"/>
      <c r="S370" s="184"/>
      <c r="T370" s="145"/>
      <c r="U370" s="151"/>
      <c r="V370" s="145"/>
      <c r="W370" s="145"/>
      <c r="X370" s="145"/>
      <c r="Y370" s="145"/>
      <c r="Z370" s="145"/>
      <c r="AA370" s="145"/>
      <c r="AB370" s="145"/>
      <c r="AC370" s="145"/>
      <c r="AD370" s="145"/>
      <c r="AE370" s="145"/>
      <c r="AF370" s="145"/>
      <c r="AG370" s="144"/>
      <c r="AH370" s="144"/>
      <c r="AI370" s="144"/>
      <c r="AJ370" s="144"/>
      <c r="AK370" s="144"/>
    </row>
    <row r="371" ht="22.5" customHeight="1">
      <c r="A371" s="183"/>
      <c r="B371" s="183"/>
      <c r="C371" s="183"/>
      <c r="D371" s="183"/>
      <c r="E371" s="183"/>
      <c r="F371" s="183"/>
      <c r="G371" s="183"/>
      <c r="H371" s="183"/>
      <c r="I371" s="183"/>
      <c r="J371" s="183"/>
      <c r="K371" s="183"/>
      <c r="L371" s="183"/>
      <c r="M371" s="183"/>
      <c r="N371" s="183"/>
      <c r="O371" s="183"/>
      <c r="P371" s="183"/>
      <c r="Q371" s="183"/>
      <c r="R371" s="183"/>
      <c r="S371" s="183"/>
      <c r="T371" s="152"/>
      <c r="U371" s="155"/>
      <c r="V371" s="152"/>
      <c r="W371" s="152"/>
      <c r="X371" s="152"/>
      <c r="Y371" s="152"/>
      <c r="Z371" s="152"/>
      <c r="AA371" s="152"/>
      <c r="AB371" s="152"/>
      <c r="AC371" s="152"/>
      <c r="AD371" s="152"/>
      <c r="AE371" s="152"/>
      <c r="AF371" s="152"/>
      <c r="AG371" s="144"/>
      <c r="AH371" s="144"/>
      <c r="AI371" s="144"/>
      <c r="AJ371" s="144"/>
      <c r="AK371" s="144"/>
    </row>
    <row r="372" ht="22.5" customHeight="1">
      <c r="A372" s="184"/>
      <c r="B372" s="184"/>
      <c r="C372" s="184"/>
      <c r="D372" s="184"/>
      <c r="E372" s="184"/>
      <c r="F372" s="184"/>
      <c r="G372" s="184"/>
      <c r="H372" s="184"/>
      <c r="I372" s="184"/>
      <c r="J372" s="184"/>
      <c r="K372" s="184"/>
      <c r="L372" s="184"/>
      <c r="M372" s="184"/>
      <c r="N372" s="184"/>
      <c r="O372" s="184"/>
      <c r="P372" s="184"/>
      <c r="Q372" s="184"/>
      <c r="R372" s="184"/>
      <c r="S372" s="184"/>
      <c r="T372" s="145"/>
      <c r="U372" s="151"/>
      <c r="V372" s="145"/>
      <c r="W372" s="145"/>
      <c r="X372" s="145"/>
      <c r="Y372" s="145"/>
      <c r="Z372" s="145"/>
      <c r="AA372" s="145"/>
      <c r="AB372" s="145"/>
      <c r="AC372" s="145"/>
      <c r="AD372" s="145"/>
      <c r="AE372" s="145"/>
      <c r="AF372" s="145"/>
      <c r="AG372" s="144"/>
      <c r="AH372" s="144"/>
      <c r="AI372" s="144"/>
      <c r="AJ372" s="144"/>
      <c r="AK372" s="144"/>
    </row>
    <row r="373" ht="22.5" customHeight="1">
      <c r="A373" s="183"/>
      <c r="B373" s="183"/>
      <c r="C373" s="183"/>
      <c r="D373" s="183"/>
      <c r="E373" s="183"/>
      <c r="F373" s="183"/>
      <c r="G373" s="183"/>
      <c r="H373" s="183"/>
      <c r="I373" s="183"/>
      <c r="J373" s="183"/>
      <c r="K373" s="183"/>
      <c r="L373" s="183"/>
      <c r="M373" s="183"/>
      <c r="N373" s="183"/>
      <c r="O373" s="183"/>
      <c r="P373" s="183"/>
      <c r="Q373" s="183"/>
      <c r="R373" s="183"/>
      <c r="S373" s="183"/>
      <c r="T373" s="152"/>
      <c r="U373" s="155"/>
      <c r="V373" s="152"/>
      <c r="W373" s="152"/>
      <c r="X373" s="152"/>
      <c r="Y373" s="152"/>
      <c r="Z373" s="152"/>
      <c r="AA373" s="152"/>
      <c r="AB373" s="152"/>
      <c r="AC373" s="152"/>
      <c r="AD373" s="152"/>
      <c r="AE373" s="152"/>
      <c r="AF373" s="152"/>
      <c r="AG373" s="144"/>
      <c r="AH373" s="144"/>
      <c r="AI373" s="144"/>
      <c r="AJ373" s="144"/>
      <c r="AK373" s="144"/>
    </row>
    <row r="374" ht="22.5" customHeight="1">
      <c r="A374" s="184"/>
      <c r="B374" s="184"/>
      <c r="C374" s="184"/>
      <c r="D374" s="184"/>
      <c r="E374" s="184"/>
      <c r="F374" s="184"/>
      <c r="G374" s="184"/>
      <c r="H374" s="184"/>
      <c r="I374" s="184"/>
      <c r="J374" s="184"/>
      <c r="K374" s="184"/>
      <c r="L374" s="184"/>
      <c r="M374" s="184"/>
      <c r="N374" s="184"/>
      <c r="O374" s="184"/>
      <c r="P374" s="184"/>
      <c r="Q374" s="184"/>
      <c r="R374" s="184"/>
      <c r="S374" s="184"/>
      <c r="T374" s="145"/>
      <c r="U374" s="151"/>
      <c r="V374" s="145"/>
      <c r="W374" s="145"/>
      <c r="X374" s="145"/>
      <c r="Y374" s="145"/>
      <c r="Z374" s="145"/>
      <c r="AA374" s="145"/>
      <c r="AB374" s="145"/>
      <c r="AC374" s="145"/>
      <c r="AD374" s="145"/>
      <c r="AE374" s="145"/>
      <c r="AF374" s="145"/>
      <c r="AG374" s="144"/>
      <c r="AH374" s="144"/>
      <c r="AI374" s="144"/>
      <c r="AJ374" s="144"/>
      <c r="AK374" s="144"/>
    </row>
    <row r="375" ht="22.5" customHeight="1">
      <c r="A375" s="183"/>
      <c r="B375" s="183"/>
      <c r="C375" s="183"/>
      <c r="D375" s="183"/>
      <c r="E375" s="183"/>
      <c r="F375" s="183"/>
      <c r="G375" s="183"/>
      <c r="H375" s="183"/>
      <c r="I375" s="183"/>
      <c r="J375" s="183"/>
      <c r="K375" s="183"/>
      <c r="L375" s="183"/>
      <c r="M375" s="183"/>
      <c r="N375" s="183"/>
      <c r="O375" s="183"/>
      <c r="P375" s="183"/>
      <c r="Q375" s="183"/>
      <c r="R375" s="183"/>
      <c r="S375" s="183"/>
      <c r="T375" s="152"/>
      <c r="U375" s="155"/>
      <c r="V375" s="152"/>
      <c r="W375" s="152"/>
      <c r="X375" s="152"/>
      <c r="Y375" s="152"/>
      <c r="Z375" s="152"/>
      <c r="AA375" s="152"/>
      <c r="AB375" s="152"/>
      <c r="AC375" s="152"/>
      <c r="AD375" s="152"/>
      <c r="AE375" s="152"/>
      <c r="AF375" s="152"/>
      <c r="AG375" s="144"/>
      <c r="AH375" s="144"/>
      <c r="AI375" s="144"/>
      <c r="AJ375" s="144"/>
      <c r="AK375" s="144"/>
    </row>
    <row r="376" ht="22.5" customHeight="1">
      <c r="A376" s="184"/>
      <c r="B376" s="184"/>
      <c r="C376" s="184"/>
      <c r="D376" s="184"/>
      <c r="E376" s="184"/>
      <c r="F376" s="184"/>
      <c r="G376" s="184"/>
      <c r="H376" s="184"/>
      <c r="I376" s="184"/>
      <c r="J376" s="184"/>
      <c r="K376" s="184"/>
      <c r="L376" s="184"/>
      <c r="M376" s="184"/>
      <c r="N376" s="184"/>
      <c r="O376" s="184"/>
      <c r="P376" s="184"/>
      <c r="Q376" s="184"/>
      <c r="R376" s="184"/>
      <c r="S376" s="184"/>
      <c r="T376" s="145"/>
      <c r="U376" s="151"/>
      <c r="V376" s="145"/>
      <c r="W376" s="145"/>
      <c r="X376" s="145"/>
      <c r="Y376" s="145"/>
      <c r="Z376" s="145"/>
      <c r="AA376" s="145"/>
      <c r="AB376" s="145"/>
      <c r="AC376" s="145"/>
      <c r="AD376" s="145"/>
      <c r="AE376" s="145"/>
      <c r="AF376" s="145"/>
      <c r="AG376" s="144"/>
      <c r="AH376" s="144"/>
      <c r="AI376" s="144"/>
      <c r="AJ376" s="144"/>
      <c r="AK376" s="144"/>
    </row>
    <row r="377" ht="22.5" customHeight="1">
      <c r="A377" s="183"/>
      <c r="B377" s="183"/>
      <c r="C377" s="183"/>
      <c r="D377" s="183"/>
      <c r="E377" s="183"/>
      <c r="F377" s="183"/>
      <c r="G377" s="183"/>
      <c r="H377" s="183"/>
      <c r="I377" s="183"/>
      <c r="J377" s="183"/>
      <c r="K377" s="183"/>
      <c r="L377" s="183"/>
      <c r="M377" s="183"/>
      <c r="N377" s="183"/>
      <c r="O377" s="183"/>
      <c r="P377" s="183"/>
      <c r="Q377" s="183"/>
      <c r="R377" s="183"/>
      <c r="S377" s="183"/>
      <c r="T377" s="152"/>
      <c r="U377" s="155"/>
      <c r="V377" s="152"/>
      <c r="W377" s="152"/>
      <c r="X377" s="152"/>
      <c r="Y377" s="152"/>
      <c r="Z377" s="152"/>
      <c r="AA377" s="152"/>
      <c r="AB377" s="152"/>
      <c r="AC377" s="152"/>
      <c r="AD377" s="152"/>
      <c r="AE377" s="152"/>
      <c r="AF377" s="152"/>
      <c r="AG377" s="144"/>
      <c r="AH377" s="144"/>
      <c r="AI377" s="144"/>
      <c r="AJ377" s="144"/>
      <c r="AK377" s="144"/>
    </row>
    <row r="378" ht="22.5" customHeight="1">
      <c r="A378" s="184"/>
      <c r="B378" s="184"/>
      <c r="C378" s="184"/>
      <c r="D378" s="184"/>
      <c r="E378" s="184"/>
      <c r="F378" s="184"/>
      <c r="G378" s="184"/>
      <c r="H378" s="184"/>
      <c r="I378" s="184"/>
      <c r="J378" s="184"/>
      <c r="K378" s="184"/>
      <c r="L378" s="184"/>
      <c r="M378" s="184"/>
      <c r="N378" s="184"/>
      <c r="O378" s="184"/>
      <c r="P378" s="184"/>
      <c r="Q378" s="184"/>
      <c r="R378" s="184"/>
      <c r="S378" s="184"/>
      <c r="T378" s="145"/>
      <c r="U378" s="151"/>
      <c r="V378" s="145"/>
      <c r="W378" s="145"/>
      <c r="X378" s="145"/>
      <c r="Y378" s="145"/>
      <c r="Z378" s="145"/>
      <c r="AA378" s="145"/>
      <c r="AB378" s="145"/>
      <c r="AC378" s="145"/>
      <c r="AD378" s="145"/>
      <c r="AE378" s="145"/>
      <c r="AF378" s="145"/>
      <c r="AG378" s="144"/>
      <c r="AH378" s="144"/>
      <c r="AI378" s="144"/>
      <c r="AJ378" s="144"/>
      <c r="AK378" s="144"/>
    </row>
    <row r="379" ht="22.5" customHeight="1">
      <c r="A379" s="183"/>
      <c r="B379" s="183"/>
      <c r="C379" s="183"/>
      <c r="D379" s="183"/>
      <c r="E379" s="183"/>
      <c r="F379" s="183"/>
      <c r="G379" s="183"/>
      <c r="H379" s="183"/>
      <c r="I379" s="183"/>
      <c r="J379" s="183"/>
      <c r="K379" s="183"/>
      <c r="L379" s="183"/>
      <c r="M379" s="183"/>
      <c r="N379" s="183"/>
      <c r="O379" s="183"/>
      <c r="P379" s="183"/>
      <c r="Q379" s="183"/>
      <c r="R379" s="183"/>
      <c r="S379" s="183"/>
      <c r="T379" s="152"/>
      <c r="U379" s="155"/>
      <c r="V379" s="152"/>
      <c r="W379" s="152"/>
      <c r="X379" s="152"/>
      <c r="Y379" s="152"/>
      <c r="Z379" s="152"/>
      <c r="AA379" s="152"/>
      <c r="AB379" s="152"/>
      <c r="AC379" s="152"/>
      <c r="AD379" s="152"/>
      <c r="AE379" s="152"/>
      <c r="AF379" s="152"/>
      <c r="AG379" s="144"/>
      <c r="AH379" s="144"/>
      <c r="AI379" s="144"/>
      <c r="AJ379" s="144"/>
      <c r="AK379" s="144"/>
    </row>
    <row r="380" ht="22.5" customHeight="1">
      <c r="A380" s="184"/>
      <c r="B380" s="184"/>
      <c r="C380" s="184"/>
      <c r="D380" s="184"/>
      <c r="E380" s="184"/>
      <c r="F380" s="184"/>
      <c r="G380" s="184"/>
      <c r="H380" s="184"/>
      <c r="I380" s="184"/>
      <c r="J380" s="184"/>
      <c r="K380" s="184"/>
      <c r="L380" s="184"/>
      <c r="M380" s="184"/>
      <c r="N380" s="184"/>
      <c r="O380" s="184"/>
      <c r="P380" s="184"/>
      <c r="Q380" s="184"/>
      <c r="R380" s="184"/>
      <c r="S380" s="184"/>
      <c r="T380" s="145"/>
      <c r="U380" s="151"/>
      <c r="V380" s="145"/>
      <c r="W380" s="145"/>
      <c r="X380" s="145"/>
      <c r="Y380" s="145"/>
      <c r="Z380" s="145"/>
      <c r="AA380" s="145"/>
      <c r="AB380" s="145"/>
      <c r="AC380" s="145"/>
      <c r="AD380" s="145"/>
      <c r="AE380" s="145"/>
      <c r="AF380" s="145"/>
      <c r="AG380" s="144"/>
      <c r="AH380" s="144"/>
      <c r="AI380" s="144"/>
      <c r="AJ380" s="144"/>
      <c r="AK380" s="144"/>
    </row>
    <row r="381" ht="22.5" customHeight="1">
      <c r="A381" s="183"/>
      <c r="B381" s="183"/>
      <c r="C381" s="183"/>
      <c r="D381" s="183"/>
      <c r="E381" s="183"/>
      <c r="F381" s="183"/>
      <c r="G381" s="183"/>
      <c r="H381" s="183"/>
      <c r="I381" s="183"/>
      <c r="J381" s="183"/>
      <c r="K381" s="183"/>
      <c r="L381" s="183"/>
      <c r="M381" s="183"/>
      <c r="N381" s="183"/>
      <c r="O381" s="183"/>
      <c r="P381" s="183"/>
      <c r="Q381" s="183"/>
      <c r="R381" s="183"/>
      <c r="S381" s="183"/>
      <c r="T381" s="152"/>
      <c r="U381" s="155"/>
      <c r="V381" s="152"/>
      <c r="W381" s="152"/>
      <c r="X381" s="152"/>
      <c r="Y381" s="152"/>
      <c r="Z381" s="152"/>
      <c r="AA381" s="152"/>
      <c r="AB381" s="152"/>
      <c r="AC381" s="152"/>
      <c r="AD381" s="152"/>
      <c r="AE381" s="152"/>
      <c r="AF381" s="152"/>
      <c r="AG381" s="144"/>
      <c r="AH381" s="144"/>
      <c r="AI381" s="144"/>
      <c r="AJ381" s="144"/>
      <c r="AK381" s="144"/>
    </row>
    <row r="382" ht="22.5" customHeight="1">
      <c r="A382" s="184"/>
      <c r="B382" s="184"/>
      <c r="C382" s="184"/>
      <c r="D382" s="184"/>
      <c r="E382" s="184"/>
      <c r="F382" s="184"/>
      <c r="G382" s="184"/>
      <c r="H382" s="184"/>
      <c r="I382" s="184"/>
      <c r="J382" s="184"/>
      <c r="K382" s="184"/>
      <c r="L382" s="184"/>
      <c r="M382" s="184"/>
      <c r="N382" s="184"/>
      <c r="O382" s="184"/>
      <c r="P382" s="184"/>
      <c r="Q382" s="184"/>
      <c r="R382" s="184"/>
      <c r="S382" s="184"/>
      <c r="T382" s="145"/>
      <c r="U382" s="151"/>
      <c r="V382" s="145"/>
      <c r="W382" s="145"/>
      <c r="X382" s="145"/>
      <c r="Y382" s="145"/>
      <c r="Z382" s="145"/>
      <c r="AA382" s="145"/>
      <c r="AB382" s="145"/>
      <c r="AC382" s="145"/>
      <c r="AD382" s="145"/>
      <c r="AE382" s="145"/>
      <c r="AF382" s="145"/>
      <c r="AG382" s="144"/>
      <c r="AH382" s="144"/>
      <c r="AI382" s="144"/>
      <c r="AJ382" s="144"/>
      <c r="AK382" s="144"/>
    </row>
    <row r="383" ht="22.5" customHeight="1">
      <c r="A383" s="183"/>
      <c r="B383" s="183"/>
      <c r="C383" s="183"/>
      <c r="D383" s="183"/>
      <c r="E383" s="183"/>
      <c r="F383" s="183"/>
      <c r="G383" s="183"/>
      <c r="H383" s="183"/>
      <c r="I383" s="183"/>
      <c r="J383" s="183"/>
      <c r="K383" s="183"/>
      <c r="L383" s="183"/>
      <c r="M383" s="183"/>
      <c r="N383" s="183"/>
      <c r="O383" s="183"/>
      <c r="P383" s="183"/>
      <c r="Q383" s="183"/>
      <c r="R383" s="183"/>
      <c r="S383" s="183"/>
      <c r="T383" s="152"/>
      <c r="U383" s="155"/>
      <c r="V383" s="152"/>
      <c r="W383" s="152"/>
      <c r="X383" s="152"/>
      <c r="Y383" s="152"/>
      <c r="Z383" s="152"/>
      <c r="AA383" s="152"/>
      <c r="AB383" s="152"/>
      <c r="AC383" s="152"/>
      <c r="AD383" s="152"/>
      <c r="AE383" s="152"/>
      <c r="AF383" s="152"/>
      <c r="AG383" s="144"/>
      <c r="AH383" s="144"/>
      <c r="AI383" s="144"/>
      <c r="AJ383" s="144"/>
      <c r="AK383" s="144"/>
    </row>
    <row r="384" ht="22.5" customHeight="1">
      <c r="A384" s="184"/>
      <c r="B384" s="184"/>
      <c r="C384" s="184"/>
      <c r="D384" s="184"/>
      <c r="E384" s="184"/>
      <c r="F384" s="184"/>
      <c r="G384" s="184"/>
      <c r="H384" s="184"/>
      <c r="I384" s="184"/>
      <c r="J384" s="184"/>
      <c r="K384" s="184"/>
      <c r="L384" s="184"/>
      <c r="M384" s="184"/>
      <c r="N384" s="184"/>
      <c r="O384" s="184"/>
      <c r="P384" s="184"/>
      <c r="Q384" s="184"/>
      <c r="R384" s="184"/>
      <c r="S384" s="184"/>
      <c r="T384" s="145"/>
      <c r="U384" s="151"/>
      <c r="V384" s="145"/>
      <c r="W384" s="145"/>
      <c r="X384" s="145"/>
      <c r="Y384" s="145"/>
      <c r="Z384" s="145"/>
      <c r="AA384" s="145"/>
      <c r="AB384" s="145"/>
      <c r="AC384" s="145"/>
      <c r="AD384" s="145"/>
      <c r="AE384" s="145"/>
      <c r="AF384" s="145"/>
      <c r="AG384" s="144"/>
      <c r="AH384" s="144"/>
      <c r="AI384" s="144"/>
      <c r="AJ384" s="144"/>
      <c r="AK384" s="144"/>
    </row>
    <row r="385" ht="22.5" customHeight="1">
      <c r="A385" s="183"/>
      <c r="B385" s="183"/>
      <c r="C385" s="183"/>
      <c r="D385" s="183"/>
      <c r="E385" s="183"/>
      <c r="F385" s="183"/>
      <c r="G385" s="183"/>
      <c r="H385" s="183"/>
      <c r="I385" s="183"/>
      <c r="J385" s="183"/>
      <c r="K385" s="183"/>
      <c r="L385" s="183"/>
      <c r="M385" s="183"/>
      <c r="N385" s="183"/>
      <c r="O385" s="183"/>
      <c r="P385" s="183"/>
      <c r="Q385" s="183"/>
      <c r="R385" s="183"/>
      <c r="S385" s="183"/>
      <c r="T385" s="152"/>
      <c r="U385" s="155"/>
      <c r="V385" s="152"/>
      <c r="W385" s="152"/>
      <c r="X385" s="152"/>
      <c r="Y385" s="152"/>
      <c r="Z385" s="152"/>
      <c r="AA385" s="152"/>
      <c r="AB385" s="152"/>
      <c r="AC385" s="152"/>
      <c r="AD385" s="152"/>
      <c r="AE385" s="152"/>
      <c r="AF385" s="152"/>
      <c r="AG385" s="144"/>
      <c r="AH385" s="144"/>
      <c r="AI385" s="144"/>
      <c r="AJ385" s="144"/>
      <c r="AK385" s="144"/>
    </row>
    <row r="386" ht="22.5" customHeight="1">
      <c r="A386" s="184"/>
      <c r="B386" s="184"/>
      <c r="C386" s="184"/>
      <c r="D386" s="184"/>
      <c r="E386" s="184"/>
      <c r="F386" s="184"/>
      <c r="G386" s="184"/>
      <c r="H386" s="184"/>
      <c r="I386" s="184"/>
      <c r="J386" s="184"/>
      <c r="K386" s="184"/>
      <c r="L386" s="184"/>
      <c r="M386" s="184"/>
      <c r="N386" s="184"/>
      <c r="O386" s="184"/>
      <c r="P386" s="184"/>
      <c r="Q386" s="184"/>
      <c r="R386" s="184"/>
      <c r="S386" s="184"/>
      <c r="T386" s="145"/>
      <c r="U386" s="151"/>
      <c r="V386" s="145"/>
      <c r="W386" s="145"/>
      <c r="X386" s="145"/>
      <c r="Y386" s="145"/>
      <c r="Z386" s="145"/>
      <c r="AA386" s="145"/>
      <c r="AB386" s="145"/>
      <c r="AC386" s="145"/>
      <c r="AD386" s="145"/>
      <c r="AE386" s="145"/>
      <c r="AF386" s="145"/>
      <c r="AG386" s="144"/>
      <c r="AH386" s="144"/>
      <c r="AI386" s="144"/>
      <c r="AJ386" s="144"/>
      <c r="AK386" s="144"/>
    </row>
    <row r="387" ht="22.5" customHeight="1">
      <c r="A387" s="183"/>
      <c r="B387" s="183"/>
      <c r="C387" s="183"/>
      <c r="D387" s="183"/>
      <c r="E387" s="183"/>
      <c r="F387" s="183"/>
      <c r="G387" s="183"/>
      <c r="H387" s="183"/>
      <c r="I387" s="183"/>
      <c r="J387" s="183"/>
      <c r="K387" s="183"/>
      <c r="L387" s="183"/>
      <c r="M387" s="183"/>
      <c r="N387" s="183"/>
      <c r="O387" s="183"/>
      <c r="P387" s="183"/>
      <c r="Q387" s="183"/>
      <c r="R387" s="183"/>
      <c r="S387" s="183"/>
      <c r="T387" s="152"/>
      <c r="U387" s="155"/>
      <c r="V387" s="152"/>
      <c r="W387" s="152"/>
      <c r="X387" s="152"/>
      <c r="Y387" s="152"/>
      <c r="Z387" s="152"/>
      <c r="AA387" s="152"/>
      <c r="AB387" s="152"/>
      <c r="AC387" s="152"/>
      <c r="AD387" s="152"/>
      <c r="AE387" s="152"/>
      <c r="AF387" s="152"/>
      <c r="AG387" s="144"/>
      <c r="AH387" s="144"/>
      <c r="AI387" s="144"/>
      <c r="AJ387" s="144"/>
      <c r="AK387" s="144"/>
    </row>
    <row r="388" ht="22.5" customHeight="1">
      <c r="A388" s="184"/>
      <c r="B388" s="184"/>
      <c r="C388" s="184"/>
      <c r="D388" s="184"/>
      <c r="E388" s="184"/>
      <c r="F388" s="184"/>
      <c r="G388" s="184"/>
      <c r="H388" s="184"/>
      <c r="I388" s="184"/>
      <c r="J388" s="184"/>
      <c r="K388" s="184"/>
      <c r="L388" s="184"/>
      <c r="M388" s="184"/>
      <c r="N388" s="184"/>
      <c r="O388" s="184"/>
      <c r="P388" s="184"/>
      <c r="Q388" s="184"/>
      <c r="R388" s="184"/>
      <c r="S388" s="184"/>
      <c r="T388" s="145"/>
      <c r="U388" s="151"/>
      <c r="V388" s="145"/>
      <c r="W388" s="145"/>
      <c r="X388" s="145"/>
      <c r="Y388" s="145"/>
      <c r="Z388" s="145"/>
      <c r="AA388" s="145"/>
      <c r="AB388" s="145"/>
      <c r="AC388" s="145"/>
      <c r="AD388" s="145"/>
      <c r="AE388" s="145"/>
      <c r="AF388" s="145"/>
      <c r="AG388" s="144"/>
      <c r="AH388" s="144"/>
      <c r="AI388" s="144"/>
      <c r="AJ388" s="144"/>
      <c r="AK388" s="144"/>
    </row>
    <row r="389" ht="22.5" customHeight="1">
      <c r="A389" s="183"/>
      <c r="B389" s="183"/>
      <c r="C389" s="183"/>
      <c r="D389" s="183"/>
      <c r="E389" s="183"/>
      <c r="F389" s="183"/>
      <c r="G389" s="183"/>
      <c r="H389" s="183"/>
      <c r="I389" s="183"/>
      <c r="J389" s="183"/>
      <c r="K389" s="183"/>
      <c r="L389" s="183"/>
      <c r="M389" s="183"/>
      <c r="N389" s="183"/>
      <c r="O389" s="183"/>
      <c r="P389" s="183"/>
      <c r="Q389" s="183"/>
      <c r="R389" s="183"/>
      <c r="S389" s="183"/>
      <c r="T389" s="152"/>
      <c r="U389" s="155"/>
      <c r="V389" s="152"/>
      <c r="W389" s="152"/>
      <c r="X389" s="152"/>
      <c r="Y389" s="152"/>
      <c r="Z389" s="152"/>
      <c r="AA389" s="152"/>
      <c r="AB389" s="152"/>
      <c r="AC389" s="152"/>
      <c r="AD389" s="152"/>
      <c r="AE389" s="152"/>
      <c r="AF389" s="152"/>
      <c r="AG389" s="144"/>
      <c r="AH389" s="144"/>
      <c r="AI389" s="144"/>
      <c r="AJ389" s="144"/>
      <c r="AK389" s="144"/>
    </row>
    <row r="390" ht="22.5" customHeight="1">
      <c r="A390" s="184"/>
      <c r="B390" s="184"/>
      <c r="C390" s="184"/>
      <c r="D390" s="184"/>
      <c r="E390" s="184"/>
      <c r="F390" s="184"/>
      <c r="G390" s="184"/>
      <c r="H390" s="184"/>
      <c r="I390" s="184"/>
      <c r="J390" s="184"/>
      <c r="K390" s="184"/>
      <c r="L390" s="184"/>
      <c r="M390" s="184"/>
      <c r="N390" s="184"/>
      <c r="O390" s="184"/>
      <c r="P390" s="184"/>
      <c r="Q390" s="184"/>
      <c r="R390" s="184"/>
      <c r="S390" s="184"/>
      <c r="T390" s="145"/>
      <c r="U390" s="151"/>
      <c r="V390" s="145"/>
      <c r="W390" s="145"/>
      <c r="X390" s="145"/>
      <c r="Y390" s="145"/>
      <c r="Z390" s="145"/>
      <c r="AA390" s="145"/>
      <c r="AB390" s="145"/>
      <c r="AC390" s="145"/>
      <c r="AD390" s="145"/>
      <c r="AE390" s="145"/>
      <c r="AF390" s="145"/>
      <c r="AG390" s="144"/>
      <c r="AH390" s="144"/>
      <c r="AI390" s="144"/>
      <c r="AJ390" s="144"/>
      <c r="AK390" s="144"/>
    </row>
    <row r="391" ht="22.5" customHeight="1">
      <c r="A391" s="183"/>
      <c r="B391" s="183"/>
      <c r="C391" s="183"/>
      <c r="D391" s="183"/>
      <c r="E391" s="183"/>
      <c r="F391" s="183"/>
      <c r="G391" s="183"/>
      <c r="H391" s="183"/>
      <c r="I391" s="183"/>
      <c r="J391" s="183"/>
      <c r="K391" s="183"/>
      <c r="L391" s="183"/>
      <c r="M391" s="183"/>
      <c r="N391" s="183"/>
      <c r="O391" s="183"/>
      <c r="P391" s="183"/>
      <c r="Q391" s="183"/>
      <c r="R391" s="183"/>
      <c r="S391" s="183"/>
      <c r="T391" s="152"/>
      <c r="U391" s="155"/>
      <c r="V391" s="152"/>
      <c r="W391" s="152"/>
      <c r="X391" s="152"/>
      <c r="Y391" s="152"/>
      <c r="Z391" s="152"/>
      <c r="AA391" s="152"/>
      <c r="AB391" s="152"/>
      <c r="AC391" s="152"/>
      <c r="AD391" s="152"/>
      <c r="AE391" s="152"/>
      <c r="AF391" s="152"/>
      <c r="AG391" s="144"/>
      <c r="AH391" s="144"/>
      <c r="AI391" s="144"/>
      <c r="AJ391" s="144"/>
      <c r="AK391" s="144"/>
    </row>
    <row r="392" ht="22.5" customHeight="1">
      <c r="A392" s="184"/>
      <c r="B392" s="184"/>
      <c r="C392" s="184"/>
      <c r="D392" s="184"/>
      <c r="E392" s="184"/>
      <c r="F392" s="184"/>
      <c r="G392" s="184"/>
      <c r="H392" s="184"/>
      <c r="I392" s="184"/>
      <c r="J392" s="184"/>
      <c r="K392" s="184"/>
      <c r="L392" s="184"/>
      <c r="M392" s="184"/>
      <c r="N392" s="184"/>
      <c r="O392" s="184"/>
      <c r="P392" s="184"/>
      <c r="Q392" s="184"/>
      <c r="R392" s="184"/>
      <c r="S392" s="184"/>
      <c r="T392" s="145"/>
      <c r="U392" s="151"/>
      <c r="V392" s="145"/>
      <c r="W392" s="145"/>
      <c r="X392" s="145"/>
      <c r="Y392" s="145"/>
      <c r="Z392" s="145"/>
      <c r="AA392" s="145"/>
      <c r="AB392" s="145"/>
      <c r="AC392" s="145"/>
      <c r="AD392" s="145"/>
      <c r="AE392" s="145"/>
      <c r="AF392" s="145"/>
      <c r="AG392" s="144"/>
      <c r="AH392" s="144"/>
      <c r="AI392" s="144"/>
      <c r="AJ392" s="144"/>
      <c r="AK392" s="144"/>
    </row>
    <row r="393" ht="22.5" customHeight="1">
      <c r="A393" s="183"/>
      <c r="B393" s="183"/>
      <c r="C393" s="183"/>
      <c r="D393" s="183"/>
      <c r="E393" s="183"/>
      <c r="F393" s="183"/>
      <c r="G393" s="183"/>
      <c r="H393" s="183"/>
      <c r="I393" s="183"/>
      <c r="J393" s="183"/>
      <c r="K393" s="183"/>
      <c r="L393" s="183"/>
      <c r="M393" s="183"/>
      <c r="N393" s="183"/>
      <c r="O393" s="183"/>
      <c r="P393" s="183"/>
      <c r="Q393" s="183"/>
      <c r="R393" s="183"/>
      <c r="S393" s="183"/>
      <c r="T393" s="152"/>
      <c r="U393" s="155"/>
      <c r="V393" s="152"/>
      <c r="W393" s="152"/>
      <c r="X393" s="152"/>
      <c r="Y393" s="152"/>
      <c r="Z393" s="152"/>
      <c r="AA393" s="152"/>
      <c r="AB393" s="152"/>
      <c r="AC393" s="152"/>
      <c r="AD393" s="152"/>
      <c r="AE393" s="152"/>
      <c r="AF393" s="152"/>
      <c r="AG393" s="144"/>
      <c r="AH393" s="144"/>
      <c r="AI393" s="144"/>
      <c r="AJ393" s="144"/>
      <c r="AK393" s="144"/>
    </row>
    <row r="394" ht="22.5" customHeight="1">
      <c r="A394" s="184"/>
      <c r="B394" s="184"/>
      <c r="C394" s="184"/>
      <c r="D394" s="184"/>
      <c r="E394" s="184"/>
      <c r="F394" s="184"/>
      <c r="G394" s="184"/>
      <c r="H394" s="184"/>
      <c r="I394" s="184"/>
      <c r="J394" s="184"/>
      <c r="K394" s="184"/>
      <c r="L394" s="184"/>
      <c r="M394" s="184"/>
      <c r="N394" s="184"/>
      <c r="O394" s="184"/>
      <c r="P394" s="184"/>
      <c r="Q394" s="184"/>
      <c r="R394" s="184"/>
      <c r="S394" s="184"/>
      <c r="T394" s="145"/>
      <c r="U394" s="151"/>
      <c r="V394" s="145"/>
      <c r="W394" s="145"/>
      <c r="X394" s="145"/>
      <c r="Y394" s="145"/>
      <c r="Z394" s="145"/>
      <c r="AA394" s="145"/>
      <c r="AB394" s="145"/>
      <c r="AC394" s="145"/>
      <c r="AD394" s="145"/>
      <c r="AE394" s="145"/>
      <c r="AF394" s="145"/>
      <c r="AG394" s="144"/>
      <c r="AH394" s="144"/>
      <c r="AI394" s="144"/>
      <c r="AJ394" s="144"/>
      <c r="AK394" s="144"/>
    </row>
    <row r="395" ht="22.5" customHeight="1">
      <c r="A395" s="183"/>
      <c r="B395" s="183"/>
      <c r="C395" s="183"/>
      <c r="D395" s="183"/>
      <c r="E395" s="183"/>
      <c r="F395" s="183"/>
      <c r="G395" s="183"/>
      <c r="H395" s="183"/>
      <c r="I395" s="183"/>
      <c r="J395" s="183"/>
      <c r="K395" s="183"/>
      <c r="L395" s="183"/>
      <c r="M395" s="183"/>
      <c r="N395" s="183"/>
      <c r="O395" s="183"/>
      <c r="P395" s="183"/>
      <c r="Q395" s="183"/>
      <c r="R395" s="183"/>
      <c r="S395" s="183"/>
      <c r="T395" s="152"/>
      <c r="U395" s="155"/>
      <c r="V395" s="152"/>
      <c r="W395" s="152"/>
      <c r="X395" s="152"/>
      <c r="Y395" s="152"/>
      <c r="Z395" s="152"/>
      <c r="AA395" s="152"/>
      <c r="AB395" s="152"/>
      <c r="AC395" s="152"/>
      <c r="AD395" s="152"/>
      <c r="AE395" s="152"/>
      <c r="AF395" s="152"/>
      <c r="AG395" s="144"/>
      <c r="AH395" s="144"/>
      <c r="AI395" s="144"/>
      <c r="AJ395" s="144"/>
      <c r="AK395" s="144"/>
    </row>
    <row r="396" ht="22.5" customHeight="1">
      <c r="A396" s="184"/>
      <c r="B396" s="184"/>
      <c r="C396" s="184"/>
      <c r="D396" s="184"/>
      <c r="E396" s="184"/>
      <c r="F396" s="184"/>
      <c r="G396" s="184"/>
      <c r="H396" s="184"/>
      <c r="I396" s="184"/>
      <c r="J396" s="184"/>
      <c r="K396" s="184"/>
      <c r="L396" s="184"/>
      <c r="M396" s="184"/>
      <c r="N396" s="184"/>
      <c r="O396" s="184"/>
      <c r="P396" s="184"/>
      <c r="Q396" s="184"/>
      <c r="R396" s="184"/>
      <c r="S396" s="184"/>
      <c r="T396" s="145"/>
      <c r="U396" s="151"/>
      <c r="V396" s="145"/>
      <c r="W396" s="145"/>
      <c r="X396" s="145"/>
      <c r="Y396" s="145"/>
      <c r="Z396" s="145"/>
      <c r="AA396" s="145"/>
      <c r="AB396" s="145"/>
      <c r="AC396" s="145"/>
      <c r="AD396" s="145"/>
      <c r="AE396" s="145"/>
      <c r="AF396" s="145"/>
      <c r="AG396" s="144"/>
      <c r="AH396" s="144"/>
      <c r="AI396" s="144"/>
      <c r="AJ396" s="144"/>
      <c r="AK396" s="144"/>
    </row>
    <row r="397" ht="22.5" customHeight="1">
      <c r="A397" s="183"/>
      <c r="B397" s="183"/>
      <c r="C397" s="183"/>
      <c r="D397" s="183"/>
      <c r="E397" s="183"/>
      <c r="F397" s="183"/>
      <c r="G397" s="183"/>
      <c r="H397" s="183"/>
      <c r="I397" s="183"/>
      <c r="J397" s="183"/>
      <c r="K397" s="183"/>
      <c r="L397" s="183"/>
      <c r="M397" s="183"/>
      <c r="N397" s="183"/>
      <c r="O397" s="183"/>
      <c r="P397" s="183"/>
      <c r="Q397" s="183"/>
      <c r="R397" s="183"/>
      <c r="S397" s="183"/>
      <c r="T397" s="152"/>
      <c r="U397" s="155"/>
      <c r="V397" s="152"/>
      <c r="W397" s="152"/>
      <c r="X397" s="152"/>
      <c r="Y397" s="152"/>
      <c r="Z397" s="152"/>
      <c r="AA397" s="152"/>
      <c r="AB397" s="152"/>
      <c r="AC397" s="152"/>
      <c r="AD397" s="152"/>
      <c r="AE397" s="152"/>
      <c r="AF397" s="152"/>
      <c r="AG397" s="144"/>
      <c r="AH397" s="144"/>
      <c r="AI397" s="144"/>
      <c r="AJ397" s="144"/>
      <c r="AK397" s="144"/>
    </row>
    <row r="398" ht="22.5" customHeight="1">
      <c r="A398" s="184"/>
      <c r="B398" s="184"/>
      <c r="C398" s="184"/>
      <c r="D398" s="184"/>
      <c r="E398" s="184"/>
      <c r="F398" s="184"/>
      <c r="G398" s="184"/>
      <c r="H398" s="184"/>
      <c r="I398" s="184"/>
      <c r="J398" s="184"/>
      <c r="K398" s="184"/>
      <c r="L398" s="184"/>
      <c r="M398" s="184"/>
      <c r="N398" s="184"/>
      <c r="O398" s="184"/>
      <c r="P398" s="184"/>
      <c r="Q398" s="184"/>
      <c r="R398" s="184"/>
      <c r="S398" s="184"/>
      <c r="T398" s="145"/>
      <c r="U398" s="151"/>
      <c r="V398" s="145"/>
      <c r="W398" s="145"/>
      <c r="X398" s="145"/>
      <c r="Y398" s="145"/>
      <c r="Z398" s="145"/>
      <c r="AA398" s="145"/>
      <c r="AB398" s="145"/>
      <c r="AC398" s="145"/>
      <c r="AD398" s="145"/>
      <c r="AE398" s="145"/>
      <c r="AF398" s="145"/>
      <c r="AG398" s="144"/>
      <c r="AH398" s="144"/>
      <c r="AI398" s="144"/>
      <c r="AJ398" s="144"/>
      <c r="AK398" s="144"/>
    </row>
    <row r="399" ht="22.5" customHeight="1">
      <c r="A399" s="183"/>
      <c r="B399" s="183"/>
      <c r="C399" s="183"/>
      <c r="D399" s="183"/>
      <c r="E399" s="183"/>
      <c r="F399" s="183"/>
      <c r="G399" s="183"/>
      <c r="H399" s="183"/>
      <c r="I399" s="183"/>
      <c r="J399" s="183"/>
      <c r="K399" s="183"/>
      <c r="L399" s="183"/>
      <c r="M399" s="183"/>
      <c r="N399" s="183"/>
      <c r="O399" s="183"/>
      <c r="P399" s="183"/>
      <c r="Q399" s="183"/>
      <c r="R399" s="183"/>
      <c r="S399" s="183"/>
      <c r="T399" s="152"/>
      <c r="U399" s="155"/>
      <c r="V399" s="152"/>
      <c r="W399" s="152"/>
      <c r="X399" s="152"/>
      <c r="Y399" s="152"/>
      <c r="Z399" s="152"/>
      <c r="AA399" s="152"/>
      <c r="AB399" s="152"/>
      <c r="AC399" s="152"/>
      <c r="AD399" s="152"/>
      <c r="AE399" s="152"/>
      <c r="AF399" s="152"/>
      <c r="AG399" s="144"/>
      <c r="AH399" s="144"/>
      <c r="AI399" s="144"/>
      <c r="AJ399" s="144"/>
      <c r="AK399" s="144"/>
    </row>
    <row r="400" ht="22.5" customHeight="1">
      <c r="A400" s="184"/>
      <c r="B400" s="184"/>
      <c r="C400" s="184"/>
      <c r="D400" s="184"/>
      <c r="E400" s="184"/>
      <c r="F400" s="184"/>
      <c r="G400" s="184"/>
      <c r="H400" s="184"/>
      <c r="I400" s="184"/>
      <c r="J400" s="184"/>
      <c r="K400" s="184"/>
      <c r="L400" s="184"/>
      <c r="M400" s="184"/>
      <c r="N400" s="184"/>
      <c r="O400" s="184"/>
      <c r="P400" s="184"/>
      <c r="Q400" s="184"/>
      <c r="R400" s="184"/>
      <c r="S400" s="184"/>
      <c r="T400" s="145"/>
      <c r="U400" s="151"/>
      <c r="V400" s="145"/>
      <c r="W400" s="145"/>
      <c r="X400" s="145"/>
      <c r="Y400" s="145"/>
      <c r="Z400" s="145"/>
      <c r="AA400" s="145"/>
      <c r="AB400" s="145"/>
      <c r="AC400" s="145"/>
      <c r="AD400" s="145"/>
      <c r="AE400" s="145"/>
      <c r="AF400" s="145"/>
      <c r="AG400" s="144"/>
      <c r="AH400" s="144"/>
      <c r="AI400" s="144"/>
      <c r="AJ400" s="144"/>
      <c r="AK400" s="144"/>
    </row>
    <row r="401" ht="22.5" customHeight="1">
      <c r="A401" s="183"/>
      <c r="B401" s="183"/>
      <c r="C401" s="183"/>
      <c r="D401" s="183"/>
      <c r="E401" s="183"/>
      <c r="F401" s="183"/>
      <c r="G401" s="183"/>
      <c r="H401" s="183"/>
      <c r="I401" s="183"/>
      <c r="J401" s="183"/>
      <c r="K401" s="183"/>
      <c r="L401" s="183"/>
      <c r="M401" s="183"/>
      <c r="N401" s="183"/>
      <c r="O401" s="183"/>
      <c r="P401" s="183"/>
      <c r="Q401" s="183"/>
      <c r="R401" s="183"/>
      <c r="S401" s="183"/>
      <c r="T401" s="152"/>
      <c r="U401" s="155"/>
      <c r="V401" s="152"/>
      <c r="W401" s="152"/>
      <c r="X401" s="152"/>
      <c r="Y401" s="152"/>
      <c r="Z401" s="152"/>
      <c r="AA401" s="152"/>
      <c r="AB401" s="152"/>
      <c r="AC401" s="152"/>
      <c r="AD401" s="152"/>
      <c r="AE401" s="152"/>
      <c r="AF401" s="152"/>
      <c r="AG401" s="144"/>
      <c r="AH401" s="144"/>
      <c r="AI401" s="144"/>
      <c r="AJ401" s="144"/>
      <c r="AK401" s="144"/>
    </row>
    <row r="402" ht="22.5" customHeight="1">
      <c r="A402" s="184"/>
      <c r="B402" s="184"/>
      <c r="C402" s="184"/>
      <c r="D402" s="184"/>
      <c r="E402" s="184"/>
      <c r="F402" s="184"/>
      <c r="G402" s="184"/>
      <c r="H402" s="184"/>
      <c r="I402" s="184"/>
      <c r="J402" s="184"/>
      <c r="K402" s="184"/>
      <c r="L402" s="184"/>
      <c r="M402" s="184"/>
      <c r="N402" s="184"/>
      <c r="O402" s="184"/>
      <c r="P402" s="184"/>
      <c r="Q402" s="184"/>
      <c r="R402" s="184"/>
      <c r="S402" s="184"/>
      <c r="T402" s="145"/>
      <c r="U402" s="151"/>
      <c r="V402" s="145"/>
      <c r="W402" s="145"/>
      <c r="X402" s="145"/>
      <c r="Y402" s="145"/>
      <c r="Z402" s="145"/>
      <c r="AA402" s="145"/>
      <c r="AB402" s="145"/>
      <c r="AC402" s="145"/>
      <c r="AD402" s="145"/>
      <c r="AE402" s="145"/>
      <c r="AF402" s="145"/>
      <c r="AG402" s="144"/>
      <c r="AH402" s="144"/>
      <c r="AI402" s="144"/>
      <c r="AJ402" s="144"/>
      <c r="AK402" s="144"/>
    </row>
    <row r="403" ht="22.5" customHeight="1">
      <c r="A403" s="183"/>
      <c r="B403" s="183"/>
      <c r="C403" s="183"/>
      <c r="D403" s="183"/>
      <c r="E403" s="183"/>
      <c r="F403" s="183"/>
      <c r="G403" s="183"/>
      <c r="H403" s="183"/>
      <c r="I403" s="183"/>
      <c r="J403" s="183"/>
      <c r="K403" s="183"/>
      <c r="L403" s="183"/>
      <c r="M403" s="183"/>
      <c r="N403" s="183"/>
      <c r="O403" s="183"/>
      <c r="P403" s="183"/>
      <c r="Q403" s="183"/>
      <c r="R403" s="183"/>
      <c r="S403" s="183"/>
      <c r="T403" s="152"/>
      <c r="U403" s="155"/>
      <c r="V403" s="152"/>
      <c r="W403" s="152"/>
      <c r="X403" s="152"/>
      <c r="Y403" s="152"/>
      <c r="Z403" s="152"/>
      <c r="AA403" s="152"/>
      <c r="AB403" s="152"/>
      <c r="AC403" s="152"/>
      <c r="AD403" s="152"/>
      <c r="AE403" s="152"/>
      <c r="AF403" s="152"/>
      <c r="AG403" s="144"/>
      <c r="AH403" s="144"/>
      <c r="AI403" s="144"/>
      <c r="AJ403" s="144"/>
      <c r="AK403" s="144"/>
    </row>
    <row r="404" ht="22.5" customHeight="1">
      <c r="A404" s="184"/>
      <c r="B404" s="184"/>
      <c r="C404" s="184"/>
      <c r="D404" s="184"/>
      <c r="E404" s="184"/>
      <c r="F404" s="184"/>
      <c r="G404" s="184"/>
      <c r="H404" s="184"/>
      <c r="I404" s="184"/>
      <c r="J404" s="184"/>
      <c r="K404" s="184"/>
      <c r="L404" s="184"/>
      <c r="M404" s="184"/>
      <c r="N404" s="184"/>
      <c r="O404" s="184"/>
      <c r="P404" s="184"/>
      <c r="Q404" s="184"/>
      <c r="R404" s="184"/>
      <c r="S404" s="184"/>
      <c r="T404" s="145"/>
      <c r="U404" s="151"/>
      <c r="V404" s="145"/>
      <c r="W404" s="145"/>
      <c r="X404" s="145"/>
      <c r="Y404" s="145"/>
      <c r="Z404" s="145"/>
      <c r="AA404" s="145"/>
      <c r="AB404" s="145"/>
      <c r="AC404" s="145"/>
      <c r="AD404" s="145"/>
      <c r="AE404" s="145"/>
      <c r="AF404" s="145"/>
      <c r="AG404" s="144"/>
      <c r="AH404" s="144"/>
      <c r="AI404" s="144"/>
      <c r="AJ404" s="144"/>
      <c r="AK404" s="144"/>
    </row>
    <row r="405" ht="22.5" customHeight="1">
      <c r="A405" s="183"/>
      <c r="B405" s="183"/>
      <c r="C405" s="183"/>
      <c r="D405" s="183"/>
      <c r="E405" s="183"/>
      <c r="F405" s="183"/>
      <c r="G405" s="183"/>
      <c r="H405" s="183"/>
      <c r="I405" s="183"/>
      <c r="J405" s="183"/>
      <c r="K405" s="183"/>
      <c r="L405" s="183"/>
      <c r="M405" s="183"/>
      <c r="N405" s="183"/>
      <c r="O405" s="183"/>
      <c r="P405" s="183"/>
      <c r="Q405" s="183"/>
      <c r="R405" s="183"/>
      <c r="S405" s="183"/>
      <c r="T405" s="152"/>
      <c r="U405" s="155"/>
      <c r="V405" s="152"/>
      <c r="W405" s="152"/>
      <c r="X405" s="152"/>
      <c r="Y405" s="152"/>
      <c r="Z405" s="152"/>
      <c r="AA405" s="152"/>
      <c r="AB405" s="152"/>
      <c r="AC405" s="152"/>
      <c r="AD405" s="152"/>
      <c r="AE405" s="152"/>
      <c r="AF405" s="152"/>
      <c r="AG405" s="144"/>
      <c r="AH405" s="144"/>
      <c r="AI405" s="144"/>
      <c r="AJ405" s="144"/>
      <c r="AK405" s="144"/>
    </row>
    <row r="406" ht="22.5" customHeight="1">
      <c r="A406" s="184"/>
      <c r="B406" s="184"/>
      <c r="C406" s="184"/>
      <c r="D406" s="184"/>
      <c r="E406" s="184"/>
      <c r="F406" s="184"/>
      <c r="G406" s="184"/>
      <c r="H406" s="184"/>
      <c r="I406" s="184"/>
      <c r="J406" s="184"/>
      <c r="K406" s="184"/>
      <c r="L406" s="184"/>
      <c r="M406" s="184"/>
      <c r="N406" s="184"/>
      <c r="O406" s="184"/>
      <c r="P406" s="184"/>
      <c r="Q406" s="184"/>
      <c r="R406" s="184"/>
      <c r="S406" s="184"/>
      <c r="T406" s="145"/>
      <c r="U406" s="151"/>
      <c r="V406" s="145"/>
      <c r="W406" s="145"/>
      <c r="X406" s="145"/>
      <c r="Y406" s="145"/>
      <c r="Z406" s="145"/>
      <c r="AA406" s="145"/>
      <c r="AB406" s="145"/>
      <c r="AC406" s="145"/>
      <c r="AD406" s="145"/>
      <c r="AE406" s="145"/>
      <c r="AF406" s="145"/>
      <c r="AG406" s="144"/>
      <c r="AH406" s="144"/>
      <c r="AI406" s="144"/>
      <c r="AJ406" s="144"/>
      <c r="AK406" s="144"/>
    </row>
    <row r="407" ht="22.5" customHeight="1">
      <c r="A407" s="183"/>
      <c r="B407" s="183"/>
      <c r="C407" s="183"/>
      <c r="D407" s="183"/>
      <c r="E407" s="183"/>
      <c r="F407" s="183"/>
      <c r="G407" s="183"/>
      <c r="H407" s="183"/>
      <c r="I407" s="183"/>
      <c r="J407" s="183"/>
      <c r="K407" s="183"/>
      <c r="L407" s="183"/>
      <c r="M407" s="183"/>
      <c r="N407" s="183"/>
      <c r="O407" s="183"/>
      <c r="P407" s="183"/>
      <c r="Q407" s="183"/>
      <c r="R407" s="183"/>
      <c r="S407" s="183"/>
      <c r="T407" s="152"/>
      <c r="U407" s="155"/>
      <c r="V407" s="152"/>
      <c r="W407" s="152"/>
      <c r="X407" s="152"/>
      <c r="Y407" s="152"/>
      <c r="Z407" s="152"/>
      <c r="AA407" s="152"/>
      <c r="AB407" s="152"/>
      <c r="AC407" s="152"/>
      <c r="AD407" s="152"/>
      <c r="AE407" s="152"/>
      <c r="AF407" s="152"/>
      <c r="AG407" s="144"/>
      <c r="AH407" s="144"/>
      <c r="AI407" s="144"/>
      <c r="AJ407" s="144"/>
      <c r="AK407" s="144"/>
    </row>
    <row r="408" ht="22.5" customHeight="1">
      <c r="A408" s="184"/>
      <c r="B408" s="184"/>
      <c r="C408" s="184"/>
      <c r="D408" s="184"/>
      <c r="E408" s="184"/>
      <c r="F408" s="184"/>
      <c r="G408" s="184"/>
      <c r="H408" s="184"/>
      <c r="I408" s="184"/>
      <c r="J408" s="184"/>
      <c r="K408" s="184"/>
      <c r="L408" s="184"/>
      <c r="M408" s="184"/>
      <c r="N408" s="184"/>
      <c r="O408" s="184"/>
      <c r="P408" s="184"/>
      <c r="Q408" s="184"/>
      <c r="R408" s="184"/>
      <c r="S408" s="184"/>
      <c r="T408" s="145"/>
      <c r="U408" s="151"/>
      <c r="V408" s="145"/>
      <c r="W408" s="145"/>
      <c r="X408" s="145"/>
      <c r="Y408" s="145"/>
      <c r="Z408" s="145"/>
      <c r="AA408" s="145"/>
      <c r="AB408" s="145"/>
      <c r="AC408" s="145"/>
      <c r="AD408" s="145"/>
      <c r="AE408" s="145"/>
      <c r="AF408" s="145"/>
      <c r="AG408" s="144"/>
      <c r="AH408" s="144"/>
      <c r="AI408" s="144"/>
      <c r="AJ408" s="144"/>
      <c r="AK408" s="144"/>
    </row>
    <row r="409" ht="22.5" customHeight="1">
      <c r="A409" s="183"/>
      <c r="B409" s="183"/>
      <c r="C409" s="183"/>
      <c r="D409" s="183"/>
      <c r="E409" s="183"/>
      <c r="F409" s="183"/>
      <c r="G409" s="183"/>
      <c r="H409" s="183"/>
      <c r="I409" s="183"/>
      <c r="J409" s="183"/>
      <c r="K409" s="183"/>
      <c r="L409" s="183"/>
      <c r="M409" s="183"/>
      <c r="N409" s="183"/>
      <c r="O409" s="183"/>
      <c r="P409" s="183"/>
      <c r="Q409" s="183"/>
      <c r="R409" s="183"/>
      <c r="S409" s="183"/>
      <c r="T409" s="152"/>
      <c r="U409" s="155"/>
      <c r="V409" s="152"/>
      <c r="W409" s="152"/>
      <c r="X409" s="152"/>
      <c r="Y409" s="152"/>
      <c r="Z409" s="152"/>
      <c r="AA409" s="152"/>
      <c r="AB409" s="152"/>
      <c r="AC409" s="152"/>
      <c r="AD409" s="152"/>
      <c r="AE409" s="152"/>
      <c r="AF409" s="152"/>
      <c r="AG409" s="144"/>
      <c r="AH409" s="144"/>
      <c r="AI409" s="144"/>
      <c r="AJ409" s="144"/>
      <c r="AK409" s="144"/>
    </row>
    <row r="410" ht="22.5" customHeight="1">
      <c r="A410" s="184"/>
      <c r="B410" s="184"/>
      <c r="C410" s="184"/>
      <c r="D410" s="184"/>
      <c r="E410" s="184"/>
      <c r="F410" s="184"/>
      <c r="G410" s="184"/>
      <c r="H410" s="184"/>
      <c r="I410" s="184"/>
      <c r="J410" s="184"/>
      <c r="K410" s="184"/>
      <c r="L410" s="184"/>
      <c r="M410" s="184"/>
      <c r="N410" s="184"/>
      <c r="O410" s="184"/>
      <c r="P410" s="184"/>
      <c r="Q410" s="184"/>
      <c r="R410" s="184"/>
      <c r="S410" s="184"/>
      <c r="T410" s="145"/>
      <c r="U410" s="151"/>
      <c r="V410" s="145"/>
      <c r="W410" s="145"/>
      <c r="X410" s="145"/>
      <c r="Y410" s="145"/>
      <c r="Z410" s="145"/>
      <c r="AA410" s="145"/>
      <c r="AB410" s="145"/>
      <c r="AC410" s="145"/>
      <c r="AD410" s="145"/>
      <c r="AE410" s="145"/>
      <c r="AF410" s="145"/>
      <c r="AG410" s="144"/>
      <c r="AH410" s="144"/>
      <c r="AI410" s="144"/>
      <c r="AJ410" s="144"/>
      <c r="AK410" s="144"/>
    </row>
    <row r="411" ht="22.5" customHeight="1">
      <c r="A411" s="183"/>
      <c r="B411" s="183"/>
      <c r="C411" s="183"/>
      <c r="D411" s="183"/>
      <c r="E411" s="183"/>
      <c r="F411" s="183"/>
      <c r="G411" s="183"/>
      <c r="H411" s="183"/>
      <c r="I411" s="183"/>
      <c r="J411" s="183"/>
      <c r="K411" s="183"/>
      <c r="L411" s="183"/>
      <c r="M411" s="183"/>
      <c r="N411" s="183"/>
      <c r="O411" s="183"/>
      <c r="P411" s="183"/>
      <c r="Q411" s="183"/>
      <c r="R411" s="183"/>
      <c r="S411" s="183"/>
      <c r="T411" s="152"/>
      <c r="U411" s="155"/>
      <c r="V411" s="152"/>
      <c r="W411" s="152"/>
      <c r="X411" s="152"/>
      <c r="Y411" s="152"/>
      <c r="Z411" s="152"/>
      <c r="AA411" s="152"/>
      <c r="AB411" s="152"/>
      <c r="AC411" s="152"/>
      <c r="AD411" s="152"/>
      <c r="AE411" s="152"/>
      <c r="AF411" s="152"/>
      <c r="AG411" s="144"/>
      <c r="AH411" s="144"/>
      <c r="AI411" s="144"/>
      <c r="AJ411" s="144"/>
      <c r="AK411" s="144"/>
    </row>
    <row r="412" ht="22.5" customHeight="1">
      <c r="A412" s="184"/>
      <c r="B412" s="184"/>
      <c r="C412" s="184"/>
      <c r="D412" s="184"/>
      <c r="E412" s="184"/>
      <c r="F412" s="184"/>
      <c r="G412" s="184"/>
      <c r="H412" s="184"/>
      <c r="I412" s="184"/>
      <c r="J412" s="184"/>
      <c r="K412" s="184"/>
      <c r="L412" s="184"/>
      <c r="M412" s="184"/>
      <c r="N412" s="184"/>
      <c r="O412" s="184"/>
      <c r="P412" s="184"/>
      <c r="Q412" s="184"/>
      <c r="R412" s="184"/>
      <c r="S412" s="184"/>
      <c r="T412" s="145"/>
      <c r="U412" s="151"/>
      <c r="V412" s="145"/>
      <c r="W412" s="145"/>
      <c r="X412" s="145"/>
      <c r="Y412" s="145"/>
      <c r="Z412" s="145"/>
      <c r="AA412" s="145"/>
      <c r="AB412" s="145"/>
      <c r="AC412" s="145"/>
      <c r="AD412" s="145"/>
      <c r="AE412" s="145"/>
      <c r="AF412" s="145"/>
      <c r="AG412" s="144"/>
      <c r="AH412" s="144"/>
      <c r="AI412" s="144"/>
      <c r="AJ412" s="144"/>
      <c r="AK412" s="144"/>
    </row>
    <row r="413" ht="22.5" customHeight="1">
      <c r="A413" s="183"/>
      <c r="B413" s="183"/>
      <c r="C413" s="183"/>
      <c r="D413" s="183"/>
      <c r="E413" s="183"/>
      <c r="F413" s="183"/>
      <c r="G413" s="183"/>
      <c r="H413" s="183"/>
      <c r="I413" s="183"/>
      <c r="J413" s="183"/>
      <c r="K413" s="183"/>
      <c r="L413" s="183"/>
      <c r="M413" s="183"/>
      <c r="N413" s="183"/>
      <c r="O413" s="183"/>
      <c r="P413" s="183"/>
      <c r="Q413" s="183"/>
      <c r="R413" s="183"/>
      <c r="S413" s="183"/>
      <c r="T413" s="152"/>
      <c r="U413" s="155"/>
      <c r="V413" s="152"/>
      <c r="W413" s="152"/>
      <c r="X413" s="152"/>
      <c r="Y413" s="152"/>
      <c r="Z413" s="152"/>
      <c r="AA413" s="152"/>
      <c r="AB413" s="152"/>
      <c r="AC413" s="152"/>
      <c r="AD413" s="152"/>
      <c r="AE413" s="152"/>
      <c r="AF413" s="152"/>
      <c r="AG413" s="144"/>
      <c r="AH413" s="144"/>
      <c r="AI413" s="144"/>
      <c r="AJ413" s="144"/>
      <c r="AK413" s="144"/>
    </row>
    <row r="414" ht="22.5" customHeight="1">
      <c r="A414" s="184"/>
      <c r="B414" s="184"/>
      <c r="C414" s="184"/>
      <c r="D414" s="184"/>
      <c r="E414" s="184"/>
      <c r="F414" s="184"/>
      <c r="G414" s="184"/>
      <c r="H414" s="184"/>
      <c r="I414" s="184"/>
      <c r="J414" s="184"/>
      <c r="K414" s="184"/>
      <c r="L414" s="184"/>
      <c r="M414" s="184"/>
      <c r="N414" s="184"/>
      <c r="O414" s="184"/>
      <c r="P414" s="184"/>
      <c r="Q414" s="184"/>
      <c r="R414" s="184"/>
      <c r="S414" s="184"/>
      <c r="T414" s="145"/>
      <c r="U414" s="151"/>
      <c r="V414" s="145"/>
      <c r="W414" s="145"/>
      <c r="X414" s="145"/>
      <c r="Y414" s="145"/>
      <c r="Z414" s="145"/>
      <c r="AA414" s="145"/>
      <c r="AB414" s="145"/>
      <c r="AC414" s="145"/>
      <c r="AD414" s="145"/>
      <c r="AE414" s="145"/>
      <c r="AF414" s="145"/>
      <c r="AG414" s="144"/>
      <c r="AH414" s="144"/>
      <c r="AI414" s="144"/>
      <c r="AJ414" s="144"/>
      <c r="AK414" s="144"/>
    </row>
    <row r="415" ht="22.5" customHeight="1">
      <c r="A415" s="183"/>
      <c r="B415" s="183"/>
      <c r="C415" s="183"/>
      <c r="D415" s="183"/>
      <c r="E415" s="183"/>
      <c r="F415" s="183"/>
      <c r="G415" s="183"/>
      <c r="H415" s="183"/>
      <c r="I415" s="183"/>
      <c r="J415" s="183"/>
      <c r="K415" s="183"/>
      <c r="L415" s="183"/>
      <c r="M415" s="183"/>
      <c r="N415" s="183"/>
      <c r="O415" s="183"/>
      <c r="P415" s="183"/>
      <c r="Q415" s="183"/>
      <c r="R415" s="183"/>
      <c r="S415" s="183"/>
      <c r="T415" s="152"/>
      <c r="U415" s="155"/>
      <c r="V415" s="152"/>
      <c r="W415" s="152"/>
      <c r="X415" s="152"/>
      <c r="Y415" s="152"/>
      <c r="Z415" s="152"/>
      <c r="AA415" s="152"/>
      <c r="AB415" s="152"/>
      <c r="AC415" s="152"/>
      <c r="AD415" s="152"/>
      <c r="AE415" s="152"/>
      <c r="AF415" s="152"/>
      <c r="AG415" s="144"/>
      <c r="AH415" s="144"/>
      <c r="AI415" s="144"/>
      <c r="AJ415" s="144"/>
      <c r="AK415" s="144"/>
    </row>
    <row r="416" ht="22.5" customHeight="1">
      <c r="A416" s="184"/>
      <c r="B416" s="184"/>
      <c r="C416" s="184"/>
      <c r="D416" s="184"/>
      <c r="E416" s="184"/>
      <c r="F416" s="184"/>
      <c r="G416" s="184"/>
      <c r="H416" s="184"/>
      <c r="I416" s="184"/>
      <c r="J416" s="184"/>
      <c r="K416" s="184"/>
      <c r="L416" s="184"/>
      <c r="M416" s="184"/>
      <c r="N416" s="184"/>
      <c r="O416" s="184"/>
      <c r="P416" s="184"/>
      <c r="Q416" s="184"/>
      <c r="R416" s="184"/>
      <c r="S416" s="184"/>
      <c r="T416" s="145"/>
      <c r="U416" s="151"/>
      <c r="V416" s="145"/>
      <c r="W416" s="145"/>
      <c r="X416" s="145"/>
      <c r="Y416" s="145"/>
      <c r="Z416" s="145"/>
      <c r="AA416" s="145"/>
      <c r="AB416" s="145"/>
      <c r="AC416" s="145"/>
      <c r="AD416" s="145"/>
      <c r="AE416" s="145"/>
      <c r="AF416" s="145"/>
      <c r="AG416" s="144"/>
      <c r="AH416" s="144"/>
      <c r="AI416" s="144"/>
      <c r="AJ416" s="144"/>
      <c r="AK416" s="144"/>
    </row>
    <row r="417" ht="22.5" customHeight="1">
      <c r="A417" s="183"/>
      <c r="B417" s="183"/>
      <c r="C417" s="183"/>
      <c r="D417" s="183"/>
      <c r="E417" s="183"/>
      <c r="F417" s="183"/>
      <c r="G417" s="183"/>
      <c r="H417" s="183"/>
      <c r="I417" s="183"/>
      <c r="J417" s="183"/>
      <c r="K417" s="183"/>
      <c r="L417" s="183"/>
      <c r="M417" s="183"/>
      <c r="N417" s="183"/>
      <c r="O417" s="183"/>
      <c r="P417" s="183"/>
      <c r="Q417" s="183"/>
      <c r="R417" s="183"/>
      <c r="S417" s="183"/>
      <c r="T417" s="152"/>
      <c r="U417" s="155"/>
      <c r="V417" s="152"/>
      <c r="W417" s="152"/>
      <c r="X417" s="152"/>
      <c r="Y417" s="152"/>
      <c r="Z417" s="152"/>
      <c r="AA417" s="152"/>
      <c r="AB417" s="152"/>
      <c r="AC417" s="152"/>
      <c r="AD417" s="152"/>
      <c r="AE417" s="152"/>
      <c r="AF417" s="152"/>
      <c r="AG417" s="144"/>
      <c r="AH417" s="144"/>
      <c r="AI417" s="144"/>
      <c r="AJ417" s="144"/>
      <c r="AK417" s="144"/>
    </row>
    <row r="418" ht="22.5" customHeight="1">
      <c r="A418" s="184"/>
      <c r="B418" s="184"/>
      <c r="C418" s="184"/>
      <c r="D418" s="184"/>
      <c r="E418" s="184"/>
      <c r="F418" s="184"/>
      <c r="G418" s="184"/>
      <c r="H418" s="184"/>
      <c r="I418" s="184"/>
      <c r="J418" s="184"/>
      <c r="K418" s="184"/>
      <c r="L418" s="184"/>
      <c r="M418" s="184"/>
      <c r="N418" s="184"/>
      <c r="O418" s="184"/>
      <c r="P418" s="184"/>
      <c r="Q418" s="184"/>
      <c r="R418" s="184"/>
      <c r="S418" s="184"/>
      <c r="T418" s="145"/>
      <c r="U418" s="151"/>
      <c r="V418" s="145"/>
      <c r="W418" s="145"/>
      <c r="X418" s="145"/>
      <c r="Y418" s="145"/>
      <c r="Z418" s="145"/>
      <c r="AA418" s="145"/>
      <c r="AB418" s="145"/>
      <c r="AC418" s="145"/>
      <c r="AD418" s="145"/>
      <c r="AE418" s="145"/>
      <c r="AF418" s="145"/>
      <c r="AG418" s="144"/>
      <c r="AH418" s="144"/>
      <c r="AI418" s="144"/>
      <c r="AJ418" s="144"/>
      <c r="AK418" s="144"/>
    </row>
    <row r="419" ht="22.5" customHeight="1">
      <c r="A419" s="183"/>
      <c r="B419" s="183"/>
      <c r="C419" s="183"/>
      <c r="D419" s="183"/>
      <c r="E419" s="183"/>
      <c r="F419" s="183"/>
      <c r="G419" s="183"/>
      <c r="H419" s="183"/>
      <c r="I419" s="183"/>
      <c r="J419" s="183"/>
      <c r="K419" s="183"/>
      <c r="L419" s="183"/>
      <c r="M419" s="183"/>
      <c r="N419" s="183"/>
      <c r="O419" s="183"/>
      <c r="P419" s="183"/>
      <c r="Q419" s="183"/>
      <c r="R419" s="183"/>
      <c r="S419" s="183"/>
      <c r="T419" s="152"/>
      <c r="U419" s="155"/>
      <c r="V419" s="152"/>
      <c r="W419" s="152"/>
      <c r="X419" s="152"/>
      <c r="Y419" s="152"/>
      <c r="Z419" s="152"/>
      <c r="AA419" s="152"/>
      <c r="AB419" s="152"/>
      <c r="AC419" s="152"/>
      <c r="AD419" s="152"/>
      <c r="AE419" s="152"/>
      <c r="AF419" s="152"/>
      <c r="AG419" s="144"/>
      <c r="AH419" s="144"/>
      <c r="AI419" s="144"/>
      <c r="AJ419" s="144"/>
      <c r="AK419" s="144"/>
    </row>
    <row r="420" ht="22.5" customHeight="1">
      <c r="A420" s="184"/>
      <c r="B420" s="184"/>
      <c r="C420" s="184"/>
      <c r="D420" s="184"/>
      <c r="E420" s="184"/>
      <c r="F420" s="184"/>
      <c r="G420" s="184"/>
      <c r="H420" s="184"/>
      <c r="I420" s="184"/>
      <c r="J420" s="184"/>
      <c r="K420" s="184"/>
      <c r="L420" s="184"/>
      <c r="M420" s="184"/>
      <c r="N420" s="184"/>
      <c r="O420" s="184"/>
      <c r="P420" s="184"/>
      <c r="Q420" s="184"/>
      <c r="R420" s="184"/>
      <c r="S420" s="184"/>
      <c r="T420" s="145"/>
      <c r="U420" s="151"/>
      <c r="V420" s="145"/>
      <c r="W420" s="145"/>
      <c r="X420" s="145"/>
      <c r="Y420" s="145"/>
      <c r="Z420" s="145"/>
      <c r="AA420" s="145"/>
      <c r="AB420" s="145"/>
      <c r="AC420" s="145"/>
      <c r="AD420" s="145"/>
      <c r="AE420" s="145"/>
      <c r="AF420" s="145"/>
      <c r="AG420" s="144"/>
      <c r="AH420" s="144"/>
      <c r="AI420" s="144"/>
      <c r="AJ420" s="144"/>
      <c r="AK420" s="144"/>
    </row>
    <row r="421" ht="22.5" customHeight="1">
      <c r="A421" s="183"/>
      <c r="B421" s="183"/>
      <c r="C421" s="183"/>
      <c r="D421" s="183"/>
      <c r="E421" s="183"/>
      <c r="F421" s="183"/>
      <c r="G421" s="183"/>
      <c r="H421" s="183"/>
      <c r="I421" s="183"/>
      <c r="J421" s="183"/>
      <c r="K421" s="183"/>
      <c r="L421" s="183"/>
      <c r="M421" s="183"/>
      <c r="N421" s="183"/>
      <c r="O421" s="183"/>
      <c r="P421" s="183"/>
      <c r="Q421" s="183"/>
      <c r="R421" s="183"/>
      <c r="S421" s="183"/>
      <c r="T421" s="152"/>
      <c r="U421" s="155"/>
      <c r="V421" s="152"/>
      <c r="W421" s="152"/>
      <c r="X421" s="152"/>
      <c r="Y421" s="152"/>
      <c r="Z421" s="152"/>
      <c r="AA421" s="152"/>
      <c r="AB421" s="152"/>
      <c r="AC421" s="152"/>
      <c r="AD421" s="152"/>
      <c r="AE421" s="152"/>
      <c r="AF421" s="152"/>
      <c r="AG421" s="144"/>
      <c r="AH421" s="144"/>
      <c r="AI421" s="144"/>
      <c r="AJ421" s="144"/>
      <c r="AK421" s="144"/>
    </row>
    <row r="422" ht="22.5" customHeight="1">
      <c r="A422" s="184"/>
      <c r="B422" s="184"/>
      <c r="C422" s="184"/>
      <c r="D422" s="184"/>
      <c r="E422" s="184"/>
      <c r="F422" s="184"/>
      <c r="G422" s="184"/>
      <c r="H422" s="184"/>
      <c r="I422" s="184"/>
      <c r="J422" s="184"/>
      <c r="K422" s="184"/>
      <c r="L422" s="184"/>
      <c r="M422" s="184"/>
      <c r="N422" s="184"/>
      <c r="O422" s="184"/>
      <c r="P422" s="184"/>
      <c r="Q422" s="184"/>
      <c r="R422" s="184"/>
      <c r="S422" s="184"/>
      <c r="T422" s="145"/>
      <c r="U422" s="151"/>
      <c r="V422" s="145"/>
      <c r="W422" s="145"/>
      <c r="X422" s="145"/>
      <c r="Y422" s="145"/>
      <c r="Z422" s="145"/>
      <c r="AA422" s="145"/>
      <c r="AB422" s="145"/>
      <c r="AC422" s="145"/>
      <c r="AD422" s="145"/>
      <c r="AE422" s="145"/>
      <c r="AF422" s="145"/>
      <c r="AG422" s="144"/>
      <c r="AH422" s="144"/>
      <c r="AI422" s="144"/>
      <c r="AJ422" s="144"/>
      <c r="AK422" s="144"/>
    </row>
    <row r="423" ht="22.5" customHeight="1">
      <c r="A423" s="183"/>
      <c r="B423" s="183"/>
      <c r="C423" s="183"/>
      <c r="D423" s="183"/>
      <c r="E423" s="183"/>
      <c r="F423" s="183"/>
      <c r="G423" s="183"/>
      <c r="H423" s="183"/>
      <c r="I423" s="183"/>
      <c r="J423" s="183"/>
      <c r="K423" s="183"/>
      <c r="L423" s="183"/>
      <c r="M423" s="183"/>
      <c r="N423" s="183"/>
      <c r="O423" s="183"/>
      <c r="P423" s="183"/>
      <c r="Q423" s="183"/>
      <c r="R423" s="183"/>
      <c r="S423" s="183"/>
      <c r="T423" s="152"/>
      <c r="U423" s="155"/>
      <c r="V423" s="152"/>
      <c r="W423" s="152"/>
      <c r="X423" s="152"/>
      <c r="Y423" s="152"/>
      <c r="Z423" s="152"/>
      <c r="AA423" s="152"/>
      <c r="AB423" s="152"/>
      <c r="AC423" s="152"/>
      <c r="AD423" s="152"/>
      <c r="AE423" s="152"/>
      <c r="AF423" s="152"/>
      <c r="AG423" s="144"/>
      <c r="AH423" s="144"/>
      <c r="AI423" s="144"/>
      <c r="AJ423" s="144"/>
      <c r="AK423" s="144"/>
    </row>
    <row r="424" ht="22.5" customHeight="1">
      <c r="A424" s="184"/>
      <c r="B424" s="184"/>
      <c r="C424" s="184"/>
      <c r="D424" s="184"/>
      <c r="E424" s="184"/>
      <c r="F424" s="184"/>
      <c r="G424" s="184"/>
      <c r="H424" s="184"/>
      <c r="I424" s="184"/>
      <c r="J424" s="184"/>
      <c r="K424" s="184"/>
      <c r="L424" s="184"/>
      <c r="M424" s="184"/>
      <c r="N424" s="184"/>
      <c r="O424" s="184"/>
      <c r="P424" s="184"/>
      <c r="Q424" s="184"/>
      <c r="R424" s="184"/>
      <c r="S424" s="184"/>
      <c r="T424" s="145"/>
      <c r="U424" s="151"/>
      <c r="V424" s="145"/>
      <c r="W424" s="145"/>
      <c r="X424" s="145"/>
      <c r="Y424" s="145"/>
      <c r="Z424" s="145"/>
      <c r="AA424" s="145"/>
      <c r="AB424" s="145"/>
      <c r="AC424" s="145"/>
      <c r="AD424" s="145"/>
      <c r="AE424" s="145"/>
      <c r="AF424" s="145"/>
      <c r="AG424" s="144"/>
      <c r="AH424" s="144"/>
      <c r="AI424" s="144"/>
      <c r="AJ424" s="144"/>
      <c r="AK424" s="144"/>
    </row>
    <row r="425" ht="22.5" customHeight="1">
      <c r="A425" s="183"/>
      <c r="B425" s="183"/>
      <c r="C425" s="183"/>
      <c r="D425" s="183"/>
      <c r="E425" s="183"/>
      <c r="F425" s="183"/>
      <c r="G425" s="183"/>
      <c r="H425" s="183"/>
      <c r="I425" s="183"/>
      <c r="J425" s="183"/>
      <c r="K425" s="183"/>
      <c r="L425" s="183"/>
      <c r="M425" s="183"/>
      <c r="N425" s="183"/>
      <c r="O425" s="183"/>
      <c r="P425" s="183"/>
      <c r="Q425" s="183"/>
      <c r="R425" s="183"/>
      <c r="S425" s="183"/>
      <c r="T425" s="152"/>
      <c r="U425" s="155"/>
      <c r="V425" s="152"/>
      <c r="W425" s="152"/>
      <c r="X425" s="152"/>
      <c r="Y425" s="152"/>
      <c r="Z425" s="152"/>
      <c r="AA425" s="152"/>
      <c r="AB425" s="152"/>
      <c r="AC425" s="152"/>
      <c r="AD425" s="152"/>
      <c r="AE425" s="152"/>
      <c r="AF425" s="152"/>
      <c r="AG425" s="144"/>
      <c r="AH425" s="144"/>
      <c r="AI425" s="144"/>
      <c r="AJ425" s="144"/>
      <c r="AK425" s="144"/>
    </row>
    <row r="426" ht="22.5" customHeight="1">
      <c r="A426" s="184"/>
      <c r="B426" s="184"/>
      <c r="C426" s="184"/>
      <c r="D426" s="184"/>
      <c r="E426" s="184"/>
      <c r="F426" s="184"/>
      <c r="G426" s="184"/>
      <c r="H426" s="184"/>
      <c r="I426" s="184"/>
      <c r="J426" s="184"/>
      <c r="K426" s="184"/>
      <c r="L426" s="184"/>
      <c r="M426" s="184"/>
      <c r="N426" s="184"/>
      <c r="O426" s="184"/>
      <c r="P426" s="184"/>
      <c r="Q426" s="184"/>
      <c r="R426" s="184"/>
      <c r="S426" s="184"/>
      <c r="T426" s="145"/>
      <c r="U426" s="151"/>
      <c r="V426" s="145"/>
      <c r="W426" s="145"/>
      <c r="X426" s="145"/>
      <c r="Y426" s="145"/>
      <c r="Z426" s="145"/>
      <c r="AA426" s="145"/>
      <c r="AB426" s="145"/>
      <c r="AC426" s="145"/>
      <c r="AD426" s="145"/>
      <c r="AE426" s="145"/>
      <c r="AF426" s="145"/>
      <c r="AG426" s="144"/>
      <c r="AH426" s="144"/>
      <c r="AI426" s="144"/>
      <c r="AJ426" s="144"/>
      <c r="AK426" s="144"/>
    </row>
    <row r="427" ht="22.5" customHeight="1">
      <c r="A427" s="183"/>
      <c r="B427" s="183"/>
      <c r="C427" s="183"/>
      <c r="D427" s="183"/>
      <c r="E427" s="183"/>
      <c r="F427" s="183"/>
      <c r="G427" s="183"/>
      <c r="H427" s="183"/>
      <c r="I427" s="183"/>
      <c r="J427" s="183"/>
      <c r="K427" s="183"/>
      <c r="L427" s="183"/>
      <c r="M427" s="183"/>
      <c r="N427" s="183"/>
      <c r="O427" s="183"/>
      <c r="P427" s="183"/>
      <c r="Q427" s="183"/>
      <c r="R427" s="183"/>
      <c r="S427" s="183"/>
      <c r="T427" s="152"/>
      <c r="U427" s="155"/>
      <c r="V427" s="152"/>
      <c r="W427" s="152"/>
      <c r="X427" s="152"/>
      <c r="Y427" s="152"/>
      <c r="Z427" s="152"/>
      <c r="AA427" s="152"/>
      <c r="AB427" s="152"/>
      <c r="AC427" s="152"/>
      <c r="AD427" s="152"/>
      <c r="AE427" s="152"/>
      <c r="AF427" s="152"/>
      <c r="AG427" s="144"/>
      <c r="AH427" s="144"/>
      <c r="AI427" s="144"/>
      <c r="AJ427" s="144"/>
      <c r="AK427" s="144"/>
    </row>
    <row r="428" ht="22.5" customHeight="1">
      <c r="A428" s="184"/>
      <c r="B428" s="184"/>
      <c r="C428" s="184"/>
      <c r="D428" s="184"/>
      <c r="E428" s="184"/>
      <c r="F428" s="184"/>
      <c r="G428" s="184"/>
      <c r="H428" s="184"/>
      <c r="I428" s="184"/>
      <c r="J428" s="184"/>
      <c r="K428" s="184"/>
      <c r="L428" s="184"/>
      <c r="M428" s="184"/>
      <c r="N428" s="184"/>
      <c r="O428" s="184"/>
      <c r="P428" s="184"/>
      <c r="Q428" s="184"/>
      <c r="R428" s="184"/>
      <c r="S428" s="184"/>
      <c r="T428" s="145"/>
      <c r="U428" s="151"/>
      <c r="V428" s="145"/>
      <c r="W428" s="145"/>
      <c r="X428" s="145"/>
      <c r="Y428" s="145"/>
      <c r="Z428" s="145"/>
      <c r="AA428" s="145"/>
      <c r="AB428" s="145"/>
      <c r="AC428" s="145"/>
      <c r="AD428" s="145"/>
      <c r="AE428" s="145"/>
      <c r="AF428" s="145"/>
      <c r="AG428" s="144"/>
      <c r="AH428" s="144"/>
      <c r="AI428" s="144"/>
      <c r="AJ428" s="144"/>
      <c r="AK428" s="144"/>
    </row>
    <row r="429" ht="22.5" customHeight="1">
      <c r="A429" s="183"/>
      <c r="B429" s="183"/>
      <c r="C429" s="183"/>
      <c r="D429" s="183"/>
      <c r="E429" s="183"/>
      <c r="F429" s="183"/>
      <c r="G429" s="183"/>
      <c r="H429" s="183"/>
      <c r="I429" s="183"/>
      <c r="J429" s="183"/>
      <c r="K429" s="183"/>
      <c r="L429" s="183"/>
      <c r="M429" s="183"/>
      <c r="N429" s="183"/>
      <c r="O429" s="183"/>
      <c r="P429" s="183"/>
      <c r="Q429" s="183"/>
      <c r="R429" s="183"/>
      <c r="S429" s="183"/>
      <c r="T429" s="152"/>
      <c r="U429" s="155"/>
      <c r="V429" s="152"/>
      <c r="W429" s="152"/>
      <c r="X429" s="152"/>
      <c r="Y429" s="152"/>
      <c r="Z429" s="152"/>
      <c r="AA429" s="152"/>
      <c r="AB429" s="152"/>
      <c r="AC429" s="152"/>
      <c r="AD429" s="152"/>
      <c r="AE429" s="152"/>
      <c r="AF429" s="152"/>
      <c r="AG429" s="144"/>
      <c r="AH429" s="144"/>
      <c r="AI429" s="144"/>
      <c r="AJ429" s="144"/>
      <c r="AK429" s="144"/>
    </row>
    <row r="430" ht="22.5" customHeight="1">
      <c r="A430" s="184"/>
      <c r="B430" s="184"/>
      <c r="C430" s="184"/>
      <c r="D430" s="184"/>
      <c r="E430" s="184"/>
      <c r="F430" s="184"/>
      <c r="G430" s="184"/>
      <c r="H430" s="184"/>
      <c r="I430" s="184"/>
      <c r="J430" s="184"/>
      <c r="K430" s="184"/>
      <c r="L430" s="184"/>
      <c r="M430" s="184"/>
      <c r="N430" s="184"/>
      <c r="O430" s="184"/>
      <c r="P430" s="184"/>
      <c r="Q430" s="184"/>
      <c r="R430" s="184"/>
      <c r="S430" s="184"/>
      <c r="T430" s="145"/>
      <c r="U430" s="151"/>
      <c r="V430" s="145"/>
      <c r="W430" s="145"/>
      <c r="X430" s="145"/>
      <c r="Y430" s="145"/>
      <c r="Z430" s="145"/>
      <c r="AA430" s="145"/>
      <c r="AB430" s="145"/>
      <c r="AC430" s="145"/>
      <c r="AD430" s="145"/>
      <c r="AE430" s="145"/>
      <c r="AF430" s="145"/>
      <c r="AG430" s="144"/>
      <c r="AH430" s="144"/>
      <c r="AI430" s="144"/>
      <c r="AJ430" s="144"/>
      <c r="AK430" s="144"/>
    </row>
    <row r="431" ht="22.5" customHeight="1">
      <c r="A431" s="183"/>
      <c r="B431" s="183"/>
      <c r="C431" s="183"/>
      <c r="D431" s="183"/>
      <c r="E431" s="183"/>
      <c r="F431" s="183"/>
      <c r="G431" s="183"/>
      <c r="H431" s="183"/>
      <c r="I431" s="183"/>
      <c r="J431" s="183"/>
      <c r="K431" s="183"/>
      <c r="L431" s="183"/>
      <c r="M431" s="183"/>
      <c r="N431" s="183"/>
      <c r="O431" s="183"/>
      <c r="P431" s="183"/>
      <c r="Q431" s="183"/>
      <c r="R431" s="183"/>
      <c r="S431" s="183"/>
      <c r="T431" s="152"/>
      <c r="U431" s="155"/>
      <c r="V431" s="152"/>
      <c r="W431" s="152"/>
      <c r="X431" s="152"/>
      <c r="Y431" s="152"/>
      <c r="Z431" s="152"/>
      <c r="AA431" s="152"/>
      <c r="AB431" s="152"/>
      <c r="AC431" s="152"/>
      <c r="AD431" s="152"/>
      <c r="AE431" s="152"/>
      <c r="AF431" s="152"/>
      <c r="AG431" s="144"/>
      <c r="AH431" s="144"/>
      <c r="AI431" s="144"/>
      <c r="AJ431" s="144"/>
      <c r="AK431" s="144"/>
    </row>
    <row r="432" ht="22.5" customHeight="1">
      <c r="A432" s="184"/>
      <c r="B432" s="184"/>
      <c r="C432" s="184"/>
      <c r="D432" s="184"/>
      <c r="E432" s="184"/>
      <c r="F432" s="184"/>
      <c r="G432" s="184"/>
      <c r="H432" s="184"/>
      <c r="I432" s="184"/>
      <c r="J432" s="184"/>
      <c r="K432" s="184"/>
      <c r="L432" s="184"/>
      <c r="M432" s="184"/>
      <c r="N432" s="184"/>
      <c r="O432" s="184"/>
      <c r="P432" s="184"/>
      <c r="Q432" s="184"/>
      <c r="R432" s="184"/>
      <c r="S432" s="184"/>
      <c r="T432" s="145"/>
      <c r="U432" s="151"/>
      <c r="V432" s="145"/>
      <c r="W432" s="145"/>
      <c r="X432" s="145"/>
      <c r="Y432" s="145"/>
      <c r="Z432" s="145"/>
      <c r="AA432" s="145"/>
      <c r="AB432" s="145"/>
      <c r="AC432" s="145"/>
      <c r="AD432" s="145"/>
      <c r="AE432" s="145"/>
      <c r="AF432" s="145"/>
      <c r="AG432" s="144"/>
      <c r="AH432" s="144"/>
      <c r="AI432" s="144"/>
      <c r="AJ432" s="144"/>
      <c r="AK432" s="144"/>
    </row>
    <row r="433" ht="22.5" customHeight="1">
      <c r="A433" s="183"/>
      <c r="B433" s="183"/>
      <c r="C433" s="183"/>
      <c r="D433" s="183"/>
      <c r="E433" s="183"/>
      <c r="F433" s="183"/>
      <c r="G433" s="183"/>
      <c r="H433" s="183"/>
      <c r="I433" s="183"/>
      <c r="J433" s="183"/>
      <c r="K433" s="183"/>
      <c r="L433" s="183"/>
      <c r="M433" s="183"/>
      <c r="N433" s="183"/>
      <c r="O433" s="183"/>
      <c r="P433" s="183"/>
      <c r="Q433" s="183"/>
      <c r="R433" s="183"/>
      <c r="S433" s="183"/>
      <c r="T433" s="152"/>
      <c r="U433" s="155"/>
      <c r="V433" s="152"/>
      <c r="W433" s="152"/>
      <c r="X433" s="152"/>
      <c r="Y433" s="152"/>
      <c r="Z433" s="152"/>
      <c r="AA433" s="152"/>
      <c r="AB433" s="152"/>
      <c r="AC433" s="152"/>
      <c r="AD433" s="152"/>
      <c r="AE433" s="152"/>
      <c r="AF433" s="152"/>
      <c r="AG433" s="144"/>
      <c r="AH433" s="144"/>
      <c r="AI433" s="144"/>
      <c r="AJ433" s="144"/>
      <c r="AK433" s="144"/>
    </row>
    <row r="434" ht="22.5" customHeight="1">
      <c r="A434" s="184"/>
      <c r="B434" s="184"/>
      <c r="C434" s="184"/>
      <c r="D434" s="184"/>
      <c r="E434" s="184"/>
      <c r="F434" s="184"/>
      <c r="G434" s="184"/>
      <c r="H434" s="184"/>
      <c r="I434" s="184"/>
      <c r="J434" s="184"/>
      <c r="K434" s="184"/>
      <c r="L434" s="184"/>
      <c r="M434" s="184"/>
      <c r="N434" s="184"/>
      <c r="O434" s="184"/>
      <c r="P434" s="184"/>
      <c r="Q434" s="184"/>
      <c r="R434" s="184"/>
      <c r="S434" s="184"/>
      <c r="T434" s="145"/>
      <c r="U434" s="151"/>
      <c r="V434" s="145"/>
      <c r="W434" s="145"/>
      <c r="X434" s="145"/>
      <c r="Y434" s="145"/>
      <c r="Z434" s="145"/>
      <c r="AA434" s="145"/>
      <c r="AB434" s="145"/>
      <c r="AC434" s="145"/>
      <c r="AD434" s="145"/>
      <c r="AE434" s="145"/>
      <c r="AF434" s="145"/>
      <c r="AG434" s="144"/>
      <c r="AH434" s="144"/>
      <c r="AI434" s="144"/>
      <c r="AJ434" s="144"/>
      <c r="AK434" s="144"/>
    </row>
    <row r="435" ht="22.5" customHeight="1">
      <c r="A435" s="183"/>
      <c r="B435" s="183"/>
      <c r="C435" s="183"/>
      <c r="D435" s="183"/>
      <c r="E435" s="183"/>
      <c r="F435" s="183"/>
      <c r="G435" s="183"/>
      <c r="H435" s="183"/>
      <c r="I435" s="183"/>
      <c r="J435" s="183"/>
      <c r="K435" s="183"/>
      <c r="L435" s="183"/>
      <c r="M435" s="183"/>
      <c r="N435" s="183"/>
      <c r="O435" s="183"/>
      <c r="P435" s="183"/>
      <c r="Q435" s="183"/>
      <c r="R435" s="183"/>
      <c r="S435" s="183"/>
      <c r="T435" s="152"/>
      <c r="U435" s="155"/>
      <c r="V435" s="152"/>
      <c r="W435" s="152"/>
      <c r="X435" s="152"/>
      <c r="Y435" s="152"/>
      <c r="Z435" s="152"/>
      <c r="AA435" s="152"/>
      <c r="AB435" s="152"/>
      <c r="AC435" s="152"/>
      <c r="AD435" s="152"/>
      <c r="AE435" s="152"/>
      <c r="AF435" s="152"/>
      <c r="AG435" s="144"/>
      <c r="AH435" s="144"/>
      <c r="AI435" s="144"/>
      <c r="AJ435" s="144"/>
      <c r="AK435" s="144"/>
    </row>
    <row r="436" ht="22.5" customHeight="1">
      <c r="A436" s="184"/>
      <c r="B436" s="184"/>
      <c r="C436" s="184"/>
      <c r="D436" s="184"/>
      <c r="E436" s="184"/>
      <c r="F436" s="184"/>
      <c r="G436" s="184"/>
      <c r="H436" s="184"/>
      <c r="I436" s="184"/>
      <c r="J436" s="184"/>
      <c r="K436" s="184"/>
      <c r="L436" s="184"/>
      <c r="M436" s="184"/>
      <c r="N436" s="184"/>
      <c r="O436" s="184"/>
      <c r="P436" s="184"/>
      <c r="Q436" s="184"/>
      <c r="R436" s="184"/>
      <c r="S436" s="184"/>
      <c r="T436" s="145"/>
      <c r="U436" s="151"/>
      <c r="V436" s="145"/>
      <c r="W436" s="145"/>
      <c r="X436" s="145"/>
      <c r="Y436" s="145"/>
      <c r="Z436" s="145"/>
      <c r="AA436" s="145"/>
      <c r="AB436" s="145"/>
      <c r="AC436" s="145"/>
      <c r="AD436" s="145"/>
      <c r="AE436" s="145"/>
      <c r="AF436" s="145"/>
      <c r="AG436" s="144"/>
      <c r="AH436" s="144"/>
      <c r="AI436" s="144"/>
      <c r="AJ436" s="144"/>
      <c r="AK436" s="144"/>
    </row>
    <row r="437" ht="22.5" customHeight="1">
      <c r="A437" s="183"/>
      <c r="B437" s="183"/>
      <c r="C437" s="183"/>
      <c r="D437" s="183"/>
      <c r="E437" s="183"/>
      <c r="F437" s="183"/>
      <c r="G437" s="183"/>
      <c r="H437" s="183"/>
      <c r="I437" s="183"/>
      <c r="J437" s="183"/>
      <c r="K437" s="183"/>
      <c r="L437" s="183"/>
      <c r="M437" s="183"/>
      <c r="N437" s="183"/>
      <c r="O437" s="183"/>
      <c r="P437" s="183"/>
      <c r="Q437" s="183"/>
      <c r="R437" s="183"/>
      <c r="S437" s="183"/>
      <c r="T437" s="152"/>
      <c r="U437" s="155"/>
      <c r="V437" s="152"/>
      <c r="W437" s="152"/>
      <c r="X437" s="152"/>
      <c r="Y437" s="152"/>
      <c r="Z437" s="152"/>
      <c r="AA437" s="152"/>
      <c r="AB437" s="152"/>
      <c r="AC437" s="152"/>
      <c r="AD437" s="152"/>
      <c r="AE437" s="152"/>
      <c r="AF437" s="152"/>
      <c r="AG437" s="144"/>
      <c r="AH437" s="144"/>
      <c r="AI437" s="144"/>
      <c r="AJ437" s="144"/>
      <c r="AK437" s="144"/>
    </row>
    <row r="438" ht="22.5" customHeight="1">
      <c r="A438" s="184"/>
      <c r="B438" s="184"/>
      <c r="C438" s="184"/>
      <c r="D438" s="184"/>
      <c r="E438" s="184"/>
      <c r="F438" s="184"/>
      <c r="G438" s="184"/>
      <c r="H438" s="184"/>
      <c r="I438" s="184"/>
      <c r="J438" s="184"/>
      <c r="K438" s="184"/>
      <c r="L438" s="184"/>
      <c r="M438" s="184"/>
      <c r="N438" s="184"/>
      <c r="O438" s="184"/>
      <c r="P438" s="184"/>
      <c r="Q438" s="184"/>
      <c r="R438" s="184"/>
      <c r="S438" s="184"/>
      <c r="T438" s="145"/>
      <c r="U438" s="151"/>
      <c r="V438" s="145"/>
      <c r="W438" s="145"/>
      <c r="X438" s="145"/>
      <c r="Y438" s="145"/>
      <c r="Z438" s="145"/>
      <c r="AA438" s="145"/>
      <c r="AB438" s="145"/>
      <c r="AC438" s="145"/>
      <c r="AD438" s="145"/>
      <c r="AE438" s="145"/>
      <c r="AF438" s="145"/>
      <c r="AG438" s="144"/>
      <c r="AH438" s="144"/>
      <c r="AI438" s="144"/>
      <c r="AJ438" s="144"/>
      <c r="AK438" s="144"/>
    </row>
    <row r="439" ht="22.5" customHeight="1">
      <c r="A439" s="183"/>
      <c r="B439" s="183"/>
      <c r="C439" s="183"/>
      <c r="D439" s="183"/>
      <c r="E439" s="183"/>
      <c r="F439" s="183"/>
      <c r="G439" s="183"/>
      <c r="H439" s="183"/>
      <c r="I439" s="183"/>
      <c r="J439" s="183"/>
      <c r="K439" s="183"/>
      <c r="L439" s="183"/>
      <c r="M439" s="183"/>
      <c r="N439" s="183"/>
      <c r="O439" s="183"/>
      <c r="P439" s="183"/>
      <c r="Q439" s="183"/>
      <c r="R439" s="183"/>
      <c r="S439" s="183"/>
      <c r="T439" s="152"/>
      <c r="U439" s="155"/>
      <c r="V439" s="152"/>
      <c r="W439" s="152"/>
      <c r="X439" s="152"/>
      <c r="Y439" s="152"/>
      <c r="Z439" s="152"/>
      <c r="AA439" s="152"/>
      <c r="AB439" s="152"/>
      <c r="AC439" s="152"/>
      <c r="AD439" s="152"/>
      <c r="AE439" s="152"/>
      <c r="AF439" s="152"/>
      <c r="AG439" s="144"/>
      <c r="AH439" s="144"/>
      <c r="AI439" s="144"/>
      <c r="AJ439" s="144"/>
      <c r="AK439" s="144"/>
    </row>
    <row r="440" ht="22.5" customHeight="1">
      <c r="A440" s="184"/>
      <c r="B440" s="184"/>
      <c r="C440" s="184"/>
      <c r="D440" s="184"/>
      <c r="E440" s="184"/>
      <c r="F440" s="184"/>
      <c r="G440" s="184"/>
      <c r="H440" s="184"/>
      <c r="I440" s="184"/>
      <c r="J440" s="184"/>
      <c r="K440" s="184"/>
      <c r="L440" s="184"/>
      <c r="M440" s="184"/>
      <c r="N440" s="184"/>
      <c r="O440" s="184"/>
      <c r="P440" s="184"/>
      <c r="Q440" s="184"/>
      <c r="R440" s="184"/>
      <c r="S440" s="184"/>
      <c r="T440" s="145"/>
      <c r="U440" s="151"/>
      <c r="V440" s="145"/>
      <c r="W440" s="145"/>
      <c r="X440" s="145"/>
      <c r="Y440" s="145"/>
      <c r="Z440" s="145"/>
      <c r="AA440" s="145"/>
      <c r="AB440" s="145"/>
      <c r="AC440" s="145"/>
      <c r="AD440" s="145"/>
      <c r="AE440" s="145"/>
      <c r="AF440" s="145"/>
      <c r="AG440" s="144"/>
      <c r="AH440" s="144"/>
      <c r="AI440" s="144"/>
      <c r="AJ440" s="144"/>
      <c r="AK440" s="144"/>
    </row>
    <row r="441" ht="22.5" customHeight="1">
      <c r="A441" s="183"/>
      <c r="B441" s="183"/>
      <c r="C441" s="183"/>
      <c r="D441" s="183"/>
      <c r="E441" s="183"/>
      <c r="F441" s="183"/>
      <c r="G441" s="183"/>
      <c r="H441" s="183"/>
      <c r="I441" s="183"/>
      <c r="J441" s="183"/>
      <c r="K441" s="183"/>
      <c r="L441" s="183"/>
      <c r="M441" s="183"/>
      <c r="N441" s="183"/>
      <c r="O441" s="183"/>
      <c r="P441" s="183"/>
      <c r="Q441" s="183"/>
      <c r="R441" s="183"/>
      <c r="S441" s="183"/>
      <c r="T441" s="152"/>
      <c r="U441" s="155"/>
      <c r="V441" s="152"/>
      <c r="W441" s="152"/>
      <c r="X441" s="152"/>
      <c r="Y441" s="152"/>
      <c r="Z441" s="152"/>
      <c r="AA441" s="152"/>
      <c r="AB441" s="152"/>
      <c r="AC441" s="152"/>
      <c r="AD441" s="152"/>
      <c r="AE441" s="152"/>
      <c r="AF441" s="152"/>
      <c r="AG441" s="144"/>
      <c r="AH441" s="144"/>
      <c r="AI441" s="144"/>
      <c r="AJ441" s="144"/>
      <c r="AK441" s="144"/>
    </row>
    <row r="442" ht="22.5" customHeight="1">
      <c r="A442" s="184"/>
      <c r="B442" s="184"/>
      <c r="C442" s="184"/>
      <c r="D442" s="184"/>
      <c r="E442" s="184"/>
      <c r="F442" s="184"/>
      <c r="G442" s="184"/>
      <c r="H442" s="184"/>
      <c r="I442" s="184"/>
      <c r="J442" s="184"/>
      <c r="K442" s="184"/>
      <c r="L442" s="184"/>
      <c r="M442" s="184"/>
      <c r="N442" s="184"/>
      <c r="O442" s="184"/>
      <c r="P442" s="184"/>
      <c r="Q442" s="184"/>
      <c r="R442" s="184"/>
      <c r="S442" s="184"/>
      <c r="T442" s="145"/>
      <c r="U442" s="151"/>
      <c r="V442" s="145"/>
      <c r="W442" s="145"/>
      <c r="X442" s="145"/>
      <c r="Y442" s="145"/>
      <c r="Z442" s="145"/>
      <c r="AA442" s="145"/>
      <c r="AB442" s="145"/>
      <c r="AC442" s="145"/>
      <c r="AD442" s="145"/>
      <c r="AE442" s="145"/>
      <c r="AF442" s="145"/>
      <c r="AG442" s="144"/>
      <c r="AH442" s="144"/>
      <c r="AI442" s="144"/>
      <c r="AJ442" s="144"/>
      <c r="AK442" s="144"/>
    </row>
    <row r="443" ht="22.5" customHeight="1">
      <c r="A443" s="183"/>
      <c r="B443" s="183"/>
      <c r="C443" s="183"/>
      <c r="D443" s="183"/>
      <c r="E443" s="183"/>
      <c r="F443" s="183"/>
      <c r="G443" s="183"/>
      <c r="H443" s="183"/>
      <c r="I443" s="183"/>
      <c r="J443" s="183"/>
      <c r="K443" s="183"/>
      <c r="L443" s="183"/>
      <c r="M443" s="183"/>
      <c r="N443" s="183"/>
      <c r="O443" s="183"/>
      <c r="P443" s="183"/>
      <c r="Q443" s="183"/>
      <c r="R443" s="183"/>
      <c r="S443" s="183"/>
      <c r="T443" s="152"/>
      <c r="U443" s="155"/>
      <c r="V443" s="152"/>
      <c r="W443" s="152"/>
      <c r="X443" s="152"/>
      <c r="Y443" s="152"/>
      <c r="Z443" s="152"/>
      <c r="AA443" s="152"/>
      <c r="AB443" s="152"/>
      <c r="AC443" s="152"/>
      <c r="AD443" s="152"/>
      <c r="AE443" s="152"/>
      <c r="AF443" s="152"/>
      <c r="AG443" s="144"/>
      <c r="AH443" s="144"/>
      <c r="AI443" s="144"/>
      <c r="AJ443" s="144"/>
      <c r="AK443" s="144"/>
    </row>
    <row r="444" ht="22.5" customHeight="1">
      <c r="A444" s="184"/>
      <c r="B444" s="184"/>
      <c r="C444" s="184"/>
      <c r="D444" s="184"/>
      <c r="E444" s="184"/>
      <c r="F444" s="184"/>
      <c r="G444" s="184"/>
      <c r="H444" s="184"/>
      <c r="I444" s="184"/>
      <c r="J444" s="184"/>
      <c r="K444" s="184"/>
      <c r="L444" s="184"/>
      <c r="M444" s="184"/>
      <c r="N444" s="184"/>
      <c r="O444" s="184"/>
      <c r="P444" s="184"/>
      <c r="Q444" s="184"/>
      <c r="R444" s="184"/>
      <c r="S444" s="184"/>
      <c r="T444" s="145"/>
      <c r="U444" s="151"/>
      <c r="V444" s="145"/>
      <c r="W444" s="145"/>
      <c r="X444" s="145"/>
      <c r="Y444" s="145"/>
      <c r="Z444" s="145"/>
      <c r="AA444" s="145"/>
      <c r="AB444" s="145"/>
      <c r="AC444" s="145"/>
      <c r="AD444" s="145"/>
      <c r="AE444" s="145"/>
      <c r="AF444" s="145"/>
      <c r="AG444" s="144"/>
      <c r="AH444" s="144"/>
      <c r="AI444" s="144"/>
      <c r="AJ444" s="144"/>
      <c r="AK444" s="144"/>
    </row>
    <row r="445" ht="22.5" customHeight="1">
      <c r="A445" s="183"/>
      <c r="B445" s="183"/>
      <c r="C445" s="183"/>
      <c r="D445" s="183"/>
      <c r="E445" s="183"/>
      <c r="F445" s="183"/>
      <c r="G445" s="183"/>
      <c r="H445" s="183"/>
      <c r="I445" s="183"/>
      <c r="J445" s="183"/>
      <c r="K445" s="183"/>
      <c r="L445" s="183"/>
      <c r="M445" s="183"/>
      <c r="N445" s="183"/>
      <c r="O445" s="183"/>
      <c r="P445" s="183"/>
      <c r="Q445" s="183"/>
      <c r="R445" s="183"/>
      <c r="S445" s="183"/>
      <c r="T445" s="152"/>
      <c r="U445" s="155"/>
      <c r="V445" s="152"/>
      <c r="W445" s="152"/>
      <c r="X445" s="152"/>
      <c r="Y445" s="152"/>
      <c r="Z445" s="152"/>
      <c r="AA445" s="152"/>
      <c r="AB445" s="152"/>
      <c r="AC445" s="152"/>
      <c r="AD445" s="152"/>
      <c r="AE445" s="152"/>
      <c r="AF445" s="152"/>
      <c r="AG445" s="144"/>
      <c r="AH445" s="144"/>
      <c r="AI445" s="144"/>
      <c r="AJ445" s="144"/>
      <c r="AK445" s="144"/>
    </row>
    <row r="446" ht="22.5" customHeight="1">
      <c r="A446" s="184"/>
      <c r="B446" s="184"/>
      <c r="C446" s="184"/>
      <c r="D446" s="184"/>
      <c r="E446" s="184"/>
      <c r="F446" s="184"/>
      <c r="G446" s="184"/>
      <c r="H446" s="184"/>
      <c r="I446" s="184"/>
      <c r="J446" s="184"/>
      <c r="K446" s="184"/>
      <c r="L446" s="184"/>
      <c r="M446" s="184"/>
      <c r="N446" s="184"/>
      <c r="O446" s="184"/>
      <c r="P446" s="184"/>
      <c r="Q446" s="184"/>
      <c r="R446" s="184"/>
      <c r="S446" s="184"/>
      <c r="T446" s="145"/>
      <c r="U446" s="151"/>
      <c r="V446" s="145"/>
      <c r="W446" s="145"/>
      <c r="X446" s="145"/>
      <c r="Y446" s="145"/>
      <c r="Z446" s="145"/>
      <c r="AA446" s="145"/>
      <c r="AB446" s="145"/>
      <c r="AC446" s="145"/>
      <c r="AD446" s="145"/>
      <c r="AE446" s="145"/>
      <c r="AF446" s="145"/>
      <c r="AG446" s="144"/>
      <c r="AH446" s="144"/>
      <c r="AI446" s="144"/>
      <c r="AJ446" s="144"/>
      <c r="AK446" s="144"/>
    </row>
    <row r="447" ht="22.5" customHeight="1">
      <c r="A447" s="183"/>
      <c r="B447" s="183"/>
      <c r="C447" s="183"/>
      <c r="D447" s="183"/>
      <c r="E447" s="183"/>
      <c r="F447" s="183"/>
      <c r="G447" s="183"/>
      <c r="H447" s="183"/>
      <c r="I447" s="183"/>
      <c r="J447" s="183"/>
      <c r="K447" s="183"/>
      <c r="L447" s="183"/>
      <c r="M447" s="183"/>
      <c r="N447" s="183"/>
      <c r="O447" s="183"/>
      <c r="P447" s="183"/>
      <c r="Q447" s="183"/>
      <c r="R447" s="183"/>
      <c r="S447" s="183"/>
      <c r="T447" s="152"/>
      <c r="U447" s="155"/>
      <c r="V447" s="152"/>
      <c r="W447" s="152"/>
      <c r="X447" s="152"/>
      <c r="Y447" s="152"/>
      <c r="Z447" s="152"/>
      <c r="AA447" s="152"/>
      <c r="AB447" s="152"/>
      <c r="AC447" s="152"/>
      <c r="AD447" s="152"/>
      <c r="AE447" s="152"/>
      <c r="AF447" s="152"/>
      <c r="AG447" s="144"/>
      <c r="AH447" s="144"/>
      <c r="AI447" s="144"/>
      <c r="AJ447" s="144"/>
      <c r="AK447" s="144"/>
    </row>
    <row r="448" ht="22.5" customHeight="1">
      <c r="A448" s="184"/>
      <c r="B448" s="184"/>
      <c r="C448" s="184"/>
      <c r="D448" s="184"/>
      <c r="E448" s="184"/>
      <c r="F448" s="184"/>
      <c r="G448" s="184"/>
      <c r="H448" s="184"/>
      <c r="I448" s="184"/>
      <c r="J448" s="184"/>
      <c r="K448" s="184"/>
      <c r="L448" s="184"/>
      <c r="M448" s="184"/>
      <c r="N448" s="184"/>
      <c r="O448" s="184"/>
      <c r="P448" s="184"/>
      <c r="Q448" s="184"/>
      <c r="R448" s="184"/>
      <c r="S448" s="184"/>
      <c r="T448" s="145"/>
      <c r="U448" s="151"/>
      <c r="V448" s="145"/>
      <c r="W448" s="145"/>
      <c r="X448" s="145"/>
      <c r="Y448" s="145"/>
      <c r="Z448" s="145"/>
      <c r="AA448" s="145"/>
      <c r="AB448" s="145"/>
      <c r="AC448" s="145"/>
      <c r="AD448" s="145"/>
      <c r="AE448" s="145"/>
      <c r="AF448" s="145"/>
      <c r="AG448" s="144"/>
      <c r="AH448" s="144"/>
      <c r="AI448" s="144"/>
      <c r="AJ448" s="144"/>
      <c r="AK448" s="144"/>
    </row>
    <row r="449" ht="22.5" customHeight="1">
      <c r="A449" s="183"/>
      <c r="B449" s="183"/>
      <c r="C449" s="183"/>
      <c r="D449" s="183"/>
      <c r="E449" s="183"/>
      <c r="F449" s="183"/>
      <c r="G449" s="183"/>
      <c r="H449" s="183"/>
      <c r="I449" s="183"/>
      <c r="J449" s="183"/>
      <c r="K449" s="183"/>
      <c r="L449" s="183"/>
      <c r="M449" s="183"/>
      <c r="N449" s="183"/>
      <c r="O449" s="183"/>
      <c r="P449" s="183"/>
      <c r="Q449" s="183"/>
      <c r="R449" s="183"/>
      <c r="S449" s="183"/>
      <c r="T449" s="152"/>
      <c r="U449" s="155"/>
      <c r="V449" s="152"/>
      <c r="W449" s="152"/>
      <c r="X449" s="152"/>
      <c r="Y449" s="152"/>
      <c r="Z449" s="152"/>
      <c r="AA449" s="152"/>
      <c r="AB449" s="152"/>
      <c r="AC449" s="152"/>
      <c r="AD449" s="152"/>
      <c r="AE449" s="152"/>
      <c r="AF449" s="152"/>
      <c r="AG449" s="144"/>
      <c r="AH449" s="144"/>
      <c r="AI449" s="144"/>
      <c r="AJ449" s="144"/>
      <c r="AK449" s="144"/>
    </row>
    <row r="450" ht="22.5" customHeight="1">
      <c r="A450" s="184"/>
      <c r="B450" s="184"/>
      <c r="C450" s="184"/>
      <c r="D450" s="184"/>
      <c r="E450" s="184"/>
      <c r="F450" s="184"/>
      <c r="G450" s="184"/>
      <c r="H450" s="184"/>
      <c r="I450" s="184"/>
      <c r="J450" s="184"/>
      <c r="K450" s="184"/>
      <c r="L450" s="184"/>
      <c r="M450" s="184"/>
      <c r="N450" s="184"/>
      <c r="O450" s="184"/>
      <c r="P450" s="184"/>
      <c r="Q450" s="184"/>
      <c r="R450" s="184"/>
      <c r="S450" s="184"/>
      <c r="T450" s="145"/>
      <c r="U450" s="151"/>
      <c r="V450" s="145"/>
      <c r="W450" s="145"/>
      <c r="X450" s="145"/>
      <c r="Y450" s="145"/>
      <c r="Z450" s="145"/>
      <c r="AA450" s="145"/>
      <c r="AB450" s="145"/>
      <c r="AC450" s="145"/>
      <c r="AD450" s="145"/>
      <c r="AE450" s="145"/>
      <c r="AF450" s="145"/>
      <c r="AG450" s="144"/>
      <c r="AH450" s="144"/>
      <c r="AI450" s="144"/>
      <c r="AJ450" s="144"/>
      <c r="AK450" s="144"/>
    </row>
    <row r="451" ht="22.5" customHeight="1">
      <c r="A451" s="183"/>
      <c r="B451" s="183"/>
      <c r="C451" s="183"/>
      <c r="D451" s="183"/>
      <c r="E451" s="183"/>
      <c r="F451" s="183"/>
      <c r="G451" s="183"/>
      <c r="H451" s="183"/>
      <c r="I451" s="183"/>
      <c r="J451" s="183"/>
      <c r="K451" s="183"/>
      <c r="L451" s="183"/>
      <c r="M451" s="183"/>
      <c r="N451" s="183"/>
      <c r="O451" s="183"/>
      <c r="P451" s="183"/>
      <c r="Q451" s="183"/>
      <c r="R451" s="183"/>
      <c r="S451" s="183"/>
      <c r="T451" s="152"/>
      <c r="U451" s="155"/>
      <c r="V451" s="152"/>
      <c r="W451" s="152"/>
      <c r="X451" s="152"/>
      <c r="Y451" s="152"/>
      <c r="Z451" s="152"/>
      <c r="AA451" s="152"/>
      <c r="AB451" s="152"/>
      <c r="AC451" s="152"/>
      <c r="AD451" s="152"/>
      <c r="AE451" s="152"/>
      <c r="AF451" s="152"/>
      <c r="AG451" s="144"/>
      <c r="AH451" s="144"/>
      <c r="AI451" s="144"/>
      <c r="AJ451" s="144"/>
      <c r="AK451" s="144"/>
    </row>
    <row r="452" ht="22.5" customHeight="1">
      <c r="A452" s="184"/>
      <c r="B452" s="184"/>
      <c r="C452" s="184"/>
      <c r="D452" s="184"/>
      <c r="E452" s="184"/>
      <c r="F452" s="184"/>
      <c r="G452" s="184"/>
      <c r="H452" s="184"/>
      <c r="I452" s="184"/>
      <c r="J452" s="184"/>
      <c r="K452" s="184"/>
      <c r="L452" s="184"/>
      <c r="M452" s="184"/>
      <c r="N452" s="184"/>
      <c r="O452" s="184"/>
      <c r="P452" s="184"/>
      <c r="Q452" s="184"/>
      <c r="R452" s="184"/>
      <c r="S452" s="184"/>
      <c r="T452" s="145"/>
      <c r="U452" s="151"/>
      <c r="V452" s="145"/>
      <c r="W452" s="145"/>
      <c r="X452" s="145"/>
      <c r="Y452" s="145"/>
      <c r="Z452" s="145"/>
      <c r="AA452" s="145"/>
      <c r="AB452" s="145"/>
      <c r="AC452" s="145"/>
      <c r="AD452" s="145"/>
      <c r="AE452" s="145"/>
      <c r="AF452" s="145"/>
      <c r="AG452" s="144"/>
      <c r="AH452" s="144"/>
      <c r="AI452" s="144"/>
      <c r="AJ452" s="144"/>
      <c r="AK452" s="144"/>
    </row>
    <row r="453" ht="22.5" customHeight="1">
      <c r="A453" s="183"/>
      <c r="B453" s="183"/>
      <c r="C453" s="183"/>
      <c r="D453" s="183"/>
      <c r="E453" s="183"/>
      <c r="F453" s="183"/>
      <c r="G453" s="183"/>
      <c r="H453" s="183"/>
      <c r="I453" s="183"/>
      <c r="J453" s="183"/>
      <c r="K453" s="183"/>
      <c r="L453" s="183"/>
      <c r="M453" s="183"/>
      <c r="N453" s="183"/>
      <c r="O453" s="183"/>
      <c r="P453" s="183"/>
      <c r="Q453" s="183"/>
      <c r="R453" s="183"/>
      <c r="S453" s="183"/>
      <c r="T453" s="152"/>
      <c r="U453" s="155"/>
      <c r="V453" s="152"/>
      <c r="W453" s="152"/>
      <c r="X453" s="152"/>
      <c r="Y453" s="152"/>
      <c r="Z453" s="152"/>
      <c r="AA453" s="152"/>
      <c r="AB453" s="152"/>
      <c r="AC453" s="152"/>
      <c r="AD453" s="152"/>
      <c r="AE453" s="152"/>
      <c r="AF453" s="152"/>
      <c r="AG453" s="144"/>
      <c r="AH453" s="144"/>
      <c r="AI453" s="144"/>
      <c r="AJ453" s="144"/>
      <c r="AK453" s="144"/>
    </row>
    <row r="454" ht="22.5" customHeight="1">
      <c r="A454" s="184"/>
      <c r="B454" s="184"/>
      <c r="C454" s="184"/>
      <c r="D454" s="184"/>
      <c r="E454" s="184"/>
      <c r="F454" s="184"/>
      <c r="G454" s="184"/>
      <c r="H454" s="184"/>
      <c r="I454" s="184"/>
      <c r="J454" s="184"/>
      <c r="K454" s="184"/>
      <c r="L454" s="184"/>
      <c r="M454" s="184"/>
      <c r="N454" s="184"/>
      <c r="O454" s="184"/>
      <c r="P454" s="184"/>
      <c r="Q454" s="184"/>
      <c r="R454" s="184"/>
      <c r="S454" s="184"/>
      <c r="T454" s="145"/>
      <c r="U454" s="151"/>
      <c r="V454" s="145"/>
      <c r="W454" s="145"/>
      <c r="X454" s="145"/>
      <c r="Y454" s="145"/>
      <c r="Z454" s="145"/>
      <c r="AA454" s="145"/>
      <c r="AB454" s="145"/>
      <c r="AC454" s="145"/>
      <c r="AD454" s="145"/>
      <c r="AE454" s="145"/>
      <c r="AF454" s="145"/>
      <c r="AG454" s="144"/>
      <c r="AH454" s="144"/>
      <c r="AI454" s="144"/>
      <c r="AJ454" s="144"/>
      <c r="AK454" s="144"/>
    </row>
    <row r="455" ht="22.5" customHeight="1">
      <c r="A455" s="183"/>
      <c r="B455" s="183"/>
      <c r="C455" s="183"/>
      <c r="D455" s="183"/>
      <c r="E455" s="183"/>
      <c r="F455" s="183"/>
      <c r="G455" s="183"/>
      <c r="H455" s="183"/>
      <c r="I455" s="183"/>
      <c r="J455" s="183"/>
      <c r="K455" s="183"/>
      <c r="L455" s="183"/>
      <c r="M455" s="183"/>
      <c r="N455" s="183"/>
      <c r="O455" s="183"/>
      <c r="P455" s="183"/>
      <c r="Q455" s="183"/>
      <c r="R455" s="183"/>
      <c r="S455" s="183"/>
      <c r="T455" s="152"/>
      <c r="U455" s="155"/>
      <c r="V455" s="152"/>
      <c r="W455" s="152"/>
      <c r="X455" s="152"/>
      <c r="Y455" s="152"/>
      <c r="Z455" s="152"/>
      <c r="AA455" s="152"/>
      <c r="AB455" s="152"/>
      <c r="AC455" s="152"/>
      <c r="AD455" s="152"/>
      <c r="AE455" s="152"/>
      <c r="AF455" s="152"/>
      <c r="AG455" s="144"/>
      <c r="AH455" s="144"/>
      <c r="AI455" s="144"/>
      <c r="AJ455" s="144"/>
      <c r="AK455" s="144"/>
    </row>
    <row r="456" ht="22.5" customHeight="1">
      <c r="A456" s="184"/>
      <c r="B456" s="184"/>
      <c r="C456" s="184"/>
      <c r="D456" s="184"/>
      <c r="E456" s="184"/>
      <c r="F456" s="184"/>
      <c r="G456" s="184"/>
      <c r="H456" s="184"/>
      <c r="I456" s="184"/>
      <c r="J456" s="184"/>
      <c r="K456" s="184"/>
      <c r="L456" s="184"/>
      <c r="M456" s="184"/>
      <c r="N456" s="184"/>
      <c r="O456" s="184"/>
      <c r="P456" s="184"/>
      <c r="Q456" s="184"/>
      <c r="R456" s="184"/>
      <c r="S456" s="184"/>
      <c r="T456" s="145"/>
      <c r="U456" s="151"/>
      <c r="V456" s="145"/>
      <c r="W456" s="145"/>
      <c r="X456" s="145"/>
      <c r="Y456" s="145"/>
      <c r="Z456" s="145"/>
      <c r="AA456" s="145"/>
      <c r="AB456" s="145"/>
      <c r="AC456" s="145"/>
      <c r="AD456" s="145"/>
      <c r="AE456" s="145"/>
      <c r="AF456" s="145"/>
      <c r="AG456" s="144"/>
      <c r="AH456" s="144"/>
      <c r="AI456" s="144"/>
      <c r="AJ456" s="144"/>
      <c r="AK456" s="144"/>
    </row>
    <row r="457" ht="22.5" customHeight="1">
      <c r="A457" s="183"/>
      <c r="B457" s="183"/>
      <c r="C457" s="183"/>
      <c r="D457" s="183"/>
      <c r="E457" s="183"/>
      <c r="F457" s="183"/>
      <c r="G457" s="183"/>
      <c r="H457" s="183"/>
      <c r="I457" s="183"/>
      <c r="J457" s="183"/>
      <c r="K457" s="183"/>
      <c r="L457" s="183"/>
      <c r="M457" s="183"/>
      <c r="N457" s="183"/>
      <c r="O457" s="183"/>
      <c r="P457" s="183"/>
      <c r="Q457" s="183"/>
      <c r="R457" s="183"/>
      <c r="S457" s="183"/>
      <c r="T457" s="152"/>
      <c r="U457" s="155"/>
      <c r="V457" s="152"/>
      <c r="W457" s="152"/>
      <c r="X457" s="152"/>
      <c r="Y457" s="152"/>
      <c r="Z457" s="152"/>
      <c r="AA457" s="152"/>
      <c r="AB457" s="152"/>
      <c r="AC457" s="152"/>
      <c r="AD457" s="152"/>
      <c r="AE457" s="152"/>
      <c r="AF457" s="152"/>
      <c r="AG457" s="144"/>
      <c r="AH457" s="144"/>
      <c r="AI457" s="144"/>
      <c r="AJ457" s="144"/>
      <c r="AK457" s="144"/>
    </row>
    <row r="458" ht="22.5" customHeight="1">
      <c r="A458" s="184"/>
      <c r="B458" s="184"/>
      <c r="C458" s="184"/>
      <c r="D458" s="184"/>
      <c r="E458" s="184"/>
      <c r="F458" s="184"/>
      <c r="G458" s="184"/>
      <c r="H458" s="184"/>
      <c r="I458" s="184"/>
      <c r="J458" s="184"/>
      <c r="K458" s="184"/>
      <c r="L458" s="184"/>
      <c r="M458" s="184"/>
      <c r="N458" s="184"/>
      <c r="O458" s="184"/>
      <c r="P458" s="184"/>
      <c r="Q458" s="184"/>
      <c r="R458" s="184"/>
      <c r="S458" s="184"/>
      <c r="T458" s="145"/>
      <c r="U458" s="151"/>
      <c r="V458" s="145"/>
      <c r="W458" s="145"/>
      <c r="X458" s="145"/>
      <c r="Y458" s="145"/>
      <c r="Z458" s="145"/>
      <c r="AA458" s="145"/>
      <c r="AB458" s="145"/>
      <c r="AC458" s="145"/>
      <c r="AD458" s="145"/>
      <c r="AE458" s="145"/>
      <c r="AF458" s="145"/>
      <c r="AG458" s="144"/>
      <c r="AH458" s="144"/>
      <c r="AI458" s="144"/>
      <c r="AJ458" s="144"/>
      <c r="AK458" s="144"/>
    </row>
    <row r="459" ht="22.5" customHeight="1">
      <c r="A459" s="183"/>
      <c r="B459" s="183"/>
      <c r="C459" s="183"/>
      <c r="D459" s="183"/>
      <c r="E459" s="183"/>
      <c r="F459" s="183"/>
      <c r="G459" s="183"/>
      <c r="H459" s="183"/>
      <c r="I459" s="183"/>
      <c r="J459" s="183"/>
      <c r="K459" s="183"/>
      <c r="L459" s="183"/>
      <c r="M459" s="183"/>
      <c r="N459" s="183"/>
      <c r="O459" s="183"/>
      <c r="P459" s="183"/>
      <c r="Q459" s="183"/>
      <c r="R459" s="183"/>
      <c r="S459" s="183"/>
      <c r="T459" s="152"/>
      <c r="U459" s="155"/>
      <c r="V459" s="152"/>
      <c r="W459" s="152"/>
      <c r="X459" s="152"/>
      <c r="Y459" s="152"/>
      <c r="Z459" s="152"/>
      <c r="AA459" s="152"/>
      <c r="AB459" s="152"/>
      <c r="AC459" s="152"/>
      <c r="AD459" s="152"/>
      <c r="AE459" s="152"/>
      <c r="AF459" s="152"/>
      <c r="AG459" s="144"/>
      <c r="AH459" s="144"/>
      <c r="AI459" s="144"/>
      <c r="AJ459" s="144"/>
      <c r="AK459" s="144"/>
    </row>
    <row r="460" ht="22.5" customHeight="1">
      <c r="A460" s="184"/>
      <c r="B460" s="184"/>
      <c r="C460" s="184"/>
      <c r="D460" s="184"/>
      <c r="E460" s="184"/>
      <c r="F460" s="184"/>
      <c r="G460" s="184"/>
      <c r="H460" s="184"/>
      <c r="I460" s="184"/>
      <c r="J460" s="184"/>
      <c r="K460" s="184"/>
      <c r="L460" s="184"/>
      <c r="M460" s="184"/>
      <c r="N460" s="184"/>
      <c r="O460" s="184"/>
      <c r="P460" s="184"/>
      <c r="Q460" s="184"/>
      <c r="R460" s="184"/>
      <c r="S460" s="184"/>
      <c r="T460" s="145"/>
      <c r="U460" s="151"/>
      <c r="V460" s="145"/>
      <c r="W460" s="145"/>
      <c r="X460" s="145"/>
      <c r="Y460" s="145"/>
      <c r="Z460" s="145"/>
      <c r="AA460" s="145"/>
      <c r="AB460" s="145"/>
      <c r="AC460" s="145"/>
      <c r="AD460" s="145"/>
      <c r="AE460" s="145"/>
      <c r="AF460" s="145"/>
      <c r="AG460" s="144"/>
      <c r="AH460" s="144"/>
      <c r="AI460" s="144"/>
      <c r="AJ460" s="144"/>
      <c r="AK460" s="144"/>
    </row>
    <row r="461" ht="22.5" customHeight="1">
      <c r="A461" s="183"/>
      <c r="B461" s="183"/>
      <c r="C461" s="183"/>
      <c r="D461" s="183"/>
      <c r="E461" s="183"/>
      <c r="F461" s="183"/>
      <c r="G461" s="183"/>
      <c r="H461" s="183"/>
      <c r="I461" s="183"/>
      <c r="J461" s="183"/>
      <c r="K461" s="183"/>
      <c r="L461" s="183"/>
      <c r="M461" s="183"/>
      <c r="N461" s="183"/>
      <c r="O461" s="183"/>
      <c r="P461" s="183"/>
      <c r="Q461" s="183"/>
      <c r="R461" s="183"/>
      <c r="S461" s="183"/>
      <c r="T461" s="152"/>
      <c r="U461" s="155"/>
      <c r="V461" s="152"/>
      <c r="W461" s="152"/>
      <c r="X461" s="152"/>
      <c r="Y461" s="152"/>
      <c r="Z461" s="152"/>
      <c r="AA461" s="152"/>
      <c r="AB461" s="152"/>
      <c r="AC461" s="152"/>
      <c r="AD461" s="152"/>
      <c r="AE461" s="152"/>
      <c r="AF461" s="152"/>
      <c r="AG461" s="144"/>
      <c r="AH461" s="144"/>
      <c r="AI461" s="144"/>
      <c r="AJ461" s="144"/>
      <c r="AK461" s="144"/>
    </row>
    <row r="462" ht="22.5" customHeight="1">
      <c r="A462" s="184"/>
      <c r="B462" s="184"/>
      <c r="C462" s="184"/>
      <c r="D462" s="184"/>
      <c r="E462" s="184"/>
      <c r="F462" s="184"/>
      <c r="G462" s="184"/>
      <c r="H462" s="184"/>
      <c r="I462" s="184"/>
      <c r="J462" s="184"/>
      <c r="K462" s="184"/>
      <c r="L462" s="184"/>
      <c r="M462" s="184"/>
      <c r="N462" s="184"/>
      <c r="O462" s="184"/>
      <c r="P462" s="184"/>
      <c r="Q462" s="184"/>
      <c r="R462" s="184"/>
      <c r="S462" s="184"/>
      <c r="T462" s="145"/>
      <c r="U462" s="151"/>
      <c r="V462" s="145"/>
      <c r="W462" s="145"/>
      <c r="X462" s="145"/>
      <c r="Y462" s="145"/>
      <c r="Z462" s="145"/>
      <c r="AA462" s="145"/>
      <c r="AB462" s="145"/>
      <c r="AC462" s="145"/>
      <c r="AD462" s="145"/>
      <c r="AE462" s="145"/>
      <c r="AF462" s="145"/>
      <c r="AG462" s="144"/>
      <c r="AH462" s="144"/>
      <c r="AI462" s="144"/>
      <c r="AJ462" s="144"/>
      <c r="AK462" s="144"/>
    </row>
    <row r="463" ht="22.5" customHeight="1">
      <c r="A463" s="183"/>
      <c r="B463" s="183"/>
      <c r="C463" s="183"/>
      <c r="D463" s="183"/>
      <c r="E463" s="183"/>
      <c r="F463" s="183"/>
      <c r="G463" s="183"/>
      <c r="H463" s="183"/>
      <c r="I463" s="183"/>
      <c r="J463" s="183"/>
      <c r="K463" s="183"/>
      <c r="L463" s="183"/>
      <c r="M463" s="183"/>
      <c r="N463" s="183"/>
      <c r="O463" s="183"/>
      <c r="P463" s="183"/>
      <c r="Q463" s="183"/>
      <c r="R463" s="183"/>
      <c r="S463" s="183"/>
      <c r="T463" s="152"/>
      <c r="U463" s="155"/>
      <c r="V463" s="152"/>
      <c r="W463" s="152"/>
      <c r="X463" s="152"/>
      <c r="Y463" s="152"/>
      <c r="Z463" s="152"/>
      <c r="AA463" s="152"/>
      <c r="AB463" s="152"/>
      <c r="AC463" s="152"/>
      <c r="AD463" s="152"/>
      <c r="AE463" s="152"/>
      <c r="AF463" s="152"/>
      <c r="AG463" s="144"/>
      <c r="AH463" s="144"/>
      <c r="AI463" s="144"/>
      <c r="AJ463" s="144"/>
      <c r="AK463" s="144"/>
    </row>
    <row r="464" ht="22.5" customHeight="1">
      <c r="A464" s="184"/>
      <c r="B464" s="184"/>
      <c r="C464" s="184"/>
      <c r="D464" s="184"/>
      <c r="E464" s="184"/>
      <c r="F464" s="184"/>
      <c r="G464" s="184"/>
      <c r="H464" s="184"/>
      <c r="I464" s="184"/>
      <c r="J464" s="184"/>
      <c r="K464" s="184"/>
      <c r="L464" s="184"/>
      <c r="M464" s="184"/>
      <c r="N464" s="184"/>
      <c r="O464" s="184"/>
      <c r="P464" s="184"/>
      <c r="Q464" s="184"/>
      <c r="R464" s="184"/>
      <c r="S464" s="184"/>
      <c r="T464" s="145"/>
      <c r="U464" s="151"/>
      <c r="V464" s="145"/>
      <c r="W464" s="145"/>
      <c r="X464" s="145"/>
      <c r="Y464" s="145"/>
      <c r="Z464" s="145"/>
      <c r="AA464" s="145"/>
      <c r="AB464" s="145"/>
      <c r="AC464" s="145"/>
      <c r="AD464" s="145"/>
      <c r="AE464" s="145"/>
      <c r="AF464" s="145"/>
      <c r="AG464" s="144"/>
      <c r="AH464" s="144"/>
      <c r="AI464" s="144"/>
      <c r="AJ464" s="144"/>
      <c r="AK464" s="144"/>
    </row>
    <row r="465" ht="22.5" customHeight="1">
      <c r="A465" s="183"/>
      <c r="B465" s="183"/>
      <c r="C465" s="183"/>
      <c r="D465" s="183"/>
      <c r="E465" s="183"/>
      <c r="F465" s="183"/>
      <c r="G465" s="183"/>
      <c r="H465" s="183"/>
      <c r="I465" s="183"/>
      <c r="J465" s="183"/>
      <c r="K465" s="183"/>
      <c r="L465" s="183"/>
      <c r="M465" s="183"/>
      <c r="N465" s="183"/>
      <c r="O465" s="183"/>
      <c r="P465" s="183"/>
      <c r="Q465" s="183"/>
      <c r="R465" s="183"/>
      <c r="S465" s="183"/>
      <c r="T465" s="152"/>
      <c r="U465" s="155"/>
      <c r="V465" s="152"/>
      <c r="W465" s="152"/>
      <c r="X465" s="152"/>
      <c r="Y465" s="152"/>
      <c r="Z465" s="152"/>
      <c r="AA465" s="152"/>
      <c r="AB465" s="152"/>
      <c r="AC465" s="152"/>
      <c r="AD465" s="152"/>
      <c r="AE465" s="152"/>
      <c r="AF465" s="152"/>
      <c r="AG465" s="144"/>
      <c r="AH465" s="144"/>
      <c r="AI465" s="144"/>
      <c r="AJ465" s="144"/>
      <c r="AK465" s="144"/>
    </row>
    <row r="466" ht="22.5" customHeight="1">
      <c r="A466" s="184"/>
      <c r="B466" s="184"/>
      <c r="C466" s="184"/>
      <c r="D466" s="184"/>
      <c r="E466" s="184"/>
      <c r="F466" s="184"/>
      <c r="G466" s="184"/>
      <c r="H466" s="184"/>
      <c r="I466" s="184"/>
      <c r="J466" s="184"/>
      <c r="K466" s="184"/>
      <c r="L466" s="184"/>
      <c r="M466" s="184"/>
      <c r="N466" s="184"/>
      <c r="O466" s="184"/>
      <c r="P466" s="184"/>
      <c r="Q466" s="184"/>
      <c r="R466" s="184"/>
      <c r="S466" s="184"/>
      <c r="T466" s="145"/>
      <c r="U466" s="151"/>
      <c r="V466" s="145"/>
      <c r="W466" s="145"/>
      <c r="X466" s="145"/>
      <c r="Y466" s="145"/>
      <c r="Z466" s="145"/>
      <c r="AA466" s="145"/>
      <c r="AB466" s="145"/>
      <c r="AC466" s="145"/>
      <c r="AD466" s="145"/>
      <c r="AE466" s="145"/>
      <c r="AF466" s="145"/>
      <c r="AG466" s="144"/>
      <c r="AH466" s="144"/>
      <c r="AI466" s="144"/>
      <c r="AJ466" s="144"/>
      <c r="AK466" s="144"/>
    </row>
    <row r="467" ht="22.5" customHeight="1">
      <c r="A467" s="183"/>
      <c r="B467" s="183"/>
      <c r="C467" s="183"/>
      <c r="D467" s="183"/>
      <c r="E467" s="183"/>
      <c r="F467" s="183"/>
      <c r="G467" s="183"/>
      <c r="H467" s="183"/>
      <c r="I467" s="183"/>
      <c r="J467" s="183"/>
      <c r="K467" s="183"/>
      <c r="L467" s="183"/>
      <c r="M467" s="183"/>
      <c r="N467" s="183"/>
      <c r="O467" s="183"/>
      <c r="P467" s="183"/>
      <c r="Q467" s="183"/>
      <c r="R467" s="183"/>
      <c r="S467" s="183"/>
      <c r="T467" s="152"/>
      <c r="U467" s="155"/>
      <c r="V467" s="152"/>
      <c r="W467" s="152"/>
      <c r="X467" s="152"/>
      <c r="Y467" s="152"/>
      <c r="Z467" s="152"/>
      <c r="AA467" s="152"/>
      <c r="AB467" s="152"/>
      <c r="AC467" s="152"/>
      <c r="AD467" s="152"/>
      <c r="AE467" s="152"/>
      <c r="AF467" s="152"/>
      <c r="AG467" s="144"/>
      <c r="AH467" s="144"/>
      <c r="AI467" s="144"/>
      <c r="AJ467" s="144"/>
      <c r="AK467" s="144"/>
    </row>
    <row r="468" ht="22.5" customHeight="1">
      <c r="A468" s="184"/>
      <c r="B468" s="184"/>
      <c r="C468" s="184"/>
      <c r="D468" s="184"/>
      <c r="E468" s="184"/>
      <c r="F468" s="184"/>
      <c r="G468" s="184"/>
      <c r="H468" s="184"/>
      <c r="I468" s="184"/>
      <c r="J468" s="184"/>
      <c r="K468" s="184"/>
      <c r="L468" s="184"/>
      <c r="M468" s="184"/>
      <c r="N468" s="184"/>
      <c r="O468" s="184"/>
      <c r="P468" s="184"/>
      <c r="Q468" s="184"/>
      <c r="R468" s="184"/>
      <c r="S468" s="184"/>
      <c r="T468" s="145"/>
      <c r="U468" s="151"/>
      <c r="V468" s="145"/>
      <c r="W468" s="145"/>
      <c r="X468" s="145"/>
      <c r="Y468" s="145"/>
      <c r="Z468" s="145"/>
      <c r="AA468" s="145"/>
      <c r="AB468" s="145"/>
      <c r="AC468" s="145"/>
      <c r="AD468" s="145"/>
      <c r="AE468" s="145"/>
      <c r="AF468" s="145"/>
      <c r="AG468" s="144"/>
      <c r="AH468" s="144"/>
      <c r="AI468" s="144"/>
      <c r="AJ468" s="144"/>
      <c r="AK468" s="144"/>
    </row>
    <row r="469" ht="22.5" customHeight="1">
      <c r="A469" s="183"/>
      <c r="B469" s="183"/>
      <c r="C469" s="183"/>
      <c r="D469" s="183"/>
      <c r="E469" s="183"/>
      <c r="F469" s="183"/>
      <c r="G469" s="183"/>
      <c r="H469" s="183"/>
      <c r="I469" s="183"/>
      <c r="J469" s="183"/>
      <c r="K469" s="183"/>
      <c r="L469" s="183"/>
      <c r="M469" s="183"/>
      <c r="N469" s="183"/>
      <c r="O469" s="183"/>
      <c r="P469" s="183"/>
      <c r="Q469" s="183"/>
      <c r="R469" s="183"/>
      <c r="S469" s="183"/>
      <c r="T469" s="152"/>
      <c r="U469" s="155"/>
      <c r="V469" s="152"/>
      <c r="W469" s="152"/>
      <c r="X469" s="152"/>
      <c r="Y469" s="152"/>
      <c r="Z469" s="152"/>
      <c r="AA469" s="152"/>
      <c r="AB469" s="152"/>
      <c r="AC469" s="152"/>
      <c r="AD469" s="152"/>
      <c r="AE469" s="152"/>
      <c r="AF469" s="152"/>
      <c r="AG469" s="144"/>
      <c r="AH469" s="144"/>
      <c r="AI469" s="144"/>
      <c r="AJ469" s="144"/>
      <c r="AK469" s="144"/>
    </row>
    <row r="470" ht="22.5" customHeight="1">
      <c r="A470" s="184"/>
      <c r="B470" s="184"/>
      <c r="C470" s="184"/>
      <c r="D470" s="184"/>
      <c r="E470" s="184"/>
      <c r="F470" s="184"/>
      <c r="G470" s="184"/>
      <c r="H470" s="184"/>
      <c r="I470" s="184"/>
      <c r="J470" s="184"/>
      <c r="K470" s="184"/>
      <c r="L470" s="184"/>
      <c r="M470" s="184"/>
      <c r="N470" s="184"/>
      <c r="O470" s="184"/>
      <c r="P470" s="184"/>
      <c r="Q470" s="184"/>
      <c r="R470" s="184"/>
      <c r="S470" s="184"/>
      <c r="T470" s="145"/>
      <c r="U470" s="151"/>
      <c r="V470" s="145"/>
      <c r="W470" s="145"/>
      <c r="X470" s="145"/>
      <c r="Y470" s="145"/>
      <c r="Z470" s="145"/>
      <c r="AA470" s="145"/>
      <c r="AB470" s="145"/>
      <c r="AC470" s="145"/>
      <c r="AD470" s="145"/>
      <c r="AE470" s="145"/>
      <c r="AF470" s="145"/>
      <c r="AG470" s="144"/>
      <c r="AH470" s="144"/>
      <c r="AI470" s="144"/>
      <c r="AJ470" s="144"/>
      <c r="AK470" s="144"/>
    </row>
    <row r="471" ht="22.5" customHeight="1">
      <c r="A471" s="183"/>
      <c r="B471" s="183"/>
      <c r="C471" s="183"/>
      <c r="D471" s="183"/>
      <c r="E471" s="183"/>
      <c r="F471" s="183"/>
      <c r="G471" s="183"/>
      <c r="H471" s="183"/>
      <c r="I471" s="183"/>
      <c r="J471" s="183"/>
      <c r="K471" s="183"/>
      <c r="L471" s="183"/>
      <c r="M471" s="183"/>
      <c r="N471" s="183"/>
      <c r="O471" s="183"/>
      <c r="P471" s="183"/>
      <c r="Q471" s="183"/>
      <c r="R471" s="183"/>
      <c r="S471" s="183"/>
      <c r="T471" s="152"/>
      <c r="U471" s="155"/>
      <c r="V471" s="152"/>
      <c r="W471" s="152"/>
      <c r="X471" s="152"/>
      <c r="Y471" s="152"/>
      <c r="Z471" s="152"/>
      <c r="AA471" s="152"/>
      <c r="AB471" s="152"/>
      <c r="AC471" s="152"/>
      <c r="AD471" s="152"/>
      <c r="AE471" s="152"/>
      <c r="AF471" s="152"/>
      <c r="AG471" s="144"/>
      <c r="AH471" s="144"/>
      <c r="AI471" s="144"/>
      <c r="AJ471" s="144"/>
      <c r="AK471" s="144"/>
    </row>
    <row r="472" ht="22.5" customHeight="1">
      <c r="A472" s="184"/>
      <c r="B472" s="184"/>
      <c r="C472" s="184"/>
      <c r="D472" s="184"/>
      <c r="E472" s="184"/>
      <c r="F472" s="184"/>
      <c r="G472" s="184"/>
      <c r="H472" s="184"/>
      <c r="I472" s="184"/>
      <c r="J472" s="184"/>
      <c r="K472" s="184"/>
      <c r="L472" s="184"/>
      <c r="M472" s="184"/>
      <c r="N472" s="184"/>
      <c r="O472" s="184"/>
      <c r="P472" s="184"/>
      <c r="Q472" s="184"/>
      <c r="R472" s="184"/>
      <c r="S472" s="184"/>
      <c r="T472" s="145"/>
      <c r="U472" s="151"/>
      <c r="V472" s="145"/>
      <c r="W472" s="145"/>
      <c r="X472" s="145"/>
      <c r="Y472" s="145"/>
      <c r="Z472" s="145"/>
      <c r="AA472" s="145"/>
      <c r="AB472" s="145"/>
      <c r="AC472" s="145"/>
      <c r="AD472" s="145"/>
      <c r="AE472" s="145"/>
      <c r="AF472" s="145"/>
      <c r="AG472" s="144"/>
      <c r="AH472" s="144"/>
      <c r="AI472" s="144"/>
      <c r="AJ472" s="144"/>
      <c r="AK472" s="144"/>
    </row>
    <row r="473" ht="22.5" customHeight="1">
      <c r="A473" s="183"/>
      <c r="B473" s="183"/>
      <c r="C473" s="183"/>
      <c r="D473" s="183"/>
      <c r="E473" s="183"/>
      <c r="F473" s="183"/>
      <c r="G473" s="183"/>
      <c r="H473" s="183"/>
      <c r="I473" s="183"/>
      <c r="J473" s="183"/>
      <c r="K473" s="183"/>
      <c r="L473" s="183"/>
      <c r="M473" s="183"/>
      <c r="N473" s="183"/>
      <c r="O473" s="183"/>
      <c r="P473" s="183"/>
      <c r="Q473" s="183"/>
      <c r="R473" s="183"/>
      <c r="S473" s="183"/>
      <c r="T473" s="152"/>
      <c r="U473" s="155"/>
      <c r="V473" s="152"/>
      <c r="W473" s="152"/>
      <c r="X473" s="152"/>
      <c r="Y473" s="152"/>
      <c r="Z473" s="152"/>
      <c r="AA473" s="152"/>
      <c r="AB473" s="152"/>
      <c r="AC473" s="152"/>
      <c r="AD473" s="152"/>
      <c r="AE473" s="152"/>
      <c r="AF473" s="152"/>
      <c r="AG473" s="144"/>
      <c r="AH473" s="144"/>
      <c r="AI473" s="144"/>
      <c r="AJ473" s="144"/>
      <c r="AK473" s="144"/>
    </row>
    <row r="474" ht="22.5" customHeight="1">
      <c r="A474" s="184"/>
      <c r="B474" s="184"/>
      <c r="C474" s="184"/>
      <c r="D474" s="184"/>
      <c r="E474" s="184"/>
      <c r="F474" s="184"/>
      <c r="G474" s="184"/>
      <c r="H474" s="184"/>
      <c r="I474" s="184"/>
      <c r="J474" s="184"/>
      <c r="K474" s="184"/>
      <c r="L474" s="184"/>
      <c r="M474" s="184"/>
      <c r="N474" s="184"/>
      <c r="O474" s="184"/>
      <c r="P474" s="184"/>
      <c r="Q474" s="184"/>
      <c r="R474" s="184"/>
      <c r="S474" s="184"/>
      <c r="T474" s="145"/>
      <c r="U474" s="151"/>
      <c r="V474" s="145"/>
      <c r="W474" s="145"/>
      <c r="X474" s="145"/>
      <c r="Y474" s="145"/>
      <c r="Z474" s="145"/>
      <c r="AA474" s="145"/>
      <c r="AB474" s="145"/>
      <c r="AC474" s="145"/>
      <c r="AD474" s="145"/>
      <c r="AE474" s="145"/>
      <c r="AF474" s="145"/>
      <c r="AG474" s="144"/>
      <c r="AH474" s="144"/>
      <c r="AI474" s="144"/>
      <c r="AJ474" s="144"/>
      <c r="AK474" s="144"/>
    </row>
    <row r="475" ht="22.5" customHeight="1">
      <c r="A475" s="183"/>
      <c r="B475" s="183"/>
      <c r="C475" s="183"/>
      <c r="D475" s="183"/>
      <c r="E475" s="183"/>
      <c r="F475" s="183"/>
      <c r="G475" s="183"/>
      <c r="H475" s="183"/>
      <c r="I475" s="183"/>
      <c r="J475" s="183"/>
      <c r="K475" s="183"/>
      <c r="L475" s="183"/>
      <c r="M475" s="183"/>
      <c r="N475" s="183"/>
      <c r="O475" s="183"/>
      <c r="P475" s="183"/>
      <c r="Q475" s="183"/>
      <c r="R475" s="183"/>
      <c r="S475" s="183"/>
      <c r="T475" s="152"/>
      <c r="U475" s="155"/>
      <c r="V475" s="152"/>
      <c r="W475" s="152"/>
      <c r="X475" s="152"/>
      <c r="Y475" s="152"/>
      <c r="Z475" s="152"/>
      <c r="AA475" s="152"/>
      <c r="AB475" s="152"/>
      <c r="AC475" s="152"/>
      <c r="AD475" s="152"/>
      <c r="AE475" s="152"/>
      <c r="AF475" s="152"/>
      <c r="AG475" s="144"/>
      <c r="AH475" s="144"/>
      <c r="AI475" s="144"/>
      <c r="AJ475" s="144"/>
      <c r="AK475" s="144"/>
    </row>
    <row r="476" ht="22.5" customHeight="1">
      <c r="A476" s="184"/>
      <c r="B476" s="184"/>
      <c r="C476" s="184"/>
      <c r="D476" s="184"/>
      <c r="E476" s="184"/>
      <c r="F476" s="184"/>
      <c r="G476" s="184"/>
      <c r="H476" s="184"/>
      <c r="I476" s="184"/>
      <c r="J476" s="184"/>
      <c r="K476" s="184"/>
      <c r="L476" s="184"/>
      <c r="M476" s="184"/>
      <c r="N476" s="184"/>
      <c r="O476" s="184"/>
      <c r="P476" s="184"/>
      <c r="Q476" s="184"/>
      <c r="R476" s="184"/>
      <c r="S476" s="184"/>
      <c r="T476" s="145"/>
      <c r="U476" s="151"/>
      <c r="V476" s="145"/>
      <c r="W476" s="145"/>
      <c r="X476" s="145"/>
      <c r="Y476" s="145"/>
      <c r="Z476" s="145"/>
      <c r="AA476" s="145"/>
      <c r="AB476" s="145"/>
      <c r="AC476" s="145"/>
      <c r="AD476" s="145"/>
      <c r="AE476" s="145"/>
      <c r="AF476" s="145"/>
      <c r="AG476" s="144"/>
      <c r="AH476" s="144"/>
      <c r="AI476" s="144"/>
      <c r="AJ476" s="144"/>
      <c r="AK476" s="144"/>
    </row>
    <row r="477" ht="22.5" customHeight="1">
      <c r="A477" s="183"/>
      <c r="B477" s="183"/>
      <c r="C477" s="183"/>
      <c r="D477" s="183"/>
      <c r="E477" s="183"/>
      <c r="F477" s="183"/>
      <c r="G477" s="183"/>
      <c r="H477" s="183"/>
      <c r="I477" s="183"/>
      <c r="J477" s="183"/>
      <c r="K477" s="183"/>
      <c r="L477" s="183"/>
      <c r="M477" s="183"/>
      <c r="N477" s="183"/>
      <c r="O477" s="183"/>
      <c r="P477" s="183"/>
      <c r="Q477" s="183"/>
      <c r="R477" s="183"/>
      <c r="S477" s="183"/>
      <c r="T477" s="152"/>
      <c r="U477" s="155"/>
      <c r="V477" s="152"/>
      <c r="W477" s="152"/>
      <c r="X477" s="152"/>
      <c r="Y477" s="152"/>
      <c r="Z477" s="152"/>
      <c r="AA477" s="152"/>
      <c r="AB477" s="152"/>
      <c r="AC477" s="152"/>
      <c r="AD477" s="152"/>
      <c r="AE477" s="152"/>
      <c r="AF477" s="152"/>
      <c r="AG477" s="144"/>
      <c r="AH477" s="144"/>
      <c r="AI477" s="144"/>
      <c r="AJ477" s="144"/>
      <c r="AK477" s="144"/>
    </row>
    <row r="478" ht="22.5" customHeight="1">
      <c r="A478" s="184"/>
      <c r="B478" s="184"/>
      <c r="C478" s="184"/>
      <c r="D478" s="184"/>
      <c r="E478" s="184"/>
      <c r="F478" s="184"/>
      <c r="G478" s="184"/>
      <c r="H478" s="184"/>
      <c r="I478" s="184"/>
      <c r="J478" s="184"/>
      <c r="K478" s="184"/>
      <c r="L478" s="184"/>
      <c r="M478" s="184"/>
      <c r="N478" s="184"/>
      <c r="O478" s="184"/>
      <c r="P478" s="184"/>
      <c r="Q478" s="184"/>
      <c r="R478" s="184"/>
      <c r="S478" s="184"/>
      <c r="T478" s="145"/>
      <c r="U478" s="151"/>
      <c r="V478" s="145"/>
      <c r="W478" s="145"/>
      <c r="X478" s="145"/>
      <c r="Y478" s="145"/>
      <c r="Z478" s="145"/>
      <c r="AA478" s="145"/>
      <c r="AB478" s="145"/>
      <c r="AC478" s="145"/>
      <c r="AD478" s="145"/>
      <c r="AE478" s="145"/>
      <c r="AF478" s="145"/>
      <c r="AG478" s="144"/>
      <c r="AH478" s="144"/>
      <c r="AI478" s="144"/>
      <c r="AJ478" s="144"/>
      <c r="AK478" s="144"/>
    </row>
    <row r="479" ht="22.5" customHeight="1">
      <c r="A479" s="183"/>
      <c r="B479" s="183"/>
      <c r="C479" s="183"/>
      <c r="D479" s="183"/>
      <c r="E479" s="183"/>
      <c r="F479" s="183"/>
      <c r="G479" s="183"/>
      <c r="H479" s="183"/>
      <c r="I479" s="183"/>
      <c r="J479" s="183"/>
      <c r="K479" s="183"/>
      <c r="L479" s="183"/>
      <c r="M479" s="183"/>
      <c r="N479" s="183"/>
      <c r="O479" s="183"/>
      <c r="P479" s="183"/>
      <c r="Q479" s="183"/>
      <c r="R479" s="183"/>
      <c r="S479" s="183"/>
      <c r="T479" s="152"/>
      <c r="U479" s="155"/>
      <c r="V479" s="152"/>
      <c r="W479" s="152"/>
      <c r="X479" s="152"/>
      <c r="Y479" s="152"/>
      <c r="Z479" s="152"/>
      <c r="AA479" s="152"/>
      <c r="AB479" s="152"/>
      <c r="AC479" s="152"/>
      <c r="AD479" s="152"/>
      <c r="AE479" s="152"/>
      <c r="AF479" s="152"/>
      <c r="AG479" s="144"/>
      <c r="AH479" s="144"/>
      <c r="AI479" s="144"/>
      <c r="AJ479" s="144"/>
      <c r="AK479" s="144"/>
    </row>
    <row r="480" ht="22.5" customHeight="1">
      <c r="A480" s="184"/>
      <c r="B480" s="184"/>
      <c r="C480" s="184"/>
      <c r="D480" s="184"/>
      <c r="E480" s="184"/>
      <c r="F480" s="184"/>
      <c r="G480" s="184"/>
      <c r="H480" s="184"/>
      <c r="I480" s="184"/>
      <c r="J480" s="184"/>
      <c r="K480" s="184"/>
      <c r="L480" s="184"/>
      <c r="M480" s="184"/>
      <c r="N480" s="184"/>
      <c r="O480" s="184"/>
      <c r="P480" s="184"/>
      <c r="Q480" s="184"/>
      <c r="R480" s="184"/>
      <c r="S480" s="184"/>
      <c r="T480" s="145"/>
      <c r="U480" s="151"/>
      <c r="V480" s="145"/>
      <c r="W480" s="145"/>
      <c r="X480" s="145"/>
      <c r="Y480" s="145"/>
      <c r="Z480" s="145"/>
      <c r="AA480" s="145"/>
      <c r="AB480" s="145"/>
      <c r="AC480" s="145"/>
      <c r="AD480" s="145"/>
      <c r="AE480" s="145"/>
      <c r="AF480" s="145"/>
      <c r="AG480" s="144"/>
      <c r="AH480" s="144"/>
      <c r="AI480" s="144"/>
      <c r="AJ480" s="144"/>
      <c r="AK480" s="144"/>
    </row>
    <row r="481" ht="22.5" customHeight="1">
      <c r="A481" s="183"/>
      <c r="B481" s="183"/>
      <c r="C481" s="183"/>
      <c r="D481" s="183"/>
      <c r="E481" s="183"/>
      <c r="F481" s="183"/>
      <c r="G481" s="183"/>
      <c r="H481" s="183"/>
      <c r="I481" s="183"/>
      <c r="J481" s="183"/>
      <c r="K481" s="183"/>
      <c r="L481" s="183"/>
      <c r="M481" s="183"/>
      <c r="N481" s="183"/>
      <c r="O481" s="183"/>
      <c r="P481" s="183"/>
      <c r="Q481" s="183"/>
      <c r="R481" s="183"/>
      <c r="S481" s="183"/>
      <c r="T481" s="152"/>
      <c r="U481" s="155"/>
      <c r="V481" s="152"/>
      <c r="W481" s="152"/>
      <c r="X481" s="152"/>
      <c r="Y481" s="152"/>
      <c r="Z481" s="152"/>
      <c r="AA481" s="152"/>
      <c r="AB481" s="152"/>
      <c r="AC481" s="152"/>
      <c r="AD481" s="152"/>
      <c r="AE481" s="152"/>
      <c r="AF481" s="152"/>
      <c r="AG481" s="144"/>
      <c r="AH481" s="144"/>
      <c r="AI481" s="144"/>
      <c r="AJ481" s="144"/>
      <c r="AK481" s="144"/>
    </row>
    <row r="482" ht="22.5" customHeight="1">
      <c r="A482" s="184"/>
      <c r="B482" s="184"/>
      <c r="C482" s="184"/>
      <c r="D482" s="184"/>
      <c r="E482" s="184"/>
      <c r="F482" s="184"/>
      <c r="G482" s="184"/>
      <c r="H482" s="184"/>
      <c r="I482" s="184"/>
      <c r="J482" s="184"/>
      <c r="K482" s="184"/>
      <c r="L482" s="184"/>
      <c r="M482" s="184"/>
      <c r="N482" s="184"/>
      <c r="O482" s="184"/>
      <c r="P482" s="184"/>
      <c r="Q482" s="184"/>
      <c r="R482" s="184"/>
      <c r="S482" s="184"/>
      <c r="T482" s="145"/>
      <c r="U482" s="151"/>
      <c r="V482" s="145"/>
      <c r="W482" s="145"/>
      <c r="X482" s="145"/>
      <c r="Y482" s="145"/>
      <c r="Z482" s="145"/>
      <c r="AA482" s="145"/>
      <c r="AB482" s="145"/>
      <c r="AC482" s="145"/>
      <c r="AD482" s="145"/>
      <c r="AE482" s="145"/>
      <c r="AF482" s="145"/>
      <c r="AG482" s="144"/>
      <c r="AH482" s="144"/>
      <c r="AI482" s="144"/>
      <c r="AJ482" s="144"/>
      <c r="AK482" s="144"/>
    </row>
    <row r="483" ht="22.5" customHeight="1">
      <c r="A483" s="183"/>
      <c r="B483" s="183"/>
      <c r="C483" s="183"/>
      <c r="D483" s="183"/>
      <c r="E483" s="183"/>
      <c r="F483" s="183"/>
      <c r="G483" s="183"/>
      <c r="H483" s="183"/>
      <c r="I483" s="183"/>
      <c r="J483" s="183"/>
      <c r="K483" s="183"/>
      <c r="L483" s="183"/>
      <c r="M483" s="183"/>
      <c r="N483" s="183"/>
      <c r="O483" s="183"/>
      <c r="P483" s="183"/>
      <c r="Q483" s="183"/>
      <c r="R483" s="183"/>
      <c r="S483" s="183"/>
      <c r="T483" s="152"/>
      <c r="U483" s="155"/>
      <c r="V483" s="152"/>
      <c r="W483" s="152"/>
      <c r="X483" s="152"/>
      <c r="Y483" s="152"/>
      <c r="Z483" s="152"/>
      <c r="AA483" s="152"/>
      <c r="AB483" s="152"/>
      <c r="AC483" s="152"/>
      <c r="AD483" s="152"/>
      <c r="AE483" s="152"/>
      <c r="AF483" s="152"/>
      <c r="AG483" s="144"/>
      <c r="AH483" s="144"/>
      <c r="AI483" s="144"/>
      <c r="AJ483" s="144"/>
      <c r="AK483" s="144"/>
    </row>
    <row r="484" ht="22.5" customHeight="1">
      <c r="A484" s="184"/>
      <c r="B484" s="184"/>
      <c r="C484" s="184"/>
      <c r="D484" s="184"/>
      <c r="E484" s="184"/>
      <c r="F484" s="184"/>
      <c r="G484" s="184"/>
      <c r="H484" s="184"/>
      <c r="I484" s="184"/>
      <c r="J484" s="184"/>
      <c r="K484" s="184"/>
      <c r="L484" s="184"/>
      <c r="M484" s="184"/>
      <c r="N484" s="184"/>
      <c r="O484" s="184"/>
      <c r="P484" s="184"/>
      <c r="Q484" s="184"/>
      <c r="R484" s="184"/>
      <c r="S484" s="184"/>
      <c r="T484" s="145"/>
      <c r="U484" s="151"/>
      <c r="V484" s="145"/>
      <c r="W484" s="145"/>
      <c r="X484" s="145"/>
      <c r="Y484" s="145"/>
      <c r="Z484" s="145"/>
      <c r="AA484" s="145"/>
      <c r="AB484" s="145"/>
      <c r="AC484" s="145"/>
      <c r="AD484" s="145"/>
      <c r="AE484" s="145"/>
      <c r="AF484" s="145"/>
      <c r="AG484" s="144"/>
      <c r="AH484" s="144"/>
      <c r="AI484" s="144"/>
      <c r="AJ484" s="144"/>
      <c r="AK484" s="144"/>
    </row>
    <row r="485" ht="22.5" customHeight="1">
      <c r="A485" s="183"/>
      <c r="B485" s="183"/>
      <c r="C485" s="183"/>
      <c r="D485" s="183"/>
      <c r="E485" s="183"/>
      <c r="F485" s="183"/>
      <c r="G485" s="183"/>
      <c r="H485" s="183"/>
      <c r="I485" s="183"/>
      <c r="J485" s="183"/>
      <c r="K485" s="183"/>
      <c r="L485" s="183"/>
      <c r="M485" s="183"/>
      <c r="N485" s="183"/>
      <c r="O485" s="183"/>
      <c r="P485" s="183"/>
      <c r="Q485" s="183"/>
      <c r="R485" s="183"/>
      <c r="S485" s="183"/>
      <c r="T485" s="152"/>
      <c r="U485" s="155"/>
      <c r="V485" s="152"/>
      <c r="W485" s="152"/>
      <c r="X485" s="152"/>
      <c r="Y485" s="152"/>
      <c r="Z485" s="152"/>
      <c r="AA485" s="152"/>
      <c r="AB485" s="152"/>
      <c r="AC485" s="152"/>
      <c r="AD485" s="152"/>
      <c r="AE485" s="152"/>
      <c r="AF485" s="152"/>
      <c r="AG485" s="144"/>
      <c r="AH485" s="144"/>
      <c r="AI485" s="144"/>
      <c r="AJ485" s="144"/>
      <c r="AK485" s="144"/>
    </row>
    <row r="486" ht="22.5" customHeight="1">
      <c r="A486" s="184"/>
      <c r="B486" s="184"/>
      <c r="C486" s="184"/>
      <c r="D486" s="184"/>
      <c r="E486" s="184"/>
      <c r="F486" s="184"/>
      <c r="G486" s="184"/>
      <c r="H486" s="184"/>
      <c r="I486" s="184"/>
      <c r="J486" s="184"/>
      <c r="K486" s="184"/>
      <c r="L486" s="184"/>
      <c r="M486" s="184"/>
      <c r="N486" s="184"/>
      <c r="O486" s="184"/>
      <c r="P486" s="184"/>
      <c r="Q486" s="184"/>
      <c r="R486" s="184"/>
      <c r="S486" s="184"/>
      <c r="T486" s="145"/>
      <c r="U486" s="151"/>
      <c r="V486" s="145"/>
      <c r="W486" s="145"/>
      <c r="X486" s="145"/>
      <c r="Y486" s="145"/>
      <c r="Z486" s="145"/>
      <c r="AA486" s="145"/>
      <c r="AB486" s="145"/>
      <c r="AC486" s="145"/>
      <c r="AD486" s="145"/>
      <c r="AE486" s="145"/>
      <c r="AF486" s="145"/>
      <c r="AG486" s="144"/>
      <c r="AH486" s="144"/>
      <c r="AI486" s="144"/>
      <c r="AJ486" s="144"/>
      <c r="AK486" s="144"/>
    </row>
    <row r="487" ht="22.5" customHeight="1">
      <c r="A487" s="183"/>
      <c r="B487" s="183"/>
      <c r="C487" s="183"/>
      <c r="D487" s="183"/>
      <c r="E487" s="183"/>
      <c r="F487" s="183"/>
      <c r="G487" s="183"/>
      <c r="H487" s="183"/>
      <c r="I487" s="183"/>
      <c r="J487" s="183"/>
      <c r="K487" s="183"/>
      <c r="L487" s="183"/>
      <c r="M487" s="183"/>
      <c r="N487" s="183"/>
      <c r="O487" s="183"/>
      <c r="P487" s="183"/>
      <c r="Q487" s="183"/>
      <c r="R487" s="183"/>
      <c r="S487" s="183"/>
      <c r="T487" s="152"/>
      <c r="U487" s="155"/>
      <c r="V487" s="152"/>
      <c r="W487" s="152"/>
      <c r="X487" s="152"/>
      <c r="Y487" s="152"/>
      <c r="Z487" s="152"/>
      <c r="AA487" s="152"/>
      <c r="AB487" s="152"/>
      <c r="AC487" s="152"/>
      <c r="AD487" s="152"/>
      <c r="AE487" s="152"/>
      <c r="AF487" s="152"/>
      <c r="AG487" s="144"/>
      <c r="AH487" s="144"/>
      <c r="AI487" s="144"/>
      <c r="AJ487" s="144"/>
      <c r="AK487" s="144"/>
    </row>
    <row r="488" ht="22.5" customHeight="1">
      <c r="A488" s="184"/>
      <c r="B488" s="184"/>
      <c r="C488" s="184"/>
      <c r="D488" s="184"/>
      <c r="E488" s="184"/>
      <c r="F488" s="184"/>
      <c r="G488" s="184"/>
      <c r="H488" s="184"/>
      <c r="I488" s="184"/>
      <c r="J488" s="184"/>
      <c r="K488" s="184"/>
      <c r="L488" s="184"/>
      <c r="M488" s="184"/>
      <c r="N488" s="184"/>
      <c r="O488" s="184"/>
      <c r="P488" s="184"/>
      <c r="Q488" s="184"/>
      <c r="R488" s="184"/>
      <c r="S488" s="184"/>
      <c r="T488" s="145"/>
      <c r="U488" s="151"/>
      <c r="V488" s="145"/>
      <c r="W488" s="145"/>
      <c r="X488" s="145"/>
      <c r="Y488" s="145"/>
      <c r="Z488" s="145"/>
      <c r="AA488" s="145"/>
      <c r="AB488" s="145"/>
      <c r="AC488" s="145"/>
      <c r="AD488" s="145"/>
      <c r="AE488" s="145"/>
      <c r="AF488" s="145"/>
      <c r="AG488" s="144"/>
      <c r="AH488" s="144"/>
      <c r="AI488" s="144"/>
      <c r="AJ488" s="144"/>
      <c r="AK488" s="144"/>
    </row>
    <row r="489" ht="22.5" customHeight="1">
      <c r="A489" s="183"/>
      <c r="B489" s="183"/>
      <c r="C489" s="183"/>
      <c r="D489" s="183"/>
      <c r="E489" s="183"/>
      <c r="F489" s="183"/>
      <c r="G489" s="183"/>
      <c r="H489" s="183"/>
      <c r="I489" s="183"/>
      <c r="J489" s="183"/>
      <c r="K489" s="183"/>
      <c r="L489" s="183"/>
      <c r="M489" s="183"/>
      <c r="N489" s="183"/>
      <c r="O489" s="183"/>
      <c r="P489" s="183"/>
      <c r="Q489" s="183"/>
      <c r="R489" s="183"/>
      <c r="S489" s="183"/>
      <c r="T489" s="152"/>
      <c r="U489" s="155"/>
      <c r="V489" s="152"/>
      <c r="W489" s="152"/>
      <c r="X489" s="152"/>
      <c r="Y489" s="152"/>
      <c r="Z489" s="152"/>
      <c r="AA489" s="152"/>
      <c r="AB489" s="152"/>
      <c r="AC489" s="152"/>
      <c r="AD489" s="152"/>
      <c r="AE489" s="152"/>
      <c r="AF489" s="152"/>
      <c r="AG489" s="144"/>
      <c r="AH489" s="144"/>
      <c r="AI489" s="144"/>
      <c r="AJ489" s="144"/>
      <c r="AK489" s="144"/>
    </row>
    <row r="490" ht="22.5" customHeight="1">
      <c r="A490" s="184"/>
      <c r="B490" s="184"/>
      <c r="C490" s="184"/>
      <c r="D490" s="184"/>
      <c r="E490" s="184"/>
      <c r="F490" s="184"/>
      <c r="G490" s="184"/>
      <c r="H490" s="184"/>
      <c r="I490" s="184"/>
      <c r="J490" s="184"/>
      <c r="K490" s="184"/>
      <c r="L490" s="184"/>
      <c r="M490" s="184"/>
      <c r="N490" s="184"/>
      <c r="O490" s="184"/>
      <c r="P490" s="184"/>
      <c r="Q490" s="184"/>
      <c r="R490" s="184"/>
      <c r="S490" s="184"/>
      <c r="T490" s="145"/>
      <c r="U490" s="151"/>
      <c r="V490" s="145"/>
      <c r="W490" s="145"/>
      <c r="X490" s="145"/>
      <c r="Y490" s="145"/>
      <c r="Z490" s="145"/>
      <c r="AA490" s="145"/>
      <c r="AB490" s="145"/>
      <c r="AC490" s="145"/>
      <c r="AD490" s="145"/>
      <c r="AE490" s="145"/>
      <c r="AF490" s="145"/>
      <c r="AG490" s="144"/>
      <c r="AH490" s="144"/>
      <c r="AI490" s="144"/>
      <c r="AJ490" s="144"/>
      <c r="AK490" s="144"/>
    </row>
    <row r="491" ht="22.5" customHeight="1">
      <c r="A491" s="183"/>
      <c r="B491" s="183"/>
      <c r="C491" s="183"/>
      <c r="D491" s="183"/>
      <c r="E491" s="183"/>
      <c r="F491" s="183"/>
      <c r="G491" s="183"/>
      <c r="H491" s="183"/>
      <c r="I491" s="183"/>
      <c r="J491" s="183"/>
      <c r="K491" s="183"/>
      <c r="L491" s="183"/>
      <c r="M491" s="183"/>
      <c r="N491" s="183"/>
      <c r="O491" s="183"/>
      <c r="P491" s="183"/>
      <c r="Q491" s="183"/>
      <c r="R491" s="183"/>
      <c r="S491" s="183"/>
      <c r="T491" s="152"/>
      <c r="U491" s="155"/>
      <c r="V491" s="152"/>
      <c r="W491" s="152"/>
      <c r="X491" s="152"/>
      <c r="Y491" s="152"/>
      <c r="Z491" s="152"/>
      <c r="AA491" s="152"/>
      <c r="AB491" s="152"/>
      <c r="AC491" s="152"/>
      <c r="AD491" s="152"/>
      <c r="AE491" s="152"/>
      <c r="AF491" s="152"/>
      <c r="AG491" s="144"/>
      <c r="AH491" s="144"/>
      <c r="AI491" s="144"/>
      <c r="AJ491" s="144"/>
      <c r="AK491" s="144"/>
    </row>
    <row r="492" ht="22.5" customHeight="1">
      <c r="A492" s="184"/>
      <c r="B492" s="184"/>
      <c r="C492" s="184"/>
      <c r="D492" s="184"/>
      <c r="E492" s="184"/>
      <c r="F492" s="184"/>
      <c r="G492" s="184"/>
      <c r="H492" s="184"/>
      <c r="I492" s="184"/>
      <c r="J492" s="184"/>
      <c r="K492" s="184"/>
      <c r="L492" s="184"/>
      <c r="M492" s="184"/>
      <c r="N492" s="184"/>
      <c r="O492" s="184"/>
      <c r="P492" s="184"/>
      <c r="Q492" s="184"/>
      <c r="R492" s="184"/>
      <c r="S492" s="184"/>
      <c r="T492" s="145"/>
      <c r="U492" s="151"/>
      <c r="V492" s="145"/>
      <c r="W492" s="145"/>
      <c r="X492" s="145"/>
      <c r="Y492" s="145"/>
      <c r="Z492" s="145"/>
      <c r="AA492" s="145"/>
      <c r="AB492" s="145"/>
      <c r="AC492" s="145"/>
      <c r="AD492" s="145"/>
      <c r="AE492" s="145"/>
      <c r="AF492" s="145"/>
      <c r="AG492" s="144"/>
      <c r="AH492" s="144"/>
      <c r="AI492" s="144"/>
      <c r="AJ492" s="144"/>
      <c r="AK492" s="144"/>
    </row>
    <row r="493" ht="22.5" customHeight="1">
      <c r="A493" s="183"/>
      <c r="B493" s="183"/>
      <c r="C493" s="183"/>
      <c r="D493" s="183"/>
      <c r="E493" s="183"/>
      <c r="F493" s="183"/>
      <c r="G493" s="183"/>
      <c r="H493" s="183"/>
      <c r="I493" s="183"/>
      <c r="J493" s="183"/>
      <c r="K493" s="183"/>
      <c r="L493" s="183"/>
      <c r="M493" s="183"/>
      <c r="N493" s="183"/>
      <c r="O493" s="183"/>
      <c r="P493" s="183"/>
      <c r="Q493" s="183"/>
      <c r="R493" s="183"/>
      <c r="S493" s="183"/>
      <c r="T493" s="152"/>
      <c r="U493" s="155"/>
      <c r="V493" s="152"/>
      <c r="W493" s="152"/>
      <c r="X493" s="152"/>
      <c r="Y493" s="152"/>
      <c r="Z493" s="152"/>
      <c r="AA493" s="152"/>
      <c r="AB493" s="152"/>
      <c r="AC493" s="152"/>
      <c r="AD493" s="152"/>
      <c r="AE493" s="152"/>
      <c r="AF493" s="152"/>
      <c r="AG493" s="144"/>
      <c r="AH493" s="144"/>
      <c r="AI493" s="144"/>
      <c r="AJ493" s="144"/>
      <c r="AK493" s="144"/>
    </row>
    <row r="494" ht="22.5" customHeight="1">
      <c r="A494" s="184"/>
      <c r="B494" s="184"/>
      <c r="C494" s="184"/>
      <c r="D494" s="184"/>
      <c r="E494" s="184"/>
      <c r="F494" s="184"/>
      <c r="G494" s="184"/>
      <c r="H494" s="184"/>
      <c r="I494" s="184"/>
      <c r="J494" s="184"/>
      <c r="K494" s="184"/>
      <c r="L494" s="184"/>
      <c r="M494" s="184"/>
      <c r="N494" s="184"/>
      <c r="O494" s="184"/>
      <c r="P494" s="184"/>
      <c r="Q494" s="184"/>
      <c r="R494" s="184"/>
      <c r="S494" s="184"/>
      <c r="T494" s="145"/>
      <c r="U494" s="151"/>
      <c r="V494" s="145"/>
      <c r="W494" s="145"/>
      <c r="X494" s="145"/>
      <c r="Y494" s="145"/>
      <c r="Z494" s="145"/>
      <c r="AA494" s="145"/>
      <c r="AB494" s="145"/>
      <c r="AC494" s="145"/>
      <c r="AD494" s="145"/>
      <c r="AE494" s="145"/>
      <c r="AF494" s="145"/>
      <c r="AG494" s="144"/>
      <c r="AH494" s="144"/>
      <c r="AI494" s="144"/>
      <c r="AJ494" s="144"/>
      <c r="AK494" s="144"/>
    </row>
    <row r="495" ht="22.5" customHeight="1">
      <c r="A495" s="183"/>
      <c r="B495" s="183"/>
      <c r="C495" s="183"/>
      <c r="D495" s="183"/>
      <c r="E495" s="183"/>
      <c r="F495" s="183"/>
      <c r="G495" s="183"/>
      <c r="H495" s="183"/>
      <c r="I495" s="183"/>
      <c r="J495" s="183"/>
      <c r="K495" s="183"/>
      <c r="L495" s="183"/>
      <c r="M495" s="183"/>
      <c r="N495" s="183"/>
      <c r="O495" s="183"/>
      <c r="P495" s="183"/>
      <c r="Q495" s="183"/>
      <c r="R495" s="183"/>
      <c r="S495" s="183"/>
      <c r="T495" s="152"/>
      <c r="U495" s="155"/>
      <c r="V495" s="152"/>
      <c r="W495" s="152"/>
      <c r="X495" s="152"/>
      <c r="Y495" s="152"/>
      <c r="Z495" s="152"/>
      <c r="AA495" s="152"/>
      <c r="AB495" s="152"/>
      <c r="AC495" s="152"/>
      <c r="AD495" s="152"/>
      <c r="AE495" s="152"/>
      <c r="AF495" s="152"/>
      <c r="AG495" s="144"/>
      <c r="AH495" s="144"/>
      <c r="AI495" s="144"/>
      <c r="AJ495" s="144"/>
      <c r="AK495" s="144"/>
    </row>
    <row r="496" ht="22.5" customHeight="1">
      <c r="A496" s="184"/>
      <c r="B496" s="184"/>
      <c r="C496" s="184"/>
      <c r="D496" s="184"/>
      <c r="E496" s="184"/>
      <c r="F496" s="184"/>
      <c r="G496" s="184"/>
      <c r="H496" s="184"/>
      <c r="I496" s="184"/>
      <c r="J496" s="184"/>
      <c r="K496" s="184"/>
      <c r="L496" s="184"/>
      <c r="M496" s="184"/>
      <c r="N496" s="184"/>
      <c r="O496" s="184"/>
      <c r="P496" s="184"/>
      <c r="Q496" s="184"/>
      <c r="R496" s="184"/>
      <c r="S496" s="184"/>
      <c r="T496" s="145"/>
      <c r="U496" s="151"/>
      <c r="V496" s="145"/>
      <c r="W496" s="145"/>
      <c r="X496" s="145"/>
      <c r="Y496" s="145"/>
      <c r="Z496" s="145"/>
      <c r="AA496" s="145"/>
      <c r="AB496" s="145"/>
      <c r="AC496" s="145"/>
      <c r="AD496" s="145"/>
      <c r="AE496" s="145"/>
      <c r="AF496" s="145"/>
      <c r="AG496" s="144"/>
      <c r="AH496" s="144"/>
      <c r="AI496" s="144"/>
      <c r="AJ496" s="144"/>
      <c r="AK496" s="144"/>
    </row>
    <row r="497" ht="22.5" customHeight="1">
      <c r="A497" s="183"/>
      <c r="B497" s="183"/>
      <c r="C497" s="183"/>
      <c r="D497" s="183"/>
      <c r="E497" s="183"/>
      <c r="F497" s="183"/>
      <c r="G497" s="183"/>
      <c r="H497" s="183"/>
      <c r="I497" s="183"/>
      <c r="J497" s="183"/>
      <c r="K497" s="183"/>
      <c r="L497" s="183"/>
      <c r="M497" s="183"/>
      <c r="N497" s="183"/>
      <c r="O497" s="183"/>
      <c r="P497" s="183"/>
      <c r="Q497" s="183"/>
      <c r="R497" s="183"/>
      <c r="S497" s="183"/>
      <c r="T497" s="152"/>
      <c r="U497" s="155"/>
      <c r="V497" s="152"/>
      <c r="W497" s="152"/>
      <c r="X497" s="152"/>
      <c r="Y497" s="152"/>
      <c r="Z497" s="152"/>
      <c r="AA497" s="152"/>
      <c r="AB497" s="152"/>
      <c r="AC497" s="152"/>
      <c r="AD497" s="152"/>
      <c r="AE497" s="152"/>
      <c r="AF497" s="152"/>
      <c r="AG497" s="144"/>
      <c r="AH497" s="144"/>
      <c r="AI497" s="144"/>
      <c r="AJ497" s="144"/>
      <c r="AK497" s="144"/>
    </row>
    <row r="498" ht="22.5" customHeight="1">
      <c r="A498" s="184"/>
      <c r="B498" s="184"/>
      <c r="C498" s="184"/>
      <c r="D498" s="184"/>
      <c r="E498" s="184"/>
      <c r="F498" s="184"/>
      <c r="G498" s="184"/>
      <c r="H498" s="184"/>
      <c r="I498" s="184"/>
      <c r="J498" s="184"/>
      <c r="K498" s="184"/>
      <c r="L498" s="184"/>
      <c r="M498" s="184"/>
      <c r="N498" s="184"/>
      <c r="O498" s="184"/>
      <c r="P498" s="184"/>
      <c r="Q498" s="184"/>
      <c r="R498" s="184"/>
      <c r="S498" s="184"/>
      <c r="T498" s="145"/>
      <c r="U498" s="151"/>
      <c r="V498" s="145"/>
      <c r="W498" s="145"/>
      <c r="X498" s="145"/>
      <c r="Y498" s="145"/>
      <c r="Z498" s="145"/>
      <c r="AA498" s="145"/>
      <c r="AB498" s="145"/>
      <c r="AC498" s="145"/>
      <c r="AD498" s="145"/>
      <c r="AE498" s="145"/>
      <c r="AF498" s="145"/>
      <c r="AG498" s="144"/>
      <c r="AH498" s="144"/>
      <c r="AI498" s="144"/>
      <c r="AJ498" s="144"/>
      <c r="AK498" s="144"/>
    </row>
    <row r="499" ht="22.5" customHeight="1">
      <c r="A499" s="183"/>
      <c r="B499" s="183"/>
      <c r="C499" s="183"/>
      <c r="D499" s="183"/>
      <c r="E499" s="183"/>
      <c r="F499" s="183"/>
      <c r="G499" s="183"/>
      <c r="H499" s="183"/>
      <c r="I499" s="183"/>
      <c r="J499" s="183"/>
      <c r="K499" s="183"/>
      <c r="L499" s="183"/>
      <c r="M499" s="183"/>
      <c r="N499" s="183"/>
      <c r="O499" s="183"/>
      <c r="P499" s="183"/>
      <c r="Q499" s="183"/>
      <c r="R499" s="183"/>
      <c r="S499" s="183"/>
      <c r="T499" s="152"/>
      <c r="U499" s="155"/>
      <c r="V499" s="152"/>
      <c r="W499" s="152"/>
      <c r="X499" s="152"/>
      <c r="Y499" s="152"/>
      <c r="Z499" s="152"/>
      <c r="AA499" s="152"/>
      <c r="AB499" s="152"/>
      <c r="AC499" s="152"/>
      <c r="AD499" s="152"/>
      <c r="AE499" s="152"/>
      <c r="AF499" s="152"/>
      <c r="AG499" s="144"/>
      <c r="AH499" s="144"/>
      <c r="AI499" s="144"/>
      <c r="AJ499" s="144"/>
      <c r="AK499" s="144"/>
    </row>
    <row r="500" ht="22.5" customHeight="1">
      <c r="A500" s="184"/>
      <c r="B500" s="184"/>
      <c r="C500" s="184"/>
      <c r="D500" s="184"/>
      <c r="E500" s="184"/>
      <c r="F500" s="184"/>
      <c r="G500" s="184"/>
      <c r="H500" s="184"/>
      <c r="I500" s="184"/>
      <c r="J500" s="184"/>
      <c r="K500" s="184"/>
      <c r="L500" s="184"/>
      <c r="M500" s="184"/>
      <c r="N500" s="184"/>
      <c r="O500" s="184"/>
      <c r="P500" s="184"/>
      <c r="Q500" s="184"/>
      <c r="R500" s="184"/>
      <c r="S500" s="184"/>
      <c r="T500" s="145"/>
      <c r="U500" s="151"/>
      <c r="V500" s="145"/>
      <c r="W500" s="145"/>
      <c r="X500" s="145"/>
      <c r="Y500" s="145"/>
      <c r="Z500" s="145"/>
      <c r="AA500" s="145"/>
      <c r="AB500" s="145"/>
      <c r="AC500" s="145"/>
      <c r="AD500" s="145"/>
      <c r="AE500" s="145"/>
      <c r="AF500" s="145"/>
      <c r="AG500" s="144"/>
      <c r="AH500" s="144"/>
      <c r="AI500" s="144"/>
      <c r="AJ500" s="144"/>
      <c r="AK500" s="144"/>
    </row>
    <row r="501" ht="22.5" customHeight="1">
      <c r="A501" s="183"/>
      <c r="B501" s="183"/>
      <c r="C501" s="183"/>
      <c r="D501" s="183"/>
      <c r="E501" s="183"/>
      <c r="F501" s="183"/>
      <c r="G501" s="183"/>
      <c r="H501" s="183"/>
      <c r="I501" s="183"/>
      <c r="J501" s="183"/>
      <c r="K501" s="183"/>
      <c r="L501" s="183"/>
      <c r="M501" s="183"/>
      <c r="N501" s="183"/>
      <c r="O501" s="183"/>
      <c r="P501" s="183"/>
      <c r="Q501" s="183"/>
      <c r="R501" s="183"/>
      <c r="S501" s="183"/>
      <c r="T501" s="152"/>
      <c r="U501" s="155"/>
      <c r="V501" s="152"/>
      <c r="W501" s="152"/>
      <c r="X501" s="152"/>
      <c r="Y501" s="152"/>
      <c r="Z501" s="152"/>
      <c r="AA501" s="152"/>
      <c r="AB501" s="152"/>
      <c r="AC501" s="152"/>
      <c r="AD501" s="152"/>
      <c r="AE501" s="152"/>
      <c r="AF501" s="152"/>
      <c r="AG501" s="144"/>
      <c r="AH501" s="144"/>
      <c r="AI501" s="144"/>
      <c r="AJ501" s="144"/>
      <c r="AK501" s="144"/>
    </row>
    <row r="502" ht="22.5" customHeight="1">
      <c r="A502" s="184"/>
      <c r="B502" s="184"/>
      <c r="C502" s="184"/>
      <c r="D502" s="184"/>
      <c r="E502" s="184"/>
      <c r="F502" s="184"/>
      <c r="G502" s="184"/>
      <c r="H502" s="184"/>
      <c r="I502" s="184"/>
      <c r="J502" s="184"/>
      <c r="K502" s="184"/>
      <c r="L502" s="184"/>
      <c r="M502" s="184"/>
      <c r="N502" s="184"/>
      <c r="O502" s="184"/>
      <c r="P502" s="184"/>
      <c r="Q502" s="184"/>
      <c r="R502" s="184"/>
      <c r="S502" s="184"/>
      <c r="T502" s="145"/>
      <c r="U502" s="151"/>
      <c r="V502" s="145"/>
      <c r="W502" s="145"/>
      <c r="X502" s="145"/>
      <c r="Y502" s="145"/>
      <c r="Z502" s="145"/>
      <c r="AA502" s="145"/>
      <c r="AB502" s="145"/>
      <c r="AC502" s="145"/>
      <c r="AD502" s="145"/>
      <c r="AE502" s="145"/>
      <c r="AF502" s="145"/>
      <c r="AG502" s="144"/>
      <c r="AH502" s="144"/>
      <c r="AI502" s="144"/>
      <c r="AJ502" s="144"/>
      <c r="AK502" s="144"/>
    </row>
    <row r="503" ht="22.5" customHeight="1">
      <c r="A503" s="183"/>
      <c r="B503" s="183"/>
      <c r="C503" s="183"/>
      <c r="D503" s="183"/>
      <c r="E503" s="183"/>
      <c r="F503" s="183"/>
      <c r="G503" s="183"/>
      <c r="H503" s="183"/>
      <c r="I503" s="183"/>
      <c r="J503" s="183"/>
      <c r="K503" s="183"/>
      <c r="L503" s="183"/>
      <c r="M503" s="183"/>
      <c r="N503" s="183"/>
      <c r="O503" s="183"/>
      <c r="P503" s="183"/>
      <c r="Q503" s="183"/>
      <c r="R503" s="183"/>
      <c r="S503" s="183"/>
      <c r="T503" s="152"/>
      <c r="U503" s="155"/>
      <c r="V503" s="152"/>
      <c r="W503" s="152"/>
      <c r="X503" s="152"/>
      <c r="Y503" s="152"/>
      <c r="Z503" s="152"/>
      <c r="AA503" s="152"/>
      <c r="AB503" s="152"/>
      <c r="AC503" s="152"/>
      <c r="AD503" s="152"/>
      <c r="AE503" s="152"/>
      <c r="AF503" s="152"/>
      <c r="AG503" s="144"/>
      <c r="AH503" s="144"/>
      <c r="AI503" s="144"/>
      <c r="AJ503" s="144"/>
      <c r="AK503" s="144"/>
    </row>
    <row r="504" ht="22.5" customHeight="1">
      <c r="A504" s="184"/>
      <c r="B504" s="184"/>
      <c r="C504" s="184"/>
      <c r="D504" s="184"/>
      <c r="E504" s="184"/>
      <c r="F504" s="184"/>
      <c r="G504" s="184"/>
      <c r="H504" s="184"/>
      <c r="I504" s="184"/>
      <c r="J504" s="184"/>
      <c r="K504" s="184"/>
      <c r="L504" s="184"/>
      <c r="M504" s="184"/>
      <c r="N504" s="184"/>
      <c r="O504" s="184"/>
      <c r="P504" s="184"/>
      <c r="Q504" s="184"/>
      <c r="R504" s="184"/>
      <c r="S504" s="184"/>
      <c r="T504" s="145"/>
      <c r="U504" s="151"/>
      <c r="V504" s="145"/>
      <c r="W504" s="145"/>
      <c r="X504" s="145"/>
      <c r="Y504" s="145"/>
      <c r="Z504" s="145"/>
      <c r="AA504" s="145"/>
      <c r="AB504" s="145"/>
      <c r="AC504" s="145"/>
      <c r="AD504" s="145"/>
      <c r="AE504" s="145"/>
      <c r="AF504" s="145"/>
      <c r="AG504" s="144"/>
      <c r="AH504" s="144"/>
      <c r="AI504" s="144"/>
      <c r="AJ504" s="144"/>
      <c r="AK504" s="144"/>
    </row>
    <row r="505" ht="22.5" customHeight="1">
      <c r="A505" s="183"/>
      <c r="B505" s="183"/>
      <c r="C505" s="183"/>
      <c r="D505" s="183"/>
      <c r="E505" s="183"/>
      <c r="F505" s="183"/>
      <c r="G505" s="183"/>
      <c r="H505" s="183"/>
      <c r="I505" s="183"/>
      <c r="J505" s="183"/>
      <c r="K505" s="183"/>
      <c r="L505" s="183"/>
      <c r="M505" s="183"/>
      <c r="N505" s="183"/>
      <c r="O505" s="183"/>
      <c r="P505" s="183"/>
      <c r="Q505" s="183"/>
      <c r="R505" s="183"/>
      <c r="S505" s="183"/>
      <c r="T505" s="152"/>
      <c r="U505" s="155"/>
      <c r="V505" s="152"/>
      <c r="W505" s="152"/>
      <c r="X505" s="152"/>
      <c r="Y505" s="152"/>
      <c r="Z505" s="152"/>
      <c r="AA505" s="152"/>
      <c r="AB505" s="152"/>
      <c r="AC505" s="152"/>
      <c r="AD505" s="152"/>
      <c r="AE505" s="152"/>
      <c r="AF505" s="152"/>
      <c r="AG505" s="144"/>
      <c r="AH505" s="144"/>
      <c r="AI505" s="144"/>
      <c r="AJ505" s="144"/>
      <c r="AK505" s="144"/>
    </row>
    <row r="506" ht="22.5" customHeight="1">
      <c r="A506" s="184"/>
      <c r="B506" s="184"/>
      <c r="C506" s="184"/>
      <c r="D506" s="184"/>
      <c r="E506" s="184"/>
      <c r="F506" s="184"/>
      <c r="G506" s="184"/>
      <c r="H506" s="184"/>
      <c r="I506" s="184"/>
      <c r="J506" s="184"/>
      <c r="K506" s="184"/>
      <c r="L506" s="184"/>
      <c r="M506" s="184"/>
      <c r="N506" s="184"/>
      <c r="O506" s="184"/>
      <c r="P506" s="184"/>
      <c r="Q506" s="184"/>
      <c r="R506" s="184"/>
      <c r="S506" s="184"/>
      <c r="T506" s="145"/>
      <c r="U506" s="151"/>
      <c r="V506" s="145"/>
      <c r="W506" s="145"/>
      <c r="X506" s="145"/>
      <c r="Y506" s="145"/>
      <c r="Z506" s="145"/>
      <c r="AA506" s="145"/>
      <c r="AB506" s="145"/>
      <c r="AC506" s="145"/>
      <c r="AD506" s="145"/>
      <c r="AE506" s="145"/>
      <c r="AF506" s="145"/>
      <c r="AG506" s="144"/>
      <c r="AH506" s="144"/>
      <c r="AI506" s="144"/>
      <c r="AJ506" s="144"/>
      <c r="AK506" s="144"/>
    </row>
    <row r="507" ht="22.5" customHeight="1">
      <c r="A507" s="183"/>
      <c r="B507" s="183"/>
      <c r="C507" s="183"/>
      <c r="D507" s="183"/>
      <c r="E507" s="183"/>
      <c r="F507" s="183"/>
      <c r="G507" s="183"/>
      <c r="H507" s="183"/>
      <c r="I507" s="183"/>
      <c r="J507" s="183"/>
      <c r="K507" s="183"/>
      <c r="L507" s="183"/>
      <c r="M507" s="183"/>
      <c r="N507" s="183"/>
      <c r="O507" s="183"/>
      <c r="P507" s="183"/>
      <c r="Q507" s="183"/>
      <c r="R507" s="183"/>
      <c r="S507" s="183"/>
      <c r="T507" s="152"/>
      <c r="U507" s="155"/>
      <c r="V507" s="152"/>
      <c r="W507" s="152"/>
      <c r="X507" s="152"/>
      <c r="Y507" s="152"/>
      <c r="Z507" s="152"/>
      <c r="AA507" s="152"/>
      <c r="AB507" s="152"/>
      <c r="AC507" s="152"/>
      <c r="AD507" s="152"/>
      <c r="AE507" s="152"/>
      <c r="AF507" s="152"/>
      <c r="AG507" s="144"/>
      <c r="AH507" s="144"/>
      <c r="AI507" s="144"/>
      <c r="AJ507" s="144"/>
      <c r="AK507" s="144"/>
    </row>
    <row r="508" ht="22.5" customHeight="1">
      <c r="A508" s="184"/>
      <c r="B508" s="184"/>
      <c r="C508" s="184"/>
      <c r="D508" s="184"/>
      <c r="E508" s="184"/>
      <c r="F508" s="184"/>
      <c r="G508" s="184"/>
      <c r="H508" s="184"/>
      <c r="I508" s="184"/>
      <c r="J508" s="184"/>
      <c r="K508" s="184"/>
      <c r="L508" s="184"/>
      <c r="M508" s="184"/>
      <c r="N508" s="184"/>
      <c r="O508" s="184"/>
      <c r="P508" s="184"/>
      <c r="Q508" s="184"/>
      <c r="R508" s="184"/>
      <c r="S508" s="184"/>
      <c r="T508" s="145"/>
      <c r="U508" s="151"/>
      <c r="V508" s="145"/>
      <c r="W508" s="145"/>
      <c r="X508" s="145"/>
      <c r="Y508" s="145"/>
      <c r="Z508" s="145"/>
      <c r="AA508" s="145"/>
      <c r="AB508" s="145"/>
      <c r="AC508" s="145"/>
      <c r="AD508" s="145"/>
      <c r="AE508" s="145"/>
      <c r="AF508" s="145"/>
      <c r="AG508" s="144"/>
      <c r="AH508" s="144"/>
      <c r="AI508" s="144"/>
      <c r="AJ508" s="144"/>
      <c r="AK508" s="144"/>
    </row>
    <row r="509" ht="22.5" customHeight="1">
      <c r="A509" s="183"/>
      <c r="B509" s="183"/>
      <c r="C509" s="183"/>
      <c r="D509" s="183"/>
      <c r="E509" s="183"/>
      <c r="F509" s="183"/>
      <c r="G509" s="183"/>
      <c r="H509" s="183"/>
      <c r="I509" s="183"/>
      <c r="J509" s="183"/>
      <c r="K509" s="183"/>
      <c r="L509" s="183"/>
      <c r="M509" s="183"/>
      <c r="N509" s="183"/>
      <c r="O509" s="183"/>
      <c r="P509" s="183"/>
      <c r="Q509" s="183"/>
      <c r="R509" s="183"/>
      <c r="S509" s="183"/>
      <c r="T509" s="152"/>
      <c r="U509" s="155"/>
      <c r="V509" s="152"/>
      <c r="W509" s="152"/>
      <c r="X509" s="152"/>
      <c r="Y509" s="152"/>
      <c r="Z509" s="152"/>
      <c r="AA509" s="152"/>
      <c r="AB509" s="152"/>
      <c r="AC509" s="152"/>
      <c r="AD509" s="152"/>
      <c r="AE509" s="152"/>
      <c r="AF509" s="152"/>
      <c r="AG509" s="144"/>
      <c r="AH509" s="144"/>
      <c r="AI509" s="144"/>
      <c r="AJ509" s="144"/>
      <c r="AK509" s="144"/>
    </row>
    <row r="510" ht="22.5" customHeight="1">
      <c r="A510" s="184"/>
      <c r="B510" s="184"/>
      <c r="C510" s="184"/>
      <c r="D510" s="184"/>
      <c r="E510" s="184"/>
      <c r="F510" s="184"/>
      <c r="G510" s="184"/>
      <c r="H510" s="184"/>
      <c r="I510" s="184"/>
      <c r="J510" s="184"/>
      <c r="K510" s="184"/>
      <c r="L510" s="184"/>
      <c r="M510" s="184"/>
      <c r="N510" s="184"/>
      <c r="O510" s="184"/>
      <c r="P510" s="184"/>
      <c r="Q510" s="184"/>
      <c r="R510" s="184"/>
      <c r="S510" s="184"/>
      <c r="T510" s="145"/>
      <c r="U510" s="151"/>
      <c r="V510" s="145"/>
      <c r="W510" s="145"/>
      <c r="X510" s="145"/>
      <c r="Y510" s="145"/>
      <c r="Z510" s="145"/>
      <c r="AA510" s="145"/>
      <c r="AB510" s="145"/>
      <c r="AC510" s="145"/>
      <c r="AD510" s="145"/>
      <c r="AE510" s="145"/>
      <c r="AF510" s="145"/>
      <c r="AG510" s="144"/>
      <c r="AH510" s="144"/>
      <c r="AI510" s="144"/>
      <c r="AJ510" s="144"/>
      <c r="AK510" s="144"/>
    </row>
    <row r="511" ht="22.5" customHeight="1">
      <c r="A511" s="183"/>
      <c r="B511" s="183"/>
      <c r="C511" s="183"/>
      <c r="D511" s="183"/>
      <c r="E511" s="183"/>
      <c r="F511" s="183"/>
      <c r="G511" s="183"/>
      <c r="H511" s="183"/>
      <c r="I511" s="183"/>
      <c r="J511" s="183"/>
      <c r="K511" s="183"/>
      <c r="L511" s="183"/>
      <c r="M511" s="183"/>
      <c r="N511" s="183"/>
      <c r="O511" s="183"/>
      <c r="P511" s="183"/>
      <c r="Q511" s="183"/>
      <c r="R511" s="183"/>
      <c r="S511" s="183"/>
      <c r="T511" s="152"/>
      <c r="U511" s="155"/>
      <c r="V511" s="152"/>
      <c r="W511" s="152"/>
      <c r="X511" s="152"/>
      <c r="Y511" s="152"/>
      <c r="Z511" s="152"/>
      <c r="AA511" s="152"/>
      <c r="AB511" s="152"/>
      <c r="AC511" s="152"/>
      <c r="AD511" s="152"/>
      <c r="AE511" s="152"/>
      <c r="AF511" s="152"/>
      <c r="AG511" s="144"/>
      <c r="AH511" s="144"/>
      <c r="AI511" s="144"/>
      <c r="AJ511" s="144"/>
      <c r="AK511" s="144"/>
    </row>
    <row r="512" ht="22.5" customHeight="1">
      <c r="A512" s="184"/>
      <c r="B512" s="184"/>
      <c r="C512" s="184"/>
      <c r="D512" s="184"/>
      <c r="E512" s="184"/>
      <c r="F512" s="184"/>
      <c r="G512" s="184"/>
      <c r="H512" s="184"/>
      <c r="I512" s="184"/>
      <c r="J512" s="184"/>
      <c r="K512" s="184"/>
      <c r="L512" s="184"/>
      <c r="M512" s="184"/>
      <c r="N512" s="184"/>
      <c r="O512" s="184"/>
      <c r="P512" s="184"/>
      <c r="Q512" s="184"/>
      <c r="R512" s="184"/>
      <c r="S512" s="184"/>
      <c r="T512" s="145"/>
      <c r="U512" s="151"/>
      <c r="V512" s="145"/>
      <c r="W512" s="145"/>
      <c r="X512" s="145"/>
      <c r="Y512" s="145"/>
      <c r="Z512" s="145"/>
      <c r="AA512" s="145"/>
      <c r="AB512" s="145"/>
      <c r="AC512" s="145"/>
      <c r="AD512" s="145"/>
      <c r="AE512" s="145"/>
      <c r="AF512" s="145"/>
      <c r="AG512" s="144"/>
      <c r="AH512" s="144"/>
      <c r="AI512" s="144"/>
      <c r="AJ512" s="144"/>
      <c r="AK512" s="144"/>
    </row>
    <row r="513" ht="22.5" customHeight="1">
      <c r="A513" s="183"/>
      <c r="B513" s="183"/>
      <c r="C513" s="183"/>
      <c r="D513" s="183"/>
      <c r="E513" s="183"/>
      <c r="F513" s="183"/>
      <c r="G513" s="183"/>
      <c r="H513" s="183"/>
      <c r="I513" s="183"/>
      <c r="J513" s="183"/>
      <c r="K513" s="183"/>
      <c r="L513" s="183"/>
      <c r="M513" s="183"/>
      <c r="N513" s="183"/>
      <c r="O513" s="183"/>
      <c r="P513" s="183"/>
      <c r="Q513" s="183"/>
      <c r="R513" s="183"/>
      <c r="S513" s="183"/>
      <c r="T513" s="152"/>
      <c r="U513" s="155"/>
      <c r="V513" s="152"/>
      <c r="W513" s="152"/>
      <c r="X513" s="152"/>
      <c r="Y513" s="152"/>
      <c r="Z513" s="152"/>
      <c r="AA513" s="152"/>
      <c r="AB513" s="152"/>
      <c r="AC513" s="152"/>
      <c r="AD513" s="152"/>
      <c r="AE513" s="152"/>
      <c r="AF513" s="152"/>
      <c r="AG513" s="144"/>
      <c r="AH513" s="144"/>
      <c r="AI513" s="144"/>
      <c r="AJ513" s="144"/>
      <c r="AK513" s="144"/>
    </row>
    <row r="514" ht="22.5" customHeight="1">
      <c r="A514" s="184"/>
      <c r="B514" s="184"/>
      <c r="C514" s="184"/>
      <c r="D514" s="184"/>
      <c r="E514" s="184"/>
      <c r="F514" s="184"/>
      <c r="G514" s="184"/>
      <c r="H514" s="184"/>
      <c r="I514" s="184"/>
      <c r="J514" s="184"/>
      <c r="K514" s="184"/>
      <c r="L514" s="184"/>
      <c r="M514" s="184"/>
      <c r="N514" s="184"/>
      <c r="O514" s="184"/>
      <c r="P514" s="184"/>
      <c r="Q514" s="184"/>
      <c r="R514" s="184"/>
      <c r="S514" s="184"/>
      <c r="T514" s="145"/>
      <c r="U514" s="151"/>
      <c r="V514" s="145"/>
      <c r="W514" s="145"/>
      <c r="X514" s="145"/>
      <c r="Y514" s="145"/>
      <c r="Z514" s="145"/>
      <c r="AA514" s="145"/>
      <c r="AB514" s="145"/>
      <c r="AC514" s="145"/>
      <c r="AD514" s="145"/>
      <c r="AE514" s="145"/>
      <c r="AF514" s="145"/>
      <c r="AG514" s="144"/>
      <c r="AH514" s="144"/>
      <c r="AI514" s="144"/>
      <c r="AJ514" s="144"/>
      <c r="AK514" s="144"/>
    </row>
    <row r="515" ht="22.5" customHeight="1">
      <c r="A515" s="183"/>
      <c r="B515" s="183"/>
      <c r="C515" s="183"/>
      <c r="D515" s="183"/>
      <c r="E515" s="183"/>
      <c r="F515" s="183"/>
      <c r="G515" s="183"/>
      <c r="H515" s="183"/>
      <c r="I515" s="183"/>
      <c r="J515" s="183"/>
      <c r="K515" s="183"/>
      <c r="L515" s="183"/>
      <c r="M515" s="183"/>
      <c r="N515" s="183"/>
      <c r="O515" s="183"/>
      <c r="P515" s="183"/>
      <c r="Q515" s="183"/>
      <c r="R515" s="183"/>
      <c r="S515" s="183"/>
      <c r="T515" s="152"/>
      <c r="U515" s="155"/>
      <c r="V515" s="152"/>
      <c r="W515" s="152"/>
      <c r="X515" s="152"/>
      <c r="Y515" s="152"/>
      <c r="Z515" s="152"/>
      <c r="AA515" s="152"/>
      <c r="AB515" s="152"/>
      <c r="AC515" s="152"/>
      <c r="AD515" s="152"/>
      <c r="AE515" s="152"/>
      <c r="AF515" s="152"/>
      <c r="AG515" s="144"/>
      <c r="AH515" s="144"/>
      <c r="AI515" s="144"/>
      <c r="AJ515" s="144"/>
      <c r="AK515" s="144"/>
    </row>
    <row r="516" ht="22.5" customHeight="1">
      <c r="A516" s="184"/>
      <c r="B516" s="184"/>
      <c r="C516" s="184"/>
      <c r="D516" s="184"/>
      <c r="E516" s="184"/>
      <c r="F516" s="184"/>
      <c r="G516" s="184"/>
      <c r="H516" s="184"/>
      <c r="I516" s="184"/>
      <c r="J516" s="184"/>
      <c r="K516" s="184"/>
      <c r="L516" s="184"/>
      <c r="M516" s="184"/>
      <c r="N516" s="184"/>
      <c r="O516" s="184"/>
      <c r="P516" s="184"/>
      <c r="Q516" s="184"/>
      <c r="R516" s="184"/>
      <c r="S516" s="184"/>
      <c r="T516" s="145"/>
      <c r="U516" s="151"/>
      <c r="V516" s="145"/>
      <c r="W516" s="145"/>
      <c r="X516" s="145"/>
      <c r="Y516" s="145"/>
      <c r="Z516" s="145"/>
      <c r="AA516" s="145"/>
      <c r="AB516" s="145"/>
      <c r="AC516" s="145"/>
      <c r="AD516" s="145"/>
      <c r="AE516" s="145"/>
      <c r="AF516" s="145"/>
      <c r="AG516" s="144"/>
      <c r="AH516" s="144"/>
      <c r="AI516" s="144"/>
      <c r="AJ516" s="144"/>
      <c r="AK516" s="144"/>
    </row>
    <row r="517" ht="22.5" customHeight="1">
      <c r="A517" s="183"/>
      <c r="B517" s="183"/>
      <c r="C517" s="183"/>
      <c r="D517" s="183"/>
      <c r="E517" s="183"/>
      <c r="F517" s="183"/>
      <c r="G517" s="183"/>
      <c r="H517" s="183"/>
      <c r="I517" s="183"/>
      <c r="J517" s="183"/>
      <c r="K517" s="183"/>
      <c r="L517" s="183"/>
      <c r="M517" s="183"/>
      <c r="N517" s="183"/>
      <c r="O517" s="183"/>
      <c r="P517" s="183"/>
      <c r="Q517" s="183"/>
      <c r="R517" s="183"/>
      <c r="S517" s="183"/>
      <c r="T517" s="152"/>
      <c r="U517" s="155"/>
      <c r="V517" s="152"/>
      <c r="W517" s="152"/>
      <c r="X517" s="152"/>
      <c r="Y517" s="152"/>
      <c r="Z517" s="152"/>
      <c r="AA517" s="152"/>
      <c r="AB517" s="152"/>
      <c r="AC517" s="152"/>
      <c r="AD517" s="152"/>
      <c r="AE517" s="152"/>
      <c r="AF517" s="152"/>
      <c r="AG517" s="144"/>
      <c r="AH517" s="144"/>
      <c r="AI517" s="144"/>
      <c r="AJ517" s="144"/>
      <c r="AK517" s="144"/>
    </row>
    <row r="518" ht="22.5" customHeight="1">
      <c r="A518" s="184"/>
      <c r="B518" s="184"/>
      <c r="C518" s="184"/>
      <c r="D518" s="184"/>
      <c r="E518" s="184"/>
      <c r="F518" s="184"/>
      <c r="G518" s="184"/>
      <c r="H518" s="184"/>
      <c r="I518" s="184"/>
      <c r="J518" s="184"/>
      <c r="K518" s="184"/>
      <c r="L518" s="184"/>
      <c r="M518" s="184"/>
      <c r="N518" s="184"/>
      <c r="O518" s="184"/>
      <c r="P518" s="184"/>
      <c r="Q518" s="184"/>
      <c r="R518" s="184"/>
      <c r="S518" s="184"/>
      <c r="T518" s="145"/>
      <c r="U518" s="151"/>
      <c r="V518" s="145"/>
      <c r="W518" s="145"/>
      <c r="X518" s="145"/>
      <c r="Y518" s="145"/>
      <c r="Z518" s="145"/>
      <c r="AA518" s="145"/>
      <c r="AB518" s="145"/>
      <c r="AC518" s="145"/>
      <c r="AD518" s="145"/>
      <c r="AE518" s="145"/>
      <c r="AF518" s="145"/>
      <c r="AG518" s="144"/>
      <c r="AH518" s="144"/>
      <c r="AI518" s="144"/>
      <c r="AJ518" s="144"/>
      <c r="AK518" s="144"/>
    </row>
    <row r="519" ht="22.5" customHeight="1">
      <c r="A519" s="183"/>
      <c r="B519" s="183"/>
      <c r="C519" s="183"/>
      <c r="D519" s="183"/>
      <c r="E519" s="183"/>
      <c r="F519" s="183"/>
      <c r="G519" s="183"/>
      <c r="H519" s="183"/>
      <c r="I519" s="183"/>
      <c r="J519" s="183"/>
      <c r="K519" s="183"/>
      <c r="L519" s="183"/>
      <c r="M519" s="183"/>
      <c r="N519" s="183"/>
      <c r="O519" s="183"/>
      <c r="P519" s="183"/>
      <c r="Q519" s="183"/>
      <c r="R519" s="183"/>
      <c r="S519" s="183"/>
      <c r="T519" s="152"/>
      <c r="U519" s="155"/>
      <c r="V519" s="152"/>
      <c r="W519" s="152"/>
      <c r="X519" s="152"/>
      <c r="Y519" s="152"/>
      <c r="Z519" s="152"/>
      <c r="AA519" s="152"/>
      <c r="AB519" s="152"/>
      <c r="AC519" s="152"/>
      <c r="AD519" s="152"/>
      <c r="AE519" s="152"/>
      <c r="AF519" s="152"/>
      <c r="AG519" s="144"/>
      <c r="AH519" s="144"/>
      <c r="AI519" s="144"/>
      <c r="AJ519" s="144"/>
      <c r="AK519" s="144"/>
    </row>
    <row r="520" ht="22.5" customHeight="1">
      <c r="A520" s="184"/>
      <c r="B520" s="184"/>
      <c r="C520" s="184"/>
      <c r="D520" s="184"/>
      <c r="E520" s="184"/>
      <c r="F520" s="184"/>
      <c r="G520" s="184"/>
      <c r="H520" s="184"/>
      <c r="I520" s="184"/>
      <c r="J520" s="184"/>
      <c r="K520" s="184"/>
      <c r="L520" s="184"/>
      <c r="M520" s="184"/>
      <c r="N520" s="184"/>
      <c r="O520" s="184"/>
      <c r="P520" s="184"/>
      <c r="Q520" s="184"/>
      <c r="R520" s="184"/>
      <c r="S520" s="184"/>
      <c r="T520" s="145"/>
      <c r="U520" s="151"/>
      <c r="V520" s="145"/>
      <c r="W520" s="145"/>
      <c r="X520" s="145"/>
      <c r="Y520" s="145"/>
      <c r="Z520" s="145"/>
      <c r="AA520" s="145"/>
      <c r="AB520" s="145"/>
      <c r="AC520" s="145"/>
      <c r="AD520" s="145"/>
      <c r="AE520" s="145"/>
      <c r="AF520" s="145"/>
      <c r="AG520" s="144"/>
      <c r="AH520" s="144"/>
      <c r="AI520" s="144"/>
      <c r="AJ520" s="144"/>
      <c r="AK520" s="144"/>
    </row>
    <row r="521" ht="22.5" customHeight="1">
      <c r="A521" s="183"/>
      <c r="B521" s="183"/>
      <c r="C521" s="183"/>
      <c r="D521" s="183"/>
      <c r="E521" s="183"/>
      <c r="F521" s="183"/>
      <c r="G521" s="183"/>
      <c r="H521" s="183"/>
      <c r="I521" s="183"/>
      <c r="J521" s="183"/>
      <c r="K521" s="183"/>
      <c r="L521" s="183"/>
      <c r="M521" s="183"/>
      <c r="N521" s="183"/>
      <c r="O521" s="183"/>
      <c r="P521" s="183"/>
      <c r="Q521" s="183"/>
      <c r="R521" s="183"/>
      <c r="S521" s="183"/>
      <c r="T521" s="152"/>
      <c r="U521" s="155"/>
      <c r="V521" s="152"/>
      <c r="W521" s="152"/>
      <c r="X521" s="152"/>
      <c r="Y521" s="152"/>
      <c r="Z521" s="152"/>
      <c r="AA521" s="152"/>
      <c r="AB521" s="152"/>
      <c r="AC521" s="152"/>
      <c r="AD521" s="152"/>
      <c r="AE521" s="152"/>
      <c r="AF521" s="152"/>
      <c r="AG521" s="144"/>
      <c r="AH521" s="144"/>
      <c r="AI521" s="144"/>
      <c r="AJ521" s="144"/>
      <c r="AK521" s="144"/>
    </row>
    <row r="522" ht="22.5" customHeight="1">
      <c r="A522" s="184"/>
      <c r="B522" s="184"/>
      <c r="C522" s="184"/>
      <c r="D522" s="184"/>
      <c r="E522" s="184"/>
      <c r="F522" s="184"/>
      <c r="G522" s="184"/>
      <c r="H522" s="184"/>
      <c r="I522" s="184"/>
      <c r="J522" s="184"/>
      <c r="K522" s="184"/>
      <c r="L522" s="184"/>
      <c r="M522" s="184"/>
      <c r="N522" s="184"/>
      <c r="O522" s="184"/>
      <c r="P522" s="184"/>
      <c r="Q522" s="184"/>
      <c r="R522" s="184"/>
      <c r="S522" s="184"/>
      <c r="T522" s="145"/>
      <c r="U522" s="151"/>
      <c r="V522" s="145"/>
      <c r="W522" s="145"/>
      <c r="X522" s="145"/>
      <c r="Y522" s="145"/>
      <c r="Z522" s="145"/>
      <c r="AA522" s="145"/>
      <c r="AB522" s="145"/>
      <c r="AC522" s="145"/>
      <c r="AD522" s="145"/>
      <c r="AE522" s="145"/>
      <c r="AF522" s="145"/>
      <c r="AG522" s="144"/>
      <c r="AH522" s="144"/>
      <c r="AI522" s="144"/>
      <c r="AJ522" s="144"/>
      <c r="AK522" s="144"/>
    </row>
    <row r="523" ht="22.5" customHeight="1">
      <c r="A523" s="183"/>
      <c r="B523" s="183"/>
      <c r="C523" s="183"/>
      <c r="D523" s="183"/>
      <c r="E523" s="183"/>
      <c r="F523" s="183"/>
      <c r="G523" s="183"/>
      <c r="H523" s="183"/>
      <c r="I523" s="183"/>
      <c r="J523" s="183"/>
      <c r="K523" s="183"/>
      <c r="L523" s="183"/>
      <c r="M523" s="183"/>
      <c r="N523" s="183"/>
      <c r="O523" s="183"/>
      <c r="P523" s="183"/>
      <c r="Q523" s="183"/>
      <c r="R523" s="183"/>
      <c r="S523" s="183"/>
      <c r="T523" s="152"/>
      <c r="U523" s="155"/>
      <c r="V523" s="152"/>
      <c r="W523" s="152"/>
      <c r="X523" s="152"/>
      <c r="Y523" s="152"/>
      <c r="Z523" s="152"/>
      <c r="AA523" s="152"/>
      <c r="AB523" s="152"/>
      <c r="AC523" s="152"/>
      <c r="AD523" s="152"/>
      <c r="AE523" s="152"/>
      <c r="AF523" s="152"/>
      <c r="AG523" s="144"/>
      <c r="AH523" s="144"/>
      <c r="AI523" s="144"/>
      <c r="AJ523" s="144"/>
      <c r="AK523" s="144"/>
    </row>
    <row r="524" ht="22.5" customHeight="1">
      <c r="A524" s="184"/>
      <c r="B524" s="184"/>
      <c r="C524" s="184"/>
      <c r="D524" s="184"/>
      <c r="E524" s="184"/>
      <c r="F524" s="184"/>
      <c r="G524" s="184"/>
      <c r="H524" s="184"/>
      <c r="I524" s="184"/>
      <c r="J524" s="184"/>
      <c r="K524" s="184"/>
      <c r="L524" s="184"/>
      <c r="M524" s="184"/>
      <c r="N524" s="184"/>
      <c r="O524" s="184"/>
      <c r="P524" s="184"/>
      <c r="Q524" s="184"/>
      <c r="R524" s="184"/>
      <c r="S524" s="184"/>
      <c r="T524" s="145"/>
      <c r="U524" s="151"/>
      <c r="V524" s="145"/>
      <c r="W524" s="145"/>
      <c r="X524" s="145"/>
      <c r="Y524" s="145"/>
      <c r="Z524" s="145"/>
      <c r="AA524" s="145"/>
      <c r="AB524" s="145"/>
      <c r="AC524" s="145"/>
      <c r="AD524" s="145"/>
      <c r="AE524" s="145"/>
      <c r="AF524" s="145"/>
      <c r="AG524" s="144"/>
      <c r="AH524" s="144"/>
      <c r="AI524" s="144"/>
      <c r="AJ524" s="144"/>
      <c r="AK524" s="144"/>
    </row>
    <row r="525" ht="22.5" customHeight="1">
      <c r="A525" s="183"/>
      <c r="B525" s="183"/>
      <c r="C525" s="183"/>
      <c r="D525" s="183"/>
      <c r="E525" s="183"/>
      <c r="F525" s="183"/>
      <c r="G525" s="183"/>
      <c r="H525" s="183"/>
      <c r="I525" s="183"/>
      <c r="J525" s="183"/>
      <c r="K525" s="183"/>
      <c r="L525" s="183"/>
      <c r="M525" s="183"/>
      <c r="N525" s="183"/>
      <c r="O525" s="183"/>
      <c r="P525" s="183"/>
      <c r="Q525" s="183"/>
      <c r="R525" s="183"/>
      <c r="S525" s="183"/>
      <c r="T525" s="152"/>
      <c r="U525" s="155"/>
      <c r="V525" s="152"/>
      <c r="W525" s="152"/>
      <c r="X525" s="152"/>
      <c r="Y525" s="152"/>
      <c r="Z525" s="152"/>
      <c r="AA525" s="152"/>
      <c r="AB525" s="152"/>
      <c r="AC525" s="152"/>
      <c r="AD525" s="152"/>
      <c r="AE525" s="152"/>
      <c r="AF525" s="152"/>
      <c r="AG525" s="144"/>
      <c r="AH525" s="144"/>
      <c r="AI525" s="144"/>
      <c r="AJ525" s="144"/>
      <c r="AK525" s="144"/>
    </row>
    <row r="526" ht="22.5" customHeight="1">
      <c r="A526" s="184"/>
      <c r="B526" s="184"/>
      <c r="C526" s="184"/>
      <c r="D526" s="184"/>
      <c r="E526" s="184"/>
      <c r="F526" s="184"/>
      <c r="G526" s="184"/>
      <c r="H526" s="184"/>
      <c r="I526" s="184"/>
      <c r="J526" s="184"/>
      <c r="K526" s="184"/>
      <c r="L526" s="184"/>
      <c r="M526" s="184"/>
      <c r="N526" s="184"/>
      <c r="O526" s="184"/>
      <c r="P526" s="184"/>
      <c r="Q526" s="184"/>
      <c r="R526" s="184"/>
      <c r="S526" s="184"/>
      <c r="T526" s="145"/>
      <c r="U526" s="151"/>
      <c r="V526" s="145"/>
      <c r="W526" s="145"/>
      <c r="X526" s="145"/>
      <c r="Y526" s="145"/>
      <c r="Z526" s="145"/>
      <c r="AA526" s="145"/>
      <c r="AB526" s="145"/>
      <c r="AC526" s="145"/>
      <c r="AD526" s="145"/>
      <c r="AE526" s="145"/>
      <c r="AF526" s="145"/>
      <c r="AG526" s="144"/>
      <c r="AH526" s="144"/>
      <c r="AI526" s="144"/>
      <c r="AJ526" s="144"/>
      <c r="AK526" s="144"/>
    </row>
    <row r="527" ht="22.5" customHeight="1">
      <c r="A527" s="183"/>
      <c r="B527" s="183"/>
      <c r="C527" s="183"/>
      <c r="D527" s="183"/>
      <c r="E527" s="183"/>
      <c r="F527" s="183"/>
      <c r="G527" s="183"/>
      <c r="H527" s="183"/>
      <c r="I527" s="183"/>
      <c r="J527" s="183"/>
      <c r="K527" s="183"/>
      <c r="L527" s="183"/>
      <c r="M527" s="183"/>
      <c r="N527" s="183"/>
      <c r="O527" s="183"/>
      <c r="P527" s="183"/>
      <c r="Q527" s="183"/>
      <c r="R527" s="183"/>
      <c r="S527" s="183"/>
      <c r="T527" s="152"/>
      <c r="U527" s="155"/>
      <c r="V527" s="152"/>
      <c r="W527" s="152"/>
      <c r="X527" s="152"/>
      <c r="Y527" s="152"/>
      <c r="Z527" s="152"/>
      <c r="AA527" s="152"/>
      <c r="AB527" s="152"/>
      <c r="AC527" s="152"/>
      <c r="AD527" s="152"/>
      <c r="AE527" s="152"/>
      <c r="AF527" s="152"/>
      <c r="AG527" s="144"/>
      <c r="AH527" s="144"/>
      <c r="AI527" s="144"/>
      <c r="AJ527" s="144"/>
      <c r="AK527" s="144"/>
    </row>
    <row r="528" ht="22.5" customHeight="1">
      <c r="A528" s="184"/>
      <c r="B528" s="184"/>
      <c r="C528" s="184"/>
      <c r="D528" s="184"/>
      <c r="E528" s="184"/>
      <c r="F528" s="184"/>
      <c r="G528" s="184"/>
      <c r="H528" s="184"/>
      <c r="I528" s="184"/>
      <c r="J528" s="184"/>
      <c r="K528" s="184"/>
      <c r="L528" s="184"/>
      <c r="M528" s="184"/>
      <c r="N528" s="184"/>
      <c r="O528" s="184"/>
      <c r="P528" s="184"/>
      <c r="Q528" s="184"/>
      <c r="R528" s="184"/>
      <c r="S528" s="184"/>
      <c r="T528" s="145"/>
      <c r="U528" s="151"/>
      <c r="V528" s="145"/>
      <c r="W528" s="145"/>
      <c r="X528" s="145"/>
      <c r="Y528" s="145"/>
      <c r="Z528" s="145"/>
      <c r="AA528" s="145"/>
      <c r="AB528" s="145"/>
      <c r="AC528" s="145"/>
      <c r="AD528" s="145"/>
      <c r="AE528" s="145"/>
      <c r="AF528" s="145"/>
      <c r="AG528" s="144"/>
      <c r="AH528" s="144"/>
      <c r="AI528" s="144"/>
      <c r="AJ528" s="144"/>
      <c r="AK528" s="144"/>
    </row>
    <row r="529" ht="22.5" customHeight="1">
      <c r="A529" s="183"/>
      <c r="B529" s="183"/>
      <c r="C529" s="183"/>
      <c r="D529" s="183"/>
      <c r="E529" s="183"/>
      <c r="F529" s="183"/>
      <c r="G529" s="183"/>
      <c r="H529" s="183"/>
      <c r="I529" s="183"/>
      <c r="J529" s="183"/>
      <c r="K529" s="183"/>
      <c r="L529" s="183"/>
      <c r="M529" s="183"/>
      <c r="N529" s="183"/>
      <c r="O529" s="183"/>
      <c r="P529" s="183"/>
      <c r="Q529" s="183"/>
      <c r="R529" s="183"/>
      <c r="S529" s="183"/>
      <c r="T529" s="152"/>
      <c r="U529" s="155"/>
      <c r="V529" s="152"/>
      <c r="W529" s="152"/>
      <c r="X529" s="152"/>
      <c r="Y529" s="152"/>
      <c r="Z529" s="152"/>
      <c r="AA529" s="152"/>
      <c r="AB529" s="152"/>
      <c r="AC529" s="152"/>
      <c r="AD529" s="152"/>
      <c r="AE529" s="152"/>
      <c r="AF529" s="152"/>
      <c r="AG529" s="144"/>
      <c r="AH529" s="144"/>
      <c r="AI529" s="144"/>
      <c r="AJ529" s="144"/>
      <c r="AK529" s="144"/>
    </row>
    <row r="530" ht="22.5" customHeight="1">
      <c r="A530" s="184"/>
      <c r="B530" s="184"/>
      <c r="C530" s="184"/>
      <c r="D530" s="184"/>
      <c r="E530" s="184"/>
      <c r="F530" s="184"/>
      <c r="G530" s="184"/>
      <c r="H530" s="184"/>
      <c r="I530" s="184"/>
      <c r="J530" s="184"/>
      <c r="K530" s="184"/>
      <c r="L530" s="184"/>
      <c r="M530" s="184"/>
      <c r="N530" s="184"/>
      <c r="O530" s="184"/>
      <c r="P530" s="184"/>
      <c r="Q530" s="184"/>
      <c r="R530" s="184"/>
      <c r="S530" s="184"/>
      <c r="T530" s="145"/>
      <c r="U530" s="151"/>
      <c r="V530" s="145"/>
      <c r="W530" s="145"/>
      <c r="X530" s="145"/>
      <c r="Y530" s="145"/>
      <c r="Z530" s="145"/>
      <c r="AA530" s="145"/>
      <c r="AB530" s="145"/>
      <c r="AC530" s="145"/>
      <c r="AD530" s="145"/>
      <c r="AE530" s="145"/>
      <c r="AF530" s="145"/>
      <c r="AG530" s="144"/>
      <c r="AH530" s="144"/>
      <c r="AI530" s="144"/>
      <c r="AJ530" s="144"/>
      <c r="AK530" s="144"/>
    </row>
    <row r="531" ht="22.5" customHeight="1">
      <c r="A531" s="183"/>
      <c r="B531" s="183"/>
      <c r="C531" s="183"/>
      <c r="D531" s="183"/>
      <c r="E531" s="183"/>
      <c r="F531" s="183"/>
      <c r="G531" s="183"/>
      <c r="H531" s="183"/>
      <c r="I531" s="183"/>
      <c r="J531" s="183"/>
      <c r="K531" s="183"/>
      <c r="L531" s="183"/>
      <c r="M531" s="183"/>
      <c r="N531" s="183"/>
      <c r="O531" s="183"/>
      <c r="P531" s="183"/>
      <c r="Q531" s="183"/>
      <c r="R531" s="183"/>
      <c r="S531" s="183"/>
      <c r="T531" s="152"/>
      <c r="U531" s="155"/>
      <c r="V531" s="152"/>
      <c r="W531" s="152"/>
      <c r="X531" s="152"/>
      <c r="Y531" s="152"/>
      <c r="Z531" s="152"/>
      <c r="AA531" s="152"/>
      <c r="AB531" s="152"/>
      <c r="AC531" s="152"/>
      <c r="AD531" s="152"/>
      <c r="AE531" s="152"/>
      <c r="AF531" s="152"/>
      <c r="AG531" s="144"/>
      <c r="AH531" s="144"/>
      <c r="AI531" s="144"/>
      <c r="AJ531" s="144"/>
      <c r="AK531" s="144"/>
    </row>
    <row r="532" ht="22.5" customHeight="1">
      <c r="A532" s="184"/>
      <c r="B532" s="184"/>
      <c r="C532" s="184"/>
      <c r="D532" s="184"/>
      <c r="E532" s="184"/>
      <c r="F532" s="184"/>
      <c r="G532" s="184"/>
      <c r="H532" s="184"/>
      <c r="I532" s="184"/>
      <c r="J532" s="184"/>
      <c r="K532" s="184"/>
      <c r="L532" s="184"/>
      <c r="M532" s="184"/>
      <c r="N532" s="184"/>
      <c r="O532" s="184"/>
      <c r="P532" s="184"/>
      <c r="Q532" s="184"/>
      <c r="R532" s="184"/>
      <c r="S532" s="184"/>
      <c r="T532" s="145"/>
      <c r="U532" s="151"/>
      <c r="V532" s="145"/>
      <c r="W532" s="145"/>
      <c r="X532" s="145"/>
      <c r="Y532" s="145"/>
      <c r="Z532" s="145"/>
      <c r="AA532" s="145"/>
      <c r="AB532" s="145"/>
      <c r="AC532" s="145"/>
      <c r="AD532" s="145"/>
      <c r="AE532" s="145"/>
      <c r="AF532" s="145"/>
      <c r="AG532" s="144"/>
      <c r="AH532" s="144"/>
      <c r="AI532" s="144"/>
      <c r="AJ532" s="144"/>
      <c r="AK532" s="144"/>
    </row>
    <row r="533" ht="22.5" customHeight="1">
      <c r="A533" s="183"/>
      <c r="B533" s="183"/>
      <c r="C533" s="183"/>
      <c r="D533" s="183"/>
      <c r="E533" s="183"/>
      <c r="F533" s="183"/>
      <c r="G533" s="183"/>
      <c r="H533" s="183"/>
      <c r="I533" s="183"/>
      <c r="J533" s="183"/>
      <c r="K533" s="183"/>
      <c r="L533" s="183"/>
      <c r="M533" s="183"/>
      <c r="N533" s="183"/>
      <c r="O533" s="183"/>
      <c r="P533" s="183"/>
      <c r="Q533" s="183"/>
      <c r="R533" s="183"/>
      <c r="S533" s="183"/>
      <c r="T533" s="152"/>
      <c r="U533" s="155"/>
      <c r="V533" s="152"/>
      <c r="W533" s="152"/>
      <c r="X533" s="152"/>
      <c r="Y533" s="152"/>
      <c r="Z533" s="152"/>
      <c r="AA533" s="152"/>
      <c r="AB533" s="152"/>
      <c r="AC533" s="152"/>
      <c r="AD533" s="152"/>
      <c r="AE533" s="152"/>
      <c r="AF533" s="152"/>
      <c r="AG533" s="144"/>
      <c r="AH533" s="144"/>
      <c r="AI533" s="144"/>
      <c r="AJ533" s="144"/>
      <c r="AK533" s="144"/>
    </row>
    <row r="534" ht="22.5" customHeight="1">
      <c r="A534" s="184"/>
      <c r="B534" s="184"/>
      <c r="C534" s="184"/>
      <c r="D534" s="184"/>
      <c r="E534" s="184"/>
      <c r="F534" s="184"/>
      <c r="G534" s="184"/>
      <c r="H534" s="184"/>
      <c r="I534" s="184"/>
      <c r="J534" s="184"/>
      <c r="K534" s="184"/>
      <c r="L534" s="184"/>
      <c r="M534" s="184"/>
      <c r="N534" s="184"/>
      <c r="O534" s="184"/>
      <c r="P534" s="184"/>
      <c r="Q534" s="184"/>
      <c r="R534" s="184"/>
      <c r="S534" s="184"/>
      <c r="T534" s="145"/>
      <c r="U534" s="151"/>
      <c r="V534" s="145"/>
      <c r="W534" s="145"/>
      <c r="X534" s="145"/>
      <c r="Y534" s="145"/>
      <c r="Z534" s="145"/>
      <c r="AA534" s="145"/>
      <c r="AB534" s="145"/>
      <c r="AC534" s="145"/>
      <c r="AD534" s="145"/>
      <c r="AE534" s="145"/>
      <c r="AF534" s="145"/>
      <c r="AG534" s="144"/>
      <c r="AH534" s="144"/>
      <c r="AI534" s="144"/>
      <c r="AJ534" s="144"/>
      <c r="AK534" s="144"/>
    </row>
    <row r="535" ht="22.5" customHeight="1">
      <c r="A535" s="183"/>
      <c r="B535" s="183"/>
      <c r="C535" s="183"/>
      <c r="D535" s="183"/>
      <c r="E535" s="183"/>
      <c r="F535" s="183"/>
      <c r="G535" s="183"/>
      <c r="H535" s="183"/>
      <c r="I535" s="183"/>
      <c r="J535" s="183"/>
      <c r="K535" s="183"/>
      <c r="L535" s="183"/>
      <c r="M535" s="183"/>
      <c r="N535" s="183"/>
      <c r="O535" s="183"/>
      <c r="P535" s="183"/>
      <c r="Q535" s="183"/>
      <c r="R535" s="183"/>
      <c r="S535" s="183"/>
      <c r="T535" s="152"/>
      <c r="U535" s="155"/>
      <c r="V535" s="152"/>
      <c r="W535" s="152"/>
      <c r="X535" s="152"/>
      <c r="Y535" s="152"/>
      <c r="Z535" s="152"/>
      <c r="AA535" s="152"/>
      <c r="AB535" s="152"/>
      <c r="AC535" s="152"/>
      <c r="AD535" s="152"/>
      <c r="AE535" s="152"/>
      <c r="AF535" s="152"/>
      <c r="AG535" s="144"/>
      <c r="AH535" s="144"/>
      <c r="AI535" s="144"/>
      <c r="AJ535" s="144"/>
      <c r="AK535" s="144"/>
    </row>
    <row r="536" ht="22.5" customHeight="1">
      <c r="A536" s="184"/>
      <c r="B536" s="184"/>
      <c r="C536" s="184"/>
      <c r="D536" s="184"/>
      <c r="E536" s="184"/>
      <c r="F536" s="184"/>
      <c r="G536" s="184"/>
      <c r="H536" s="184"/>
      <c r="I536" s="184"/>
      <c r="J536" s="184"/>
      <c r="K536" s="184"/>
      <c r="L536" s="184"/>
      <c r="M536" s="184"/>
      <c r="N536" s="184"/>
      <c r="O536" s="184"/>
      <c r="P536" s="184"/>
      <c r="Q536" s="184"/>
      <c r="R536" s="184"/>
      <c r="S536" s="184"/>
      <c r="T536" s="145"/>
      <c r="U536" s="151"/>
      <c r="V536" s="145"/>
      <c r="W536" s="145"/>
      <c r="X536" s="145"/>
      <c r="Y536" s="145"/>
      <c r="Z536" s="145"/>
      <c r="AA536" s="145"/>
      <c r="AB536" s="145"/>
      <c r="AC536" s="145"/>
      <c r="AD536" s="145"/>
      <c r="AE536" s="145"/>
      <c r="AF536" s="145"/>
      <c r="AG536" s="144"/>
      <c r="AH536" s="144"/>
      <c r="AI536" s="144"/>
      <c r="AJ536" s="144"/>
      <c r="AK536" s="144"/>
    </row>
    <row r="537" ht="22.5" customHeight="1">
      <c r="A537" s="183"/>
      <c r="B537" s="183"/>
      <c r="C537" s="183"/>
      <c r="D537" s="183"/>
      <c r="E537" s="183"/>
      <c r="F537" s="183"/>
      <c r="G537" s="183"/>
      <c r="H537" s="183"/>
      <c r="I537" s="183"/>
      <c r="J537" s="183"/>
      <c r="K537" s="183"/>
      <c r="L537" s="183"/>
      <c r="M537" s="183"/>
      <c r="N537" s="183"/>
      <c r="O537" s="183"/>
      <c r="P537" s="183"/>
      <c r="Q537" s="183"/>
      <c r="R537" s="183"/>
      <c r="S537" s="183"/>
      <c r="T537" s="152"/>
      <c r="U537" s="155"/>
      <c r="V537" s="152"/>
      <c r="W537" s="152"/>
      <c r="X537" s="152"/>
      <c r="Y537" s="152"/>
      <c r="Z537" s="152"/>
      <c r="AA537" s="152"/>
      <c r="AB537" s="152"/>
      <c r="AC537" s="152"/>
      <c r="AD537" s="152"/>
      <c r="AE537" s="152"/>
      <c r="AF537" s="152"/>
      <c r="AG537" s="144"/>
      <c r="AH537" s="144"/>
      <c r="AI537" s="144"/>
      <c r="AJ537" s="144"/>
      <c r="AK537" s="144"/>
    </row>
    <row r="538" ht="22.5" customHeight="1">
      <c r="A538" s="184"/>
      <c r="B538" s="184"/>
      <c r="C538" s="184"/>
      <c r="D538" s="184"/>
      <c r="E538" s="184"/>
      <c r="F538" s="184"/>
      <c r="G538" s="184"/>
      <c r="H538" s="184"/>
      <c r="I538" s="184"/>
      <c r="J538" s="184"/>
      <c r="K538" s="184"/>
      <c r="L538" s="184"/>
      <c r="M538" s="184"/>
      <c r="N538" s="184"/>
      <c r="O538" s="184"/>
      <c r="P538" s="184"/>
      <c r="Q538" s="184"/>
      <c r="R538" s="184"/>
      <c r="S538" s="184"/>
      <c r="T538" s="145"/>
      <c r="U538" s="151"/>
      <c r="V538" s="145"/>
      <c r="W538" s="145"/>
      <c r="X538" s="145"/>
      <c r="Y538" s="145"/>
      <c r="Z538" s="145"/>
      <c r="AA538" s="145"/>
      <c r="AB538" s="145"/>
      <c r="AC538" s="145"/>
      <c r="AD538" s="145"/>
      <c r="AE538" s="145"/>
      <c r="AF538" s="145"/>
      <c r="AG538" s="144"/>
      <c r="AH538" s="144"/>
      <c r="AI538" s="144"/>
      <c r="AJ538" s="144"/>
      <c r="AK538" s="144"/>
    </row>
    <row r="539" ht="22.5" customHeight="1">
      <c r="A539" s="183"/>
      <c r="B539" s="183"/>
      <c r="C539" s="183"/>
      <c r="D539" s="183"/>
      <c r="E539" s="183"/>
      <c r="F539" s="183"/>
      <c r="G539" s="183"/>
      <c r="H539" s="183"/>
      <c r="I539" s="183"/>
      <c r="J539" s="183"/>
      <c r="K539" s="183"/>
      <c r="L539" s="183"/>
      <c r="M539" s="183"/>
      <c r="N539" s="183"/>
      <c r="O539" s="183"/>
      <c r="P539" s="183"/>
      <c r="Q539" s="183"/>
      <c r="R539" s="183"/>
      <c r="S539" s="183"/>
      <c r="T539" s="152"/>
      <c r="U539" s="155"/>
      <c r="V539" s="152"/>
      <c r="W539" s="152"/>
      <c r="X539" s="152"/>
      <c r="Y539" s="152"/>
      <c r="Z539" s="152"/>
      <c r="AA539" s="152"/>
      <c r="AB539" s="152"/>
      <c r="AC539" s="152"/>
      <c r="AD539" s="152"/>
      <c r="AE539" s="152"/>
      <c r="AF539" s="152"/>
      <c r="AG539" s="144"/>
      <c r="AH539" s="144"/>
      <c r="AI539" s="144"/>
      <c r="AJ539" s="144"/>
      <c r="AK539" s="144"/>
    </row>
    <row r="540" ht="22.5" customHeight="1">
      <c r="A540" s="184"/>
      <c r="B540" s="184"/>
      <c r="C540" s="184"/>
      <c r="D540" s="184"/>
      <c r="E540" s="184"/>
      <c r="F540" s="184"/>
      <c r="G540" s="184"/>
      <c r="H540" s="184"/>
      <c r="I540" s="184"/>
      <c r="J540" s="184"/>
      <c r="K540" s="184"/>
      <c r="L540" s="184"/>
      <c r="M540" s="184"/>
      <c r="N540" s="184"/>
      <c r="O540" s="184"/>
      <c r="P540" s="184"/>
      <c r="Q540" s="184"/>
      <c r="R540" s="184"/>
      <c r="S540" s="184"/>
      <c r="T540" s="145"/>
      <c r="U540" s="151"/>
      <c r="V540" s="145"/>
      <c r="W540" s="145"/>
      <c r="X540" s="145"/>
      <c r="Y540" s="145"/>
      <c r="Z540" s="145"/>
      <c r="AA540" s="145"/>
      <c r="AB540" s="145"/>
      <c r="AC540" s="145"/>
      <c r="AD540" s="145"/>
      <c r="AE540" s="145"/>
      <c r="AF540" s="145"/>
      <c r="AG540" s="144"/>
      <c r="AH540" s="144"/>
      <c r="AI540" s="144"/>
      <c r="AJ540" s="144"/>
      <c r="AK540" s="144"/>
    </row>
    <row r="541" ht="22.5" customHeight="1">
      <c r="A541" s="183"/>
      <c r="B541" s="183"/>
      <c r="C541" s="183"/>
      <c r="D541" s="183"/>
      <c r="E541" s="183"/>
      <c r="F541" s="183"/>
      <c r="G541" s="183"/>
      <c r="H541" s="183"/>
      <c r="I541" s="183"/>
      <c r="J541" s="183"/>
      <c r="K541" s="183"/>
      <c r="L541" s="183"/>
      <c r="M541" s="183"/>
      <c r="N541" s="183"/>
      <c r="O541" s="183"/>
      <c r="P541" s="183"/>
      <c r="Q541" s="183"/>
      <c r="R541" s="183"/>
      <c r="S541" s="183"/>
      <c r="T541" s="152"/>
      <c r="U541" s="155"/>
      <c r="V541" s="152"/>
      <c r="W541" s="152"/>
      <c r="X541" s="152"/>
      <c r="Y541" s="152"/>
      <c r="Z541" s="152"/>
      <c r="AA541" s="152"/>
      <c r="AB541" s="152"/>
      <c r="AC541" s="152"/>
      <c r="AD541" s="152"/>
      <c r="AE541" s="152"/>
      <c r="AF541" s="152"/>
      <c r="AG541" s="144"/>
      <c r="AH541" s="144"/>
      <c r="AI541" s="144"/>
      <c r="AJ541" s="144"/>
      <c r="AK541" s="144"/>
    </row>
    <row r="542" ht="22.5" customHeight="1">
      <c r="A542" s="184"/>
      <c r="B542" s="184"/>
      <c r="C542" s="184"/>
      <c r="D542" s="184"/>
      <c r="E542" s="184"/>
      <c r="F542" s="184"/>
      <c r="G542" s="184"/>
      <c r="H542" s="184"/>
      <c r="I542" s="184"/>
      <c r="J542" s="184"/>
      <c r="K542" s="184"/>
      <c r="L542" s="184"/>
      <c r="M542" s="184"/>
      <c r="N542" s="184"/>
      <c r="O542" s="184"/>
      <c r="P542" s="184"/>
      <c r="Q542" s="184"/>
      <c r="R542" s="184"/>
      <c r="S542" s="184"/>
      <c r="T542" s="145"/>
      <c r="U542" s="151"/>
      <c r="V542" s="145"/>
      <c r="W542" s="145"/>
      <c r="X542" s="145"/>
      <c r="Y542" s="145"/>
      <c r="Z542" s="145"/>
      <c r="AA542" s="145"/>
      <c r="AB542" s="145"/>
      <c r="AC542" s="145"/>
      <c r="AD542" s="145"/>
      <c r="AE542" s="145"/>
      <c r="AF542" s="145"/>
      <c r="AG542" s="144"/>
      <c r="AH542" s="144"/>
      <c r="AI542" s="144"/>
      <c r="AJ542" s="144"/>
      <c r="AK542" s="144"/>
    </row>
    <row r="543" ht="22.5" customHeight="1">
      <c r="A543" s="183"/>
      <c r="B543" s="183"/>
      <c r="C543" s="183"/>
      <c r="D543" s="183"/>
      <c r="E543" s="183"/>
      <c r="F543" s="183"/>
      <c r="G543" s="183"/>
      <c r="H543" s="183"/>
      <c r="I543" s="183"/>
      <c r="J543" s="183"/>
      <c r="K543" s="183"/>
      <c r="L543" s="183"/>
      <c r="M543" s="183"/>
      <c r="N543" s="183"/>
      <c r="O543" s="183"/>
      <c r="P543" s="183"/>
      <c r="Q543" s="183"/>
      <c r="R543" s="183"/>
      <c r="S543" s="183"/>
      <c r="T543" s="152"/>
      <c r="U543" s="155"/>
      <c r="V543" s="152"/>
      <c r="W543" s="152"/>
      <c r="X543" s="152"/>
      <c r="Y543" s="152"/>
      <c r="Z543" s="152"/>
      <c r="AA543" s="152"/>
      <c r="AB543" s="152"/>
      <c r="AC543" s="152"/>
      <c r="AD543" s="152"/>
      <c r="AE543" s="152"/>
      <c r="AF543" s="152"/>
      <c r="AG543" s="144"/>
      <c r="AH543" s="144"/>
      <c r="AI543" s="144"/>
      <c r="AJ543" s="144"/>
      <c r="AK543" s="144"/>
    </row>
    <row r="544" ht="22.5" customHeight="1">
      <c r="A544" s="184"/>
      <c r="B544" s="184"/>
      <c r="C544" s="184"/>
      <c r="D544" s="184"/>
      <c r="E544" s="184"/>
      <c r="F544" s="184"/>
      <c r="G544" s="184"/>
      <c r="H544" s="184"/>
      <c r="I544" s="184"/>
      <c r="J544" s="184"/>
      <c r="K544" s="184"/>
      <c r="L544" s="184"/>
      <c r="M544" s="184"/>
      <c r="N544" s="184"/>
      <c r="O544" s="184"/>
      <c r="P544" s="184"/>
      <c r="Q544" s="184"/>
      <c r="R544" s="184"/>
      <c r="S544" s="184"/>
      <c r="T544" s="145"/>
      <c r="U544" s="151"/>
      <c r="V544" s="145"/>
      <c r="W544" s="145"/>
      <c r="X544" s="145"/>
      <c r="Y544" s="145"/>
      <c r="Z544" s="145"/>
      <c r="AA544" s="145"/>
      <c r="AB544" s="145"/>
      <c r="AC544" s="145"/>
      <c r="AD544" s="145"/>
      <c r="AE544" s="145"/>
      <c r="AF544" s="145"/>
      <c r="AG544" s="144"/>
      <c r="AH544" s="144"/>
      <c r="AI544" s="144"/>
      <c r="AJ544" s="144"/>
      <c r="AK544" s="144"/>
    </row>
    <row r="545" ht="22.5" customHeight="1">
      <c r="A545" s="183"/>
      <c r="B545" s="183"/>
      <c r="C545" s="183"/>
      <c r="D545" s="183"/>
      <c r="E545" s="183"/>
      <c r="F545" s="183"/>
      <c r="G545" s="183"/>
      <c r="H545" s="183"/>
      <c r="I545" s="183"/>
      <c r="J545" s="183"/>
      <c r="K545" s="183"/>
      <c r="L545" s="183"/>
      <c r="M545" s="183"/>
      <c r="N545" s="183"/>
      <c r="O545" s="183"/>
      <c r="P545" s="183"/>
      <c r="Q545" s="183"/>
      <c r="R545" s="183"/>
      <c r="S545" s="183"/>
      <c r="T545" s="152"/>
      <c r="U545" s="155"/>
      <c r="V545" s="152"/>
      <c r="W545" s="152"/>
      <c r="X545" s="152"/>
      <c r="Y545" s="152"/>
      <c r="Z545" s="152"/>
      <c r="AA545" s="152"/>
      <c r="AB545" s="152"/>
      <c r="AC545" s="152"/>
      <c r="AD545" s="152"/>
      <c r="AE545" s="152"/>
      <c r="AF545" s="152"/>
      <c r="AG545" s="144"/>
      <c r="AH545" s="144"/>
      <c r="AI545" s="144"/>
      <c r="AJ545" s="144"/>
      <c r="AK545" s="144"/>
    </row>
    <row r="546" ht="22.5" customHeight="1">
      <c r="A546" s="184"/>
      <c r="B546" s="184"/>
      <c r="C546" s="184"/>
      <c r="D546" s="184"/>
      <c r="E546" s="184"/>
      <c r="F546" s="184"/>
      <c r="G546" s="184"/>
      <c r="H546" s="184"/>
      <c r="I546" s="184"/>
      <c r="J546" s="184"/>
      <c r="K546" s="184"/>
      <c r="L546" s="184"/>
      <c r="M546" s="184"/>
      <c r="N546" s="184"/>
      <c r="O546" s="184"/>
      <c r="P546" s="184"/>
      <c r="Q546" s="184"/>
      <c r="R546" s="184"/>
      <c r="S546" s="184"/>
      <c r="T546" s="145"/>
      <c r="U546" s="151"/>
      <c r="V546" s="145"/>
      <c r="W546" s="145"/>
      <c r="X546" s="145"/>
      <c r="Y546" s="145"/>
      <c r="Z546" s="145"/>
      <c r="AA546" s="145"/>
      <c r="AB546" s="145"/>
      <c r="AC546" s="145"/>
      <c r="AD546" s="145"/>
      <c r="AE546" s="145"/>
      <c r="AF546" s="145"/>
      <c r="AG546" s="144"/>
      <c r="AH546" s="144"/>
      <c r="AI546" s="144"/>
      <c r="AJ546" s="144"/>
      <c r="AK546" s="144"/>
    </row>
    <row r="547" ht="22.5" customHeight="1">
      <c r="A547" s="183"/>
      <c r="B547" s="183"/>
      <c r="C547" s="183"/>
      <c r="D547" s="183"/>
      <c r="E547" s="183"/>
      <c r="F547" s="183"/>
      <c r="G547" s="183"/>
      <c r="H547" s="183"/>
      <c r="I547" s="183"/>
      <c r="J547" s="183"/>
      <c r="K547" s="183"/>
      <c r="L547" s="183"/>
      <c r="M547" s="183"/>
      <c r="N547" s="183"/>
      <c r="O547" s="183"/>
      <c r="P547" s="183"/>
      <c r="Q547" s="183"/>
      <c r="R547" s="183"/>
      <c r="S547" s="183"/>
      <c r="T547" s="152"/>
      <c r="U547" s="155"/>
      <c r="V547" s="152"/>
      <c r="W547" s="152"/>
      <c r="X547" s="152"/>
      <c r="Y547" s="152"/>
      <c r="Z547" s="152"/>
      <c r="AA547" s="152"/>
      <c r="AB547" s="152"/>
      <c r="AC547" s="152"/>
      <c r="AD547" s="152"/>
      <c r="AE547" s="152"/>
      <c r="AF547" s="152"/>
      <c r="AG547" s="144"/>
      <c r="AH547" s="144"/>
      <c r="AI547" s="144"/>
      <c r="AJ547" s="144"/>
      <c r="AK547" s="144"/>
    </row>
    <row r="548" ht="22.5" customHeight="1">
      <c r="A548" s="184"/>
      <c r="B548" s="184"/>
      <c r="C548" s="184"/>
      <c r="D548" s="184"/>
      <c r="E548" s="184"/>
      <c r="F548" s="184"/>
      <c r="G548" s="184"/>
      <c r="H548" s="184"/>
      <c r="I548" s="184"/>
      <c r="J548" s="184"/>
      <c r="K548" s="184"/>
      <c r="L548" s="184"/>
      <c r="M548" s="184"/>
      <c r="N548" s="184"/>
      <c r="O548" s="184"/>
      <c r="P548" s="184"/>
      <c r="Q548" s="184"/>
      <c r="R548" s="184"/>
      <c r="S548" s="184"/>
      <c r="T548" s="145"/>
      <c r="U548" s="151"/>
      <c r="V548" s="145"/>
      <c r="W548" s="145"/>
      <c r="X548" s="145"/>
      <c r="Y548" s="145"/>
      <c r="Z548" s="145"/>
      <c r="AA548" s="145"/>
      <c r="AB548" s="145"/>
      <c r="AC548" s="145"/>
      <c r="AD548" s="145"/>
      <c r="AE548" s="145"/>
      <c r="AF548" s="145"/>
      <c r="AG548" s="144"/>
      <c r="AH548" s="144"/>
      <c r="AI548" s="144"/>
      <c r="AJ548" s="144"/>
      <c r="AK548" s="144"/>
    </row>
    <row r="549" ht="22.5" customHeight="1">
      <c r="A549" s="183"/>
      <c r="B549" s="183"/>
      <c r="C549" s="183"/>
      <c r="D549" s="183"/>
      <c r="E549" s="183"/>
      <c r="F549" s="183"/>
      <c r="G549" s="183"/>
      <c r="H549" s="183"/>
      <c r="I549" s="183"/>
      <c r="J549" s="183"/>
      <c r="K549" s="183"/>
      <c r="L549" s="183"/>
      <c r="M549" s="183"/>
      <c r="N549" s="183"/>
      <c r="O549" s="183"/>
      <c r="P549" s="183"/>
      <c r="Q549" s="183"/>
      <c r="R549" s="183"/>
      <c r="S549" s="183"/>
      <c r="T549" s="152"/>
      <c r="U549" s="155"/>
      <c r="V549" s="152"/>
      <c r="W549" s="152"/>
      <c r="X549" s="152"/>
      <c r="Y549" s="152"/>
      <c r="Z549" s="152"/>
      <c r="AA549" s="152"/>
      <c r="AB549" s="152"/>
      <c r="AC549" s="152"/>
      <c r="AD549" s="152"/>
      <c r="AE549" s="152"/>
      <c r="AF549" s="152"/>
      <c r="AG549" s="144"/>
      <c r="AH549" s="144"/>
      <c r="AI549" s="144"/>
      <c r="AJ549" s="144"/>
      <c r="AK549" s="144"/>
    </row>
    <row r="550" ht="22.5" customHeight="1">
      <c r="A550" s="184"/>
      <c r="B550" s="184"/>
      <c r="C550" s="184"/>
      <c r="D550" s="184"/>
      <c r="E550" s="184"/>
      <c r="F550" s="184"/>
      <c r="G550" s="184"/>
      <c r="H550" s="184"/>
      <c r="I550" s="184"/>
      <c r="J550" s="184"/>
      <c r="K550" s="184"/>
      <c r="L550" s="184"/>
      <c r="M550" s="184"/>
      <c r="N550" s="184"/>
      <c r="O550" s="184"/>
      <c r="P550" s="184"/>
      <c r="Q550" s="184"/>
      <c r="R550" s="184"/>
      <c r="S550" s="184"/>
      <c r="T550" s="145"/>
      <c r="U550" s="151"/>
      <c r="V550" s="145"/>
      <c r="W550" s="145"/>
      <c r="X550" s="145"/>
      <c r="Y550" s="145"/>
      <c r="Z550" s="145"/>
      <c r="AA550" s="145"/>
      <c r="AB550" s="145"/>
      <c r="AC550" s="145"/>
      <c r="AD550" s="145"/>
      <c r="AE550" s="145"/>
      <c r="AF550" s="145"/>
      <c r="AG550" s="144"/>
      <c r="AH550" s="144"/>
      <c r="AI550" s="144"/>
      <c r="AJ550" s="144"/>
      <c r="AK550" s="144"/>
    </row>
    <row r="551" ht="22.5" customHeight="1">
      <c r="A551" s="183"/>
      <c r="B551" s="183"/>
      <c r="C551" s="183"/>
      <c r="D551" s="183"/>
      <c r="E551" s="183"/>
      <c r="F551" s="183"/>
      <c r="G551" s="183"/>
      <c r="H551" s="183"/>
      <c r="I551" s="183"/>
      <c r="J551" s="183"/>
      <c r="K551" s="183"/>
      <c r="L551" s="183"/>
      <c r="M551" s="183"/>
      <c r="N551" s="183"/>
      <c r="O551" s="183"/>
      <c r="P551" s="183"/>
      <c r="Q551" s="183"/>
      <c r="R551" s="183"/>
      <c r="S551" s="183"/>
      <c r="T551" s="152"/>
      <c r="U551" s="155"/>
      <c r="V551" s="152"/>
      <c r="W551" s="152"/>
      <c r="X551" s="152"/>
      <c r="Y551" s="152"/>
      <c r="Z551" s="152"/>
      <c r="AA551" s="152"/>
      <c r="AB551" s="152"/>
      <c r="AC551" s="152"/>
      <c r="AD551" s="152"/>
      <c r="AE551" s="152"/>
      <c r="AF551" s="152"/>
      <c r="AG551" s="144"/>
      <c r="AH551" s="144"/>
      <c r="AI551" s="144"/>
      <c r="AJ551" s="144"/>
      <c r="AK551" s="144"/>
    </row>
    <row r="552" ht="22.5" customHeight="1">
      <c r="A552" s="184"/>
      <c r="B552" s="184"/>
      <c r="C552" s="184"/>
      <c r="D552" s="184"/>
      <c r="E552" s="184"/>
      <c r="F552" s="184"/>
      <c r="G552" s="184"/>
      <c r="H552" s="184"/>
      <c r="I552" s="184"/>
      <c r="J552" s="184"/>
      <c r="K552" s="184"/>
      <c r="L552" s="184"/>
      <c r="M552" s="184"/>
      <c r="N552" s="184"/>
      <c r="O552" s="184"/>
      <c r="P552" s="184"/>
      <c r="Q552" s="184"/>
      <c r="R552" s="184"/>
      <c r="S552" s="184"/>
      <c r="T552" s="145"/>
      <c r="U552" s="151"/>
      <c r="V552" s="145"/>
      <c r="W552" s="145"/>
      <c r="X552" s="145"/>
      <c r="Y552" s="145"/>
      <c r="Z552" s="145"/>
      <c r="AA552" s="145"/>
      <c r="AB552" s="145"/>
      <c r="AC552" s="145"/>
      <c r="AD552" s="145"/>
      <c r="AE552" s="145"/>
      <c r="AF552" s="145"/>
      <c r="AG552" s="144"/>
      <c r="AH552" s="144"/>
      <c r="AI552" s="144"/>
      <c r="AJ552" s="144"/>
      <c r="AK552" s="144"/>
    </row>
    <row r="553" ht="22.5" customHeight="1">
      <c r="A553" s="183"/>
      <c r="B553" s="183"/>
      <c r="C553" s="183"/>
      <c r="D553" s="183"/>
      <c r="E553" s="183"/>
      <c r="F553" s="183"/>
      <c r="G553" s="183"/>
      <c r="H553" s="183"/>
      <c r="I553" s="183"/>
      <c r="J553" s="183"/>
      <c r="K553" s="183"/>
      <c r="L553" s="183"/>
      <c r="M553" s="183"/>
      <c r="N553" s="183"/>
      <c r="O553" s="183"/>
      <c r="P553" s="183"/>
      <c r="Q553" s="183"/>
      <c r="R553" s="183"/>
      <c r="S553" s="183"/>
      <c r="T553" s="152"/>
      <c r="U553" s="155"/>
      <c r="V553" s="152"/>
      <c r="W553" s="152"/>
      <c r="X553" s="152"/>
      <c r="Y553" s="152"/>
      <c r="Z553" s="152"/>
      <c r="AA553" s="152"/>
      <c r="AB553" s="152"/>
      <c r="AC553" s="152"/>
      <c r="AD553" s="152"/>
      <c r="AE553" s="152"/>
      <c r="AF553" s="152"/>
      <c r="AG553" s="144"/>
      <c r="AH553" s="144"/>
      <c r="AI553" s="144"/>
      <c r="AJ553" s="144"/>
      <c r="AK553" s="144"/>
    </row>
    <row r="554" ht="22.5" customHeight="1">
      <c r="A554" s="184"/>
      <c r="B554" s="184"/>
      <c r="C554" s="184"/>
      <c r="D554" s="184"/>
      <c r="E554" s="184"/>
      <c r="F554" s="184"/>
      <c r="G554" s="184"/>
      <c r="H554" s="184"/>
      <c r="I554" s="184"/>
      <c r="J554" s="184"/>
      <c r="K554" s="184"/>
      <c r="L554" s="184"/>
      <c r="M554" s="184"/>
      <c r="N554" s="184"/>
      <c r="O554" s="184"/>
      <c r="P554" s="184"/>
      <c r="Q554" s="184"/>
      <c r="R554" s="184"/>
      <c r="S554" s="184"/>
      <c r="T554" s="145"/>
      <c r="U554" s="151"/>
      <c r="V554" s="145"/>
      <c r="W554" s="145"/>
      <c r="X554" s="145"/>
      <c r="Y554" s="145"/>
      <c r="Z554" s="145"/>
      <c r="AA554" s="145"/>
      <c r="AB554" s="145"/>
      <c r="AC554" s="145"/>
      <c r="AD554" s="145"/>
      <c r="AE554" s="145"/>
      <c r="AF554" s="145"/>
      <c r="AG554" s="144"/>
      <c r="AH554" s="144"/>
      <c r="AI554" s="144"/>
      <c r="AJ554" s="144"/>
      <c r="AK554" s="144"/>
    </row>
    <row r="555" ht="22.5" customHeight="1">
      <c r="A555" s="183"/>
      <c r="B555" s="183"/>
      <c r="C555" s="183"/>
      <c r="D555" s="183"/>
      <c r="E555" s="183"/>
      <c r="F555" s="183"/>
      <c r="G555" s="183"/>
      <c r="H555" s="183"/>
      <c r="I555" s="183"/>
      <c r="J555" s="183"/>
      <c r="K555" s="183"/>
      <c r="L555" s="183"/>
      <c r="M555" s="183"/>
      <c r="N555" s="183"/>
      <c r="O555" s="183"/>
      <c r="P555" s="183"/>
      <c r="Q555" s="183"/>
      <c r="R555" s="183"/>
      <c r="S555" s="183"/>
      <c r="T555" s="152"/>
      <c r="U555" s="155"/>
      <c r="V555" s="152"/>
      <c r="W555" s="152"/>
      <c r="X555" s="152"/>
      <c r="Y555" s="152"/>
      <c r="Z555" s="152"/>
      <c r="AA555" s="152"/>
      <c r="AB555" s="152"/>
      <c r="AC555" s="152"/>
      <c r="AD555" s="152"/>
      <c r="AE555" s="152"/>
      <c r="AF555" s="152"/>
      <c r="AG555" s="144"/>
      <c r="AH555" s="144"/>
      <c r="AI555" s="144"/>
      <c r="AJ555" s="144"/>
      <c r="AK555" s="144"/>
    </row>
    <row r="556" ht="22.5" customHeight="1">
      <c r="A556" s="184"/>
      <c r="B556" s="184"/>
      <c r="C556" s="184"/>
      <c r="D556" s="184"/>
      <c r="E556" s="184"/>
      <c r="F556" s="184"/>
      <c r="G556" s="184"/>
      <c r="H556" s="184"/>
      <c r="I556" s="184"/>
      <c r="J556" s="184"/>
      <c r="K556" s="184"/>
      <c r="L556" s="184"/>
      <c r="M556" s="184"/>
      <c r="N556" s="184"/>
      <c r="O556" s="184"/>
      <c r="P556" s="184"/>
      <c r="Q556" s="184"/>
      <c r="R556" s="184"/>
      <c r="S556" s="184"/>
      <c r="T556" s="145"/>
      <c r="U556" s="151"/>
      <c r="V556" s="145"/>
      <c r="W556" s="145"/>
      <c r="X556" s="145"/>
      <c r="Y556" s="145"/>
      <c r="Z556" s="145"/>
      <c r="AA556" s="145"/>
      <c r="AB556" s="145"/>
      <c r="AC556" s="145"/>
      <c r="AD556" s="145"/>
      <c r="AE556" s="145"/>
      <c r="AF556" s="145"/>
      <c r="AG556" s="144"/>
      <c r="AH556" s="144"/>
      <c r="AI556" s="144"/>
      <c r="AJ556" s="144"/>
      <c r="AK556" s="144"/>
    </row>
    <row r="557" ht="22.5" customHeight="1">
      <c r="A557" s="183"/>
      <c r="B557" s="183"/>
      <c r="C557" s="183"/>
      <c r="D557" s="183"/>
      <c r="E557" s="183"/>
      <c r="F557" s="183"/>
      <c r="G557" s="183"/>
      <c r="H557" s="183"/>
      <c r="I557" s="183"/>
      <c r="J557" s="183"/>
      <c r="K557" s="183"/>
      <c r="L557" s="183"/>
      <c r="M557" s="183"/>
      <c r="N557" s="183"/>
      <c r="O557" s="183"/>
      <c r="P557" s="183"/>
      <c r="Q557" s="183"/>
      <c r="R557" s="183"/>
      <c r="S557" s="183"/>
      <c r="T557" s="152"/>
      <c r="U557" s="155"/>
      <c r="V557" s="152"/>
      <c r="W557" s="152"/>
      <c r="X557" s="152"/>
      <c r="Y557" s="152"/>
      <c r="Z557" s="152"/>
      <c r="AA557" s="152"/>
      <c r="AB557" s="152"/>
      <c r="AC557" s="152"/>
      <c r="AD557" s="152"/>
      <c r="AE557" s="152"/>
      <c r="AF557" s="152"/>
      <c r="AG557" s="144"/>
      <c r="AH557" s="144"/>
      <c r="AI557" s="144"/>
      <c r="AJ557" s="144"/>
      <c r="AK557" s="144"/>
    </row>
    <row r="558" ht="22.5" customHeight="1">
      <c r="A558" s="184"/>
      <c r="B558" s="184"/>
      <c r="C558" s="184"/>
      <c r="D558" s="184"/>
      <c r="E558" s="184"/>
      <c r="F558" s="184"/>
      <c r="G558" s="184"/>
      <c r="H558" s="184"/>
      <c r="I558" s="184"/>
      <c r="J558" s="184"/>
      <c r="K558" s="184"/>
      <c r="L558" s="184"/>
      <c r="M558" s="184"/>
      <c r="N558" s="184"/>
      <c r="O558" s="184"/>
      <c r="P558" s="184"/>
      <c r="Q558" s="184"/>
      <c r="R558" s="184"/>
      <c r="S558" s="184"/>
      <c r="T558" s="145"/>
      <c r="U558" s="151"/>
      <c r="V558" s="145"/>
      <c r="W558" s="145"/>
      <c r="X558" s="145"/>
      <c r="Y558" s="145"/>
      <c r="Z558" s="145"/>
      <c r="AA558" s="145"/>
      <c r="AB558" s="145"/>
      <c r="AC558" s="145"/>
      <c r="AD558" s="145"/>
      <c r="AE558" s="145"/>
      <c r="AF558" s="145"/>
      <c r="AG558" s="144"/>
      <c r="AH558" s="144"/>
      <c r="AI558" s="144"/>
      <c r="AJ558" s="144"/>
      <c r="AK558" s="144"/>
    </row>
    <row r="559" ht="22.5" customHeight="1">
      <c r="A559" s="183"/>
      <c r="B559" s="183"/>
      <c r="C559" s="183"/>
      <c r="D559" s="183"/>
      <c r="E559" s="183"/>
      <c r="F559" s="183"/>
      <c r="G559" s="183"/>
      <c r="H559" s="183"/>
      <c r="I559" s="183"/>
      <c r="J559" s="183"/>
      <c r="K559" s="183"/>
      <c r="L559" s="183"/>
      <c r="M559" s="183"/>
      <c r="N559" s="183"/>
      <c r="O559" s="183"/>
      <c r="P559" s="183"/>
      <c r="Q559" s="183"/>
      <c r="R559" s="183"/>
      <c r="S559" s="183"/>
      <c r="T559" s="152"/>
      <c r="U559" s="155"/>
      <c r="V559" s="152"/>
      <c r="W559" s="152"/>
      <c r="X559" s="152"/>
      <c r="Y559" s="152"/>
      <c r="Z559" s="152"/>
      <c r="AA559" s="152"/>
      <c r="AB559" s="152"/>
      <c r="AC559" s="152"/>
      <c r="AD559" s="152"/>
      <c r="AE559" s="152"/>
      <c r="AF559" s="152"/>
      <c r="AG559" s="144"/>
      <c r="AH559" s="144"/>
      <c r="AI559" s="144"/>
      <c r="AJ559" s="144"/>
      <c r="AK559" s="144"/>
    </row>
    <row r="560" ht="22.5" customHeight="1">
      <c r="A560" s="184"/>
      <c r="B560" s="184"/>
      <c r="C560" s="184"/>
      <c r="D560" s="184"/>
      <c r="E560" s="184"/>
      <c r="F560" s="184"/>
      <c r="G560" s="184"/>
      <c r="H560" s="184"/>
      <c r="I560" s="184"/>
      <c r="J560" s="184"/>
      <c r="K560" s="184"/>
      <c r="L560" s="184"/>
      <c r="M560" s="184"/>
      <c r="N560" s="184"/>
      <c r="O560" s="184"/>
      <c r="P560" s="184"/>
      <c r="Q560" s="184"/>
      <c r="R560" s="184"/>
      <c r="S560" s="184"/>
      <c r="T560" s="145"/>
      <c r="U560" s="151"/>
      <c r="V560" s="145"/>
      <c r="W560" s="145"/>
      <c r="X560" s="145"/>
      <c r="Y560" s="145"/>
      <c r="Z560" s="145"/>
      <c r="AA560" s="145"/>
      <c r="AB560" s="145"/>
      <c r="AC560" s="145"/>
      <c r="AD560" s="145"/>
      <c r="AE560" s="145"/>
      <c r="AF560" s="145"/>
      <c r="AG560" s="144"/>
      <c r="AH560" s="144"/>
      <c r="AI560" s="144"/>
      <c r="AJ560" s="144"/>
      <c r="AK560" s="144"/>
    </row>
    <row r="561" ht="22.5" customHeight="1">
      <c r="A561" s="183"/>
      <c r="B561" s="183"/>
      <c r="C561" s="183"/>
      <c r="D561" s="183"/>
      <c r="E561" s="183"/>
      <c r="F561" s="183"/>
      <c r="G561" s="183"/>
      <c r="H561" s="183"/>
      <c r="I561" s="183"/>
      <c r="J561" s="183"/>
      <c r="K561" s="183"/>
      <c r="L561" s="183"/>
      <c r="M561" s="183"/>
      <c r="N561" s="183"/>
      <c r="O561" s="183"/>
      <c r="P561" s="183"/>
      <c r="Q561" s="183"/>
      <c r="R561" s="183"/>
      <c r="S561" s="183"/>
      <c r="T561" s="152"/>
      <c r="U561" s="155"/>
      <c r="V561" s="152"/>
      <c r="W561" s="152"/>
      <c r="X561" s="152"/>
      <c r="Y561" s="152"/>
      <c r="Z561" s="152"/>
      <c r="AA561" s="152"/>
      <c r="AB561" s="152"/>
      <c r="AC561" s="152"/>
      <c r="AD561" s="152"/>
      <c r="AE561" s="152"/>
      <c r="AF561" s="152"/>
      <c r="AG561" s="144"/>
      <c r="AH561" s="144"/>
      <c r="AI561" s="144"/>
      <c r="AJ561" s="144"/>
      <c r="AK561" s="144"/>
    </row>
    <row r="562" ht="22.5" customHeight="1">
      <c r="A562" s="184"/>
      <c r="B562" s="184"/>
      <c r="C562" s="184"/>
      <c r="D562" s="184"/>
      <c r="E562" s="184"/>
      <c r="F562" s="184"/>
      <c r="G562" s="184"/>
      <c r="H562" s="184"/>
      <c r="I562" s="184"/>
      <c r="J562" s="184"/>
      <c r="K562" s="184"/>
      <c r="L562" s="184"/>
      <c r="M562" s="184"/>
      <c r="N562" s="184"/>
      <c r="O562" s="184"/>
      <c r="P562" s="184"/>
      <c r="Q562" s="184"/>
      <c r="R562" s="184"/>
      <c r="S562" s="184"/>
      <c r="T562" s="145"/>
      <c r="U562" s="151"/>
      <c r="V562" s="145"/>
      <c r="W562" s="145"/>
      <c r="X562" s="145"/>
      <c r="Y562" s="145"/>
      <c r="Z562" s="145"/>
      <c r="AA562" s="145"/>
      <c r="AB562" s="145"/>
      <c r="AC562" s="145"/>
      <c r="AD562" s="145"/>
      <c r="AE562" s="145"/>
      <c r="AF562" s="145"/>
      <c r="AG562" s="144"/>
      <c r="AH562" s="144"/>
      <c r="AI562" s="144"/>
      <c r="AJ562" s="144"/>
      <c r="AK562" s="144"/>
    </row>
    <row r="563" ht="22.5" customHeight="1">
      <c r="A563" s="183"/>
      <c r="B563" s="183"/>
      <c r="C563" s="183"/>
      <c r="D563" s="183"/>
      <c r="E563" s="183"/>
      <c r="F563" s="183"/>
      <c r="G563" s="183"/>
      <c r="H563" s="183"/>
      <c r="I563" s="183"/>
      <c r="J563" s="183"/>
      <c r="K563" s="183"/>
      <c r="L563" s="183"/>
      <c r="M563" s="183"/>
      <c r="N563" s="183"/>
      <c r="O563" s="183"/>
      <c r="P563" s="183"/>
      <c r="Q563" s="183"/>
      <c r="R563" s="183"/>
      <c r="S563" s="183"/>
      <c r="T563" s="152"/>
      <c r="U563" s="155"/>
      <c r="V563" s="152"/>
      <c r="W563" s="152"/>
      <c r="X563" s="152"/>
      <c r="Y563" s="152"/>
      <c r="Z563" s="152"/>
      <c r="AA563" s="152"/>
      <c r="AB563" s="152"/>
      <c r="AC563" s="152"/>
      <c r="AD563" s="152"/>
      <c r="AE563" s="152"/>
      <c r="AF563" s="152"/>
      <c r="AG563" s="144"/>
      <c r="AH563" s="144"/>
      <c r="AI563" s="144"/>
      <c r="AJ563" s="144"/>
      <c r="AK563" s="144"/>
    </row>
    <row r="564" ht="22.5" customHeight="1">
      <c r="A564" s="184"/>
      <c r="B564" s="184"/>
      <c r="C564" s="184"/>
      <c r="D564" s="184"/>
      <c r="E564" s="184"/>
      <c r="F564" s="184"/>
      <c r="G564" s="184"/>
      <c r="H564" s="184"/>
      <c r="I564" s="184"/>
      <c r="J564" s="184"/>
      <c r="K564" s="184"/>
      <c r="L564" s="184"/>
      <c r="M564" s="184"/>
      <c r="N564" s="184"/>
      <c r="O564" s="184"/>
      <c r="P564" s="184"/>
      <c r="Q564" s="184"/>
      <c r="R564" s="184"/>
      <c r="S564" s="184"/>
      <c r="T564" s="145"/>
      <c r="U564" s="151"/>
      <c r="V564" s="145"/>
      <c r="W564" s="145"/>
      <c r="X564" s="145"/>
      <c r="Y564" s="145"/>
      <c r="Z564" s="145"/>
      <c r="AA564" s="145"/>
      <c r="AB564" s="145"/>
      <c r="AC564" s="145"/>
      <c r="AD564" s="145"/>
      <c r="AE564" s="145"/>
      <c r="AF564" s="145"/>
      <c r="AG564" s="144"/>
      <c r="AH564" s="144"/>
      <c r="AI564" s="144"/>
      <c r="AJ564" s="144"/>
      <c r="AK564" s="144"/>
    </row>
    <row r="565" ht="22.5" customHeight="1">
      <c r="A565" s="183"/>
      <c r="B565" s="183"/>
      <c r="C565" s="183"/>
      <c r="D565" s="183"/>
      <c r="E565" s="183"/>
      <c r="F565" s="183"/>
      <c r="G565" s="183"/>
      <c r="H565" s="183"/>
      <c r="I565" s="183"/>
      <c r="J565" s="183"/>
      <c r="K565" s="183"/>
      <c r="L565" s="183"/>
      <c r="M565" s="183"/>
      <c r="N565" s="183"/>
      <c r="O565" s="183"/>
      <c r="P565" s="183"/>
      <c r="Q565" s="183"/>
      <c r="R565" s="183"/>
      <c r="S565" s="183"/>
      <c r="T565" s="152"/>
      <c r="U565" s="155"/>
      <c r="V565" s="152"/>
      <c r="W565" s="152"/>
      <c r="X565" s="152"/>
      <c r="Y565" s="152"/>
      <c r="Z565" s="152"/>
      <c r="AA565" s="152"/>
      <c r="AB565" s="152"/>
      <c r="AC565" s="152"/>
      <c r="AD565" s="152"/>
      <c r="AE565" s="152"/>
      <c r="AF565" s="152"/>
      <c r="AG565" s="144"/>
      <c r="AH565" s="144"/>
      <c r="AI565" s="144"/>
      <c r="AJ565" s="144"/>
      <c r="AK565" s="144"/>
    </row>
    <row r="566" ht="22.5" customHeight="1">
      <c r="A566" s="184"/>
      <c r="B566" s="184"/>
      <c r="C566" s="184"/>
      <c r="D566" s="184"/>
      <c r="E566" s="184"/>
      <c r="F566" s="184"/>
      <c r="G566" s="184"/>
      <c r="H566" s="184"/>
      <c r="I566" s="184"/>
      <c r="J566" s="184"/>
      <c r="K566" s="184"/>
      <c r="L566" s="184"/>
      <c r="M566" s="184"/>
      <c r="N566" s="184"/>
      <c r="O566" s="184"/>
      <c r="P566" s="184"/>
      <c r="Q566" s="184"/>
      <c r="R566" s="184"/>
      <c r="S566" s="184"/>
      <c r="T566" s="145"/>
      <c r="U566" s="151"/>
      <c r="V566" s="145"/>
      <c r="W566" s="145"/>
      <c r="X566" s="145"/>
      <c r="Y566" s="145"/>
      <c r="Z566" s="145"/>
      <c r="AA566" s="145"/>
      <c r="AB566" s="145"/>
      <c r="AC566" s="145"/>
      <c r="AD566" s="145"/>
      <c r="AE566" s="145"/>
      <c r="AF566" s="145"/>
      <c r="AG566" s="144"/>
      <c r="AH566" s="144"/>
      <c r="AI566" s="144"/>
      <c r="AJ566" s="144"/>
      <c r="AK566" s="144"/>
    </row>
    <row r="567" ht="22.5" customHeight="1">
      <c r="A567" s="183"/>
      <c r="B567" s="183"/>
      <c r="C567" s="183"/>
      <c r="D567" s="183"/>
      <c r="E567" s="183"/>
      <c r="F567" s="183"/>
      <c r="G567" s="183"/>
      <c r="H567" s="183"/>
      <c r="I567" s="183"/>
      <c r="J567" s="183"/>
      <c r="K567" s="183"/>
      <c r="L567" s="183"/>
      <c r="M567" s="183"/>
      <c r="N567" s="183"/>
      <c r="O567" s="183"/>
      <c r="P567" s="183"/>
      <c r="Q567" s="183"/>
      <c r="R567" s="183"/>
      <c r="S567" s="183"/>
      <c r="T567" s="152"/>
      <c r="U567" s="155"/>
      <c r="V567" s="152"/>
      <c r="W567" s="152"/>
      <c r="X567" s="152"/>
      <c r="Y567" s="152"/>
      <c r="Z567" s="152"/>
      <c r="AA567" s="152"/>
      <c r="AB567" s="152"/>
      <c r="AC567" s="152"/>
      <c r="AD567" s="152"/>
      <c r="AE567" s="152"/>
      <c r="AF567" s="152"/>
      <c r="AG567" s="144"/>
      <c r="AH567" s="144"/>
      <c r="AI567" s="144"/>
      <c r="AJ567" s="144"/>
      <c r="AK567" s="144"/>
    </row>
    <row r="568" ht="22.5" customHeight="1">
      <c r="A568" s="184"/>
      <c r="B568" s="184"/>
      <c r="C568" s="184"/>
      <c r="D568" s="184"/>
      <c r="E568" s="184"/>
      <c r="F568" s="184"/>
      <c r="G568" s="184"/>
      <c r="H568" s="184"/>
      <c r="I568" s="184"/>
      <c r="J568" s="184"/>
      <c r="K568" s="184"/>
      <c r="L568" s="184"/>
      <c r="M568" s="184"/>
      <c r="N568" s="184"/>
      <c r="O568" s="184"/>
      <c r="P568" s="184"/>
      <c r="Q568" s="184"/>
      <c r="R568" s="184"/>
      <c r="S568" s="184"/>
      <c r="T568" s="145"/>
      <c r="U568" s="151"/>
      <c r="V568" s="145"/>
      <c r="W568" s="145"/>
      <c r="X568" s="145"/>
      <c r="Y568" s="145"/>
      <c r="Z568" s="145"/>
      <c r="AA568" s="145"/>
      <c r="AB568" s="145"/>
      <c r="AC568" s="145"/>
      <c r="AD568" s="145"/>
      <c r="AE568" s="145"/>
      <c r="AF568" s="145"/>
      <c r="AG568" s="144"/>
      <c r="AH568" s="144"/>
      <c r="AI568" s="144"/>
      <c r="AJ568" s="144"/>
      <c r="AK568" s="144"/>
    </row>
    <row r="569" ht="22.5" customHeight="1">
      <c r="A569" s="183"/>
      <c r="B569" s="183"/>
      <c r="C569" s="183"/>
      <c r="D569" s="183"/>
      <c r="E569" s="183"/>
      <c r="F569" s="183"/>
      <c r="G569" s="183"/>
      <c r="H569" s="183"/>
      <c r="I569" s="183"/>
      <c r="J569" s="183"/>
      <c r="K569" s="183"/>
      <c r="L569" s="183"/>
      <c r="M569" s="183"/>
      <c r="N569" s="183"/>
      <c r="O569" s="183"/>
      <c r="P569" s="183"/>
      <c r="Q569" s="183"/>
      <c r="R569" s="183"/>
      <c r="S569" s="183"/>
      <c r="T569" s="152"/>
      <c r="U569" s="155"/>
      <c r="V569" s="152"/>
      <c r="W569" s="152"/>
      <c r="X569" s="152"/>
      <c r="Y569" s="152"/>
      <c r="Z569" s="152"/>
      <c r="AA569" s="152"/>
      <c r="AB569" s="152"/>
      <c r="AC569" s="152"/>
      <c r="AD569" s="152"/>
      <c r="AE569" s="152"/>
      <c r="AF569" s="152"/>
      <c r="AG569" s="144"/>
      <c r="AH569" s="144"/>
      <c r="AI569" s="144"/>
      <c r="AJ569" s="144"/>
      <c r="AK569" s="144"/>
    </row>
    <row r="570" ht="22.5" customHeight="1">
      <c r="A570" s="184"/>
      <c r="B570" s="184"/>
      <c r="C570" s="184"/>
      <c r="D570" s="184"/>
      <c r="E570" s="184"/>
      <c r="F570" s="184"/>
      <c r="G570" s="184"/>
      <c r="H570" s="184"/>
      <c r="I570" s="184"/>
      <c r="J570" s="184"/>
      <c r="K570" s="184"/>
      <c r="L570" s="184"/>
      <c r="M570" s="184"/>
      <c r="N570" s="184"/>
      <c r="O570" s="184"/>
      <c r="P570" s="184"/>
      <c r="Q570" s="184"/>
      <c r="R570" s="184"/>
      <c r="S570" s="184"/>
      <c r="T570" s="145"/>
      <c r="U570" s="151"/>
      <c r="V570" s="145"/>
      <c r="W570" s="145"/>
      <c r="X570" s="145"/>
      <c r="Y570" s="145"/>
      <c r="Z570" s="145"/>
      <c r="AA570" s="145"/>
      <c r="AB570" s="145"/>
      <c r="AC570" s="145"/>
      <c r="AD570" s="145"/>
      <c r="AE570" s="145"/>
      <c r="AF570" s="145"/>
      <c r="AG570" s="144"/>
      <c r="AH570" s="144"/>
      <c r="AI570" s="144"/>
      <c r="AJ570" s="144"/>
      <c r="AK570" s="144"/>
    </row>
    <row r="571" ht="22.5" customHeight="1">
      <c r="A571" s="183"/>
      <c r="B571" s="183"/>
      <c r="C571" s="183"/>
      <c r="D571" s="183"/>
      <c r="E571" s="183"/>
      <c r="F571" s="183"/>
      <c r="G571" s="183"/>
      <c r="H571" s="183"/>
      <c r="I571" s="183"/>
      <c r="J571" s="183"/>
      <c r="K571" s="183"/>
      <c r="L571" s="183"/>
      <c r="M571" s="183"/>
      <c r="N571" s="183"/>
      <c r="O571" s="183"/>
      <c r="P571" s="183"/>
      <c r="Q571" s="183"/>
      <c r="R571" s="183"/>
      <c r="S571" s="183"/>
      <c r="T571" s="152"/>
      <c r="U571" s="155"/>
      <c r="V571" s="152"/>
      <c r="W571" s="152"/>
      <c r="X571" s="152"/>
      <c r="Y571" s="152"/>
      <c r="Z571" s="152"/>
      <c r="AA571" s="152"/>
      <c r="AB571" s="152"/>
      <c r="AC571" s="152"/>
      <c r="AD571" s="152"/>
      <c r="AE571" s="152"/>
      <c r="AF571" s="152"/>
      <c r="AG571" s="144"/>
      <c r="AH571" s="144"/>
      <c r="AI571" s="144"/>
      <c r="AJ571" s="144"/>
      <c r="AK571" s="144"/>
    </row>
    <row r="572" ht="22.5" customHeight="1">
      <c r="A572" s="184"/>
      <c r="B572" s="184"/>
      <c r="C572" s="184"/>
      <c r="D572" s="184"/>
      <c r="E572" s="184"/>
      <c r="F572" s="184"/>
      <c r="G572" s="184"/>
      <c r="H572" s="184"/>
      <c r="I572" s="184"/>
      <c r="J572" s="184"/>
      <c r="K572" s="184"/>
      <c r="L572" s="184"/>
      <c r="M572" s="184"/>
      <c r="N572" s="184"/>
      <c r="O572" s="184"/>
      <c r="P572" s="184"/>
      <c r="Q572" s="184"/>
      <c r="R572" s="184"/>
      <c r="S572" s="184"/>
      <c r="T572" s="145"/>
      <c r="U572" s="151"/>
      <c r="V572" s="145"/>
      <c r="W572" s="145"/>
      <c r="X572" s="145"/>
      <c r="Y572" s="145"/>
      <c r="Z572" s="145"/>
      <c r="AA572" s="145"/>
      <c r="AB572" s="145"/>
      <c r="AC572" s="145"/>
      <c r="AD572" s="145"/>
      <c r="AE572" s="145"/>
      <c r="AF572" s="145"/>
      <c r="AG572" s="144"/>
      <c r="AH572" s="144"/>
      <c r="AI572" s="144"/>
      <c r="AJ572" s="144"/>
      <c r="AK572" s="144"/>
    </row>
    <row r="573" ht="22.5" customHeight="1">
      <c r="A573" s="183"/>
      <c r="B573" s="183"/>
      <c r="C573" s="183"/>
      <c r="D573" s="183"/>
      <c r="E573" s="183"/>
      <c r="F573" s="183"/>
      <c r="G573" s="183"/>
      <c r="H573" s="183"/>
      <c r="I573" s="183"/>
      <c r="J573" s="183"/>
      <c r="K573" s="183"/>
      <c r="L573" s="183"/>
      <c r="M573" s="183"/>
      <c r="N573" s="183"/>
      <c r="O573" s="183"/>
      <c r="P573" s="183"/>
      <c r="Q573" s="183"/>
      <c r="R573" s="183"/>
      <c r="S573" s="183"/>
      <c r="T573" s="152"/>
      <c r="U573" s="155"/>
      <c r="V573" s="152"/>
      <c r="W573" s="152"/>
      <c r="X573" s="152"/>
      <c r="Y573" s="152"/>
      <c r="Z573" s="152"/>
      <c r="AA573" s="152"/>
      <c r="AB573" s="152"/>
      <c r="AC573" s="152"/>
      <c r="AD573" s="152"/>
      <c r="AE573" s="152"/>
      <c r="AF573" s="152"/>
      <c r="AG573" s="144"/>
      <c r="AH573" s="144"/>
      <c r="AI573" s="144"/>
      <c r="AJ573" s="144"/>
      <c r="AK573" s="144"/>
    </row>
    <row r="574" ht="22.5" customHeight="1">
      <c r="A574" s="184"/>
      <c r="B574" s="184"/>
      <c r="C574" s="184"/>
      <c r="D574" s="184"/>
      <c r="E574" s="184"/>
      <c r="F574" s="184"/>
      <c r="G574" s="184"/>
      <c r="H574" s="184"/>
      <c r="I574" s="184"/>
      <c r="J574" s="184"/>
      <c r="K574" s="184"/>
      <c r="L574" s="184"/>
      <c r="M574" s="184"/>
      <c r="N574" s="184"/>
      <c r="O574" s="184"/>
      <c r="P574" s="184"/>
      <c r="Q574" s="184"/>
      <c r="R574" s="184"/>
      <c r="S574" s="184"/>
      <c r="T574" s="145"/>
      <c r="U574" s="151"/>
      <c r="V574" s="145"/>
      <c r="W574" s="145"/>
      <c r="X574" s="145"/>
      <c r="Y574" s="145"/>
      <c r="Z574" s="145"/>
      <c r="AA574" s="145"/>
      <c r="AB574" s="145"/>
      <c r="AC574" s="145"/>
      <c r="AD574" s="145"/>
      <c r="AE574" s="145"/>
      <c r="AF574" s="145"/>
      <c r="AG574" s="144"/>
      <c r="AH574" s="144"/>
      <c r="AI574" s="144"/>
      <c r="AJ574" s="144"/>
      <c r="AK574" s="144"/>
    </row>
    <row r="575" ht="22.5" customHeight="1">
      <c r="A575" s="183"/>
      <c r="B575" s="183"/>
      <c r="C575" s="183"/>
      <c r="D575" s="183"/>
      <c r="E575" s="183"/>
      <c r="F575" s="183"/>
      <c r="G575" s="183"/>
      <c r="H575" s="183"/>
      <c r="I575" s="183"/>
      <c r="J575" s="183"/>
      <c r="K575" s="183"/>
      <c r="L575" s="183"/>
      <c r="M575" s="183"/>
      <c r="N575" s="183"/>
      <c r="O575" s="183"/>
      <c r="P575" s="183"/>
      <c r="Q575" s="183"/>
      <c r="R575" s="183"/>
      <c r="S575" s="183"/>
      <c r="T575" s="152"/>
      <c r="U575" s="155"/>
      <c r="V575" s="152"/>
      <c r="W575" s="152"/>
      <c r="X575" s="152"/>
      <c r="Y575" s="152"/>
      <c r="Z575" s="152"/>
      <c r="AA575" s="152"/>
      <c r="AB575" s="152"/>
      <c r="AC575" s="152"/>
      <c r="AD575" s="152"/>
      <c r="AE575" s="152"/>
      <c r="AF575" s="152"/>
      <c r="AG575" s="144"/>
      <c r="AH575" s="144"/>
      <c r="AI575" s="144"/>
      <c r="AJ575" s="144"/>
      <c r="AK575" s="144"/>
    </row>
    <row r="576" ht="22.5" customHeight="1">
      <c r="A576" s="184"/>
      <c r="B576" s="184"/>
      <c r="C576" s="184"/>
      <c r="D576" s="184"/>
      <c r="E576" s="184"/>
      <c r="F576" s="184"/>
      <c r="G576" s="184"/>
      <c r="H576" s="184"/>
      <c r="I576" s="184"/>
      <c r="J576" s="184"/>
      <c r="K576" s="184"/>
      <c r="L576" s="184"/>
      <c r="M576" s="184"/>
      <c r="N576" s="184"/>
      <c r="O576" s="184"/>
      <c r="P576" s="184"/>
      <c r="Q576" s="184"/>
      <c r="R576" s="184"/>
      <c r="S576" s="184"/>
      <c r="T576" s="145"/>
      <c r="U576" s="151"/>
      <c r="V576" s="145"/>
      <c r="W576" s="145"/>
      <c r="X576" s="145"/>
      <c r="Y576" s="145"/>
      <c r="Z576" s="145"/>
      <c r="AA576" s="145"/>
      <c r="AB576" s="145"/>
      <c r="AC576" s="145"/>
      <c r="AD576" s="145"/>
      <c r="AE576" s="145"/>
      <c r="AF576" s="145"/>
      <c r="AG576" s="144"/>
      <c r="AH576" s="144"/>
      <c r="AI576" s="144"/>
      <c r="AJ576" s="144"/>
      <c r="AK576" s="144"/>
    </row>
    <row r="577" ht="22.5" customHeight="1">
      <c r="A577" s="183"/>
      <c r="B577" s="183"/>
      <c r="C577" s="183"/>
      <c r="D577" s="183"/>
      <c r="E577" s="183"/>
      <c r="F577" s="183"/>
      <c r="G577" s="183"/>
      <c r="H577" s="183"/>
      <c r="I577" s="183"/>
      <c r="J577" s="183"/>
      <c r="K577" s="183"/>
      <c r="L577" s="183"/>
      <c r="M577" s="183"/>
      <c r="N577" s="183"/>
      <c r="O577" s="183"/>
      <c r="P577" s="183"/>
      <c r="Q577" s="183"/>
      <c r="R577" s="183"/>
      <c r="S577" s="183"/>
      <c r="T577" s="152"/>
      <c r="U577" s="155"/>
      <c r="V577" s="152"/>
      <c r="W577" s="152"/>
      <c r="X577" s="152"/>
      <c r="Y577" s="152"/>
      <c r="Z577" s="152"/>
      <c r="AA577" s="152"/>
      <c r="AB577" s="152"/>
      <c r="AC577" s="152"/>
      <c r="AD577" s="152"/>
      <c r="AE577" s="152"/>
      <c r="AF577" s="152"/>
      <c r="AG577" s="144"/>
      <c r="AH577" s="144"/>
      <c r="AI577" s="144"/>
      <c r="AJ577" s="144"/>
      <c r="AK577" s="144"/>
    </row>
    <row r="578" ht="22.5" customHeight="1">
      <c r="A578" s="184"/>
      <c r="B578" s="184"/>
      <c r="C578" s="184"/>
      <c r="D578" s="184"/>
      <c r="E578" s="184"/>
      <c r="F578" s="184"/>
      <c r="G578" s="184"/>
      <c r="H578" s="184"/>
      <c r="I578" s="184"/>
      <c r="J578" s="184"/>
      <c r="K578" s="184"/>
      <c r="L578" s="184"/>
      <c r="M578" s="184"/>
      <c r="N578" s="184"/>
      <c r="O578" s="184"/>
      <c r="P578" s="184"/>
      <c r="Q578" s="184"/>
      <c r="R578" s="184"/>
      <c r="S578" s="184"/>
      <c r="T578" s="145"/>
      <c r="U578" s="151"/>
      <c r="V578" s="145"/>
      <c r="W578" s="145"/>
      <c r="X578" s="145"/>
      <c r="Y578" s="145"/>
      <c r="Z578" s="145"/>
      <c r="AA578" s="145"/>
      <c r="AB578" s="145"/>
      <c r="AC578" s="145"/>
      <c r="AD578" s="145"/>
      <c r="AE578" s="145"/>
      <c r="AF578" s="145"/>
      <c r="AG578" s="144"/>
      <c r="AH578" s="144"/>
      <c r="AI578" s="144"/>
      <c r="AJ578" s="144"/>
      <c r="AK578" s="144"/>
    </row>
    <row r="579" ht="22.5" customHeight="1">
      <c r="A579" s="183"/>
      <c r="B579" s="183"/>
      <c r="C579" s="183"/>
      <c r="D579" s="183"/>
      <c r="E579" s="183"/>
      <c r="F579" s="183"/>
      <c r="G579" s="183"/>
      <c r="H579" s="183"/>
      <c r="I579" s="183"/>
      <c r="J579" s="183"/>
      <c r="K579" s="183"/>
      <c r="L579" s="183"/>
      <c r="M579" s="183"/>
      <c r="N579" s="183"/>
      <c r="O579" s="183"/>
      <c r="P579" s="183"/>
      <c r="Q579" s="183"/>
      <c r="R579" s="183"/>
      <c r="S579" s="183"/>
      <c r="T579" s="152"/>
      <c r="U579" s="155"/>
      <c r="V579" s="152"/>
      <c r="W579" s="152"/>
      <c r="X579" s="152"/>
      <c r="Y579" s="152"/>
      <c r="Z579" s="152"/>
      <c r="AA579" s="152"/>
      <c r="AB579" s="152"/>
      <c r="AC579" s="152"/>
      <c r="AD579" s="152"/>
      <c r="AE579" s="152"/>
      <c r="AF579" s="152"/>
      <c r="AG579" s="144"/>
      <c r="AH579" s="144"/>
      <c r="AI579" s="144"/>
      <c r="AJ579" s="144"/>
      <c r="AK579" s="144"/>
    </row>
    <row r="580" ht="22.5" customHeight="1">
      <c r="A580" s="184"/>
      <c r="B580" s="184"/>
      <c r="C580" s="184"/>
      <c r="D580" s="184"/>
      <c r="E580" s="184"/>
      <c r="F580" s="184"/>
      <c r="G580" s="184"/>
      <c r="H580" s="184"/>
      <c r="I580" s="184"/>
      <c r="J580" s="184"/>
      <c r="K580" s="184"/>
      <c r="L580" s="184"/>
      <c r="M580" s="184"/>
      <c r="N580" s="184"/>
      <c r="O580" s="184"/>
      <c r="P580" s="184"/>
      <c r="Q580" s="184"/>
      <c r="R580" s="184"/>
      <c r="S580" s="184"/>
      <c r="T580" s="145"/>
      <c r="U580" s="151"/>
      <c r="V580" s="145"/>
      <c r="W580" s="145"/>
      <c r="X580" s="145"/>
      <c r="Y580" s="145"/>
      <c r="Z580" s="145"/>
      <c r="AA580" s="145"/>
      <c r="AB580" s="145"/>
      <c r="AC580" s="145"/>
      <c r="AD580" s="145"/>
      <c r="AE580" s="145"/>
      <c r="AF580" s="145"/>
      <c r="AG580" s="144"/>
      <c r="AH580" s="144"/>
      <c r="AI580" s="144"/>
      <c r="AJ580" s="144"/>
      <c r="AK580" s="144"/>
    </row>
    <row r="581" ht="22.5" customHeight="1">
      <c r="A581" s="183"/>
      <c r="B581" s="183"/>
      <c r="C581" s="183"/>
      <c r="D581" s="183"/>
      <c r="E581" s="183"/>
      <c r="F581" s="183"/>
      <c r="G581" s="183"/>
      <c r="H581" s="183"/>
      <c r="I581" s="183"/>
      <c r="J581" s="183"/>
      <c r="K581" s="183"/>
      <c r="L581" s="183"/>
      <c r="M581" s="183"/>
      <c r="N581" s="183"/>
      <c r="O581" s="183"/>
      <c r="P581" s="183"/>
      <c r="Q581" s="183"/>
      <c r="R581" s="183"/>
      <c r="S581" s="183"/>
      <c r="T581" s="152"/>
      <c r="U581" s="155"/>
      <c r="V581" s="152"/>
      <c r="W581" s="152"/>
      <c r="X581" s="152"/>
      <c r="Y581" s="152"/>
      <c r="Z581" s="152"/>
      <c r="AA581" s="152"/>
      <c r="AB581" s="152"/>
      <c r="AC581" s="152"/>
      <c r="AD581" s="152"/>
      <c r="AE581" s="152"/>
      <c r="AF581" s="152"/>
      <c r="AG581" s="144"/>
      <c r="AH581" s="144"/>
      <c r="AI581" s="144"/>
      <c r="AJ581" s="144"/>
      <c r="AK581" s="144"/>
    </row>
    <row r="582" ht="22.5" customHeight="1">
      <c r="A582" s="184"/>
      <c r="B582" s="184"/>
      <c r="C582" s="184"/>
      <c r="D582" s="184"/>
      <c r="E582" s="184"/>
      <c r="F582" s="184"/>
      <c r="G582" s="184"/>
      <c r="H582" s="184"/>
      <c r="I582" s="184"/>
      <c r="J582" s="184"/>
      <c r="K582" s="184"/>
      <c r="L582" s="184"/>
      <c r="M582" s="184"/>
      <c r="N582" s="184"/>
      <c r="O582" s="184"/>
      <c r="P582" s="184"/>
      <c r="Q582" s="184"/>
      <c r="R582" s="184"/>
      <c r="S582" s="184"/>
      <c r="T582" s="145"/>
      <c r="U582" s="151"/>
      <c r="V582" s="145"/>
      <c r="W582" s="145"/>
      <c r="X582" s="145"/>
      <c r="Y582" s="145"/>
      <c r="Z582" s="145"/>
      <c r="AA582" s="145"/>
      <c r="AB582" s="145"/>
      <c r="AC582" s="145"/>
      <c r="AD582" s="145"/>
      <c r="AE582" s="145"/>
      <c r="AF582" s="145"/>
      <c r="AG582" s="144"/>
      <c r="AH582" s="144"/>
      <c r="AI582" s="144"/>
      <c r="AJ582" s="144"/>
      <c r="AK582" s="144"/>
    </row>
    <row r="583" ht="22.5" customHeight="1">
      <c r="A583" s="183"/>
      <c r="B583" s="183"/>
      <c r="C583" s="183"/>
      <c r="D583" s="183"/>
      <c r="E583" s="183"/>
      <c r="F583" s="183"/>
      <c r="G583" s="183"/>
      <c r="H583" s="183"/>
      <c r="I583" s="183"/>
      <c r="J583" s="183"/>
      <c r="K583" s="183"/>
      <c r="L583" s="183"/>
      <c r="M583" s="183"/>
      <c r="N583" s="183"/>
      <c r="O583" s="183"/>
      <c r="P583" s="183"/>
      <c r="Q583" s="183"/>
      <c r="R583" s="183"/>
      <c r="S583" s="183"/>
      <c r="T583" s="152"/>
      <c r="U583" s="155"/>
      <c r="V583" s="152"/>
      <c r="W583" s="152"/>
      <c r="X583" s="152"/>
      <c r="Y583" s="152"/>
      <c r="Z583" s="152"/>
      <c r="AA583" s="152"/>
      <c r="AB583" s="152"/>
      <c r="AC583" s="152"/>
      <c r="AD583" s="152"/>
      <c r="AE583" s="152"/>
      <c r="AF583" s="152"/>
      <c r="AG583" s="144"/>
      <c r="AH583" s="144"/>
      <c r="AI583" s="144"/>
      <c r="AJ583" s="144"/>
      <c r="AK583" s="144"/>
    </row>
    <row r="584" ht="22.5" customHeight="1">
      <c r="A584" s="184"/>
      <c r="B584" s="184"/>
      <c r="C584" s="184"/>
      <c r="D584" s="184"/>
      <c r="E584" s="184"/>
      <c r="F584" s="184"/>
      <c r="G584" s="184"/>
      <c r="H584" s="184"/>
      <c r="I584" s="184"/>
      <c r="J584" s="184"/>
      <c r="K584" s="184"/>
      <c r="L584" s="184"/>
      <c r="M584" s="184"/>
      <c r="N584" s="184"/>
      <c r="O584" s="184"/>
      <c r="P584" s="184"/>
      <c r="Q584" s="184"/>
      <c r="R584" s="184"/>
      <c r="S584" s="184"/>
      <c r="T584" s="145"/>
      <c r="U584" s="151"/>
      <c r="V584" s="145"/>
      <c r="W584" s="145"/>
      <c r="X584" s="145"/>
      <c r="Y584" s="145"/>
      <c r="Z584" s="145"/>
      <c r="AA584" s="145"/>
      <c r="AB584" s="145"/>
      <c r="AC584" s="145"/>
      <c r="AD584" s="145"/>
      <c r="AE584" s="145"/>
      <c r="AF584" s="145"/>
      <c r="AG584" s="144"/>
      <c r="AH584" s="144"/>
      <c r="AI584" s="144"/>
      <c r="AJ584" s="144"/>
      <c r="AK584" s="144"/>
    </row>
    <row r="585" ht="22.5" customHeight="1">
      <c r="A585" s="183"/>
      <c r="B585" s="183"/>
      <c r="C585" s="183"/>
      <c r="D585" s="183"/>
      <c r="E585" s="183"/>
      <c r="F585" s="183"/>
      <c r="G585" s="183"/>
      <c r="H585" s="183"/>
      <c r="I585" s="183"/>
      <c r="J585" s="183"/>
      <c r="K585" s="183"/>
      <c r="L585" s="183"/>
      <c r="M585" s="183"/>
      <c r="N585" s="183"/>
      <c r="O585" s="183"/>
      <c r="P585" s="183"/>
      <c r="Q585" s="183"/>
      <c r="R585" s="183"/>
      <c r="S585" s="183"/>
      <c r="T585" s="152"/>
      <c r="U585" s="155"/>
      <c r="V585" s="152"/>
      <c r="W585" s="152"/>
      <c r="X585" s="152"/>
      <c r="Y585" s="152"/>
      <c r="Z585" s="152"/>
      <c r="AA585" s="152"/>
      <c r="AB585" s="152"/>
      <c r="AC585" s="152"/>
      <c r="AD585" s="152"/>
      <c r="AE585" s="152"/>
      <c r="AF585" s="152"/>
      <c r="AG585" s="144"/>
      <c r="AH585" s="144"/>
      <c r="AI585" s="144"/>
      <c r="AJ585" s="144"/>
      <c r="AK585" s="144"/>
    </row>
    <row r="586" ht="22.5" customHeight="1">
      <c r="A586" s="184"/>
      <c r="B586" s="184"/>
      <c r="C586" s="184"/>
      <c r="D586" s="184"/>
      <c r="E586" s="184"/>
      <c r="F586" s="184"/>
      <c r="G586" s="184"/>
      <c r="H586" s="184"/>
      <c r="I586" s="184"/>
      <c r="J586" s="184"/>
      <c r="K586" s="184"/>
      <c r="L586" s="184"/>
      <c r="M586" s="184"/>
      <c r="N586" s="184"/>
      <c r="O586" s="184"/>
      <c r="P586" s="184"/>
      <c r="Q586" s="184"/>
      <c r="R586" s="184"/>
      <c r="S586" s="184"/>
      <c r="T586" s="145"/>
      <c r="U586" s="151"/>
      <c r="V586" s="145"/>
      <c r="W586" s="145"/>
      <c r="X586" s="145"/>
      <c r="Y586" s="145"/>
      <c r="Z586" s="145"/>
      <c r="AA586" s="145"/>
      <c r="AB586" s="145"/>
      <c r="AC586" s="145"/>
      <c r="AD586" s="145"/>
      <c r="AE586" s="145"/>
      <c r="AF586" s="145"/>
      <c r="AG586" s="144"/>
      <c r="AH586" s="144"/>
      <c r="AI586" s="144"/>
      <c r="AJ586" s="144"/>
      <c r="AK586" s="144"/>
    </row>
    <row r="587" ht="22.5" customHeight="1">
      <c r="A587" s="183"/>
      <c r="B587" s="183"/>
      <c r="C587" s="183"/>
      <c r="D587" s="183"/>
      <c r="E587" s="183"/>
      <c r="F587" s="183"/>
      <c r="G587" s="183"/>
      <c r="H587" s="183"/>
      <c r="I587" s="183"/>
      <c r="J587" s="183"/>
      <c r="K587" s="183"/>
      <c r="L587" s="183"/>
      <c r="M587" s="183"/>
      <c r="N587" s="183"/>
      <c r="O587" s="183"/>
      <c r="P587" s="183"/>
      <c r="Q587" s="183"/>
      <c r="R587" s="183"/>
      <c r="S587" s="183"/>
      <c r="T587" s="152"/>
      <c r="U587" s="155"/>
      <c r="V587" s="152"/>
      <c r="W587" s="152"/>
      <c r="X587" s="152"/>
      <c r="Y587" s="152"/>
      <c r="Z587" s="152"/>
      <c r="AA587" s="152"/>
      <c r="AB587" s="152"/>
      <c r="AC587" s="152"/>
      <c r="AD587" s="152"/>
      <c r="AE587" s="152"/>
      <c r="AF587" s="152"/>
      <c r="AG587" s="144"/>
      <c r="AH587" s="144"/>
      <c r="AI587" s="144"/>
      <c r="AJ587" s="144"/>
      <c r="AK587" s="144"/>
    </row>
    <row r="588" ht="22.5" customHeight="1">
      <c r="A588" s="184"/>
      <c r="B588" s="184"/>
      <c r="C588" s="184"/>
      <c r="D588" s="184"/>
      <c r="E588" s="184"/>
      <c r="F588" s="184"/>
      <c r="G588" s="184"/>
      <c r="H588" s="184"/>
      <c r="I588" s="184"/>
      <c r="J588" s="184"/>
      <c r="K588" s="184"/>
      <c r="L588" s="184"/>
      <c r="M588" s="184"/>
      <c r="N588" s="184"/>
      <c r="O588" s="184"/>
      <c r="P588" s="184"/>
      <c r="Q588" s="184"/>
      <c r="R588" s="184"/>
      <c r="S588" s="184"/>
      <c r="T588" s="145"/>
      <c r="U588" s="151"/>
      <c r="V588" s="145"/>
      <c r="W588" s="145"/>
      <c r="X588" s="145"/>
      <c r="Y588" s="145"/>
      <c r="Z588" s="145"/>
      <c r="AA588" s="145"/>
      <c r="AB588" s="145"/>
      <c r="AC588" s="145"/>
      <c r="AD588" s="145"/>
      <c r="AE588" s="145"/>
      <c r="AF588" s="145"/>
      <c r="AG588" s="144"/>
      <c r="AH588" s="144"/>
      <c r="AI588" s="144"/>
      <c r="AJ588" s="144"/>
      <c r="AK588" s="144"/>
    </row>
    <row r="589" ht="22.5" customHeight="1">
      <c r="A589" s="183"/>
      <c r="B589" s="183"/>
      <c r="C589" s="183"/>
      <c r="D589" s="183"/>
      <c r="E589" s="183"/>
      <c r="F589" s="183"/>
      <c r="G589" s="183"/>
      <c r="H589" s="183"/>
      <c r="I589" s="183"/>
      <c r="J589" s="183"/>
      <c r="K589" s="183"/>
      <c r="L589" s="183"/>
      <c r="M589" s="183"/>
      <c r="N589" s="183"/>
      <c r="O589" s="183"/>
      <c r="P589" s="183"/>
      <c r="Q589" s="183"/>
      <c r="R589" s="183"/>
      <c r="S589" s="183"/>
      <c r="T589" s="152"/>
      <c r="U589" s="155"/>
      <c r="V589" s="152"/>
      <c r="W589" s="152"/>
      <c r="X589" s="152"/>
      <c r="Y589" s="152"/>
      <c r="Z589" s="152"/>
      <c r="AA589" s="152"/>
      <c r="AB589" s="152"/>
      <c r="AC589" s="152"/>
      <c r="AD589" s="152"/>
      <c r="AE589" s="152"/>
      <c r="AF589" s="152"/>
      <c r="AG589" s="144"/>
      <c r="AH589" s="144"/>
      <c r="AI589" s="144"/>
      <c r="AJ589" s="144"/>
      <c r="AK589" s="144"/>
    </row>
    <row r="590" ht="22.5" customHeight="1">
      <c r="A590" s="184"/>
      <c r="B590" s="184"/>
      <c r="C590" s="184"/>
      <c r="D590" s="184"/>
      <c r="E590" s="184"/>
      <c r="F590" s="184"/>
      <c r="G590" s="184"/>
      <c r="H590" s="184"/>
      <c r="I590" s="184"/>
      <c r="J590" s="184"/>
      <c r="K590" s="184"/>
      <c r="L590" s="184"/>
      <c r="M590" s="184"/>
      <c r="N590" s="184"/>
      <c r="O590" s="184"/>
      <c r="P590" s="184"/>
      <c r="Q590" s="184"/>
      <c r="R590" s="184"/>
      <c r="S590" s="184"/>
      <c r="T590" s="145"/>
      <c r="U590" s="151"/>
      <c r="V590" s="145"/>
      <c r="W590" s="145"/>
      <c r="X590" s="145"/>
      <c r="Y590" s="145"/>
      <c r="Z590" s="145"/>
      <c r="AA590" s="145"/>
      <c r="AB590" s="145"/>
      <c r="AC590" s="145"/>
      <c r="AD590" s="145"/>
      <c r="AE590" s="145"/>
      <c r="AF590" s="145"/>
      <c r="AG590" s="144"/>
      <c r="AH590" s="144"/>
      <c r="AI590" s="144"/>
      <c r="AJ590" s="144"/>
      <c r="AK590" s="144"/>
    </row>
    <row r="591" ht="22.5" customHeight="1">
      <c r="A591" s="183"/>
      <c r="B591" s="183"/>
      <c r="C591" s="183"/>
      <c r="D591" s="183"/>
      <c r="E591" s="183"/>
      <c r="F591" s="183"/>
      <c r="G591" s="183"/>
      <c r="H591" s="183"/>
      <c r="I591" s="183"/>
      <c r="J591" s="183"/>
      <c r="K591" s="183"/>
      <c r="L591" s="183"/>
      <c r="M591" s="183"/>
      <c r="N591" s="183"/>
      <c r="O591" s="183"/>
      <c r="P591" s="183"/>
      <c r="Q591" s="183"/>
      <c r="R591" s="183"/>
      <c r="S591" s="183"/>
      <c r="T591" s="152"/>
      <c r="U591" s="155"/>
      <c r="V591" s="152"/>
      <c r="W591" s="152"/>
      <c r="X591" s="152"/>
      <c r="Y591" s="152"/>
      <c r="Z591" s="152"/>
      <c r="AA591" s="152"/>
      <c r="AB591" s="152"/>
      <c r="AC591" s="152"/>
      <c r="AD591" s="152"/>
      <c r="AE591" s="152"/>
      <c r="AF591" s="152"/>
      <c r="AG591" s="144"/>
      <c r="AH591" s="144"/>
      <c r="AI591" s="144"/>
      <c r="AJ591" s="144"/>
      <c r="AK591" s="144"/>
    </row>
    <row r="592" ht="22.5" customHeight="1">
      <c r="A592" s="184"/>
      <c r="B592" s="184"/>
      <c r="C592" s="184"/>
      <c r="D592" s="184"/>
      <c r="E592" s="184"/>
      <c r="F592" s="184"/>
      <c r="G592" s="184"/>
      <c r="H592" s="184"/>
      <c r="I592" s="184"/>
      <c r="J592" s="184"/>
      <c r="K592" s="184"/>
      <c r="L592" s="184"/>
      <c r="M592" s="184"/>
      <c r="N592" s="184"/>
      <c r="O592" s="184"/>
      <c r="P592" s="184"/>
      <c r="Q592" s="184"/>
      <c r="R592" s="184"/>
      <c r="S592" s="184"/>
      <c r="T592" s="145"/>
      <c r="U592" s="151"/>
      <c r="V592" s="145"/>
      <c r="W592" s="145"/>
      <c r="X592" s="145"/>
      <c r="Y592" s="145"/>
      <c r="Z592" s="145"/>
      <c r="AA592" s="145"/>
      <c r="AB592" s="145"/>
      <c r="AC592" s="145"/>
      <c r="AD592" s="145"/>
      <c r="AE592" s="145"/>
      <c r="AF592" s="145"/>
      <c r="AG592" s="144"/>
      <c r="AH592" s="144"/>
      <c r="AI592" s="144"/>
      <c r="AJ592" s="144"/>
      <c r="AK592" s="144"/>
    </row>
    <row r="593" ht="22.5" customHeight="1">
      <c r="A593" s="183"/>
      <c r="B593" s="183"/>
      <c r="C593" s="183"/>
      <c r="D593" s="183"/>
      <c r="E593" s="183"/>
      <c r="F593" s="183"/>
      <c r="G593" s="183"/>
      <c r="H593" s="183"/>
      <c r="I593" s="183"/>
      <c r="J593" s="183"/>
      <c r="K593" s="183"/>
      <c r="L593" s="183"/>
      <c r="M593" s="183"/>
      <c r="N593" s="183"/>
      <c r="O593" s="183"/>
      <c r="P593" s="183"/>
      <c r="Q593" s="183"/>
      <c r="R593" s="183"/>
      <c r="S593" s="183"/>
      <c r="T593" s="152"/>
      <c r="U593" s="155"/>
      <c r="V593" s="152"/>
      <c r="W593" s="152"/>
      <c r="X593" s="152"/>
      <c r="Y593" s="152"/>
      <c r="Z593" s="152"/>
      <c r="AA593" s="152"/>
      <c r="AB593" s="152"/>
      <c r="AC593" s="152"/>
      <c r="AD593" s="152"/>
      <c r="AE593" s="152"/>
      <c r="AF593" s="152"/>
      <c r="AG593" s="144"/>
      <c r="AH593" s="144"/>
      <c r="AI593" s="144"/>
      <c r="AJ593" s="144"/>
      <c r="AK593" s="144"/>
    </row>
    <row r="594" ht="22.5" customHeight="1">
      <c r="A594" s="184"/>
      <c r="B594" s="184"/>
      <c r="C594" s="184"/>
      <c r="D594" s="184"/>
      <c r="E594" s="184"/>
      <c r="F594" s="184"/>
      <c r="G594" s="184"/>
      <c r="H594" s="184"/>
      <c r="I594" s="184"/>
      <c r="J594" s="184"/>
      <c r="K594" s="184"/>
      <c r="L594" s="184"/>
      <c r="M594" s="184"/>
      <c r="N594" s="184"/>
      <c r="O594" s="184"/>
      <c r="P594" s="184"/>
      <c r="Q594" s="184"/>
      <c r="R594" s="184"/>
      <c r="S594" s="184"/>
      <c r="T594" s="145"/>
      <c r="U594" s="151"/>
      <c r="V594" s="145"/>
      <c r="W594" s="145"/>
      <c r="X594" s="145"/>
      <c r="Y594" s="145"/>
      <c r="Z594" s="145"/>
      <c r="AA594" s="145"/>
      <c r="AB594" s="145"/>
      <c r="AC594" s="145"/>
      <c r="AD594" s="145"/>
      <c r="AE594" s="145"/>
      <c r="AF594" s="145"/>
      <c r="AG594" s="144"/>
      <c r="AH594" s="144"/>
      <c r="AI594" s="144"/>
      <c r="AJ594" s="144"/>
      <c r="AK594" s="144"/>
    </row>
    <row r="595" ht="22.5" customHeight="1">
      <c r="A595" s="183"/>
      <c r="B595" s="183"/>
      <c r="C595" s="183"/>
      <c r="D595" s="183"/>
      <c r="E595" s="183"/>
      <c r="F595" s="183"/>
      <c r="G595" s="183"/>
      <c r="H595" s="183"/>
      <c r="I595" s="183"/>
      <c r="J595" s="183"/>
      <c r="K595" s="183"/>
      <c r="L595" s="183"/>
      <c r="M595" s="183"/>
      <c r="N595" s="183"/>
      <c r="O595" s="183"/>
      <c r="P595" s="183"/>
      <c r="Q595" s="183"/>
      <c r="R595" s="183"/>
      <c r="S595" s="183"/>
      <c r="T595" s="152"/>
      <c r="U595" s="155"/>
      <c r="V595" s="152"/>
      <c r="W595" s="152"/>
      <c r="X595" s="152"/>
      <c r="Y595" s="152"/>
      <c r="Z595" s="152"/>
      <c r="AA595" s="152"/>
      <c r="AB595" s="152"/>
      <c r="AC595" s="152"/>
      <c r="AD595" s="152"/>
      <c r="AE595" s="152"/>
      <c r="AF595" s="152"/>
      <c r="AG595" s="144"/>
      <c r="AH595" s="144"/>
      <c r="AI595" s="144"/>
      <c r="AJ595" s="144"/>
      <c r="AK595" s="144"/>
    </row>
    <row r="596" ht="22.5" customHeight="1">
      <c r="A596" s="184"/>
      <c r="B596" s="184"/>
      <c r="C596" s="184"/>
      <c r="D596" s="184"/>
      <c r="E596" s="184"/>
      <c r="F596" s="184"/>
      <c r="G596" s="184"/>
      <c r="H596" s="184"/>
      <c r="I596" s="184"/>
      <c r="J596" s="184"/>
      <c r="K596" s="184"/>
      <c r="L596" s="184"/>
      <c r="M596" s="184"/>
      <c r="N596" s="184"/>
      <c r="O596" s="184"/>
      <c r="P596" s="184"/>
      <c r="Q596" s="184"/>
      <c r="R596" s="184"/>
      <c r="S596" s="184"/>
      <c r="T596" s="145"/>
      <c r="U596" s="151"/>
      <c r="V596" s="145"/>
      <c r="W596" s="145"/>
      <c r="X596" s="145"/>
      <c r="Y596" s="145"/>
      <c r="Z596" s="145"/>
      <c r="AA596" s="145"/>
      <c r="AB596" s="145"/>
      <c r="AC596" s="145"/>
      <c r="AD596" s="145"/>
      <c r="AE596" s="145"/>
      <c r="AF596" s="145"/>
      <c r="AG596" s="144"/>
      <c r="AH596" s="144"/>
      <c r="AI596" s="144"/>
      <c r="AJ596" s="144"/>
      <c r="AK596" s="144"/>
    </row>
    <row r="597" ht="22.5" customHeight="1">
      <c r="A597" s="183"/>
      <c r="B597" s="183"/>
      <c r="C597" s="183"/>
      <c r="D597" s="183"/>
      <c r="E597" s="183"/>
      <c r="F597" s="183"/>
      <c r="G597" s="183"/>
      <c r="H597" s="183"/>
      <c r="I597" s="183"/>
      <c r="J597" s="183"/>
      <c r="K597" s="183"/>
      <c r="L597" s="183"/>
      <c r="M597" s="183"/>
      <c r="N597" s="183"/>
      <c r="O597" s="183"/>
      <c r="P597" s="183"/>
      <c r="Q597" s="183"/>
      <c r="R597" s="183"/>
      <c r="S597" s="183"/>
      <c r="T597" s="152"/>
      <c r="U597" s="155"/>
      <c r="V597" s="152"/>
      <c r="W597" s="152"/>
      <c r="X597" s="152"/>
      <c r="Y597" s="152"/>
      <c r="Z597" s="152"/>
      <c r="AA597" s="152"/>
      <c r="AB597" s="152"/>
      <c r="AC597" s="152"/>
      <c r="AD597" s="152"/>
      <c r="AE597" s="152"/>
      <c r="AF597" s="152"/>
      <c r="AG597" s="144"/>
      <c r="AH597" s="144"/>
      <c r="AI597" s="144"/>
      <c r="AJ597" s="144"/>
      <c r="AK597" s="144"/>
    </row>
    <row r="598" ht="22.5" customHeight="1">
      <c r="A598" s="184"/>
      <c r="B598" s="184"/>
      <c r="C598" s="184"/>
      <c r="D598" s="184"/>
      <c r="E598" s="184"/>
      <c r="F598" s="184"/>
      <c r="G598" s="184"/>
      <c r="H598" s="184"/>
      <c r="I598" s="184"/>
      <c r="J598" s="184"/>
      <c r="K598" s="184"/>
      <c r="L598" s="184"/>
      <c r="M598" s="184"/>
      <c r="N598" s="184"/>
      <c r="O598" s="184"/>
      <c r="P598" s="184"/>
      <c r="Q598" s="184"/>
      <c r="R598" s="184"/>
      <c r="S598" s="184"/>
      <c r="T598" s="145"/>
      <c r="U598" s="151"/>
      <c r="V598" s="145"/>
      <c r="W598" s="145"/>
      <c r="X598" s="145"/>
      <c r="Y598" s="145"/>
      <c r="Z598" s="145"/>
      <c r="AA598" s="145"/>
      <c r="AB598" s="145"/>
      <c r="AC598" s="145"/>
      <c r="AD598" s="145"/>
      <c r="AE598" s="145"/>
      <c r="AF598" s="145"/>
      <c r="AG598" s="144"/>
      <c r="AH598" s="144"/>
      <c r="AI598" s="144"/>
      <c r="AJ598" s="144"/>
      <c r="AK598" s="144"/>
    </row>
    <row r="599" ht="22.5" customHeight="1">
      <c r="A599" s="183"/>
      <c r="B599" s="183"/>
      <c r="C599" s="183"/>
      <c r="D599" s="183"/>
      <c r="E599" s="183"/>
      <c r="F599" s="183"/>
      <c r="G599" s="183"/>
      <c r="H599" s="183"/>
      <c r="I599" s="183"/>
      <c r="J599" s="183"/>
      <c r="K599" s="183"/>
      <c r="L599" s="183"/>
      <c r="M599" s="183"/>
      <c r="N599" s="183"/>
      <c r="O599" s="183"/>
      <c r="P599" s="183"/>
      <c r="Q599" s="183"/>
      <c r="R599" s="183"/>
      <c r="S599" s="183"/>
      <c r="T599" s="152"/>
      <c r="U599" s="155"/>
      <c r="V599" s="152"/>
      <c r="W599" s="152"/>
      <c r="X599" s="152"/>
      <c r="Y599" s="152"/>
      <c r="Z599" s="152"/>
      <c r="AA599" s="152"/>
      <c r="AB599" s="152"/>
      <c r="AC599" s="152"/>
      <c r="AD599" s="152"/>
      <c r="AE599" s="152"/>
      <c r="AF599" s="152"/>
      <c r="AG599" s="144"/>
      <c r="AH599" s="144"/>
      <c r="AI599" s="144"/>
      <c r="AJ599" s="144"/>
      <c r="AK599" s="144"/>
    </row>
    <row r="600" ht="22.5" customHeight="1">
      <c r="A600" s="184"/>
      <c r="B600" s="184"/>
      <c r="C600" s="184"/>
      <c r="D600" s="184"/>
      <c r="E600" s="184"/>
      <c r="F600" s="184"/>
      <c r="G600" s="184"/>
      <c r="H600" s="184"/>
      <c r="I600" s="184"/>
      <c r="J600" s="184"/>
      <c r="K600" s="184"/>
      <c r="L600" s="184"/>
      <c r="M600" s="184"/>
      <c r="N600" s="184"/>
      <c r="O600" s="184"/>
      <c r="P600" s="184"/>
      <c r="Q600" s="184"/>
      <c r="R600" s="184"/>
      <c r="S600" s="184"/>
      <c r="T600" s="145"/>
      <c r="U600" s="151"/>
      <c r="V600" s="145"/>
      <c r="W600" s="145"/>
      <c r="X600" s="145"/>
      <c r="Y600" s="145"/>
      <c r="Z600" s="145"/>
      <c r="AA600" s="145"/>
      <c r="AB600" s="145"/>
      <c r="AC600" s="145"/>
      <c r="AD600" s="145"/>
      <c r="AE600" s="145"/>
      <c r="AF600" s="145"/>
      <c r="AG600" s="144"/>
      <c r="AH600" s="144"/>
      <c r="AI600" s="144"/>
      <c r="AJ600" s="144"/>
      <c r="AK600" s="144"/>
    </row>
    <row r="601" ht="22.5" customHeight="1">
      <c r="A601" s="183"/>
      <c r="B601" s="183"/>
      <c r="C601" s="183"/>
      <c r="D601" s="183"/>
      <c r="E601" s="183"/>
      <c r="F601" s="183"/>
      <c r="G601" s="183"/>
      <c r="H601" s="183"/>
      <c r="I601" s="183"/>
      <c r="J601" s="183"/>
      <c r="K601" s="183"/>
      <c r="L601" s="183"/>
      <c r="M601" s="183"/>
      <c r="N601" s="183"/>
      <c r="O601" s="183"/>
      <c r="P601" s="183"/>
      <c r="Q601" s="183"/>
      <c r="R601" s="183"/>
      <c r="S601" s="183"/>
      <c r="T601" s="152"/>
      <c r="U601" s="155"/>
      <c r="V601" s="152"/>
      <c r="W601" s="152"/>
      <c r="X601" s="152"/>
      <c r="Y601" s="152"/>
      <c r="Z601" s="152"/>
      <c r="AA601" s="152"/>
      <c r="AB601" s="152"/>
      <c r="AC601" s="152"/>
      <c r="AD601" s="152"/>
      <c r="AE601" s="152"/>
      <c r="AF601" s="152"/>
      <c r="AG601" s="144"/>
      <c r="AH601" s="144"/>
      <c r="AI601" s="144"/>
      <c r="AJ601" s="144"/>
      <c r="AK601" s="144"/>
    </row>
    <row r="602" ht="22.5" customHeight="1">
      <c r="A602" s="184"/>
      <c r="B602" s="184"/>
      <c r="C602" s="184"/>
      <c r="D602" s="184"/>
      <c r="E602" s="184"/>
      <c r="F602" s="184"/>
      <c r="G602" s="184"/>
      <c r="H602" s="184"/>
      <c r="I602" s="184"/>
      <c r="J602" s="184"/>
      <c r="K602" s="184"/>
      <c r="L602" s="184"/>
      <c r="M602" s="184"/>
      <c r="N602" s="184"/>
      <c r="O602" s="184"/>
      <c r="P602" s="184"/>
      <c r="Q602" s="184"/>
      <c r="R602" s="184"/>
      <c r="S602" s="184"/>
      <c r="T602" s="145"/>
      <c r="U602" s="151"/>
      <c r="V602" s="145"/>
      <c r="W602" s="145"/>
      <c r="X602" s="145"/>
      <c r="Y602" s="145"/>
      <c r="Z602" s="145"/>
      <c r="AA602" s="145"/>
      <c r="AB602" s="145"/>
      <c r="AC602" s="145"/>
      <c r="AD602" s="145"/>
      <c r="AE602" s="145"/>
      <c r="AF602" s="145"/>
      <c r="AG602" s="144"/>
      <c r="AH602" s="144"/>
      <c r="AI602" s="144"/>
      <c r="AJ602" s="144"/>
      <c r="AK602" s="144"/>
    </row>
    <row r="603" ht="22.5" customHeight="1">
      <c r="A603" s="183"/>
      <c r="B603" s="183"/>
      <c r="C603" s="183"/>
      <c r="D603" s="183"/>
      <c r="E603" s="183"/>
      <c r="F603" s="183"/>
      <c r="G603" s="183"/>
      <c r="H603" s="183"/>
      <c r="I603" s="183"/>
      <c r="J603" s="183"/>
      <c r="K603" s="183"/>
      <c r="L603" s="183"/>
      <c r="M603" s="183"/>
      <c r="N603" s="183"/>
      <c r="O603" s="183"/>
      <c r="P603" s="183"/>
      <c r="Q603" s="183"/>
      <c r="R603" s="183"/>
      <c r="S603" s="183"/>
      <c r="T603" s="152"/>
      <c r="U603" s="155"/>
      <c r="V603" s="152"/>
      <c r="W603" s="152"/>
      <c r="X603" s="152"/>
      <c r="Y603" s="152"/>
      <c r="Z603" s="152"/>
      <c r="AA603" s="152"/>
      <c r="AB603" s="152"/>
      <c r="AC603" s="152"/>
      <c r="AD603" s="152"/>
      <c r="AE603" s="152"/>
      <c r="AF603" s="152"/>
      <c r="AG603" s="144"/>
      <c r="AH603" s="144"/>
      <c r="AI603" s="144"/>
      <c r="AJ603" s="144"/>
      <c r="AK603" s="144"/>
    </row>
    <row r="604" ht="22.5" customHeight="1">
      <c r="A604" s="184"/>
      <c r="B604" s="184"/>
      <c r="C604" s="184"/>
      <c r="D604" s="184"/>
      <c r="E604" s="184"/>
      <c r="F604" s="184"/>
      <c r="G604" s="184"/>
      <c r="H604" s="184"/>
      <c r="I604" s="184"/>
      <c r="J604" s="184"/>
      <c r="K604" s="184"/>
      <c r="L604" s="184"/>
      <c r="M604" s="184"/>
      <c r="N604" s="184"/>
      <c r="O604" s="184"/>
      <c r="P604" s="184"/>
      <c r="Q604" s="184"/>
      <c r="R604" s="184"/>
      <c r="S604" s="184"/>
      <c r="T604" s="145"/>
      <c r="U604" s="151"/>
      <c r="V604" s="145"/>
      <c r="W604" s="145"/>
      <c r="X604" s="145"/>
      <c r="Y604" s="145"/>
      <c r="Z604" s="145"/>
      <c r="AA604" s="145"/>
      <c r="AB604" s="145"/>
      <c r="AC604" s="145"/>
      <c r="AD604" s="145"/>
      <c r="AE604" s="145"/>
      <c r="AF604" s="145"/>
      <c r="AG604" s="144"/>
      <c r="AH604" s="144"/>
      <c r="AI604" s="144"/>
      <c r="AJ604" s="144"/>
      <c r="AK604" s="144"/>
    </row>
    <row r="605" ht="22.5" customHeight="1">
      <c r="A605" s="183"/>
      <c r="B605" s="183"/>
      <c r="C605" s="183"/>
      <c r="D605" s="183"/>
      <c r="E605" s="183"/>
      <c r="F605" s="183"/>
      <c r="G605" s="183"/>
      <c r="H605" s="183"/>
      <c r="I605" s="183"/>
      <c r="J605" s="183"/>
      <c r="K605" s="183"/>
      <c r="L605" s="183"/>
      <c r="M605" s="183"/>
      <c r="N605" s="183"/>
      <c r="O605" s="183"/>
      <c r="P605" s="183"/>
      <c r="Q605" s="183"/>
      <c r="R605" s="183"/>
      <c r="S605" s="183"/>
      <c r="T605" s="152"/>
      <c r="U605" s="155"/>
      <c r="V605" s="152"/>
      <c r="W605" s="152"/>
      <c r="X605" s="152"/>
      <c r="Y605" s="152"/>
      <c r="Z605" s="152"/>
      <c r="AA605" s="152"/>
      <c r="AB605" s="152"/>
      <c r="AC605" s="152"/>
      <c r="AD605" s="152"/>
      <c r="AE605" s="152"/>
      <c r="AF605" s="152"/>
      <c r="AG605" s="144"/>
      <c r="AH605" s="144"/>
      <c r="AI605" s="144"/>
      <c r="AJ605" s="144"/>
      <c r="AK605" s="144"/>
    </row>
    <row r="606" ht="22.5" customHeight="1">
      <c r="A606" s="184"/>
      <c r="B606" s="184"/>
      <c r="C606" s="184"/>
      <c r="D606" s="184"/>
      <c r="E606" s="184"/>
      <c r="F606" s="184"/>
      <c r="G606" s="184"/>
      <c r="H606" s="184"/>
      <c r="I606" s="184"/>
      <c r="J606" s="184"/>
      <c r="K606" s="184"/>
      <c r="L606" s="184"/>
      <c r="M606" s="184"/>
      <c r="N606" s="184"/>
      <c r="O606" s="184"/>
      <c r="P606" s="184"/>
      <c r="Q606" s="184"/>
      <c r="R606" s="184"/>
      <c r="S606" s="184"/>
      <c r="T606" s="145"/>
      <c r="U606" s="151"/>
      <c r="V606" s="145"/>
      <c r="W606" s="145"/>
      <c r="X606" s="145"/>
      <c r="Y606" s="145"/>
      <c r="Z606" s="145"/>
      <c r="AA606" s="145"/>
      <c r="AB606" s="145"/>
      <c r="AC606" s="145"/>
      <c r="AD606" s="145"/>
      <c r="AE606" s="145"/>
      <c r="AF606" s="145"/>
      <c r="AG606" s="144"/>
      <c r="AH606" s="144"/>
      <c r="AI606" s="144"/>
      <c r="AJ606" s="144"/>
      <c r="AK606" s="144"/>
    </row>
    <row r="607" ht="22.5" customHeight="1">
      <c r="A607" s="183"/>
      <c r="B607" s="183"/>
      <c r="C607" s="183"/>
      <c r="D607" s="183"/>
      <c r="E607" s="183"/>
      <c r="F607" s="183"/>
      <c r="G607" s="183"/>
      <c r="H607" s="183"/>
      <c r="I607" s="183"/>
      <c r="J607" s="183"/>
      <c r="K607" s="183"/>
      <c r="L607" s="183"/>
      <c r="M607" s="183"/>
      <c r="N607" s="183"/>
      <c r="O607" s="183"/>
      <c r="P607" s="183"/>
      <c r="Q607" s="183"/>
      <c r="R607" s="183"/>
      <c r="S607" s="183"/>
      <c r="T607" s="152"/>
      <c r="U607" s="155"/>
      <c r="V607" s="152"/>
      <c r="W607" s="152"/>
      <c r="X607" s="152"/>
      <c r="Y607" s="152"/>
      <c r="Z607" s="152"/>
      <c r="AA607" s="152"/>
      <c r="AB607" s="152"/>
      <c r="AC607" s="152"/>
      <c r="AD607" s="152"/>
      <c r="AE607" s="152"/>
      <c r="AF607" s="152"/>
      <c r="AG607" s="144"/>
      <c r="AH607" s="144"/>
      <c r="AI607" s="144"/>
      <c r="AJ607" s="144"/>
      <c r="AK607" s="144"/>
    </row>
    <row r="608" ht="22.5" customHeight="1">
      <c r="A608" s="184"/>
      <c r="B608" s="184"/>
      <c r="C608" s="184"/>
      <c r="D608" s="184"/>
      <c r="E608" s="184"/>
      <c r="F608" s="184"/>
      <c r="G608" s="184"/>
      <c r="H608" s="184"/>
      <c r="I608" s="184"/>
      <c r="J608" s="184"/>
      <c r="K608" s="184"/>
      <c r="L608" s="184"/>
      <c r="M608" s="184"/>
      <c r="N608" s="184"/>
      <c r="O608" s="184"/>
      <c r="P608" s="184"/>
      <c r="Q608" s="184"/>
      <c r="R608" s="184"/>
      <c r="S608" s="184"/>
      <c r="T608" s="145"/>
      <c r="U608" s="151"/>
      <c r="V608" s="145"/>
      <c r="W608" s="145"/>
      <c r="X608" s="145"/>
      <c r="Y608" s="145"/>
      <c r="Z608" s="145"/>
      <c r="AA608" s="145"/>
      <c r="AB608" s="145"/>
      <c r="AC608" s="145"/>
      <c r="AD608" s="145"/>
      <c r="AE608" s="145"/>
      <c r="AF608" s="145"/>
      <c r="AG608" s="144"/>
      <c r="AH608" s="144"/>
      <c r="AI608" s="144"/>
      <c r="AJ608" s="144"/>
      <c r="AK608" s="144"/>
    </row>
    <row r="609" ht="22.5" customHeight="1">
      <c r="A609" s="183"/>
      <c r="B609" s="183"/>
      <c r="C609" s="183"/>
      <c r="D609" s="183"/>
      <c r="E609" s="183"/>
      <c r="F609" s="183"/>
      <c r="G609" s="183"/>
      <c r="H609" s="183"/>
      <c r="I609" s="183"/>
      <c r="J609" s="183"/>
      <c r="K609" s="183"/>
      <c r="L609" s="183"/>
      <c r="M609" s="183"/>
      <c r="N609" s="183"/>
      <c r="O609" s="183"/>
      <c r="P609" s="183"/>
      <c r="Q609" s="183"/>
      <c r="R609" s="183"/>
      <c r="S609" s="183"/>
      <c r="T609" s="152"/>
      <c r="U609" s="155"/>
      <c r="V609" s="152"/>
      <c r="W609" s="152"/>
      <c r="X609" s="152"/>
      <c r="Y609" s="152"/>
      <c r="Z609" s="152"/>
      <c r="AA609" s="152"/>
      <c r="AB609" s="152"/>
      <c r="AC609" s="152"/>
      <c r="AD609" s="152"/>
      <c r="AE609" s="152"/>
      <c r="AF609" s="152"/>
      <c r="AG609" s="144"/>
      <c r="AH609" s="144"/>
      <c r="AI609" s="144"/>
      <c r="AJ609" s="144"/>
      <c r="AK609" s="144"/>
    </row>
    <row r="610" ht="22.5" customHeight="1">
      <c r="A610" s="184"/>
      <c r="B610" s="184"/>
      <c r="C610" s="184"/>
      <c r="D610" s="184"/>
      <c r="E610" s="184"/>
      <c r="F610" s="184"/>
      <c r="G610" s="184"/>
      <c r="H610" s="184"/>
      <c r="I610" s="184"/>
      <c r="J610" s="184"/>
      <c r="K610" s="184"/>
      <c r="L610" s="184"/>
      <c r="M610" s="184"/>
      <c r="N610" s="184"/>
      <c r="O610" s="184"/>
      <c r="P610" s="184"/>
      <c r="Q610" s="184"/>
      <c r="R610" s="184"/>
      <c r="S610" s="184"/>
      <c r="T610" s="145"/>
      <c r="U610" s="151"/>
      <c r="V610" s="145"/>
      <c r="W610" s="145"/>
      <c r="X610" s="145"/>
      <c r="Y610" s="145"/>
      <c r="Z610" s="145"/>
      <c r="AA610" s="145"/>
      <c r="AB610" s="145"/>
      <c r="AC610" s="145"/>
      <c r="AD610" s="145"/>
      <c r="AE610" s="145"/>
      <c r="AF610" s="145"/>
      <c r="AG610" s="144"/>
      <c r="AH610" s="144"/>
      <c r="AI610" s="144"/>
      <c r="AJ610" s="144"/>
      <c r="AK610" s="144"/>
    </row>
    <row r="611" ht="22.5" customHeight="1">
      <c r="A611" s="183"/>
      <c r="B611" s="183"/>
      <c r="C611" s="183"/>
      <c r="D611" s="183"/>
      <c r="E611" s="183"/>
      <c r="F611" s="183"/>
      <c r="G611" s="183"/>
      <c r="H611" s="183"/>
      <c r="I611" s="183"/>
      <c r="J611" s="183"/>
      <c r="K611" s="183"/>
      <c r="L611" s="183"/>
      <c r="M611" s="183"/>
      <c r="N611" s="183"/>
      <c r="O611" s="183"/>
      <c r="P611" s="183"/>
      <c r="Q611" s="183"/>
      <c r="R611" s="183"/>
      <c r="S611" s="183"/>
      <c r="T611" s="152"/>
      <c r="U611" s="155"/>
      <c r="V611" s="152"/>
      <c r="W611" s="152"/>
      <c r="X611" s="152"/>
      <c r="Y611" s="152"/>
      <c r="Z611" s="152"/>
      <c r="AA611" s="152"/>
      <c r="AB611" s="152"/>
      <c r="AC611" s="152"/>
      <c r="AD611" s="152"/>
      <c r="AE611" s="152"/>
      <c r="AF611" s="152"/>
      <c r="AG611" s="144"/>
      <c r="AH611" s="144"/>
      <c r="AI611" s="144"/>
      <c r="AJ611" s="144"/>
      <c r="AK611" s="144"/>
    </row>
    <row r="612" ht="22.5" customHeight="1">
      <c r="A612" s="184"/>
      <c r="B612" s="184"/>
      <c r="C612" s="184"/>
      <c r="D612" s="184"/>
      <c r="E612" s="184"/>
      <c r="F612" s="184"/>
      <c r="G612" s="184"/>
      <c r="H612" s="184"/>
      <c r="I612" s="184"/>
      <c r="J612" s="184"/>
      <c r="K612" s="184"/>
      <c r="L612" s="184"/>
      <c r="M612" s="184"/>
      <c r="N612" s="184"/>
      <c r="O612" s="184"/>
      <c r="P612" s="184"/>
      <c r="Q612" s="184"/>
      <c r="R612" s="184"/>
      <c r="S612" s="184"/>
      <c r="T612" s="145"/>
      <c r="U612" s="151"/>
      <c r="V612" s="145"/>
      <c r="W612" s="145"/>
      <c r="X612" s="145"/>
      <c r="Y612" s="145"/>
      <c r="Z612" s="145"/>
      <c r="AA612" s="145"/>
      <c r="AB612" s="145"/>
      <c r="AC612" s="145"/>
      <c r="AD612" s="145"/>
      <c r="AE612" s="145"/>
      <c r="AF612" s="145"/>
      <c r="AG612" s="144"/>
      <c r="AH612" s="144"/>
      <c r="AI612" s="144"/>
      <c r="AJ612" s="144"/>
      <c r="AK612" s="144"/>
    </row>
    <row r="613" ht="22.5" customHeight="1">
      <c r="A613" s="183"/>
      <c r="B613" s="183"/>
      <c r="C613" s="183"/>
      <c r="D613" s="183"/>
      <c r="E613" s="183"/>
      <c r="F613" s="183"/>
      <c r="G613" s="183"/>
      <c r="H613" s="183"/>
      <c r="I613" s="183"/>
      <c r="J613" s="183"/>
      <c r="K613" s="183"/>
      <c r="L613" s="183"/>
      <c r="M613" s="183"/>
      <c r="N613" s="183"/>
      <c r="O613" s="183"/>
      <c r="P613" s="183"/>
      <c r="Q613" s="183"/>
      <c r="R613" s="183"/>
      <c r="S613" s="183"/>
      <c r="T613" s="152"/>
      <c r="U613" s="155"/>
      <c r="V613" s="152"/>
      <c r="W613" s="152"/>
      <c r="X613" s="152"/>
      <c r="Y613" s="152"/>
      <c r="Z613" s="152"/>
      <c r="AA613" s="152"/>
      <c r="AB613" s="152"/>
      <c r="AC613" s="152"/>
      <c r="AD613" s="152"/>
      <c r="AE613" s="152"/>
      <c r="AF613" s="152"/>
      <c r="AG613" s="144"/>
      <c r="AH613" s="144"/>
      <c r="AI613" s="144"/>
      <c r="AJ613" s="144"/>
      <c r="AK613" s="144"/>
    </row>
    <row r="614" ht="22.5" customHeight="1">
      <c r="A614" s="184"/>
      <c r="B614" s="184"/>
      <c r="C614" s="184"/>
      <c r="D614" s="184"/>
      <c r="E614" s="184"/>
      <c r="F614" s="184"/>
      <c r="G614" s="184"/>
      <c r="H614" s="184"/>
      <c r="I614" s="184"/>
      <c r="J614" s="184"/>
      <c r="K614" s="184"/>
      <c r="L614" s="184"/>
      <c r="M614" s="184"/>
      <c r="N614" s="184"/>
      <c r="O614" s="184"/>
      <c r="P614" s="184"/>
      <c r="Q614" s="184"/>
      <c r="R614" s="184"/>
      <c r="S614" s="184"/>
      <c r="T614" s="145"/>
      <c r="U614" s="151"/>
      <c r="V614" s="145"/>
      <c r="W614" s="145"/>
      <c r="X614" s="145"/>
      <c r="Y614" s="145"/>
      <c r="Z614" s="145"/>
      <c r="AA614" s="145"/>
      <c r="AB614" s="145"/>
      <c r="AC614" s="145"/>
      <c r="AD614" s="145"/>
      <c r="AE614" s="145"/>
      <c r="AF614" s="145"/>
      <c r="AG614" s="144"/>
      <c r="AH614" s="144"/>
      <c r="AI614" s="144"/>
      <c r="AJ614" s="144"/>
      <c r="AK614" s="144"/>
    </row>
    <row r="615" ht="22.5" customHeight="1">
      <c r="A615" s="183"/>
      <c r="B615" s="183"/>
      <c r="C615" s="183"/>
      <c r="D615" s="183"/>
      <c r="E615" s="183"/>
      <c r="F615" s="183"/>
      <c r="G615" s="183"/>
      <c r="H615" s="183"/>
      <c r="I615" s="183"/>
      <c r="J615" s="183"/>
      <c r="K615" s="183"/>
      <c r="L615" s="183"/>
      <c r="M615" s="183"/>
      <c r="N615" s="183"/>
      <c r="O615" s="183"/>
      <c r="P615" s="183"/>
      <c r="Q615" s="183"/>
      <c r="R615" s="183"/>
      <c r="S615" s="183"/>
      <c r="T615" s="152"/>
      <c r="U615" s="155"/>
      <c r="V615" s="152"/>
      <c r="W615" s="152"/>
      <c r="X615" s="152"/>
      <c r="Y615" s="152"/>
      <c r="Z615" s="152"/>
      <c r="AA615" s="152"/>
      <c r="AB615" s="152"/>
      <c r="AC615" s="152"/>
      <c r="AD615" s="152"/>
      <c r="AE615" s="152"/>
      <c r="AF615" s="152"/>
      <c r="AG615" s="144"/>
      <c r="AH615" s="144"/>
      <c r="AI615" s="144"/>
      <c r="AJ615" s="144"/>
      <c r="AK615" s="144"/>
    </row>
    <row r="616" ht="22.5" customHeight="1">
      <c r="A616" s="184"/>
      <c r="B616" s="184"/>
      <c r="C616" s="184"/>
      <c r="D616" s="184"/>
      <c r="E616" s="184"/>
      <c r="F616" s="184"/>
      <c r="G616" s="184"/>
      <c r="H616" s="184"/>
      <c r="I616" s="184"/>
      <c r="J616" s="184"/>
      <c r="K616" s="184"/>
      <c r="L616" s="184"/>
      <c r="M616" s="184"/>
      <c r="N616" s="184"/>
      <c r="O616" s="184"/>
      <c r="P616" s="184"/>
      <c r="Q616" s="184"/>
      <c r="R616" s="184"/>
      <c r="S616" s="184"/>
      <c r="T616" s="145"/>
      <c r="U616" s="151"/>
      <c r="V616" s="145"/>
      <c r="W616" s="145"/>
      <c r="X616" s="145"/>
      <c r="Y616" s="145"/>
      <c r="Z616" s="145"/>
      <c r="AA616" s="145"/>
      <c r="AB616" s="145"/>
      <c r="AC616" s="145"/>
      <c r="AD616" s="145"/>
      <c r="AE616" s="145"/>
      <c r="AF616" s="145"/>
      <c r="AG616" s="144"/>
      <c r="AH616" s="144"/>
      <c r="AI616" s="144"/>
      <c r="AJ616" s="144"/>
      <c r="AK616" s="144"/>
    </row>
    <row r="617" ht="22.5" customHeight="1">
      <c r="A617" s="183"/>
      <c r="B617" s="183"/>
      <c r="C617" s="183"/>
      <c r="D617" s="183"/>
      <c r="E617" s="183"/>
      <c r="F617" s="183"/>
      <c r="G617" s="183"/>
      <c r="H617" s="183"/>
      <c r="I617" s="183"/>
      <c r="J617" s="183"/>
      <c r="K617" s="183"/>
      <c r="L617" s="183"/>
      <c r="M617" s="183"/>
      <c r="N617" s="183"/>
      <c r="O617" s="183"/>
      <c r="P617" s="183"/>
      <c r="Q617" s="183"/>
      <c r="R617" s="183"/>
      <c r="S617" s="183"/>
      <c r="T617" s="152"/>
      <c r="U617" s="155"/>
      <c r="V617" s="152"/>
      <c r="W617" s="152"/>
      <c r="X617" s="152"/>
      <c r="Y617" s="152"/>
      <c r="Z617" s="152"/>
      <c r="AA617" s="152"/>
      <c r="AB617" s="152"/>
      <c r="AC617" s="152"/>
      <c r="AD617" s="152"/>
      <c r="AE617" s="152"/>
      <c r="AF617" s="152"/>
      <c r="AG617" s="144"/>
      <c r="AH617" s="144"/>
      <c r="AI617" s="144"/>
      <c r="AJ617" s="144"/>
      <c r="AK617" s="144"/>
    </row>
    <row r="618" ht="22.5" customHeight="1">
      <c r="A618" s="184"/>
      <c r="B618" s="184"/>
      <c r="C618" s="184"/>
      <c r="D618" s="184"/>
      <c r="E618" s="184"/>
      <c r="F618" s="184"/>
      <c r="G618" s="184"/>
      <c r="H618" s="184"/>
      <c r="I618" s="184"/>
      <c r="J618" s="184"/>
      <c r="K618" s="184"/>
      <c r="L618" s="184"/>
      <c r="M618" s="184"/>
      <c r="N618" s="184"/>
      <c r="O618" s="184"/>
      <c r="P618" s="184"/>
      <c r="Q618" s="184"/>
      <c r="R618" s="184"/>
      <c r="S618" s="184"/>
      <c r="T618" s="145"/>
      <c r="U618" s="151"/>
      <c r="V618" s="145"/>
      <c r="W618" s="145"/>
      <c r="X618" s="145"/>
      <c r="Y618" s="145"/>
      <c r="Z618" s="145"/>
      <c r="AA618" s="145"/>
      <c r="AB618" s="145"/>
      <c r="AC618" s="145"/>
      <c r="AD618" s="145"/>
      <c r="AE618" s="145"/>
      <c r="AF618" s="145"/>
      <c r="AG618" s="144"/>
      <c r="AH618" s="144"/>
      <c r="AI618" s="144"/>
      <c r="AJ618" s="144"/>
      <c r="AK618" s="144"/>
    </row>
    <row r="619" ht="22.5" customHeight="1">
      <c r="A619" s="183"/>
      <c r="B619" s="183"/>
      <c r="C619" s="183"/>
      <c r="D619" s="183"/>
      <c r="E619" s="183"/>
      <c r="F619" s="183"/>
      <c r="G619" s="183"/>
      <c r="H619" s="183"/>
      <c r="I619" s="183"/>
      <c r="J619" s="183"/>
      <c r="K619" s="183"/>
      <c r="L619" s="183"/>
      <c r="M619" s="183"/>
      <c r="N619" s="183"/>
      <c r="O619" s="183"/>
      <c r="P619" s="183"/>
      <c r="Q619" s="183"/>
      <c r="R619" s="183"/>
      <c r="S619" s="183"/>
      <c r="T619" s="152"/>
      <c r="U619" s="155"/>
      <c r="V619" s="152"/>
      <c r="W619" s="152"/>
      <c r="X619" s="152"/>
      <c r="Y619" s="152"/>
      <c r="Z619" s="152"/>
      <c r="AA619" s="152"/>
      <c r="AB619" s="152"/>
      <c r="AC619" s="152"/>
      <c r="AD619" s="152"/>
      <c r="AE619" s="152"/>
      <c r="AF619" s="152"/>
      <c r="AG619" s="144"/>
      <c r="AH619" s="144"/>
      <c r="AI619" s="144"/>
      <c r="AJ619" s="144"/>
      <c r="AK619" s="144"/>
    </row>
    <row r="620" ht="22.5" customHeight="1">
      <c r="A620" s="184"/>
      <c r="B620" s="184"/>
      <c r="C620" s="184"/>
      <c r="D620" s="184"/>
      <c r="E620" s="184"/>
      <c r="F620" s="184"/>
      <c r="G620" s="184"/>
      <c r="H620" s="184"/>
      <c r="I620" s="184"/>
      <c r="J620" s="184"/>
      <c r="K620" s="184"/>
      <c r="L620" s="184"/>
      <c r="M620" s="184"/>
      <c r="N620" s="184"/>
      <c r="O620" s="184"/>
      <c r="P620" s="184"/>
      <c r="Q620" s="184"/>
      <c r="R620" s="184"/>
      <c r="S620" s="184"/>
      <c r="T620" s="145"/>
      <c r="U620" s="151"/>
      <c r="V620" s="145"/>
      <c r="W620" s="145"/>
      <c r="X620" s="145"/>
      <c r="Y620" s="145"/>
      <c r="Z620" s="145"/>
      <c r="AA620" s="145"/>
      <c r="AB620" s="145"/>
      <c r="AC620" s="145"/>
      <c r="AD620" s="145"/>
      <c r="AE620" s="145"/>
      <c r="AF620" s="145"/>
      <c r="AG620" s="144"/>
      <c r="AH620" s="144"/>
      <c r="AI620" s="144"/>
      <c r="AJ620" s="144"/>
      <c r="AK620" s="144"/>
    </row>
    <row r="621" ht="22.5" customHeight="1">
      <c r="A621" s="183"/>
      <c r="B621" s="183"/>
      <c r="C621" s="183"/>
      <c r="D621" s="183"/>
      <c r="E621" s="183"/>
      <c r="F621" s="183"/>
      <c r="G621" s="183"/>
      <c r="H621" s="183"/>
      <c r="I621" s="183"/>
      <c r="J621" s="183"/>
      <c r="K621" s="183"/>
      <c r="L621" s="183"/>
      <c r="M621" s="183"/>
      <c r="N621" s="183"/>
      <c r="O621" s="183"/>
      <c r="P621" s="183"/>
      <c r="Q621" s="183"/>
      <c r="R621" s="183"/>
      <c r="S621" s="183"/>
      <c r="T621" s="152"/>
      <c r="U621" s="155"/>
      <c r="V621" s="152"/>
      <c r="W621" s="152"/>
      <c r="X621" s="152"/>
      <c r="Y621" s="152"/>
      <c r="Z621" s="152"/>
      <c r="AA621" s="152"/>
      <c r="AB621" s="152"/>
      <c r="AC621" s="152"/>
      <c r="AD621" s="152"/>
      <c r="AE621" s="152"/>
      <c r="AF621" s="152"/>
      <c r="AG621" s="144"/>
      <c r="AH621" s="144"/>
      <c r="AI621" s="144"/>
      <c r="AJ621" s="144"/>
      <c r="AK621" s="144"/>
    </row>
    <row r="622" ht="22.5" customHeight="1">
      <c r="A622" s="184"/>
      <c r="B622" s="184"/>
      <c r="C622" s="184"/>
      <c r="D622" s="184"/>
      <c r="E622" s="184"/>
      <c r="F622" s="184"/>
      <c r="G622" s="184"/>
      <c r="H622" s="184"/>
      <c r="I622" s="184"/>
      <c r="J622" s="184"/>
      <c r="K622" s="184"/>
      <c r="L622" s="184"/>
      <c r="M622" s="184"/>
      <c r="N622" s="184"/>
      <c r="O622" s="184"/>
      <c r="P622" s="184"/>
      <c r="Q622" s="184"/>
      <c r="R622" s="184"/>
      <c r="S622" s="184"/>
      <c r="T622" s="145"/>
      <c r="U622" s="151"/>
      <c r="V622" s="145"/>
      <c r="W622" s="145"/>
      <c r="X622" s="145"/>
      <c r="Y622" s="145"/>
      <c r="Z622" s="145"/>
      <c r="AA622" s="145"/>
      <c r="AB622" s="145"/>
      <c r="AC622" s="145"/>
      <c r="AD622" s="145"/>
      <c r="AE622" s="145"/>
      <c r="AF622" s="145"/>
      <c r="AG622" s="144"/>
      <c r="AH622" s="144"/>
      <c r="AI622" s="144"/>
      <c r="AJ622" s="144"/>
      <c r="AK622" s="144"/>
    </row>
    <row r="623" ht="22.5" customHeight="1">
      <c r="A623" s="183"/>
      <c r="B623" s="183"/>
      <c r="C623" s="183"/>
      <c r="D623" s="183"/>
      <c r="E623" s="183"/>
      <c r="F623" s="183"/>
      <c r="G623" s="183"/>
      <c r="H623" s="183"/>
      <c r="I623" s="183"/>
      <c r="J623" s="183"/>
      <c r="K623" s="183"/>
      <c r="L623" s="183"/>
      <c r="M623" s="183"/>
      <c r="N623" s="183"/>
      <c r="O623" s="183"/>
      <c r="P623" s="183"/>
      <c r="Q623" s="183"/>
      <c r="R623" s="183"/>
      <c r="S623" s="183"/>
      <c r="T623" s="152"/>
      <c r="U623" s="155"/>
      <c r="V623" s="152"/>
      <c r="W623" s="152"/>
      <c r="X623" s="152"/>
      <c r="Y623" s="152"/>
      <c r="Z623" s="152"/>
      <c r="AA623" s="152"/>
      <c r="AB623" s="152"/>
      <c r="AC623" s="152"/>
      <c r="AD623" s="152"/>
      <c r="AE623" s="152"/>
      <c r="AF623" s="152"/>
      <c r="AG623" s="144"/>
      <c r="AH623" s="144"/>
      <c r="AI623" s="144"/>
      <c r="AJ623" s="144"/>
      <c r="AK623" s="144"/>
    </row>
    <row r="624" ht="22.5" customHeight="1">
      <c r="A624" s="184"/>
      <c r="B624" s="184"/>
      <c r="C624" s="184"/>
      <c r="D624" s="184"/>
      <c r="E624" s="184"/>
      <c r="F624" s="184"/>
      <c r="G624" s="184"/>
      <c r="H624" s="184"/>
      <c r="I624" s="184"/>
      <c r="J624" s="184"/>
      <c r="K624" s="184"/>
      <c r="L624" s="184"/>
      <c r="M624" s="184"/>
      <c r="N624" s="184"/>
      <c r="O624" s="184"/>
      <c r="P624" s="184"/>
      <c r="Q624" s="184"/>
      <c r="R624" s="184"/>
      <c r="S624" s="184"/>
      <c r="T624" s="145"/>
      <c r="U624" s="151"/>
      <c r="V624" s="145"/>
      <c r="W624" s="145"/>
      <c r="X624" s="145"/>
      <c r="Y624" s="145"/>
      <c r="Z624" s="145"/>
      <c r="AA624" s="145"/>
      <c r="AB624" s="145"/>
      <c r="AC624" s="145"/>
      <c r="AD624" s="145"/>
      <c r="AE624" s="145"/>
      <c r="AF624" s="145"/>
      <c r="AG624" s="144"/>
      <c r="AH624" s="144"/>
      <c r="AI624" s="144"/>
      <c r="AJ624" s="144"/>
      <c r="AK624" s="144"/>
    </row>
    <row r="625" ht="22.5" customHeight="1">
      <c r="A625" s="183"/>
      <c r="B625" s="183"/>
      <c r="C625" s="183"/>
      <c r="D625" s="183"/>
      <c r="E625" s="183"/>
      <c r="F625" s="183"/>
      <c r="G625" s="183"/>
      <c r="H625" s="183"/>
      <c r="I625" s="183"/>
      <c r="J625" s="183"/>
      <c r="K625" s="183"/>
      <c r="L625" s="183"/>
      <c r="M625" s="183"/>
      <c r="N625" s="183"/>
      <c r="O625" s="183"/>
      <c r="P625" s="183"/>
      <c r="Q625" s="183"/>
      <c r="R625" s="183"/>
      <c r="S625" s="183"/>
      <c r="T625" s="152"/>
      <c r="U625" s="155"/>
      <c r="V625" s="152"/>
      <c r="W625" s="152"/>
      <c r="X625" s="152"/>
      <c r="Y625" s="152"/>
      <c r="Z625" s="152"/>
      <c r="AA625" s="152"/>
      <c r="AB625" s="152"/>
      <c r="AC625" s="152"/>
      <c r="AD625" s="152"/>
      <c r="AE625" s="152"/>
      <c r="AF625" s="152"/>
      <c r="AG625" s="144"/>
      <c r="AH625" s="144"/>
      <c r="AI625" s="144"/>
      <c r="AJ625" s="144"/>
      <c r="AK625" s="144"/>
    </row>
    <row r="626" ht="22.5" customHeight="1">
      <c r="A626" s="184"/>
      <c r="B626" s="184"/>
      <c r="C626" s="184"/>
      <c r="D626" s="184"/>
      <c r="E626" s="184"/>
      <c r="F626" s="184"/>
      <c r="G626" s="184"/>
      <c r="H626" s="184"/>
      <c r="I626" s="184"/>
      <c r="J626" s="184"/>
      <c r="K626" s="184"/>
      <c r="L626" s="184"/>
      <c r="M626" s="184"/>
      <c r="N626" s="184"/>
      <c r="O626" s="184"/>
      <c r="P626" s="184"/>
      <c r="Q626" s="184"/>
      <c r="R626" s="184"/>
      <c r="S626" s="184"/>
      <c r="T626" s="145"/>
      <c r="U626" s="151"/>
      <c r="V626" s="145"/>
      <c r="W626" s="145"/>
      <c r="X626" s="145"/>
      <c r="Y626" s="145"/>
      <c r="Z626" s="145"/>
      <c r="AA626" s="145"/>
      <c r="AB626" s="145"/>
      <c r="AC626" s="145"/>
      <c r="AD626" s="145"/>
      <c r="AE626" s="145"/>
      <c r="AF626" s="145"/>
      <c r="AG626" s="144"/>
      <c r="AH626" s="144"/>
      <c r="AI626" s="144"/>
      <c r="AJ626" s="144"/>
      <c r="AK626" s="144"/>
    </row>
    <row r="627" ht="22.5" customHeight="1">
      <c r="A627" s="183"/>
      <c r="B627" s="183"/>
      <c r="C627" s="183"/>
      <c r="D627" s="183"/>
      <c r="E627" s="183"/>
      <c r="F627" s="183"/>
      <c r="G627" s="183"/>
      <c r="H627" s="183"/>
      <c r="I627" s="183"/>
      <c r="J627" s="183"/>
      <c r="K627" s="183"/>
      <c r="L627" s="183"/>
      <c r="M627" s="183"/>
      <c r="N627" s="183"/>
      <c r="O627" s="183"/>
      <c r="P627" s="183"/>
      <c r="Q627" s="183"/>
      <c r="R627" s="183"/>
      <c r="S627" s="183"/>
      <c r="T627" s="152"/>
      <c r="U627" s="155"/>
      <c r="V627" s="152"/>
      <c r="W627" s="152"/>
      <c r="X627" s="152"/>
      <c r="Y627" s="152"/>
      <c r="Z627" s="152"/>
      <c r="AA627" s="152"/>
      <c r="AB627" s="152"/>
      <c r="AC627" s="152"/>
      <c r="AD627" s="152"/>
      <c r="AE627" s="152"/>
      <c r="AF627" s="152"/>
      <c r="AG627" s="144"/>
      <c r="AH627" s="144"/>
      <c r="AI627" s="144"/>
      <c r="AJ627" s="144"/>
      <c r="AK627" s="144"/>
    </row>
    <row r="628" ht="22.5" customHeight="1">
      <c r="A628" s="184"/>
      <c r="B628" s="184"/>
      <c r="C628" s="184"/>
      <c r="D628" s="184"/>
      <c r="E628" s="184"/>
      <c r="F628" s="184"/>
      <c r="G628" s="184"/>
      <c r="H628" s="184"/>
      <c r="I628" s="184"/>
      <c r="J628" s="184"/>
      <c r="K628" s="184"/>
      <c r="L628" s="184"/>
      <c r="M628" s="184"/>
      <c r="N628" s="184"/>
      <c r="O628" s="184"/>
      <c r="P628" s="184"/>
      <c r="Q628" s="184"/>
      <c r="R628" s="184"/>
      <c r="S628" s="184"/>
      <c r="T628" s="145"/>
      <c r="U628" s="151"/>
      <c r="V628" s="145"/>
      <c r="W628" s="145"/>
      <c r="X628" s="145"/>
      <c r="Y628" s="145"/>
      <c r="Z628" s="145"/>
      <c r="AA628" s="145"/>
      <c r="AB628" s="145"/>
      <c r="AC628" s="145"/>
      <c r="AD628" s="145"/>
      <c r="AE628" s="145"/>
      <c r="AF628" s="145"/>
      <c r="AG628" s="144"/>
      <c r="AH628" s="144"/>
      <c r="AI628" s="144"/>
      <c r="AJ628" s="144"/>
      <c r="AK628" s="144"/>
    </row>
    <row r="629" ht="22.5" customHeight="1">
      <c r="A629" s="183"/>
      <c r="B629" s="183"/>
      <c r="C629" s="183"/>
      <c r="D629" s="183"/>
      <c r="E629" s="183"/>
      <c r="F629" s="183"/>
      <c r="G629" s="183"/>
      <c r="H629" s="183"/>
      <c r="I629" s="183"/>
      <c r="J629" s="183"/>
      <c r="K629" s="183"/>
      <c r="L629" s="183"/>
      <c r="M629" s="183"/>
      <c r="N629" s="183"/>
      <c r="O629" s="183"/>
      <c r="P629" s="183"/>
      <c r="Q629" s="183"/>
      <c r="R629" s="183"/>
      <c r="S629" s="183"/>
      <c r="T629" s="152"/>
      <c r="U629" s="155"/>
      <c r="V629" s="152"/>
      <c r="W629" s="152"/>
      <c r="X629" s="152"/>
      <c r="Y629" s="152"/>
      <c r="Z629" s="152"/>
      <c r="AA629" s="152"/>
      <c r="AB629" s="152"/>
      <c r="AC629" s="152"/>
      <c r="AD629" s="152"/>
      <c r="AE629" s="152"/>
      <c r="AF629" s="152"/>
      <c r="AG629" s="144"/>
      <c r="AH629" s="144"/>
      <c r="AI629" s="144"/>
      <c r="AJ629" s="144"/>
      <c r="AK629" s="144"/>
    </row>
    <row r="630" ht="22.5" customHeight="1">
      <c r="A630" s="184"/>
      <c r="B630" s="184"/>
      <c r="C630" s="184"/>
      <c r="D630" s="184"/>
      <c r="E630" s="184"/>
      <c r="F630" s="184"/>
      <c r="G630" s="184"/>
      <c r="H630" s="184"/>
      <c r="I630" s="184"/>
      <c r="J630" s="184"/>
      <c r="K630" s="184"/>
      <c r="L630" s="184"/>
      <c r="M630" s="184"/>
      <c r="N630" s="184"/>
      <c r="O630" s="184"/>
      <c r="P630" s="184"/>
      <c r="Q630" s="184"/>
      <c r="R630" s="184"/>
      <c r="S630" s="184"/>
      <c r="T630" s="145"/>
      <c r="U630" s="151"/>
      <c r="V630" s="145"/>
      <c r="W630" s="145"/>
      <c r="X630" s="145"/>
      <c r="Y630" s="145"/>
      <c r="Z630" s="145"/>
      <c r="AA630" s="145"/>
      <c r="AB630" s="145"/>
      <c r="AC630" s="145"/>
      <c r="AD630" s="145"/>
      <c r="AE630" s="145"/>
      <c r="AF630" s="145"/>
      <c r="AG630" s="144"/>
      <c r="AH630" s="144"/>
      <c r="AI630" s="144"/>
      <c r="AJ630" s="144"/>
      <c r="AK630" s="144"/>
    </row>
    <row r="631" ht="22.5" customHeight="1">
      <c r="A631" s="183"/>
      <c r="B631" s="183"/>
      <c r="C631" s="183"/>
      <c r="D631" s="183"/>
      <c r="E631" s="183"/>
      <c r="F631" s="183"/>
      <c r="G631" s="183"/>
      <c r="H631" s="183"/>
      <c r="I631" s="183"/>
      <c r="J631" s="183"/>
      <c r="K631" s="183"/>
      <c r="L631" s="183"/>
      <c r="M631" s="183"/>
      <c r="N631" s="183"/>
      <c r="O631" s="183"/>
      <c r="P631" s="183"/>
      <c r="Q631" s="183"/>
      <c r="R631" s="183"/>
      <c r="S631" s="183"/>
      <c r="T631" s="152"/>
      <c r="U631" s="155"/>
      <c r="V631" s="152"/>
      <c r="W631" s="152"/>
      <c r="X631" s="152"/>
      <c r="Y631" s="152"/>
      <c r="Z631" s="152"/>
      <c r="AA631" s="152"/>
      <c r="AB631" s="152"/>
      <c r="AC631" s="152"/>
      <c r="AD631" s="152"/>
      <c r="AE631" s="152"/>
      <c r="AF631" s="152"/>
      <c r="AG631" s="144"/>
      <c r="AH631" s="144"/>
      <c r="AI631" s="144"/>
      <c r="AJ631" s="144"/>
      <c r="AK631" s="144"/>
    </row>
    <row r="632" ht="22.5" customHeight="1">
      <c r="A632" s="184"/>
      <c r="B632" s="184"/>
      <c r="C632" s="184"/>
      <c r="D632" s="184"/>
      <c r="E632" s="184"/>
      <c r="F632" s="184"/>
      <c r="G632" s="184"/>
      <c r="H632" s="184"/>
      <c r="I632" s="184"/>
      <c r="J632" s="184"/>
      <c r="K632" s="184"/>
      <c r="L632" s="184"/>
      <c r="M632" s="184"/>
      <c r="N632" s="184"/>
      <c r="O632" s="184"/>
      <c r="P632" s="184"/>
      <c r="Q632" s="184"/>
      <c r="R632" s="184"/>
      <c r="S632" s="184"/>
      <c r="T632" s="145"/>
      <c r="U632" s="151"/>
      <c r="V632" s="145"/>
      <c r="W632" s="145"/>
      <c r="X632" s="145"/>
      <c r="Y632" s="145"/>
      <c r="Z632" s="145"/>
      <c r="AA632" s="145"/>
      <c r="AB632" s="145"/>
      <c r="AC632" s="145"/>
      <c r="AD632" s="145"/>
      <c r="AE632" s="145"/>
      <c r="AF632" s="145"/>
      <c r="AG632" s="144"/>
      <c r="AH632" s="144"/>
      <c r="AI632" s="144"/>
      <c r="AJ632" s="144"/>
      <c r="AK632" s="144"/>
    </row>
    <row r="633" ht="22.5" customHeight="1">
      <c r="A633" s="183"/>
      <c r="B633" s="183"/>
      <c r="C633" s="183"/>
      <c r="D633" s="183"/>
      <c r="E633" s="183"/>
      <c r="F633" s="183"/>
      <c r="G633" s="183"/>
      <c r="H633" s="183"/>
      <c r="I633" s="183"/>
      <c r="J633" s="183"/>
      <c r="K633" s="183"/>
      <c r="L633" s="183"/>
      <c r="M633" s="183"/>
      <c r="N633" s="183"/>
      <c r="O633" s="183"/>
      <c r="P633" s="183"/>
      <c r="Q633" s="183"/>
      <c r="R633" s="183"/>
      <c r="S633" s="183"/>
      <c r="T633" s="152"/>
      <c r="U633" s="155"/>
      <c r="V633" s="152"/>
      <c r="W633" s="152"/>
      <c r="X633" s="152"/>
      <c r="Y633" s="152"/>
      <c r="Z633" s="152"/>
      <c r="AA633" s="152"/>
      <c r="AB633" s="152"/>
      <c r="AC633" s="152"/>
      <c r="AD633" s="152"/>
      <c r="AE633" s="152"/>
      <c r="AF633" s="152"/>
      <c r="AG633" s="144"/>
      <c r="AH633" s="144"/>
      <c r="AI633" s="144"/>
      <c r="AJ633" s="144"/>
      <c r="AK633" s="144"/>
    </row>
    <row r="634" ht="22.5" customHeight="1">
      <c r="A634" s="184"/>
      <c r="B634" s="184"/>
      <c r="C634" s="184"/>
      <c r="D634" s="184"/>
      <c r="E634" s="184"/>
      <c r="F634" s="184"/>
      <c r="G634" s="184"/>
      <c r="H634" s="184"/>
      <c r="I634" s="184"/>
      <c r="J634" s="184"/>
      <c r="K634" s="184"/>
      <c r="L634" s="184"/>
      <c r="M634" s="184"/>
      <c r="N634" s="184"/>
      <c r="O634" s="184"/>
      <c r="P634" s="184"/>
      <c r="Q634" s="184"/>
      <c r="R634" s="184"/>
      <c r="S634" s="184"/>
      <c r="T634" s="145"/>
      <c r="U634" s="151"/>
      <c r="V634" s="145"/>
      <c r="W634" s="145"/>
      <c r="X634" s="145"/>
      <c r="Y634" s="145"/>
      <c r="Z634" s="145"/>
      <c r="AA634" s="145"/>
      <c r="AB634" s="145"/>
      <c r="AC634" s="145"/>
      <c r="AD634" s="145"/>
      <c r="AE634" s="145"/>
      <c r="AF634" s="145"/>
      <c r="AG634" s="144"/>
      <c r="AH634" s="144"/>
      <c r="AI634" s="144"/>
      <c r="AJ634" s="144"/>
      <c r="AK634" s="144"/>
    </row>
    <row r="635" ht="22.5" customHeight="1">
      <c r="A635" s="183"/>
      <c r="B635" s="183"/>
      <c r="C635" s="183"/>
      <c r="D635" s="183"/>
      <c r="E635" s="183"/>
      <c r="F635" s="183"/>
      <c r="G635" s="183"/>
      <c r="H635" s="183"/>
      <c r="I635" s="183"/>
      <c r="J635" s="183"/>
      <c r="K635" s="183"/>
      <c r="L635" s="183"/>
      <c r="M635" s="183"/>
      <c r="N635" s="183"/>
      <c r="O635" s="183"/>
      <c r="P635" s="183"/>
      <c r="Q635" s="183"/>
      <c r="R635" s="183"/>
      <c r="S635" s="183"/>
      <c r="T635" s="152"/>
      <c r="U635" s="155"/>
      <c r="V635" s="152"/>
      <c r="W635" s="152"/>
      <c r="X635" s="152"/>
      <c r="Y635" s="152"/>
      <c r="Z635" s="152"/>
      <c r="AA635" s="152"/>
      <c r="AB635" s="152"/>
      <c r="AC635" s="152"/>
      <c r="AD635" s="152"/>
      <c r="AE635" s="152"/>
      <c r="AF635" s="152"/>
      <c r="AG635" s="144"/>
      <c r="AH635" s="144"/>
      <c r="AI635" s="144"/>
      <c r="AJ635" s="144"/>
      <c r="AK635" s="144"/>
    </row>
    <row r="636" ht="22.5" customHeight="1">
      <c r="A636" s="184"/>
      <c r="B636" s="184"/>
      <c r="C636" s="184"/>
      <c r="D636" s="184"/>
      <c r="E636" s="184"/>
      <c r="F636" s="184"/>
      <c r="G636" s="184"/>
      <c r="H636" s="184"/>
      <c r="I636" s="184"/>
      <c r="J636" s="184"/>
      <c r="K636" s="184"/>
      <c r="L636" s="184"/>
      <c r="M636" s="184"/>
      <c r="N636" s="184"/>
      <c r="O636" s="184"/>
      <c r="P636" s="184"/>
      <c r="Q636" s="184"/>
      <c r="R636" s="184"/>
      <c r="S636" s="184"/>
      <c r="T636" s="145"/>
      <c r="U636" s="151"/>
      <c r="V636" s="145"/>
      <c r="W636" s="145"/>
      <c r="X636" s="145"/>
      <c r="Y636" s="145"/>
      <c r="Z636" s="145"/>
      <c r="AA636" s="145"/>
      <c r="AB636" s="145"/>
      <c r="AC636" s="145"/>
      <c r="AD636" s="145"/>
      <c r="AE636" s="145"/>
      <c r="AF636" s="145"/>
      <c r="AG636" s="144"/>
      <c r="AH636" s="144"/>
      <c r="AI636" s="144"/>
      <c r="AJ636" s="144"/>
      <c r="AK636" s="144"/>
    </row>
    <row r="637" ht="22.5" customHeight="1">
      <c r="A637" s="183"/>
      <c r="B637" s="183"/>
      <c r="C637" s="183"/>
      <c r="D637" s="183"/>
      <c r="E637" s="183"/>
      <c r="F637" s="183"/>
      <c r="G637" s="183"/>
      <c r="H637" s="183"/>
      <c r="I637" s="183"/>
      <c r="J637" s="183"/>
      <c r="K637" s="183"/>
      <c r="L637" s="183"/>
      <c r="M637" s="183"/>
      <c r="N637" s="183"/>
      <c r="O637" s="183"/>
      <c r="P637" s="183"/>
      <c r="Q637" s="183"/>
      <c r="R637" s="183"/>
      <c r="S637" s="183"/>
      <c r="T637" s="152"/>
      <c r="U637" s="155"/>
      <c r="V637" s="152"/>
      <c r="W637" s="152"/>
      <c r="X637" s="152"/>
      <c r="Y637" s="152"/>
      <c r="Z637" s="152"/>
      <c r="AA637" s="152"/>
      <c r="AB637" s="152"/>
      <c r="AC637" s="152"/>
      <c r="AD637" s="152"/>
      <c r="AE637" s="152"/>
      <c r="AF637" s="152"/>
      <c r="AG637" s="144"/>
      <c r="AH637" s="144"/>
      <c r="AI637" s="144"/>
      <c r="AJ637" s="144"/>
      <c r="AK637" s="144"/>
    </row>
    <row r="638" ht="22.5" customHeight="1">
      <c r="A638" s="184"/>
      <c r="B638" s="184"/>
      <c r="C638" s="184"/>
      <c r="D638" s="184"/>
      <c r="E638" s="184"/>
      <c r="F638" s="184"/>
      <c r="G638" s="184"/>
      <c r="H638" s="184"/>
      <c r="I638" s="184"/>
      <c r="J638" s="184"/>
      <c r="K638" s="184"/>
      <c r="L638" s="184"/>
      <c r="M638" s="184"/>
      <c r="N638" s="184"/>
      <c r="O638" s="184"/>
      <c r="P638" s="184"/>
      <c r="Q638" s="184"/>
      <c r="R638" s="184"/>
      <c r="S638" s="184"/>
      <c r="T638" s="145"/>
      <c r="U638" s="151"/>
      <c r="V638" s="145"/>
      <c r="W638" s="145"/>
      <c r="X638" s="145"/>
      <c r="Y638" s="145"/>
      <c r="Z638" s="145"/>
      <c r="AA638" s="145"/>
      <c r="AB638" s="145"/>
      <c r="AC638" s="145"/>
      <c r="AD638" s="145"/>
      <c r="AE638" s="145"/>
      <c r="AF638" s="145"/>
      <c r="AG638" s="144"/>
      <c r="AH638" s="144"/>
      <c r="AI638" s="144"/>
      <c r="AJ638" s="144"/>
      <c r="AK638" s="144"/>
    </row>
    <row r="639" ht="22.5" customHeight="1">
      <c r="A639" s="183"/>
      <c r="B639" s="183"/>
      <c r="C639" s="183"/>
      <c r="D639" s="183"/>
      <c r="E639" s="183"/>
      <c r="F639" s="183"/>
      <c r="G639" s="183"/>
      <c r="H639" s="183"/>
      <c r="I639" s="183"/>
      <c r="J639" s="183"/>
      <c r="K639" s="183"/>
      <c r="L639" s="183"/>
      <c r="M639" s="183"/>
      <c r="N639" s="183"/>
      <c r="O639" s="183"/>
      <c r="P639" s="183"/>
      <c r="Q639" s="183"/>
      <c r="R639" s="183"/>
      <c r="S639" s="183"/>
      <c r="T639" s="152"/>
      <c r="U639" s="155"/>
      <c r="V639" s="152"/>
      <c r="W639" s="152"/>
      <c r="X639" s="152"/>
      <c r="Y639" s="152"/>
      <c r="Z639" s="152"/>
      <c r="AA639" s="152"/>
      <c r="AB639" s="152"/>
      <c r="AC639" s="152"/>
      <c r="AD639" s="152"/>
      <c r="AE639" s="152"/>
      <c r="AF639" s="152"/>
      <c r="AG639" s="144"/>
      <c r="AH639" s="144"/>
      <c r="AI639" s="144"/>
      <c r="AJ639" s="144"/>
      <c r="AK639" s="144"/>
    </row>
    <row r="640" ht="22.5" customHeight="1">
      <c r="A640" s="184"/>
      <c r="B640" s="184"/>
      <c r="C640" s="184"/>
      <c r="D640" s="184"/>
      <c r="E640" s="184"/>
      <c r="F640" s="184"/>
      <c r="G640" s="184"/>
      <c r="H640" s="184"/>
      <c r="I640" s="184"/>
      <c r="J640" s="184"/>
      <c r="K640" s="184"/>
      <c r="L640" s="184"/>
      <c r="M640" s="184"/>
      <c r="N640" s="184"/>
      <c r="O640" s="184"/>
      <c r="P640" s="184"/>
      <c r="Q640" s="184"/>
      <c r="R640" s="184"/>
      <c r="S640" s="184"/>
      <c r="T640" s="145"/>
      <c r="U640" s="151"/>
      <c r="V640" s="145"/>
      <c r="W640" s="145"/>
      <c r="X640" s="145"/>
      <c r="Y640" s="145"/>
      <c r="Z640" s="145"/>
      <c r="AA640" s="145"/>
      <c r="AB640" s="145"/>
      <c r="AC640" s="145"/>
      <c r="AD640" s="145"/>
      <c r="AE640" s="145"/>
      <c r="AF640" s="145"/>
      <c r="AG640" s="144"/>
      <c r="AH640" s="144"/>
      <c r="AI640" s="144"/>
      <c r="AJ640" s="144"/>
      <c r="AK640" s="144"/>
    </row>
    <row r="641" ht="22.5" customHeight="1">
      <c r="A641" s="183"/>
      <c r="B641" s="183"/>
      <c r="C641" s="183"/>
      <c r="D641" s="183"/>
      <c r="E641" s="183"/>
      <c r="F641" s="183"/>
      <c r="G641" s="183"/>
      <c r="H641" s="183"/>
      <c r="I641" s="183"/>
      <c r="J641" s="183"/>
      <c r="K641" s="183"/>
      <c r="L641" s="183"/>
      <c r="M641" s="183"/>
      <c r="N641" s="183"/>
      <c r="O641" s="183"/>
      <c r="P641" s="183"/>
      <c r="Q641" s="183"/>
      <c r="R641" s="183"/>
      <c r="S641" s="183"/>
      <c r="T641" s="152"/>
      <c r="U641" s="155"/>
      <c r="V641" s="152"/>
      <c r="W641" s="152"/>
      <c r="X641" s="152"/>
      <c r="Y641" s="152"/>
      <c r="Z641" s="152"/>
      <c r="AA641" s="152"/>
      <c r="AB641" s="152"/>
      <c r="AC641" s="152"/>
      <c r="AD641" s="152"/>
      <c r="AE641" s="152"/>
      <c r="AF641" s="152"/>
      <c r="AG641" s="144"/>
      <c r="AH641" s="144"/>
      <c r="AI641" s="144"/>
      <c r="AJ641" s="144"/>
      <c r="AK641" s="144"/>
    </row>
    <row r="642" ht="22.5" customHeight="1">
      <c r="A642" s="184"/>
      <c r="B642" s="184"/>
      <c r="C642" s="184"/>
      <c r="D642" s="184"/>
      <c r="E642" s="184"/>
      <c r="F642" s="184"/>
      <c r="G642" s="184"/>
      <c r="H642" s="184"/>
      <c r="I642" s="184"/>
      <c r="J642" s="184"/>
      <c r="K642" s="184"/>
      <c r="L642" s="184"/>
      <c r="M642" s="184"/>
      <c r="N642" s="184"/>
      <c r="O642" s="184"/>
      <c r="P642" s="184"/>
      <c r="Q642" s="184"/>
      <c r="R642" s="184"/>
      <c r="S642" s="184"/>
      <c r="T642" s="145"/>
      <c r="U642" s="151"/>
      <c r="V642" s="145"/>
      <c r="W642" s="145"/>
      <c r="X642" s="145"/>
      <c r="Y642" s="145"/>
      <c r="Z642" s="145"/>
      <c r="AA642" s="145"/>
      <c r="AB642" s="145"/>
      <c r="AC642" s="145"/>
      <c r="AD642" s="145"/>
      <c r="AE642" s="145"/>
      <c r="AF642" s="145"/>
      <c r="AG642" s="144"/>
      <c r="AH642" s="144"/>
      <c r="AI642" s="144"/>
      <c r="AJ642" s="144"/>
      <c r="AK642" s="144"/>
    </row>
    <row r="643" ht="22.5" customHeight="1">
      <c r="A643" s="183"/>
      <c r="B643" s="183"/>
      <c r="C643" s="183"/>
      <c r="D643" s="183"/>
      <c r="E643" s="183"/>
      <c r="F643" s="183"/>
      <c r="G643" s="183"/>
      <c r="H643" s="183"/>
      <c r="I643" s="183"/>
      <c r="J643" s="183"/>
      <c r="K643" s="183"/>
      <c r="L643" s="183"/>
      <c r="M643" s="183"/>
      <c r="N643" s="183"/>
      <c r="O643" s="183"/>
      <c r="P643" s="183"/>
      <c r="Q643" s="183"/>
      <c r="R643" s="183"/>
      <c r="S643" s="183"/>
      <c r="T643" s="152"/>
      <c r="U643" s="155"/>
      <c r="V643" s="152"/>
      <c r="W643" s="152"/>
      <c r="X643" s="152"/>
      <c r="Y643" s="152"/>
      <c r="Z643" s="152"/>
      <c r="AA643" s="152"/>
      <c r="AB643" s="152"/>
      <c r="AC643" s="152"/>
      <c r="AD643" s="152"/>
      <c r="AE643" s="152"/>
      <c r="AF643" s="152"/>
      <c r="AG643" s="144"/>
      <c r="AH643" s="144"/>
      <c r="AI643" s="144"/>
      <c r="AJ643" s="144"/>
      <c r="AK643" s="144"/>
    </row>
    <row r="644" ht="22.5" customHeight="1">
      <c r="A644" s="184"/>
      <c r="B644" s="184"/>
      <c r="C644" s="184"/>
      <c r="D644" s="184"/>
      <c r="E644" s="184"/>
      <c r="F644" s="184"/>
      <c r="G644" s="184"/>
      <c r="H644" s="184"/>
      <c r="I644" s="184"/>
      <c r="J644" s="184"/>
      <c r="K644" s="184"/>
      <c r="L644" s="184"/>
      <c r="M644" s="184"/>
      <c r="N644" s="184"/>
      <c r="O644" s="184"/>
      <c r="P644" s="184"/>
      <c r="Q644" s="184"/>
      <c r="R644" s="184"/>
      <c r="S644" s="184"/>
      <c r="T644" s="145"/>
      <c r="U644" s="151"/>
      <c r="V644" s="145"/>
      <c r="W644" s="145"/>
      <c r="X644" s="145"/>
      <c r="Y644" s="145"/>
      <c r="Z644" s="145"/>
      <c r="AA644" s="145"/>
      <c r="AB644" s="145"/>
      <c r="AC644" s="145"/>
      <c r="AD644" s="145"/>
      <c r="AE644" s="145"/>
      <c r="AF644" s="145"/>
      <c r="AG644" s="144"/>
      <c r="AH644" s="144"/>
      <c r="AI644" s="144"/>
      <c r="AJ644" s="144"/>
      <c r="AK644" s="144"/>
    </row>
    <row r="645" ht="22.5" customHeight="1">
      <c r="A645" s="183"/>
      <c r="B645" s="183"/>
      <c r="C645" s="183"/>
      <c r="D645" s="183"/>
      <c r="E645" s="183"/>
      <c r="F645" s="183"/>
      <c r="G645" s="183"/>
      <c r="H645" s="183"/>
      <c r="I645" s="183"/>
      <c r="J645" s="183"/>
      <c r="K645" s="183"/>
      <c r="L645" s="183"/>
      <c r="M645" s="183"/>
      <c r="N645" s="183"/>
      <c r="O645" s="183"/>
      <c r="P645" s="183"/>
      <c r="Q645" s="183"/>
      <c r="R645" s="183"/>
      <c r="S645" s="183"/>
      <c r="T645" s="152"/>
      <c r="U645" s="155"/>
      <c r="V645" s="152"/>
      <c r="W645" s="152"/>
      <c r="X645" s="152"/>
      <c r="Y645" s="152"/>
      <c r="Z645" s="152"/>
      <c r="AA645" s="152"/>
      <c r="AB645" s="152"/>
      <c r="AC645" s="152"/>
      <c r="AD645" s="152"/>
      <c r="AE645" s="152"/>
      <c r="AF645" s="152"/>
      <c r="AG645" s="144"/>
      <c r="AH645" s="144"/>
      <c r="AI645" s="144"/>
      <c r="AJ645" s="144"/>
      <c r="AK645" s="144"/>
    </row>
    <row r="646" ht="22.5" customHeight="1">
      <c r="A646" s="184"/>
      <c r="B646" s="184"/>
      <c r="C646" s="184"/>
      <c r="D646" s="184"/>
      <c r="E646" s="184"/>
      <c r="F646" s="184"/>
      <c r="G646" s="184"/>
      <c r="H646" s="184"/>
      <c r="I646" s="184"/>
      <c r="J646" s="184"/>
      <c r="K646" s="184"/>
      <c r="L646" s="184"/>
      <c r="M646" s="184"/>
      <c r="N646" s="184"/>
      <c r="O646" s="184"/>
      <c r="P646" s="184"/>
      <c r="Q646" s="184"/>
      <c r="R646" s="184"/>
      <c r="S646" s="184"/>
      <c r="T646" s="145"/>
      <c r="U646" s="151"/>
      <c r="V646" s="145"/>
      <c r="W646" s="145"/>
      <c r="X646" s="145"/>
      <c r="Y646" s="145"/>
      <c r="Z646" s="145"/>
      <c r="AA646" s="145"/>
      <c r="AB646" s="145"/>
      <c r="AC646" s="145"/>
      <c r="AD646" s="145"/>
      <c r="AE646" s="145"/>
      <c r="AF646" s="145"/>
      <c r="AG646" s="144"/>
      <c r="AH646" s="144"/>
      <c r="AI646" s="144"/>
      <c r="AJ646" s="144"/>
      <c r="AK646" s="144"/>
    </row>
    <row r="647" ht="22.5" customHeight="1">
      <c r="A647" s="183"/>
      <c r="B647" s="183"/>
      <c r="C647" s="183"/>
      <c r="D647" s="183"/>
      <c r="E647" s="183"/>
      <c r="F647" s="183"/>
      <c r="G647" s="183"/>
      <c r="H647" s="183"/>
      <c r="I647" s="183"/>
      <c r="J647" s="183"/>
      <c r="K647" s="183"/>
      <c r="L647" s="183"/>
      <c r="M647" s="183"/>
      <c r="N647" s="183"/>
      <c r="O647" s="183"/>
      <c r="P647" s="183"/>
      <c r="Q647" s="183"/>
      <c r="R647" s="183"/>
      <c r="S647" s="183"/>
      <c r="T647" s="152"/>
      <c r="U647" s="155"/>
      <c r="V647" s="152"/>
      <c r="W647" s="152"/>
      <c r="X647" s="152"/>
      <c r="Y647" s="152"/>
      <c r="Z647" s="152"/>
      <c r="AA647" s="152"/>
      <c r="AB647" s="152"/>
      <c r="AC647" s="152"/>
      <c r="AD647" s="152"/>
      <c r="AE647" s="152"/>
      <c r="AF647" s="152"/>
      <c r="AG647" s="144"/>
      <c r="AH647" s="144"/>
      <c r="AI647" s="144"/>
      <c r="AJ647" s="144"/>
      <c r="AK647" s="144"/>
    </row>
    <row r="648" ht="22.5" customHeight="1">
      <c r="A648" s="184"/>
      <c r="B648" s="184"/>
      <c r="C648" s="184"/>
      <c r="D648" s="184"/>
      <c r="E648" s="184"/>
      <c r="F648" s="184"/>
      <c r="G648" s="184"/>
      <c r="H648" s="184"/>
      <c r="I648" s="184"/>
      <c r="J648" s="184"/>
      <c r="K648" s="184"/>
      <c r="L648" s="184"/>
      <c r="M648" s="184"/>
      <c r="N648" s="184"/>
      <c r="O648" s="184"/>
      <c r="P648" s="184"/>
      <c r="Q648" s="184"/>
      <c r="R648" s="184"/>
      <c r="S648" s="184"/>
      <c r="T648" s="145"/>
      <c r="U648" s="151"/>
      <c r="V648" s="145"/>
      <c r="W648" s="145"/>
      <c r="X648" s="145"/>
      <c r="Y648" s="145"/>
      <c r="Z648" s="145"/>
      <c r="AA648" s="145"/>
      <c r="AB648" s="145"/>
      <c r="AC648" s="145"/>
      <c r="AD648" s="145"/>
      <c r="AE648" s="145"/>
      <c r="AF648" s="145"/>
      <c r="AG648" s="144"/>
      <c r="AH648" s="144"/>
      <c r="AI648" s="144"/>
      <c r="AJ648" s="144"/>
      <c r="AK648" s="144"/>
    </row>
    <row r="649" ht="22.5" customHeight="1">
      <c r="A649" s="183"/>
      <c r="B649" s="183"/>
      <c r="C649" s="183"/>
      <c r="D649" s="183"/>
      <c r="E649" s="183"/>
      <c r="F649" s="183"/>
      <c r="G649" s="183"/>
      <c r="H649" s="183"/>
      <c r="I649" s="183"/>
      <c r="J649" s="183"/>
      <c r="K649" s="183"/>
      <c r="L649" s="183"/>
      <c r="M649" s="183"/>
      <c r="N649" s="183"/>
      <c r="O649" s="183"/>
      <c r="P649" s="183"/>
      <c r="Q649" s="183"/>
      <c r="R649" s="183"/>
      <c r="S649" s="183"/>
      <c r="T649" s="152"/>
      <c r="U649" s="155"/>
      <c r="V649" s="152"/>
      <c r="W649" s="152"/>
      <c r="X649" s="152"/>
      <c r="Y649" s="152"/>
      <c r="Z649" s="152"/>
      <c r="AA649" s="152"/>
      <c r="AB649" s="152"/>
      <c r="AC649" s="152"/>
      <c r="AD649" s="152"/>
      <c r="AE649" s="152"/>
      <c r="AF649" s="152"/>
      <c r="AG649" s="144"/>
      <c r="AH649" s="144"/>
      <c r="AI649" s="144"/>
      <c r="AJ649" s="144"/>
      <c r="AK649" s="144"/>
    </row>
    <row r="650" ht="22.5" customHeight="1">
      <c r="A650" s="184"/>
      <c r="B650" s="184"/>
      <c r="C650" s="184"/>
      <c r="D650" s="184"/>
      <c r="E650" s="184"/>
      <c r="F650" s="184"/>
      <c r="G650" s="184"/>
      <c r="H650" s="184"/>
      <c r="I650" s="184"/>
      <c r="J650" s="184"/>
      <c r="K650" s="184"/>
      <c r="L650" s="184"/>
      <c r="M650" s="184"/>
      <c r="N650" s="184"/>
      <c r="O650" s="184"/>
      <c r="P650" s="184"/>
      <c r="Q650" s="184"/>
      <c r="R650" s="184"/>
      <c r="S650" s="184"/>
      <c r="T650" s="145"/>
      <c r="U650" s="151"/>
      <c r="V650" s="145"/>
      <c r="W650" s="145"/>
      <c r="X650" s="145"/>
      <c r="Y650" s="145"/>
      <c r="Z650" s="145"/>
      <c r="AA650" s="145"/>
      <c r="AB650" s="145"/>
      <c r="AC650" s="145"/>
      <c r="AD650" s="145"/>
      <c r="AE650" s="145"/>
      <c r="AF650" s="145"/>
      <c r="AG650" s="144"/>
      <c r="AH650" s="144"/>
      <c r="AI650" s="144"/>
      <c r="AJ650" s="144"/>
      <c r="AK650" s="144"/>
    </row>
    <row r="651" ht="22.5" customHeight="1">
      <c r="A651" s="183"/>
      <c r="B651" s="183"/>
      <c r="C651" s="183"/>
      <c r="D651" s="183"/>
      <c r="E651" s="183"/>
      <c r="F651" s="183"/>
      <c r="G651" s="183"/>
      <c r="H651" s="183"/>
      <c r="I651" s="183"/>
      <c r="J651" s="183"/>
      <c r="K651" s="183"/>
      <c r="L651" s="183"/>
      <c r="M651" s="183"/>
      <c r="N651" s="183"/>
      <c r="O651" s="183"/>
      <c r="P651" s="183"/>
      <c r="Q651" s="183"/>
      <c r="R651" s="183"/>
      <c r="S651" s="183"/>
      <c r="T651" s="152"/>
      <c r="U651" s="155"/>
      <c r="V651" s="152"/>
      <c r="W651" s="152"/>
      <c r="X651" s="152"/>
      <c r="Y651" s="152"/>
      <c r="Z651" s="152"/>
      <c r="AA651" s="152"/>
      <c r="AB651" s="152"/>
      <c r="AC651" s="152"/>
      <c r="AD651" s="152"/>
      <c r="AE651" s="152"/>
      <c r="AF651" s="152"/>
      <c r="AG651" s="144"/>
      <c r="AH651" s="144"/>
      <c r="AI651" s="144"/>
      <c r="AJ651" s="144"/>
      <c r="AK651" s="144"/>
    </row>
    <row r="652" ht="22.5" customHeight="1">
      <c r="A652" s="184"/>
      <c r="B652" s="184"/>
      <c r="C652" s="184"/>
      <c r="D652" s="184"/>
      <c r="E652" s="184"/>
      <c r="F652" s="184"/>
      <c r="G652" s="184"/>
      <c r="H652" s="184"/>
      <c r="I652" s="184"/>
      <c r="J652" s="184"/>
      <c r="K652" s="184"/>
      <c r="L652" s="184"/>
      <c r="M652" s="184"/>
      <c r="N652" s="184"/>
      <c r="O652" s="184"/>
      <c r="P652" s="184"/>
      <c r="Q652" s="184"/>
      <c r="R652" s="184"/>
      <c r="S652" s="184"/>
      <c r="T652" s="145"/>
      <c r="U652" s="151"/>
      <c r="V652" s="145"/>
      <c r="W652" s="145"/>
      <c r="X652" s="145"/>
      <c r="Y652" s="145"/>
      <c r="Z652" s="145"/>
      <c r="AA652" s="145"/>
      <c r="AB652" s="145"/>
      <c r="AC652" s="145"/>
      <c r="AD652" s="145"/>
      <c r="AE652" s="145"/>
      <c r="AF652" s="145"/>
      <c r="AG652" s="144"/>
      <c r="AH652" s="144"/>
      <c r="AI652" s="144"/>
      <c r="AJ652" s="144"/>
      <c r="AK652" s="144"/>
    </row>
    <row r="653" ht="22.5" customHeight="1">
      <c r="A653" s="183"/>
      <c r="B653" s="183"/>
      <c r="C653" s="183"/>
      <c r="D653" s="183"/>
      <c r="E653" s="183"/>
      <c r="F653" s="183"/>
      <c r="G653" s="183"/>
      <c r="H653" s="183"/>
      <c r="I653" s="183"/>
      <c r="J653" s="183"/>
      <c r="K653" s="183"/>
      <c r="L653" s="183"/>
      <c r="M653" s="183"/>
      <c r="N653" s="183"/>
      <c r="O653" s="183"/>
      <c r="P653" s="183"/>
      <c r="Q653" s="183"/>
      <c r="R653" s="183"/>
      <c r="S653" s="183"/>
      <c r="T653" s="152"/>
      <c r="U653" s="155"/>
      <c r="V653" s="152"/>
      <c r="W653" s="152"/>
      <c r="X653" s="152"/>
      <c r="Y653" s="152"/>
      <c r="Z653" s="152"/>
      <c r="AA653" s="152"/>
      <c r="AB653" s="152"/>
      <c r="AC653" s="152"/>
      <c r="AD653" s="152"/>
      <c r="AE653" s="152"/>
      <c r="AF653" s="152"/>
      <c r="AG653" s="144"/>
      <c r="AH653" s="144"/>
      <c r="AI653" s="144"/>
      <c r="AJ653" s="144"/>
      <c r="AK653" s="144"/>
    </row>
    <row r="654" ht="22.5" customHeight="1">
      <c r="A654" s="184"/>
      <c r="B654" s="184"/>
      <c r="C654" s="184"/>
      <c r="D654" s="184"/>
      <c r="E654" s="184"/>
      <c r="F654" s="184"/>
      <c r="G654" s="184"/>
      <c r="H654" s="184"/>
      <c r="I654" s="184"/>
      <c r="J654" s="184"/>
      <c r="K654" s="184"/>
      <c r="L654" s="184"/>
      <c r="M654" s="184"/>
      <c r="N654" s="184"/>
      <c r="O654" s="184"/>
      <c r="P654" s="184"/>
      <c r="Q654" s="184"/>
      <c r="R654" s="184"/>
      <c r="S654" s="184"/>
      <c r="T654" s="145"/>
      <c r="U654" s="151"/>
      <c r="V654" s="145"/>
      <c r="W654" s="145"/>
      <c r="X654" s="145"/>
      <c r="Y654" s="145"/>
      <c r="Z654" s="145"/>
      <c r="AA654" s="145"/>
      <c r="AB654" s="145"/>
      <c r="AC654" s="145"/>
      <c r="AD654" s="145"/>
      <c r="AE654" s="145"/>
      <c r="AF654" s="145"/>
      <c r="AG654" s="144"/>
      <c r="AH654" s="144"/>
      <c r="AI654" s="144"/>
      <c r="AJ654" s="144"/>
      <c r="AK654" s="144"/>
    </row>
    <row r="655" ht="22.5" customHeight="1">
      <c r="A655" s="183"/>
      <c r="B655" s="183"/>
      <c r="C655" s="183"/>
      <c r="D655" s="183"/>
      <c r="E655" s="183"/>
      <c r="F655" s="183"/>
      <c r="G655" s="183"/>
      <c r="H655" s="183"/>
      <c r="I655" s="183"/>
      <c r="J655" s="183"/>
      <c r="K655" s="183"/>
      <c r="L655" s="183"/>
      <c r="M655" s="183"/>
      <c r="N655" s="183"/>
      <c r="O655" s="183"/>
      <c r="P655" s="183"/>
      <c r="Q655" s="183"/>
      <c r="R655" s="183"/>
      <c r="S655" s="183"/>
      <c r="T655" s="152"/>
      <c r="U655" s="155"/>
      <c r="V655" s="152"/>
      <c r="W655" s="152"/>
      <c r="X655" s="152"/>
      <c r="Y655" s="152"/>
      <c r="Z655" s="152"/>
      <c r="AA655" s="152"/>
      <c r="AB655" s="152"/>
      <c r="AC655" s="152"/>
      <c r="AD655" s="152"/>
      <c r="AE655" s="152"/>
      <c r="AF655" s="152"/>
      <c r="AG655" s="144"/>
      <c r="AH655" s="144"/>
      <c r="AI655" s="144"/>
      <c r="AJ655" s="144"/>
      <c r="AK655" s="144"/>
    </row>
    <row r="656" ht="22.5" customHeight="1">
      <c r="A656" s="184"/>
      <c r="B656" s="184"/>
      <c r="C656" s="184"/>
      <c r="D656" s="184"/>
      <c r="E656" s="184"/>
      <c r="F656" s="184"/>
      <c r="G656" s="184"/>
      <c r="H656" s="184"/>
      <c r="I656" s="184"/>
      <c r="J656" s="184"/>
      <c r="K656" s="184"/>
      <c r="L656" s="184"/>
      <c r="M656" s="184"/>
      <c r="N656" s="184"/>
      <c r="O656" s="184"/>
      <c r="P656" s="184"/>
      <c r="Q656" s="184"/>
      <c r="R656" s="184"/>
      <c r="S656" s="184"/>
      <c r="T656" s="145"/>
      <c r="U656" s="151"/>
      <c r="V656" s="145"/>
      <c r="W656" s="145"/>
      <c r="X656" s="145"/>
      <c r="Y656" s="145"/>
      <c r="Z656" s="145"/>
      <c r="AA656" s="145"/>
      <c r="AB656" s="145"/>
      <c r="AC656" s="145"/>
      <c r="AD656" s="145"/>
      <c r="AE656" s="145"/>
      <c r="AF656" s="145"/>
      <c r="AG656" s="144"/>
      <c r="AH656" s="144"/>
      <c r="AI656" s="144"/>
      <c r="AJ656" s="144"/>
      <c r="AK656" s="144"/>
    </row>
    <row r="657" ht="22.5" customHeight="1">
      <c r="A657" s="183"/>
      <c r="B657" s="183"/>
      <c r="C657" s="183"/>
      <c r="D657" s="183"/>
      <c r="E657" s="183"/>
      <c r="F657" s="183"/>
      <c r="G657" s="183"/>
      <c r="H657" s="183"/>
      <c r="I657" s="183"/>
      <c r="J657" s="183"/>
      <c r="K657" s="183"/>
      <c r="L657" s="183"/>
      <c r="M657" s="183"/>
      <c r="N657" s="183"/>
      <c r="O657" s="183"/>
      <c r="P657" s="183"/>
      <c r="Q657" s="183"/>
      <c r="R657" s="183"/>
      <c r="S657" s="183"/>
      <c r="T657" s="152"/>
      <c r="U657" s="155"/>
      <c r="V657" s="152"/>
      <c r="W657" s="152"/>
      <c r="X657" s="152"/>
      <c r="Y657" s="152"/>
      <c r="Z657" s="152"/>
      <c r="AA657" s="152"/>
      <c r="AB657" s="152"/>
      <c r="AC657" s="152"/>
      <c r="AD657" s="152"/>
      <c r="AE657" s="152"/>
      <c r="AF657" s="152"/>
      <c r="AG657" s="144"/>
      <c r="AH657" s="144"/>
      <c r="AI657" s="144"/>
      <c r="AJ657" s="144"/>
      <c r="AK657" s="144"/>
    </row>
    <row r="658" ht="22.5" customHeight="1">
      <c r="A658" s="184"/>
      <c r="B658" s="184"/>
      <c r="C658" s="184"/>
      <c r="D658" s="184"/>
      <c r="E658" s="184"/>
      <c r="F658" s="184"/>
      <c r="G658" s="184"/>
      <c r="H658" s="184"/>
      <c r="I658" s="184"/>
      <c r="J658" s="184"/>
      <c r="K658" s="184"/>
      <c r="L658" s="184"/>
      <c r="M658" s="184"/>
      <c r="N658" s="184"/>
      <c r="O658" s="184"/>
      <c r="P658" s="184"/>
      <c r="Q658" s="184"/>
      <c r="R658" s="184"/>
      <c r="S658" s="184"/>
      <c r="T658" s="145"/>
      <c r="U658" s="151"/>
      <c r="V658" s="145"/>
      <c r="W658" s="145"/>
      <c r="X658" s="145"/>
      <c r="Y658" s="145"/>
      <c r="Z658" s="145"/>
      <c r="AA658" s="145"/>
      <c r="AB658" s="145"/>
      <c r="AC658" s="145"/>
      <c r="AD658" s="145"/>
      <c r="AE658" s="145"/>
      <c r="AF658" s="145"/>
      <c r="AG658" s="144"/>
      <c r="AH658" s="144"/>
      <c r="AI658" s="144"/>
      <c r="AJ658" s="144"/>
      <c r="AK658" s="144"/>
    </row>
    <row r="659" ht="22.5" customHeight="1">
      <c r="A659" s="183"/>
      <c r="B659" s="183"/>
      <c r="C659" s="183"/>
      <c r="D659" s="183"/>
      <c r="E659" s="183"/>
      <c r="F659" s="183"/>
      <c r="G659" s="183"/>
      <c r="H659" s="183"/>
      <c r="I659" s="183"/>
      <c r="J659" s="183"/>
      <c r="K659" s="183"/>
      <c r="L659" s="183"/>
      <c r="M659" s="183"/>
      <c r="N659" s="183"/>
      <c r="O659" s="183"/>
      <c r="P659" s="183"/>
      <c r="Q659" s="183"/>
      <c r="R659" s="183"/>
      <c r="S659" s="183"/>
      <c r="T659" s="152"/>
      <c r="U659" s="155"/>
      <c r="V659" s="152"/>
      <c r="W659" s="152"/>
      <c r="X659" s="152"/>
      <c r="Y659" s="152"/>
      <c r="Z659" s="152"/>
      <c r="AA659" s="152"/>
      <c r="AB659" s="152"/>
      <c r="AC659" s="152"/>
      <c r="AD659" s="152"/>
      <c r="AE659" s="152"/>
      <c r="AF659" s="152"/>
      <c r="AG659" s="144"/>
      <c r="AH659" s="144"/>
      <c r="AI659" s="144"/>
      <c r="AJ659" s="144"/>
      <c r="AK659" s="144"/>
    </row>
    <row r="660" ht="22.5" customHeight="1">
      <c r="A660" s="184"/>
      <c r="B660" s="184"/>
      <c r="C660" s="184"/>
      <c r="D660" s="184"/>
      <c r="E660" s="184"/>
      <c r="F660" s="184"/>
      <c r="G660" s="184"/>
      <c r="H660" s="184"/>
      <c r="I660" s="184"/>
      <c r="J660" s="184"/>
      <c r="K660" s="184"/>
      <c r="L660" s="184"/>
      <c r="M660" s="184"/>
      <c r="N660" s="184"/>
      <c r="O660" s="184"/>
      <c r="P660" s="184"/>
      <c r="Q660" s="184"/>
      <c r="R660" s="184"/>
      <c r="S660" s="184"/>
      <c r="T660" s="145"/>
      <c r="U660" s="151"/>
      <c r="V660" s="145"/>
      <c r="W660" s="145"/>
      <c r="X660" s="145"/>
      <c r="Y660" s="145"/>
      <c r="Z660" s="145"/>
      <c r="AA660" s="145"/>
      <c r="AB660" s="145"/>
      <c r="AC660" s="145"/>
      <c r="AD660" s="145"/>
      <c r="AE660" s="145"/>
      <c r="AF660" s="145"/>
      <c r="AG660" s="144"/>
      <c r="AH660" s="144"/>
      <c r="AI660" s="144"/>
      <c r="AJ660" s="144"/>
      <c r="AK660" s="144"/>
    </row>
    <row r="661" ht="22.5" customHeight="1">
      <c r="A661" s="183"/>
      <c r="B661" s="183"/>
      <c r="C661" s="183"/>
      <c r="D661" s="183"/>
      <c r="E661" s="183"/>
      <c r="F661" s="183"/>
      <c r="G661" s="183"/>
      <c r="H661" s="183"/>
      <c r="I661" s="183"/>
      <c r="J661" s="183"/>
      <c r="K661" s="183"/>
      <c r="L661" s="183"/>
      <c r="M661" s="183"/>
      <c r="N661" s="183"/>
      <c r="O661" s="183"/>
      <c r="P661" s="183"/>
      <c r="Q661" s="183"/>
      <c r="R661" s="183"/>
      <c r="S661" s="183"/>
      <c r="T661" s="152"/>
      <c r="U661" s="155"/>
      <c r="V661" s="152"/>
      <c r="W661" s="152"/>
      <c r="X661" s="152"/>
      <c r="Y661" s="152"/>
      <c r="Z661" s="152"/>
      <c r="AA661" s="152"/>
      <c r="AB661" s="152"/>
      <c r="AC661" s="152"/>
      <c r="AD661" s="152"/>
      <c r="AE661" s="152"/>
      <c r="AF661" s="152"/>
      <c r="AG661" s="144"/>
      <c r="AH661" s="144"/>
      <c r="AI661" s="144"/>
      <c r="AJ661" s="144"/>
      <c r="AK661" s="144"/>
    </row>
    <row r="662" ht="22.5" customHeight="1">
      <c r="A662" s="184"/>
      <c r="B662" s="184"/>
      <c r="C662" s="184"/>
      <c r="D662" s="184"/>
      <c r="E662" s="184"/>
      <c r="F662" s="184"/>
      <c r="G662" s="184"/>
      <c r="H662" s="184"/>
      <c r="I662" s="184"/>
      <c r="J662" s="184"/>
      <c r="K662" s="184"/>
      <c r="L662" s="184"/>
      <c r="M662" s="184"/>
      <c r="N662" s="184"/>
      <c r="O662" s="184"/>
      <c r="P662" s="184"/>
      <c r="Q662" s="184"/>
      <c r="R662" s="184"/>
      <c r="S662" s="184"/>
      <c r="T662" s="145"/>
      <c r="U662" s="151"/>
      <c r="V662" s="145"/>
      <c r="W662" s="145"/>
      <c r="X662" s="145"/>
      <c r="Y662" s="145"/>
      <c r="Z662" s="145"/>
      <c r="AA662" s="145"/>
      <c r="AB662" s="145"/>
      <c r="AC662" s="145"/>
      <c r="AD662" s="145"/>
      <c r="AE662" s="145"/>
      <c r="AF662" s="145"/>
      <c r="AG662" s="144"/>
      <c r="AH662" s="144"/>
      <c r="AI662" s="144"/>
      <c r="AJ662" s="144"/>
      <c r="AK662" s="144"/>
    </row>
    <row r="663" ht="22.5" customHeight="1">
      <c r="A663" s="183"/>
      <c r="B663" s="183"/>
      <c r="C663" s="183"/>
      <c r="D663" s="183"/>
      <c r="E663" s="183"/>
      <c r="F663" s="183"/>
      <c r="G663" s="183"/>
      <c r="H663" s="183"/>
      <c r="I663" s="183"/>
      <c r="J663" s="183"/>
      <c r="K663" s="183"/>
      <c r="L663" s="183"/>
      <c r="M663" s="183"/>
      <c r="N663" s="183"/>
      <c r="O663" s="183"/>
      <c r="P663" s="183"/>
      <c r="Q663" s="183"/>
      <c r="R663" s="183"/>
      <c r="S663" s="183"/>
      <c r="T663" s="152"/>
      <c r="U663" s="155"/>
      <c r="V663" s="152"/>
      <c r="W663" s="152"/>
      <c r="X663" s="152"/>
      <c r="Y663" s="152"/>
      <c r="Z663" s="152"/>
      <c r="AA663" s="152"/>
      <c r="AB663" s="152"/>
      <c r="AC663" s="152"/>
      <c r="AD663" s="152"/>
      <c r="AE663" s="152"/>
      <c r="AF663" s="152"/>
      <c r="AG663" s="144"/>
      <c r="AH663" s="144"/>
      <c r="AI663" s="144"/>
      <c r="AJ663" s="144"/>
      <c r="AK663" s="144"/>
    </row>
    <row r="664" ht="22.5" customHeight="1">
      <c r="A664" s="184"/>
      <c r="B664" s="184"/>
      <c r="C664" s="184"/>
      <c r="D664" s="184"/>
      <c r="E664" s="184"/>
      <c r="F664" s="184"/>
      <c r="G664" s="184"/>
      <c r="H664" s="184"/>
      <c r="I664" s="184"/>
      <c r="J664" s="184"/>
      <c r="K664" s="184"/>
      <c r="L664" s="184"/>
      <c r="M664" s="184"/>
      <c r="N664" s="184"/>
      <c r="O664" s="184"/>
      <c r="P664" s="184"/>
      <c r="Q664" s="184"/>
      <c r="R664" s="184"/>
      <c r="S664" s="184"/>
      <c r="T664" s="145"/>
      <c r="U664" s="151"/>
      <c r="V664" s="145"/>
      <c r="W664" s="145"/>
      <c r="X664" s="145"/>
      <c r="Y664" s="145"/>
      <c r="Z664" s="145"/>
      <c r="AA664" s="145"/>
      <c r="AB664" s="145"/>
      <c r="AC664" s="145"/>
      <c r="AD664" s="145"/>
      <c r="AE664" s="145"/>
      <c r="AF664" s="145"/>
      <c r="AG664" s="144"/>
      <c r="AH664" s="144"/>
      <c r="AI664" s="144"/>
      <c r="AJ664" s="144"/>
      <c r="AK664" s="144"/>
    </row>
    <row r="665" ht="22.5" customHeight="1">
      <c r="A665" s="183"/>
      <c r="B665" s="183"/>
      <c r="C665" s="183"/>
      <c r="D665" s="183"/>
      <c r="E665" s="183"/>
      <c r="F665" s="183"/>
      <c r="G665" s="183"/>
      <c r="H665" s="183"/>
      <c r="I665" s="183"/>
      <c r="J665" s="183"/>
      <c r="K665" s="183"/>
      <c r="L665" s="183"/>
      <c r="M665" s="183"/>
      <c r="N665" s="183"/>
      <c r="O665" s="183"/>
      <c r="P665" s="183"/>
      <c r="Q665" s="183"/>
      <c r="R665" s="183"/>
      <c r="S665" s="183"/>
      <c r="T665" s="152"/>
      <c r="U665" s="155"/>
      <c r="V665" s="152"/>
      <c r="W665" s="152"/>
      <c r="X665" s="152"/>
      <c r="Y665" s="152"/>
      <c r="Z665" s="152"/>
      <c r="AA665" s="152"/>
      <c r="AB665" s="152"/>
      <c r="AC665" s="152"/>
      <c r="AD665" s="152"/>
      <c r="AE665" s="152"/>
      <c r="AF665" s="152"/>
      <c r="AG665" s="144"/>
      <c r="AH665" s="144"/>
      <c r="AI665" s="144"/>
      <c r="AJ665" s="144"/>
      <c r="AK665" s="144"/>
    </row>
    <row r="666" ht="22.5" customHeight="1">
      <c r="A666" s="184"/>
      <c r="B666" s="184"/>
      <c r="C666" s="184"/>
      <c r="D666" s="184"/>
      <c r="E666" s="184"/>
      <c r="F666" s="184"/>
      <c r="G666" s="184"/>
      <c r="H666" s="184"/>
      <c r="I666" s="184"/>
      <c r="J666" s="184"/>
      <c r="K666" s="184"/>
      <c r="L666" s="184"/>
      <c r="M666" s="184"/>
      <c r="N666" s="184"/>
      <c r="O666" s="184"/>
      <c r="P666" s="184"/>
      <c r="Q666" s="184"/>
      <c r="R666" s="184"/>
      <c r="S666" s="184"/>
      <c r="T666" s="145"/>
      <c r="U666" s="151"/>
      <c r="V666" s="145"/>
      <c r="W666" s="145"/>
      <c r="X666" s="145"/>
      <c r="Y666" s="145"/>
      <c r="Z666" s="145"/>
      <c r="AA666" s="145"/>
      <c r="AB666" s="145"/>
      <c r="AC666" s="145"/>
      <c r="AD666" s="145"/>
      <c r="AE666" s="145"/>
      <c r="AF666" s="145"/>
      <c r="AG666" s="144"/>
      <c r="AH666" s="144"/>
      <c r="AI666" s="144"/>
      <c r="AJ666" s="144"/>
      <c r="AK666" s="144"/>
    </row>
    <row r="667" ht="22.5" customHeight="1">
      <c r="A667" s="183"/>
      <c r="B667" s="183"/>
      <c r="C667" s="183"/>
      <c r="D667" s="183"/>
      <c r="E667" s="183"/>
      <c r="F667" s="183"/>
      <c r="G667" s="183"/>
      <c r="H667" s="183"/>
      <c r="I667" s="183"/>
      <c r="J667" s="183"/>
      <c r="K667" s="183"/>
      <c r="L667" s="183"/>
      <c r="M667" s="183"/>
      <c r="N667" s="183"/>
      <c r="O667" s="183"/>
      <c r="P667" s="183"/>
      <c r="Q667" s="183"/>
      <c r="R667" s="183"/>
      <c r="S667" s="183"/>
      <c r="T667" s="152"/>
      <c r="U667" s="155"/>
      <c r="V667" s="152"/>
      <c r="W667" s="152"/>
      <c r="X667" s="152"/>
      <c r="Y667" s="152"/>
      <c r="Z667" s="152"/>
      <c r="AA667" s="152"/>
      <c r="AB667" s="152"/>
      <c r="AC667" s="152"/>
      <c r="AD667" s="152"/>
      <c r="AE667" s="152"/>
      <c r="AF667" s="152"/>
      <c r="AG667" s="144"/>
      <c r="AH667" s="144"/>
      <c r="AI667" s="144"/>
      <c r="AJ667" s="144"/>
      <c r="AK667" s="144"/>
    </row>
    <row r="668" ht="22.5" customHeight="1">
      <c r="A668" s="184"/>
      <c r="B668" s="184"/>
      <c r="C668" s="184"/>
      <c r="D668" s="184"/>
      <c r="E668" s="184"/>
      <c r="F668" s="184"/>
      <c r="G668" s="184"/>
      <c r="H668" s="184"/>
      <c r="I668" s="184"/>
      <c r="J668" s="184"/>
      <c r="K668" s="184"/>
      <c r="L668" s="184"/>
      <c r="M668" s="184"/>
      <c r="N668" s="184"/>
      <c r="O668" s="184"/>
      <c r="P668" s="184"/>
      <c r="Q668" s="184"/>
      <c r="R668" s="184"/>
      <c r="S668" s="184"/>
      <c r="T668" s="145"/>
      <c r="U668" s="151"/>
      <c r="V668" s="145"/>
      <c r="W668" s="145"/>
      <c r="X668" s="145"/>
      <c r="Y668" s="145"/>
      <c r="Z668" s="145"/>
      <c r="AA668" s="145"/>
      <c r="AB668" s="145"/>
      <c r="AC668" s="145"/>
      <c r="AD668" s="145"/>
      <c r="AE668" s="145"/>
      <c r="AF668" s="145"/>
      <c r="AG668" s="144"/>
      <c r="AH668" s="144"/>
      <c r="AI668" s="144"/>
      <c r="AJ668" s="144"/>
      <c r="AK668" s="144"/>
    </row>
    <row r="669" ht="22.5" customHeight="1">
      <c r="A669" s="183"/>
      <c r="B669" s="183"/>
      <c r="C669" s="183"/>
      <c r="D669" s="183"/>
      <c r="E669" s="183"/>
      <c r="F669" s="183"/>
      <c r="G669" s="183"/>
      <c r="H669" s="183"/>
      <c r="I669" s="183"/>
      <c r="J669" s="183"/>
      <c r="K669" s="183"/>
      <c r="L669" s="183"/>
      <c r="M669" s="183"/>
      <c r="N669" s="183"/>
      <c r="O669" s="183"/>
      <c r="P669" s="183"/>
      <c r="Q669" s="183"/>
      <c r="R669" s="183"/>
      <c r="S669" s="183"/>
      <c r="T669" s="152"/>
      <c r="U669" s="155"/>
      <c r="V669" s="152"/>
      <c r="W669" s="152"/>
      <c r="X669" s="152"/>
      <c r="Y669" s="152"/>
      <c r="Z669" s="152"/>
      <c r="AA669" s="152"/>
      <c r="AB669" s="152"/>
      <c r="AC669" s="152"/>
      <c r="AD669" s="152"/>
      <c r="AE669" s="152"/>
      <c r="AF669" s="152"/>
      <c r="AG669" s="144"/>
      <c r="AH669" s="144"/>
      <c r="AI669" s="144"/>
      <c r="AJ669" s="144"/>
      <c r="AK669" s="144"/>
    </row>
    <row r="670" ht="22.5" customHeight="1">
      <c r="A670" s="184"/>
      <c r="B670" s="184"/>
      <c r="C670" s="184"/>
      <c r="D670" s="184"/>
      <c r="E670" s="184"/>
      <c r="F670" s="184"/>
      <c r="G670" s="184"/>
      <c r="H670" s="184"/>
      <c r="I670" s="184"/>
      <c r="J670" s="184"/>
      <c r="K670" s="184"/>
      <c r="L670" s="184"/>
      <c r="M670" s="184"/>
      <c r="N670" s="184"/>
      <c r="O670" s="184"/>
      <c r="P670" s="184"/>
      <c r="Q670" s="184"/>
      <c r="R670" s="184"/>
      <c r="S670" s="184"/>
      <c r="T670" s="145"/>
      <c r="U670" s="151"/>
      <c r="V670" s="145"/>
      <c r="W670" s="145"/>
      <c r="X670" s="145"/>
      <c r="Y670" s="145"/>
      <c r="Z670" s="145"/>
      <c r="AA670" s="145"/>
      <c r="AB670" s="145"/>
      <c r="AC670" s="145"/>
      <c r="AD670" s="145"/>
      <c r="AE670" s="145"/>
      <c r="AF670" s="145"/>
      <c r="AG670" s="144"/>
      <c r="AH670" s="144"/>
      <c r="AI670" s="144"/>
      <c r="AJ670" s="144"/>
      <c r="AK670" s="144"/>
    </row>
    <row r="671" ht="22.5" customHeight="1">
      <c r="A671" s="183"/>
      <c r="B671" s="183"/>
      <c r="C671" s="183"/>
      <c r="D671" s="183"/>
      <c r="E671" s="183"/>
      <c r="F671" s="183"/>
      <c r="G671" s="183"/>
      <c r="H671" s="183"/>
      <c r="I671" s="183"/>
      <c r="J671" s="183"/>
      <c r="K671" s="183"/>
      <c r="L671" s="183"/>
      <c r="M671" s="183"/>
      <c r="N671" s="183"/>
      <c r="O671" s="183"/>
      <c r="P671" s="183"/>
      <c r="Q671" s="183"/>
      <c r="R671" s="183"/>
      <c r="S671" s="183"/>
      <c r="T671" s="152"/>
      <c r="U671" s="155"/>
      <c r="V671" s="152"/>
      <c r="W671" s="152"/>
      <c r="X671" s="152"/>
      <c r="Y671" s="152"/>
      <c r="Z671" s="152"/>
      <c r="AA671" s="152"/>
      <c r="AB671" s="152"/>
      <c r="AC671" s="152"/>
      <c r="AD671" s="152"/>
      <c r="AE671" s="152"/>
      <c r="AF671" s="152"/>
      <c r="AG671" s="144"/>
      <c r="AH671" s="144"/>
      <c r="AI671" s="144"/>
      <c r="AJ671" s="144"/>
      <c r="AK671" s="144"/>
    </row>
    <row r="672" ht="22.5" customHeight="1">
      <c r="A672" s="184"/>
      <c r="B672" s="184"/>
      <c r="C672" s="184"/>
      <c r="D672" s="184"/>
      <c r="E672" s="184"/>
      <c r="F672" s="184"/>
      <c r="G672" s="184"/>
      <c r="H672" s="184"/>
      <c r="I672" s="184"/>
      <c r="J672" s="184"/>
      <c r="K672" s="184"/>
      <c r="L672" s="184"/>
      <c r="M672" s="184"/>
      <c r="N672" s="184"/>
      <c r="O672" s="184"/>
      <c r="P672" s="184"/>
      <c r="Q672" s="184"/>
      <c r="R672" s="184"/>
      <c r="S672" s="184"/>
      <c r="T672" s="145"/>
      <c r="U672" s="151"/>
      <c r="V672" s="145"/>
      <c r="W672" s="145"/>
      <c r="X672" s="145"/>
      <c r="Y672" s="145"/>
      <c r="Z672" s="145"/>
      <c r="AA672" s="145"/>
      <c r="AB672" s="145"/>
      <c r="AC672" s="145"/>
      <c r="AD672" s="145"/>
      <c r="AE672" s="145"/>
      <c r="AF672" s="145"/>
      <c r="AG672" s="144"/>
      <c r="AH672" s="144"/>
      <c r="AI672" s="144"/>
      <c r="AJ672" s="144"/>
      <c r="AK672" s="144"/>
    </row>
    <row r="673" ht="22.5" customHeight="1">
      <c r="A673" s="183"/>
      <c r="B673" s="183"/>
      <c r="C673" s="183"/>
      <c r="D673" s="183"/>
      <c r="E673" s="183"/>
      <c r="F673" s="183"/>
      <c r="G673" s="183"/>
      <c r="H673" s="183"/>
      <c r="I673" s="183"/>
      <c r="J673" s="183"/>
      <c r="K673" s="183"/>
      <c r="L673" s="183"/>
      <c r="M673" s="183"/>
      <c r="N673" s="183"/>
      <c r="O673" s="183"/>
      <c r="P673" s="183"/>
      <c r="Q673" s="183"/>
      <c r="R673" s="183"/>
      <c r="S673" s="183"/>
      <c r="T673" s="152"/>
      <c r="U673" s="155"/>
      <c r="V673" s="152"/>
      <c r="W673" s="152"/>
      <c r="X673" s="152"/>
      <c r="Y673" s="152"/>
      <c r="Z673" s="152"/>
      <c r="AA673" s="152"/>
      <c r="AB673" s="152"/>
      <c r="AC673" s="152"/>
      <c r="AD673" s="152"/>
      <c r="AE673" s="152"/>
      <c r="AF673" s="152"/>
      <c r="AG673" s="144"/>
      <c r="AH673" s="144"/>
      <c r="AI673" s="144"/>
      <c r="AJ673" s="144"/>
      <c r="AK673" s="144"/>
    </row>
    <row r="674" ht="22.5" customHeight="1">
      <c r="A674" s="184"/>
      <c r="B674" s="184"/>
      <c r="C674" s="184"/>
      <c r="D674" s="184"/>
      <c r="E674" s="184"/>
      <c r="F674" s="184"/>
      <c r="G674" s="184"/>
      <c r="H674" s="184"/>
      <c r="I674" s="184"/>
      <c r="J674" s="184"/>
      <c r="K674" s="184"/>
      <c r="L674" s="184"/>
      <c r="M674" s="184"/>
      <c r="N674" s="184"/>
      <c r="O674" s="184"/>
      <c r="P674" s="184"/>
      <c r="Q674" s="184"/>
      <c r="R674" s="184"/>
      <c r="S674" s="184"/>
      <c r="T674" s="145"/>
      <c r="U674" s="151"/>
      <c r="V674" s="145"/>
      <c r="W674" s="145"/>
      <c r="X674" s="145"/>
      <c r="Y674" s="145"/>
      <c r="Z674" s="145"/>
      <c r="AA674" s="145"/>
      <c r="AB674" s="145"/>
      <c r="AC674" s="145"/>
      <c r="AD674" s="145"/>
      <c r="AE674" s="145"/>
      <c r="AF674" s="145"/>
      <c r="AG674" s="144"/>
      <c r="AH674" s="144"/>
      <c r="AI674" s="144"/>
      <c r="AJ674" s="144"/>
      <c r="AK674" s="144"/>
    </row>
    <row r="675" ht="22.5" customHeight="1">
      <c r="A675" s="183"/>
      <c r="B675" s="183"/>
      <c r="C675" s="183"/>
      <c r="D675" s="183"/>
      <c r="E675" s="183"/>
      <c r="F675" s="183"/>
      <c r="G675" s="183"/>
      <c r="H675" s="183"/>
      <c r="I675" s="183"/>
      <c r="J675" s="183"/>
      <c r="K675" s="183"/>
      <c r="L675" s="183"/>
      <c r="M675" s="183"/>
      <c r="N675" s="183"/>
      <c r="O675" s="183"/>
      <c r="P675" s="183"/>
      <c r="Q675" s="183"/>
      <c r="R675" s="183"/>
      <c r="S675" s="183"/>
      <c r="T675" s="152"/>
      <c r="U675" s="155"/>
      <c r="V675" s="152"/>
      <c r="W675" s="152"/>
      <c r="X675" s="152"/>
      <c r="Y675" s="152"/>
      <c r="Z675" s="152"/>
      <c r="AA675" s="152"/>
      <c r="AB675" s="152"/>
      <c r="AC675" s="152"/>
      <c r="AD675" s="152"/>
      <c r="AE675" s="152"/>
      <c r="AF675" s="152"/>
      <c r="AG675" s="144"/>
      <c r="AH675" s="144"/>
      <c r="AI675" s="144"/>
      <c r="AJ675" s="144"/>
      <c r="AK675" s="144"/>
    </row>
    <row r="676" ht="22.5" customHeight="1">
      <c r="A676" s="184"/>
      <c r="B676" s="184"/>
      <c r="C676" s="184"/>
      <c r="D676" s="184"/>
      <c r="E676" s="184"/>
      <c r="F676" s="184"/>
      <c r="G676" s="184"/>
      <c r="H676" s="184"/>
      <c r="I676" s="184"/>
      <c r="J676" s="184"/>
      <c r="K676" s="184"/>
      <c r="L676" s="184"/>
      <c r="M676" s="184"/>
      <c r="N676" s="184"/>
      <c r="O676" s="184"/>
      <c r="P676" s="184"/>
      <c r="Q676" s="184"/>
      <c r="R676" s="184"/>
      <c r="S676" s="184"/>
      <c r="T676" s="145"/>
      <c r="U676" s="151"/>
      <c r="V676" s="145"/>
      <c r="W676" s="145"/>
      <c r="X676" s="145"/>
      <c r="Y676" s="145"/>
      <c r="Z676" s="145"/>
      <c r="AA676" s="145"/>
      <c r="AB676" s="145"/>
      <c r="AC676" s="145"/>
      <c r="AD676" s="145"/>
      <c r="AE676" s="145"/>
      <c r="AF676" s="145"/>
      <c r="AG676" s="144"/>
      <c r="AH676" s="144"/>
      <c r="AI676" s="144"/>
      <c r="AJ676" s="144"/>
      <c r="AK676" s="144"/>
    </row>
    <row r="677" ht="22.5" customHeight="1">
      <c r="A677" s="183"/>
      <c r="B677" s="183"/>
      <c r="C677" s="183"/>
      <c r="D677" s="183"/>
      <c r="E677" s="183"/>
      <c r="F677" s="183"/>
      <c r="G677" s="183"/>
      <c r="H677" s="183"/>
      <c r="I677" s="183"/>
      <c r="J677" s="183"/>
      <c r="K677" s="183"/>
      <c r="L677" s="183"/>
      <c r="M677" s="183"/>
      <c r="N677" s="183"/>
      <c r="O677" s="183"/>
      <c r="P677" s="183"/>
      <c r="Q677" s="183"/>
      <c r="R677" s="183"/>
      <c r="S677" s="183"/>
      <c r="T677" s="152"/>
      <c r="U677" s="155"/>
      <c r="V677" s="152"/>
      <c r="W677" s="152"/>
      <c r="X677" s="152"/>
      <c r="Y677" s="152"/>
      <c r="Z677" s="152"/>
      <c r="AA677" s="152"/>
      <c r="AB677" s="152"/>
      <c r="AC677" s="152"/>
      <c r="AD677" s="152"/>
      <c r="AE677" s="152"/>
      <c r="AF677" s="152"/>
      <c r="AG677" s="144"/>
      <c r="AH677" s="144"/>
      <c r="AI677" s="144"/>
      <c r="AJ677" s="144"/>
      <c r="AK677" s="144"/>
    </row>
    <row r="678" ht="22.5" customHeight="1">
      <c r="A678" s="184"/>
      <c r="B678" s="184"/>
      <c r="C678" s="184"/>
      <c r="D678" s="184"/>
      <c r="E678" s="184"/>
      <c r="F678" s="184"/>
      <c r="G678" s="184"/>
      <c r="H678" s="184"/>
      <c r="I678" s="184"/>
      <c r="J678" s="184"/>
      <c r="K678" s="184"/>
      <c r="L678" s="184"/>
      <c r="M678" s="184"/>
      <c r="N678" s="184"/>
      <c r="O678" s="184"/>
      <c r="P678" s="184"/>
      <c r="Q678" s="184"/>
      <c r="R678" s="184"/>
      <c r="S678" s="184"/>
      <c r="T678" s="145"/>
      <c r="U678" s="151"/>
      <c r="V678" s="145"/>
      <c r="W678" s="145"/>
      <c r="X678" s="145"/>
      <c r="Y678" s="145"/>
      <c r="Z678" s="145"/>
      <c r="AA678" s="145"/>
      <c r="AB678" s="145"/>
      <c r="AC678" s="145"/>
      <c r="AD678" s="145"/>
      <c r="AE678" s="145"/>
      <c r="AF678" s="145"/>
      <c r="AG678" s="144"/>
      <c r="AH678" s="144"/>
      <c r="AI678" s="144"/>
      <c r="AJ678" s="144"/>
      <c r="AK678" s="144"/>
    </row>
    <row r="679" ht="22.5" customHeight="1">
      <c r="A679" s="183"/>
      <c r="B679" s="183"/>
      <c r="C679" s="183"/>
      <c r="D679" s="183"/>
      <c r="E679" s="183"/>
      <c r="F679" s="183"/>
      <c r="G679" s="183"/>
      <c r="H679" s="183"/>
      <c r="I679" s="183"/>
      <c r="J679" s="183"/>
      <c r="K679" s="183"/>
      <c r="L679" s="183"/>
      <c r="M679" s="183"/>
      <c r="N679" s="183"/>
      <c r="O679" s="183"/>
      <c r="P679" s="183"/>
      <c r="Q679" s="183"/>
      <c r="R679" s="183"/>
      <c r="S679" s="183"/>
      <c r="T679" s="152"/>
      <c r="U679" s="155"/>
      <c r="V679" s="152"/>
      <c r="W679" s="152"/>
      <c r="X679" s="152"/>
      <c r="Y679" s="152"/>
      <c r="Z679" s="152"/>
      <c r="AA679" s="152"/>
      <c r="AB679" s="152"/>
      <c r="AC679" s="152"/>
      <c r="AD679" s="152"/>
      <c r="AE679" s="152"/>
      <c r="AF679" s="152"/>
      <c r="AG679" s="144"/>
      <c r="AH679" s="144"/>
      <c r="AI679" s="144"/>
      <c r="AJ679" s="144"/>
      <c r="AK679" s="144"/>
    </row>
    <row r="680" ht="22.5" customHeight="1">
      <c r="A680" s="184"/>
      <c r="B680" s="184"/>
      <c r="C680" s="184"/>
      <c r="D680" s="184"/>
      <c r="E680" s="184"/>
      <c r="F680" s="184"/>
      <c r="G680" s="184"/>
      <c r="H680" s="184"/>
      <c r="I680" s="184"/>
      <c r="J680" s="184"/>
      <c r="K680" s="184"/>
      <c r="L680" s="184"/>
      <c r="M680" s="184"/>
      <c r="N680" s="184"/>
      <c r="O680" s="184"/>
      <c r="P680" s="184"/>
      <c r="Q680" s="184"/>
      <c r="R680" s="184"/>
      <c r="S680" s="184"/>
      <c r="T680" s="145"/>
      <c r="U680" s="151"/>
      <c r="V680" s="145"/>
      <c r="W680" s="145"/>
      <c r="X680" s="145"/>
      <c r="Y680" s="145"/>
      <c r="Z680" s="145"/>
      <c r="AA680" s="145"/>
      <c r="AB680" s="145"/>
      <c r="AC680" s="145"/>
      <c r="AD680" s="145"/>
      <c r="AE680" s="145"/>
      <c r="AF680" s="145"/>
      <c r="AG680" s="144"/>
      <c r="AH680" s="144"/>
      <c r="AI680" s="144"/>
      <c r="AJ680" s="144"/>
      <c r="AK680" s="144"/>
    </row>
    <row r="681" ht="22.5" customHeight="1">
      <c r="A681" s="183"/>
      <c r="B681" s="183"/>
      <c r="C681" s="183"/>
      <c r="D681" s="183"/>
      <c r="E681" s="183"/>
      <c r="F681" s="183"/>
      <c r="G681" s="183"/>
      <c r="H681" s="183"/>
      <c r="I681" s="183"/>
      <c r="J681" s="183"/>
      <c r="K681" s="183"/>
      <c r="L681" s="183"/>
      <c r="M681" s="183"/>
      <c r="N681" s="183"/>
      <c r="O681" s="183"/>
      <c r="P681" s="183"/>
      <c r="Q681" s="183"/>
      <c r="R681" s="183"/>
      <c r="S681" s="183"/>
      <c r="T681" s="152"/>
      <c r="U681" s="155"/>
      <c r="V681" s="152"/>
      <c r="W681" s="152"/>
      <c r="X681" s="152"/>
      <c r="Y681" s="152"/>
      <c r="Z681" s="152"/>
      <c r="AA681" s="152"/>
      <c r="AB681" s="152"/>
      <c r="AC681" s="152"/>
      <c r="AD681" s="152"/>
      <c r="AE681" s="152"/>
      <c r="AF681" s="152"/>
      <c r="AG681" s="144"/>
      <c r="AH681" s="144"/>
      <c r="AI681" s="144"/>
      <c r="AJ681" s="144"/>
      <c r="AK681" s="144"/>
    </row>
    <row r="682" ht="22.5" customHeight="1">
      <c r="A682" s="184"/>
      <c r="B682" s="184"/>
      <c r="C682" s="184"/>
      <c r="D682" s="184"/>
      <c r="E682" s="184"/>
      <c r="F682" s="184"/>
      <c r="G682" s="184"/>
      <c r="H682" s="184"/>
      <c r="I682" s="184"/>
      <c r="J682" s="184"/>
      <c r="K682" s="184"/>
      <c r="L682" s="184"/>
      <c r="M682" s="184"/>
      <c r="N682" s="184"/>
      <c r="O682" s="184"/>
      <c r="P682" s="184"/>
      <c r="Q682" s="184"/>
      <c r="R682" s="184"/>
      <c r="S682" s="184"/>
      <c r="T682" s="145"/>
      <c r="U682" s="151"/>
      <c r="V682" s="145"/>
      <c r="W682" s="145"/>
      <c r="X682" s="145"/>
      <c r="Y682" s="145"/>
      <c r="Z682" s="145"/>
      <c r="AA682" s="145"/>
      <c r="AB682" s="145"/>
      <c r="AC682" s="145"/>
      <c r="AD682" s="145"/>
      <c r="AE682" s="145"/>
      <c r="AF682" s="145"/>
      <c r="AG682" s="144"/>
      <c r="AH682" s="144"/>
      <c r="AI682" s="144"/>
      <c r="AJ682" s="144"/>
      <c r="AK682" s="144"/>
    </row>
    <row r="683" ht="22.5" customHeight="1">
      <c r="A683" s="183"/>
      <c r="B683" s="183"/>
      <c r="C683" s="183"/>
      <c r="D683" s="183"/>
      <c r="E683" s="183"/>
      <c r="F683" s="183"/>
      <c r="G683" s="183"/>
      <c r="H683" s="183"/>
      <c r="I683" s="183"/>
      <c r="J683" s="183"/>
      <c r="K683" s="183"/>
      <c r="L683" s="183"/>
      <c r="M683" s="183"/>
      <c r="N683" s="183"/>
      <c r="O683" s="183"/>
      <c r="P683" s="183"/>
      <c r="Q683" s="183"/>
      <c r="R683" s="183"/>
      <c r="S683" s="183"/>
      <c r="T683" s="152"/>
      <c r="U683" s="155"/>
      <c r="V683" s="152"/>
      <c r="W683" s="152"/>
      <c r="X683" s="152"/>
      <c r="Y683" s="152"/>
      <c r="Z683" s="152"/>
      <c r="AA683" s="152"/>
      <c r="AB683" s="152"/>
      <c r="AC683" s="152"/>
      <c r="AD683" s="152"/>
      <c r="AE683" s="152"/>
      <c r="AF683" s="152"/>
      <c r="AG683" s="144"/>
      <c r="AH683" s="144"/>
      <c r="AI683" s="144"/>
      <c r="AJ683" s="144"/>
      <c r="AK683" s="144"/>
    </row>
    <row r="684" ht="22.5" customHeight="1">
      <c r="A684" s="184"/>
      <c r="B684" s="184"/>
      <c r="C684" s="184"/>
      <c r="D684" s="184"/>
      <c r="E684" s="184"/>
      <c r="F684" s="184"/>
      <c r="G684" s="184"/>
      <c r="H684" s="184"/>
      <c r="I684" s="184"/>
      <c r="J684" s="184"/>
      <c r="K684" s="184"/>
      <c r="L684" s="184"/>
      <c r="M684" s="184"/>
      <c r="N684" s="184"/>
      <c r="O684" s="184"/>
      <c r="P684" s="184"/>
      <c r="Q684" s="184"/>
      <c r="R684" s="184"/>
      <c r="S684" s="184"/>
      <c r="T684" s="145"/>
      <c r="U684" s="151"/>
      <c r="V684" s="145"/>
      <c r="W684" s="145"/>
      <c r="X684" s="145"/>
      <c r="Y684" s="145"/>
      <c r="Z684" s="145"/>
      <c r="AA684" s="145"/>
      <c r="AB684" s="145"/>
      <c r="AC684" s="145"/>
      <c r="AD684" s="145"/>
      <c r="AE684" s="145"/>
      <c r="AF684" s="145"/>
      <c r="AG684" s="144"/>
      <c r="AH684" s="144"/>
      <c r="AI684" s="144"/>
      <c r="AJ684" s="144"/>
      <c r="AK684" s="144"/>
    </row>
    <row r="685" ht="22.5" customHeight="1">
      <c r="A685" s="183"/>
      <c r="B685" s="183"/>
      <c r="C685" s="183"/>
      <c r="D685" s="183"/>
      <c r="E685" s="183"/>
      <c r="F685" s="183"/>
      <c r="G685" s="183"/>
      <c r="H685" s="183"/>
      <c r="I685" s="183"/>
      <c r="J685" s="183"/>
      <c r="K685" s="183"/>
      <c r="L685" s="183"/>
      <c r="M685" s="183"/>
      <c r="N685" s="183"/>
      <c r="O685" s="183"/>
      <c r="P685" s="183"/>
      <c r="Q685" s="183"/>
      <c r="R685" s="183"/>
      <c r="S685" s="183"/>
      <c r="T685" s="152"/>
      <c r="U685" s="155"/>
      <c r="V685" s="152"/>
      <c r="W685" s="152"/>
      <c r="X685" s="152"/>
      <c r="Y685" s="152"/>
      <c r="Z685" s="152"/>
      <c r="AA685" s="152"/>
      <c r="AB685" s="152"/>
      <c r="AC685" s="152"/>
      <c r="AD685" s="152"/>
      <c r="AE685" s="152"/>
      <c r="AF685" s="152"/>
      <c r="AG685" s="144"/>
      <c r="AH685" s="144"/>
      <c r="AI685" s="144"/>
      <c r="AJ685" s="144"/>
      <c r="AK685" s="144"/>
    </row>
    <row r="686" ht="22.5" customHeight="1">
      <c r="A686" s="184"/>
      <c r="B686" s="184"/>
      <c r="C686" s="184"/>
      <c r="D686" s="184"/>
      <c r="E686" s="184"/>
      <c r="F686" s="184"/>
      <c r="G686" s="184"/>
      <c r="H686" s="184"/>
      <c r="I686" s="184"/>
      <c r="J686" s="184"/>
      <c r="K686" s="184"/>
      <c r="L686" s="184"/>
      <c r="M686" s="184"/>
      <c r="N686" s="184"/>
      <c r="O686" s="184"/>
      <c r="P686" s="184"/>
      <c r="Q686" s="184"/>
      <c r="R686" s="184"/>
      <c r="S686" s="184"/>
      <c r="T686" s="145"/>
      <c r="U686" s="151"/>
      <c r="V686" s="145"/>
      <c r="W686" s="145"/>
      <c r="X686" s="145"/>
      <c r="Y686" s="145"/>
      <c r="Z686" s="145"/>
      <c r="AA686" s="145"/>
      <c r="AB686" s="145"/>
      <c r="AC686" s="145"/>
      <c r="AD686" s="145"/>
      <c r="AE686" s="145"/>
      <c r="AF686" s="145"/>
      <c r="AG686" s="144"/>
      <c r="AH686" s="144"/>
      <c r="AI686" s="144"/>
      <c r="AJ686" s="144"/>
      <c r="AK686" s="144"/>
    </row>
    <row r="687" ht="22.5" customHeight="1">
      <c r="A687" s="183"/>
      <c r="B687" s="183"/>
      <c r="C687" s="183"/>
      <c r="D687" s="183"/>
      <c r="E687" s="183"/>
      <c r="F687" s="183"/>
      <c r="G687" s="183"/>
      <c r="H687" s="183"/>
      <c r="I687" s="183"/>
      <c r="J687" s="183"/>
      <c r="K687" s="183"/>
      <c r="L687" s="183"/>
      <c r="M687" s="183"/>
      <c r="N687" s="183"/>
      <c r="O687" s="183"/>
      <c r="P687" s="183"/>
      <c r="Q687" s="183"/>
      <c r="R687" s="183"/>
      <c r="S687" s="183"/>
      <c r="T687" s="152"/>
      <c r="U687" s="155"/>
      <c r="V687" s="152"/>
      <c r="W687" s="152"/>
      <c r="X687" s="152"/>
      <c r="Y687" s="152"/>
      <c r="Z687" s="152"/>
      <c r="AA687" s="152"/>
      <c r="AB687" s="152"/>
      <c r="AC687" s="152"/>
      <c r="AD687" s="152"/>
      <c r="AE687" s="152"/>
      <c r="AF687" s="152"/>
      <c r="AG687" s="144"/>
      <c r="AH687" s="144"/>
      <c r="AI687" s="144"/>
      <c r="AJ687" s="144"/>
      <c r="AK687" s="144"/>
    </row>
    <row r="688" ht="22.5" customHeight="1">
      <c r="A688" s="184"/>
      <c r="B688" s="184"/>
      <c r="C688" s="184"/>
      <c r="D688" s="184"/>
      <c r="E688" s="184"/>
      <c r="F688" s="184"/>
      <c r="G688" s="184"/>
      <c r="H688" s="184"/>
      <c r="I688" s="184"/>
      <c r="J688" s="184"/>
      <c r="K688" s="184"/>
      <c r="L688" s="184"/>
      <c r="M688" s="184"/>
      <c r="N688" s="184"/>
      <c r="O688" s="184"/>
      <c r="P688" s="184"/>
      <c r="Q688" s="184"/>
      <c r="R688" s="184"/>
      <c r="S688" s="184"/>
      <c r="T688" s="145"/>
      <c r="U688" s="151"/>
      <c r="V688" s="145"/>
      <c r="W688" s="145"/>
      <c r="X688" s="145"/>
      <c r="Y688" s="145"/>
      <c r="Z688" s="145"/>
      <c r="AA688" s="145"/>
      <c r="AB688" s="145"/>
      <c r="AC688" s="145"/>
      <c r="AD688" s="145"/>
      <c r="AE688" s="145"/>
      <c r="AF688" s="145"/>
      <c r="AG688" s="144"/>
      <c r="AH688" s="144"/>
      <c r="AI688" s="144"/>
      <c r="AJ688" s="144"/>
      <c r="AK688" s="144"/>
    </row>
    <row r="689" ht="22.5" customHeight="1">
      <c r="A689" s="183"/>
      <c r="B689" s="183"/>
      <c r="C689" s="183"/>
      <c r="D689" s="183"/>
      <c r="E689" s="183"/>
      <c r="F689" s="183"/>
      <c r="G689" s="183"/>
      <c r="H689" s="183"/>
      <c r="I689" s="183"/>
      <c r="J689" s="183"/>
      <c r="K689" s="183"/>
      <c r="L689" s="183"/>
      <c r="M689" s="183"/>
      <c r="N689" s="183"/>
      <c r="O689" s="183"/>
      <c r="P689" s="183"/>
      <c r="Q689" s="183"/>
      <c r="R689" s="183"/>
      <c r="S689" s="183"/>
      <c r="T689" s="152"/>
      <c r="U689" s="155"/>
      <c r="V689" s="152"/>
      <c r="W689" s="152"/>
      <c r="X689" s="152"/>
      <c r="Y689" s="152"/>
      <c r="Z689" s="152"/>
      <c r="AA689" s="152"/>
      <c r="AB689" s="152"/>
      <c r="AC689" s="152"/>
      <c r="AD689" s="152"/>
      <c r="AE689" s="152"/>
      <c r="AF689" s="152"/>
      <c r="AG689" s="144"/>
      <c r="AH689" s="144"/>
      <c r="AI689" s="144"/>
      <c r="AJ689" s="144"/>
      <c r="AK689" s="144"/>
    </row>
    <row r="690" ht="22.5" customHeight="1">
      <c r="A690" s="184"/>
      <c r="B690" s="184"/>
      <c r="C690" s="184"/>
      <c r="D690" s="184"/>
      <c r="E690" s="184"/>
      <c r="F690" s="184"/>
      <c r="G690" s="184"/>
      <c r="H690" s="184"/>
      <c r="I690" s="184"/>
      <c r="J690" s="184"/>
      <c r="K690" s="184"/>
      <c r="L690" s="184"/>
      <c r="M690" s="184"/>
      <c r="N690" s="184"/>
      <c r="O690" s="184"/>
      <c r="P690" s="184"/>
      <c r="Q690" s="184"/>
      <c r="R690" s="184"/>
      <c r="S690" s="184"/>
      <c r="T690" s="145"/>
      <c r="U690" s="151"/>
      <c r="V690" s="145"/>
      <c r="W690" s="145"/>
      <c r="X690" s="145"/>
      <c r="Y690" s="145"/>
      <c r="Z690" s="145"/>
      <c r="AA690" s="145"/>
      <c r="AB690" s="145"/>
      <c r="AC690" s="145"/>
      <c r="AD690" s="145"/>
      <c r="AE690" s="145"/>
      <c r="AF690" s="145"/>
      <c r="AG690" s="144"/>
      <c r="AH690" s="144"/>
      <c r="AI690" s="144"/>
      <c r="AJ690" s="144"/>
      <c r="AK690" s="144"/>
    </row>
    <row r="691" ht="22.5" customHeight="1">
      <c r="A691" s="183"/>
      <c r="B691" s="183"/>
      <c r="C691" s="183"/>
      <c r="D691" s="183"/>
      <c r="E691" s="183"/>
      <c r="F691" s="183"/>
      <c r="G691" s="183"/>
      <c r="H691" s="183"/>
      <c r="I691" s="183"/>
      <c r="J691" s="183"/>
      <c r="K691" s="183"/>
      <c r="L691" s="183"/>
      <c r="M691" s="183"/>
      <c r="N691" s="183"/>
      <c r="O691" s="183"/>
      <c r="P691" s="183"/>
      <c r="Q691" s="183"/>
      <c r="R691" s="183"/>
      <c r="S691" s="183"/>
      <c r="T691" s="152"/>
      <c r="U691" s="155"/>
      <c r="V691" s="152"/>
      <c r="W691" s="152"/>
      <c r="X691" s="152"/>
      <c r="Y691" s="152"/>
      <c r="Z691" s="152"/>
      <c r="AA691" s="152"/>
      <c r="AB691" s="152"/>
      <c r="AC691" s="152"/>
      <c r="AD691" s="152"/>
      <c r="AE691" s="152"/>
      <c r="AF691" s="152"/>
      <c r="AG691" s="144"/>
      <c r="AH691" s="144"/>
      <c r="AI691" s="144"/>
      <c r="AJ691" s="144"/>
      <c r="AK691" s="144"/>
    </row>
    <row r="692" ht="22.5" customHeight="1">
      <c r="A692" s="184"/>
      <c r="B692" s="184"/>
      <c r="C692" s="184"/>
      <c r="D692" s="184"/>
      <c r="E692" s="184"/>
      <c r="F692" s="184"/>
      <c r="G692" s="184"/>
      <c r="H692" s="184"/>
      <c r="I692" s="184"/>
      <c r="J692" s="184"/>
      <c r="K692" s="184"/>
      <c r="L692" s="184"/>
      <c r="M692" s="184"/>
      <c r="N692" s="184"/>
      <c r="O692" s="184"/>
      <c r="P692" s="184"/>
      <c r="Q692" s="184"/>
      <c r="R692" s="184"/>
      <c r="S692" s="184"/>
      <c r="T692" s="145"/>
      <c r="U692" s="151"/>
      <c r="V692" s="145"/>
      <c r="W692" s="145"/>
      <c r="X692" s="145"/>
      <c r="Y692" s="145"/>
      <c r="Z692" s="145"/>
      <c r="AA692" s="145"/>
      <c r="AB692" s="145"/>
      <c r="AC692" s="145"/>
      <c r="AD692" s="145"/>
      <c r="AE692" s="145"/>
      <c r="AF692" s="145"/>
      <c r="AG692" s="144"/>
      <c r="AH692" s="144"/>
      <c r="AI692" s="144"/>
      <c r="AJ692" s="144"/>
      <c r="AK692" s="144"/>
    </row>
    <row r="693" ht="22.5" customHeight="1">
      <c r="A693" s="183"/>
      <c r="B693" s="183"/>
      <c r="C693" s="183"/>
      <c r="D693" s="183"/>
      <c r="E693" s="183"/>
      <c r="F693" s="183"/>
      <c r="G693" s="183"/>
      <c r="H693" s="183"/>
      <c r="I693" s="183"/>
      <c r="J693" s="183"/>
      <c r="K693" s="183"/>
      <c r="L693" s="183"/>
      <c r="M693" s="183"/>
      <c r="N693" s="183"/>
      <c r="O693" s="183"/>
      <c r="P693" s="183"/>
      <c r="Q693" s="183"/>
      <c r="R693" s="183"/>
      <c r="S693" s="183"/>
      <c r="T693" s="152"/>
      <c r="U693" s="155"/>
      <c r="V693" s="152"/>
      <c r="W693" s="152"/>
      <c r="X693" s="152"/>
      <c r="Y693" s="152"/>
      <c r="Z693" s="152"/>
      <c r="AA693" s="152"/>
      <c r="AB693" s="152"/>
      <c r="AC693" s="152"/>
      <c r="AD693" s="152"/>
      <c r="AE693" s="152"/>
      <c r="AF693" s="152"/>
      <c r="AG693" s="144"/>
      <c r="AH693" s="144"/>
      <c r="AI693" s="144"/>
      <c r="AJ693" s="144"/>
      <c r="AK693" s="144"/>
    </row>
    <row r="694" ht="22.5" customHeight="1">
      <c r="A694" s="184"/>
      <c r="B694" s="184"/>
      <c r="C694" s="184"/>
      <c r="D694" s="184"/>
      <c r="E694" s="184"/>
      <c r="F694" s="184"/>
      <c r="G694" s="184"/>
      <c r="H694" s="184"/>
      <c r="I694" s="184"/>
      <c r="J694" s="184"/>
      <c r="K694" s="184"/>
      <c r="L694" s="184"/>
      <c r="M694" s="184"/>
      <c r="N694" s="184"/>
      <c r="O694" s="184"/>
      <c r="P694" s="184"/>
      <c r="Q694" s="184"/>
      <c r="R694" s="184"/>
      <c r="S694" s="184"/>
      <c r="T694" s="145"/>
      <c r="U694" s="151"/>
      <c r="V694" s="145"/>
      <c r="W694" s="145"/>
      <c r="X694" s="145"/>
      <c r="Y694" s="145"/>
      <c r="Z694" s="145"/>
      <c r="AA694" s="145"/>
      <c r="AB694" s="145"/>
      <c r="AC694" s="145"/>
      <c r="AD694" s="145"/>
      <c r="AE694" s="145"/>
      <c r="AF694" s="145"/>
      <c r="AG694" s="144"/>
      <c r="AH694" s="144"/>
      <c r="AI694" s="144"/>
      <c r="AJ694" s="144"/>
      <c r="AK694" s="144"/>
    </row>
    <row r="695" ht="22.5" customHeight="1">
      <c r="A695" s="183"/>
      <c r="B695" s="183"/>
      <c r="C695" s="183"/>
      <c r="D695" s="183"/>
      <c r="E695" s="183"/>
      <c r="F695" s="183"/>
      <c r="G695" s="183"/>
      <c r="H695" s="183"/>
      <c r="I695" s="183"/>
      <c r="J695" s="183"/>
      <c r="K695" s="183"/>
      <c r="L695" s="183"/>
      <c r="M695" s="183"/>
      <c r="N695" s="183"/>
      <c r="O695" s="183"/>
      <c r="P695" s="183"/>
      <c r="Q695" s="183"/>
      <c r="R695" s="183"/>
      <c r="S695" s="183"/>
      <c r="T695" s="152"/>
      <c r="U695" s="155"/>
      <c r="V695" s="152"/>
      <c r="W695" s="152"/>
      <c r="X695" s="152"/>
      <c r="Y695" s="152"/>
      <c r="Z695" s="152"/>
      <c r="AA695" s="152"/>
      <c r="AB695" s="152"/>
      <c r="AC695" s="152"/>
      <c r="AD695" s="152"/>
      <c r="AE695" s="152"/>
      <c r="AF695" s="152"/>
      <c r="AG695" s="144"/>
      <c r="AH695" s="144"/>
      <c r="AI695" s="144"/>
      <c r="AJ695" s="144"/>
      <c r="AK695" s="144"/>
    </row>
    <row r="696" ht="22.5" customHeight="1">
      <c r="A696" s="184"/>
      <c r="B696" s="184"/>
      <c r="C696" s="184"/>
      <c r="D696" s="184"/>
      <c r="E696" s="184"/>
      <c r="F696" s="184"/>
      <c r="G696" s="184"/>
      <c r="H696" s="184"/>
      <c r="I696" s="184"/>
      <c r="J696" s="184"/>
      <c r="K696" s="184"/>
      <c r="L696" s="184"/>
      <c r="M696" s="184"/>
      <c r="N696" s="184"/>
      <c r="O696" s="184"/>
      <c r="P696" s="184"/>
      <c r="Q696" s="184"/>
      <c r="R696" s="184"/>
      <c r="S696" s="184"/>
      <c r="T696" s="145"/>
      <c r="U696" s="151"/>
      <c r="V696" s="145"/>
      <c r="W696" s="145"/>
      <c r="X696" s="145"/>
      <c r="Y696" s="145"/>
      <c r="Z696" s="145"/>
      <c r="AA696" s="145"/>
      <c r="AB696" s="145"/>
      <c r="AC696" s="145"/>
      <c r="AD696" s="145"/>
      <c r="AE696" s="145"/>
      <c r="AF696" s="145"/>
      <c r="AG696" s="144"/>
      <c r="AH696" s="144"/>
      <c r="AI696" s="144"/>
      <c r="AJ696" s="144"/>
      <c r="AK696" s="144"/>
    </row>
    <row r="697" ht="22.5" customHeight="1">
      <c r="A697" s="183"/>
      <c r="B697" s="183"/>
      <c r="C697" s="183"/>
      <c r="D697" s="183"/>
      <c r="E697" s="183"/>
      <c r="F697" s="183"/>
      <c r="G697" s="183"/>
      <c r="H697" s="183"/>
      <c r="I697" s="183"/>
      <c r="J697" s="183"/>
      <c r="K697" s="183"/>
      <c r="L697" s="183"/>
      <c r="M697" s="183"/>
      <c r="N697" s="183"/>
      <c r="O697" s="183"/>
      <c r="P697" s="183"/>
      <c r="Q697" s="183"/>
      <c r="R697" s="183"/>
      <c r="S697" s="183"/>
      <c r="T697" s="152"/>
      <c r="U697" s="155"/>
      <c r="V697" s="152"/>
      <c r="W697" s="152"/>
      <c r="X697" s="152"/>
      <c r="Y697" s="152"/>
      <c r="Z697" s="152"/>
      <c r="AA697" s="152"/>
      <c r="AB697" s="152"/>
      <c r="AC697" s="152"/>
      <c r="AD697" s="152"/>
      <c r="AE697" s="152"/>
      <c r="AF697" s="152"/>
      <c r="AG697" s="144"/>
      <c r="AH697" s="144"/>
      <c r="AI697" s="144"/>
      <c r="AJ697" s="144"/>
      <c r="AK697" s="144"/>
    </row>
    <row r="698" ht="22.5" customHeight="1">
      <c r="A698" s="184"/>
      <c r="B698" s="184"/>
      <c r="C698" s="184"/>
      <c r="D698" s="184"/>
      <c r="E698" s="184"/>
      <c r="F698" s="184"/>
      <c r="G698" s="184"/>
      <c r="H698" s="184"/>
      <c r="I698" s="184"/>
      <c r="J698" s="184"/>
      <c r="K698" s="184"/>
      <c r="L698" s="184"/>
      <c r="M698" s="184"/>
      <c r="N698" s="184"/>
      <c r="O698" s="184"/>
      <c r="P698" s="184"/>
      <c r="Q698" s="184"/>
      <c r="R698" s="184"/>
      <c r="S698" s="184"/>
      <c r="T698" s="145"/>
      <c r="U698" s="151"/>
      <c r="V698" s="145"/>
      <c r="W698" s="145"/>
      <c r="X698" s="145"/>
      <c r="Y698" s="145"/>
      <c r="Z698" s="145"/>
      <c r="AA698" s="145"/>
      <c r="AB698" s="145"/>
      <c r="AC698" s="145"/>
      <c r="AD698" s="145"/>
      <c r="AE698" s="145"/>
      <c r="AF698" s="145"/>
      <c r="AG698" s="144"/>
      <c r="AH698" s="144"/>
      <c r="AI698" s="144"/>
      <c r="AJ698" s="144"/>
      <c r="AK698" s="144"/>
    </row>
    <row r="699" ht="22.5" customHeight="1">
      <c r="A699" s="183"/>
      <c r="B699" s="183"/>
      <c r="C699" s="183"/>
      <c r="D699" s="183"/>
      <c r="E699" s="183"/>
      <c r="F699" s="183"/>
      <c r="G699" s="183"/>
      <c r="H699" s="183"/>
      <c r="I699" s="183"/>
      <c r="J699" s="183"/>
      <c r="K699" s="183"/>
      <c r="L699" s="183"/>
      <c r="M699" s="183"/>
      <c r="N699" s="183"/>
      <c r="O699" s="183"/>
      <c r="P699" s="183"/>
      <c r="Q699" s="183"/>
      <c r="R699" s="183"/>
      <c r="S699" s="183"/>
      <c r="T699" s="152"/>
      <c r="U699" s="155"/>
      <c r="V699" s="152"/>
      <c r="W699" s="152"/>
      <c r="X699" s="152"/>
      <c r="Y699" s="152"/>
      <c r="Z699" s="152"/>
      <c r="AA699" s="152"/>
      <c r="AB699" s="152"/>
      <c r="AC699" s="152"/>
      <c r="AD699" s="152"/>
      <c r="AE699" s="152"/>
      <c r="AF699" s="152"/>
      <c r="AG699" s="144"/>
      <c r="AH699" s="144"/>
      <c r="AI699" s="144"/>
      <c r="AJ699" s="144"/>
      <c r="AK699" s="144"/>
    </row>
    <row r="700" ht="22.5" customHeight="1">
      <c r="A700" s="184"/>
      <c r="B700" s="184"/>
      <c r="C700" s="184"/>
      <c r="D700" s="184"/>
      <c r="E700" s="184"/>
      <c r="F700" s="184"/>
      <c r="G700" s="184"/>
      <c r="H700" s="184"/>
      <c r="I700" s="184"/>
      <c r="J700" s="184"/>
      <c r="K700" s="184"/>
      <c r="L700" s="184"/>
      <c r="M700" s="184"/>
      <c r="N700" s="184"/>
      <c r="O700" s="184"/>
      <c r="P700" s="184"/>
      <c r="Q700" s="184"/>
      <c r="R700" s="184"/>
      <c r="S700" s="184"/>
      <c r="T700" s="145"/>
      <c r="U700" s="151"/>
      <c r="V700" s="145"/>
      <c r="W700" s="145"/>
      <c r="X700" s="145"/>
      <c r="Y700" s="145"/>
      <c r="Z700" s="145"/>
      <c r="AA700" s="145"/>
      <c r="AB700" s="145"/>
      <c r="AC700" s="145"/>
      <c r="AD700" s="145"/>
      <c r="AE700" s="145"/>
      <c r="AF700" s="145"/>
      <c r="AG700" s="144"/>
      <c r="AH700" s="144"/>
      <c r="AI700" s="144"/>
      <c r="AJ700" s="144"/>
      <c r="AK700" s="144"/>
    </row>
    <row r="701" ht="22.5" customHeight="1">
      <c r="A701" s="183"/>
      <c r="B701" s="183"/>
      <c r="C701" s="183"/>
      <c r="D701" s="183"/>
      <c r="E701" s="183"/>
      <c r="F701" s="183"/>
      <c r="G701" s="183"/>
      <c r="H701" s="183"/>
      <c r="I701" s="183"/>
      <c r="J701" s="183"/>
      <c r="K701" s="183"/>
      <c r="L701" s="183"/>
      <c r="M701" s="183"/>
      <c r="N701" s="183"/>
      <c r="O701" s="183"/>
      <c r="P701" s="183"/>
      <c r="Q701" s="183"/>
      <c r="R701" s="183"/>
      <c r="S701" s="183"/>
      <c r="T701" s="152"/>
      <c r="U701" s="155"/>
      <c r="V701" s="152"/>
      <c r="W701" s="152"/>
      <c r="X701" s="152"/>
      <c r="Y701" s="152"/>
      <c r="Z701" s="152"/>
      <c r="AA701" s="152"/>
      <c r="AB701" s="152"/>
      <c r="AC701" s="152"/>
      <c r="AD701" s="152"/>
      <c r="AE701" s="152"/>
      <c r="AF701" s="152"/>
      <c r="AG701" s="144"/>
      <c r="AH701" s="144"/>
      <c r="AI701" s="144"/>
      <c r="AJ701" s="144"/>
      <c r="AK701" s="144"/>
    </row>
    <row r="702" ht="22.5" customHeight="1">
      <c r="A702" s="184"/>
      <c r="B702" s="184"/>
      <c r="C702" s="184"/>
      <c r="D702" s="184"/>
      <c r="E702" s="184"/>
      <c r="F702" s="184"/>
      <c r="G702" s="184"/>
      <c r="H702" s="184"/>
      <c r="I702" s="184"/>
      <c r="J702" s="184"/>
      <c r="K702" s="184"/>
      <c r="L702" s="184"/>
      <c r="M702" s="184"/>
      <c r="N702" s="184"/>
      <c r="O702" s="184"/>
      <c r="P702" s="184"/>
      <c r="Q702" s="184"/>
      <c r="R702" s="184"/>
      <c r="S702" s="184"/>
      <c r="T702" s="145"/>
      <c r="U702" s="151"/>
      <c r="V702" s="145"/>
      <c r="W702" s="145"/>
      <c r="X702" s="145"/>
      <c r="Y702" s="145"/>
      <c r="Z702" s="145"/>
      <c r="AA702" s="145"/>
      <c r="AB702" s="145"/>
      <c r="AC702" s="145"/>
      <c r="AD702" s="145"/>
      <c r="AE702" s="145"/>
      <c r="AF702" s="145"/>
      <c r="AG702" s="144"/>
      <c r="AH702" s="144"/>
      <c r="AI702" s="144"/>
      <c r="AJ702" s="144"/>
      <c r="AK702" s="144"/>
    </row>
    <row r="703" ht="22.5" customHeight="1">
      <c r="A703" s="183"/>
      <c r="B703" s="183"/>
      <c r="C703" s="183"/>
      <c r="D703" s="183"/>
      <c r="E703" s="183"/>
      <c r="F703" s="183"/>
      <c r="G703" s="183"/>
      <c r="H703" s="183"/>
      <c r="I703" s="183"/>
      <c r="J703" s="183"/>
      <c r="K703" s="183"/>
      <c r="L703" s="183"/>
      <c r="M703" s="183"/>
      <c r="N703" s="183"/>
      <c r="O703" s="183"/>
      <c r="P703" s="183"/>
      <c r="Q703" s="183"/>
      <c r="R703" s="183"/>
      <c r="S703" s="183"/>
      <c r="T703" s="152"/>
      <c r="U703" s="155"/>
      <c r="V703" s="152"/>
      <c r="W703" s="152"/>
      <c r="X703" s="152"/>
      <c r="Y703" s="152"/>
      <c r="Z703" s="152"/>
      <c r="AA703" s="152"/>
      <c r="AB703" s="152"/>
      <c r="AC703" s="152"/>
      <c r="AD703" s="152"/>
      <c r="AE703" s="152"/>
      <c r="AF703" s="152"/>
      <c r="AG703" s="144"/>
      <c r="AH703" s="144"/>
      <c r="AI703" s="144"/>
      <c r="AJ703" s="144"/>
      <c r="AK703" s="144"/>
    </row>
    <row r="704" ht="22.5" customHeight="1">
      <c r="A704" s="184"/>
      <c r="B704" s="184"/>
      <c r="C704" s="184"/>
      <c r="D704" s="184"/>
      <c r="E704" s="184"/>
      <c r="F704" s="184"/>
      <c r="G704" s="184"/>
      <c r="H704" s="184"/>
      <c r="I704" s="184"/>
      <c r="J704" s="184"/>
      <c r="K704" s="184"/>
      <c r="L704" s="184"/>
      <c r="M704" s="184"/>
      <c r="N704" s="184"/>
      <c r="O704" s="184"/>
      <c r="P704" s="184"/>
      <c r="Q704" s="184"/>
      <c r="R704" s="184"/>
      <c r="S704" s="184"/>
      <c r="T704" s="145"/>
      <c r="U704" s="151"/>
      <c r="V704" s="145"/>
      <c r="W704" s="145"/>
      <c r="X704" s="145"/>
      <c r="Y704" s="145"/>
      <c r="Z704" s="145"/>
      <c r="AA704" s="145"/>
      <c r="AB704" s="145"/>
      <c r="AC704" s="145"/>
      <c r="AD704" s="145"/>
      <c r="AE704" s="145"/>
      <c r="AF704" s="145"/>
      <c r="AG704" s="144"/>
      <c r="AH704" s="144"/>
      <c r="AI704" s="144"/>
      <c r="AJ704" s="144"/>
      <c r="AK704" s="144"/>
    </row>
    <row r="705" ht="22.5" customHeight="1">
      <c r="A705" s="183"/>
      <c r="B705" s="183"/>
      <c r="C705" s="183"/>
      <c r="D705" s="183"/>
      <c r="E705" s="183"/>
      <c r="F705" s="183"/>
      <c r="G705" s="183"/>
      <c r="H705" s="183"/>
      <c r="I705" s="183"/>
      <c r="J705" s="183"/>
      <c r="K705" s="183"/>
      <c r="L705" s="183"/>
      <c r="M705" s="183"/>
      <c r="N705" s="183"/>
      <c r="O705" s="183"/>
      <c r="P705" s="183"/>
      <c r="Q705" s="183"/>
      <c r="R705" s="183"/>
      <c r="S705" s="183"/>
      <c r="T705" s="152"/>
      <c r="U705" s="155"/>
      <c r="V705" s="152"/>
      <c r="W705" s="152"/>
      <c r="X705" s="152"/>
      <c r="Y705" s="152"/>
      <c r="Z705" s="152"/>
      <c r="AA705" s="152"/>
      <c r="AB705" s="152"/>
      <c r="AC705" s="152"/>
      <c r="AD705" s="152"/>
      <c r="AE705" s="152"/>
      <c r="AF705" s="152"/>
      <c r="AG705" s="144"/>
      <c r="AH705" s="144"/>
      <c r="AI705" s="144"/>
      <c r="AJ705" s="144"/>
      <c r="AK705" s="144"/>
    </row>
    <row r="706" ht="22.5" customHeight="1">
      <c r="A706" s="184"/>
      <c r="B706" s="184"/>
      <c r="C706" s="184"/>
      <c r="D706" s="184"/>
      <c r="E706" s="184"/>
      <c r="F706" s="184"/>
      <c r="G706" s="184"/>
      <c r="H706" s="184"/>
      <c r="I706" s="184"/>
      <c r="J706" s="184"/>
      <c r="K706" s="184"/>
      <c r="L706" s="184"/>
      <c r="M706" s="184"/>
      <c r="N706" s="184"/>
      <c r="O706" s="184"/>
      <c r="P706" s="184"/>
      <c r="Q706" s="184"/>
      <c r="R706" s="184"/>
      <c r="S706" s="184"/>
      <c r="T706" s="145"/>
      <c r="U706" s="151"/>
      <c r="V706" s="145"/>
      <c r="W706" s="145"/>
      <c r="X706" s="145"/>
      <c r="Y706" s="145"/>
      <c r="Z706" s="145"/>
      <c r="AA706" s="145"/>
      <c r="AB706" s="145"/>
      <c r="AC706" s="145"/>
      <c r="AD706" s="145"/>
      <c r="AE706" s="145"/>
      <c r="AF706" s="145"/>
      <c r="AG706" s="144"/>
      <c r="AH706" s="144"/>
      <c r="AI706" s="144"/>
      <c r="AJ706" s="144"/>
      <c r="AK706" s="144"/>
    </row>
    <row r="707" ht="22.5" customHeight="1">
      <c r="A707" s="183"/>
      <c r="B707" s="183"/>
      <c r="C707" s="183"/>
      <c r="D707" s="183"/>
      <c r="E707" s="183"/>
      <c r="F707" s="183"/>
      <c r="G707" s="183"/>
      <c r="H707" s="183"/>
      <c r="I707" s="183"/>
      <c r="J707" s="183"/>
      <c r="K707" s="183"/>
      <c r="L707" s="183"/>
      <c r="M707" s="183"/>
      <c r="N707" s="183"/>
      <c r="O707" s="183"/>
      <c r="P707" s="183"/>
      <c r="Q707" s="183"/>
      <c r="R707" s="183"/>
      <c r="S707" s="183"/>
      <c r="T707" s="152"/>
      <c r="U707" s="155"/>
      <c r="V707" s="152"/>
      <c r="W707" s="152"/>
      <c r="X707" s="152"/>
      <c r="Y707" s="152"/>
      <c r="Z707" s="152"/>
      <c r="AA707" s="152"/>
      <c r="AB707" s="152"/>
      <c r="AC707" s="152"/>
      <c r="AD707" s="152"/>
      <c r="AE707" s="152"/>
      <c r="AF707" s="152"/>
      <c r="AG707" s="144"/>
      <c r="AH707" s="144"/>
      <c r="AI707" s="144"/>
      <c r="AJ707" s="144"/>
      <c r="AK707" s="144"/>
    </row>
    <row r="708" ht="22.5" customHeight="1">
      <c r="A708" s="184"/>
      <c r="B708" s="184"/>
      <c r="C708" s="184"/>
      <c r="D708" s="184"/>
      <c r="E708" s="184"/>
      <c r="F708" s="184"/>
      <c r="G708" s="184"/>
      <c r="H708" s="184"/>
      <c r="I708" s="184"/>
      <c r="J708" s="184"/>
      <c r="K708" s="184"/>
      <c r="L708" s="184"/>
      <c r="M708" s="184"/>
      <c r="N708" s="184"/>
      <c r="O708" s="184"/>
      <c r="P708" s="184"/>
      <c r="Q708" s="184"/>
      <c r="R708" s="184"/>
      <c r="S708" s="184"/>
      <c r="T708" s="145"/>
      <c r="U708" s="151"/>
      <c r="V708" s="145"/>
      <c r="W708" s="145"/>
      <c r="X708" s="145"/>
      <c r="Y708" s="145"/>
      <c r="Z708" s="145"/>
      <c r="AA708" s="145"/>
      <c r="AB708" s="145"/>
      <c r="AC708" s="145"/>
      <c r="AD708" s="145"/>
      <c r="AE708" s="145"/>
      <c r="AF708" s="145"/>
      <c r="AG708" s="144"/>
      <c r="AH708" s="144"/>
      <c r="AI708" s="144"/>
      <c r="AJ708" s="144"/>
      <c r="AK708" s="144"/>
    </row>
    <row r="709" ht="22.5" customHeight="1">
      <c r="A709" s="183"/>
      <c r="B709" s="183"/>
      <c r="C709" s="183"/>
      <c r="D709" s="183"/>
      <c r="E709" s="183"/>
      <c r="F709" s="183"/>
      <c r="G709" s="183"/>
      <c r="H709" s="183"/>
      <c r="I709" s="183"/>
      <c r="J709" s="183"/>
      <c r="K709" s="183"/>
      <c r="L709" s="183"/>
      <c r="M709" s="183"/>
      <c r="N709" s="183"/>
      <c r="O709" s="183"/>
      <c r="P709" s="183"/>
      <c r="Q709" s="183"/>
      <c r="R709" s="183"/>
      <c r="S709" s="183"/>
      <c r="T709" s="152"/>
      <c r="U709" s="155"/>
      <c r="V709" s="152"/>
      <c r="W709" s="152"/>
      <c r="X709" s="152"/>
      <c r="Y709" s="152"/>
      <c r="Z709" s="152"/>
      <c r="AA709" s="152"/>
      <c r="AB709" s="152"/>
      <c r="AC709" s="152"/>
      <c r="AD709" s="152"/>
      <c r="AE709" s="152"/>
      <c r="AF709" s="152"/>
      <c r="AG709" s="144"/>
      <c r="AH709" s="144"/>
      <c r="AI709" s="144"/>
      <c r="AJ709" s="144"/>
      <c r="AK709" s="144"/>
    </row>
    <row r="710" ht="22.5" customHeight="1">
      <c r="A710" s="184"/>
      <c r="B710" s="184"/>
      <c r="C710" s="184"/>
      <c r="D710" s="184"/>
      <c r="E710" s="184"/>
      <c r="F710" s="184"/>
      <c r="G710" s="184"/>
      <c r="H710" s="184"/>
      <c r="I710" s="184"/>
      <c r="J710" s="184"/>
      <c r="K710" s="184"/>
      <c r="L710" s="184"/>
      <c r="M710" s="184"/>
      <c r="N710" s="184"/>
      <c r="O710" s="184"/>
      <c r="P710" s="184"/>
      <c r="Q710" s="184"/>
      <c r="R710" s="184"/>
      <c r="S710" s="184"/>
      <c r="T710" s="145"/>
      <c r="U710" s="151"/>
      <c r="V710" s="145"/>
      <c r="W710" s="145"/>
      <c r="X710" s="145"/>
      <c r="Y710" s="145"/>
      <c r="Z710" s="145"/>
      <c r="AA710" s="145"/>
      <c r="AB710" s="145"/>
      <c r="AC710" s="145"/>
      <c r="AD710" s="145"/>
      <c r="AE710" s="145"/>
      <c r="AF710" s="145"/>
      <c r="AG710" s="144"/>
      <c r="AH710" s="144"/>
      <c r="AI710" s="144"/>
      <c r="AJ710" s="144"/>
      <c r="AK710" s="144"/>
    </row>
    <row r="711" ht="22.5" customHeight="1">
      <c r="A711" s="183"/>
      <c r="B711" s="183"/>
      <c r="C711" s="183"/>
      <c r="D711" s="183"/>
      <c r="E711" s="183"/>
      <c r="F711" s="183"/>
      <c r="G711" s="183"/>
      <c r="H711" s="183"/>
      <c r="I711" s="183"/>
      <c r="J711" s="183"/>
      <c r="K711" s="183"/>
      <c r="L711" s="183"/>
      <c r="M711" s="183"/>
      <c r="N711" s="183"/>
      <c r="O711" s="183"/>
      <c r="P711" s="183"/>
      <c r="Q711" s="183"/>
      <c r="R711" s="183"/>
      <c r="S711" s="183"/>
      <c r="T711" s="152"/>
      <c r="U711" s="155"/>
      <c r="V711" s="152"/>
      <c r="W711" s="152"/>
      <c r="X711" s="152"/>
      <c r="Y711" s="152"/>
      <c r="Z711" s="152"/>
      <c r="AA711" s="152"/>
      <c r="AB711" s="152"/>
      <c r="AC711" s="152"/>
      <c r="AD711" s="152"/>
      <c r="AE711" s="152"/>
      <c r="AF711" s="152"/>
      <c r="AG711" s="144"/>
      <c r="AH711" s="144"/>
      <c r="AI711" s="144"/>
      <c r="AJ711" s="144"/>
      <c r="AK711" s="144"/>
    </row>
    <row r="712" ht="22.5" customHeight="1">
      <c r="A712" s="184"/>
      <c r="B712" s="184"/>
      <c r="C712" s="184"/>
      <c r="D712" s="184"/>
      <c r="E712" s="184"/>
      <c r="F712" s="184"/>
      <c r="G712" s="184"/>
      <c r="H712" s="184"/>
      <c r="I712" s="184"/>
      <c r="J712" s="184"/>
      <c r="K712" s="184"/>
      <c r="L712" s="184"/>
      <c r="M712" s="184"/>
      <c r="N712" s="184"/>
      <c r="O712" s="184"/>
      <c r="P712" s="184"/>
      <c r="Q712" s="184"/>
      <c r="R712" s="184"/>
      <c r="S712" s="184"/>
      <c r="T712" s="145"/>
      <c r="U712" s="151"/>
      <c r="V712" s="145"/>
      <c r="W712" s="145"/>
      <c r="X712" s="145"/>
      <c r="Y712" s="145"/>
      <c r="Z712" s="145"/>
      <c r="AA712" s="145"/>
      <c r="AB712" s="145"/>
      <c r="AC712" s="145"/>
      <c r="AD712" s="145"/>
      <c r="AE712" s="145"/>
      <c r="AF712" s="145"/>
      <c r="AG712" s="144"/>
      <c r="AH712" s="144"/>
      <c r="AI712" s="144"/>
      <c r="AJ712" s="144"/>
      <c r="AK712" s="144"/>
    </row>
    <row r="713" ht="22.5" customHeight="1">
      <c r="A713" s="183"/>
      <c r="B713" s="183"/>
      <c r="C713" s="183"/>
      <c r="D713" s="183"/>
      <c r="E713" s="183"/>
      <c r="F713" s="183"/>
      <c r="G713" s="183"/>
      <c r="H713" s="183"/>
      <c r="I713" s="183"/>
      <c r="J713" s="183"/>
      <c r="K713" s="183"/>
      <c r="L713" s="183"/>
      <c r="M713" s="183"/>
      <c r="N713" s="183"/>
      <c r="O713" s="183"/>
      <c r="P713" s="183"/>
      <c r="Q713" s="183"/>
      <c r="R713" s="183"/>
      <c r="S713" s="183"/>
      <c r="T713" s="152"/>
      <c r="U713" s="155"/>
      <c r="V713" s="152"/>
      <c r="W713" s="152"/>
      <c r="X713" s="152"/>
      <c r="Y713" s="152"/>
      <c r="Z713" s="152"/>
      <c r="AA713" s="152"/>
      <c r="AB713" s="152"/>
      <c r="AC713" s="152"/>
      <c r="AD713" s="152"/>
      <c r="AE713" s="152"/>
      <c r="AF713" s="152"/>
      <c r="AG713" s="144"/>
      <c r="AH713" s="144"/>
      <c r="AI713" s="144"/>
      <c r="AJ713" s="144"/>
      <c r="AK713" s="144"/>
    </row>
    <row r="714" ht="22.5" customHeight="1">
      <c r="A714" s="184"/>
      <c r="B714" s="184"/>
      <c r="C714" s="184"/>
      <c r="D714" s="184"/>
      <c r="E714" s="184"/>
      <c r="F714" s="184"/>
      <c r="G714" s="184"/>
      <c r="H714" s="184"/>
      <c r="I714" s="184"/>
      <c r="J714" s="184"/>
      <c r="K714" s="184"/>
      <c r="L714" s="184"/>
      <c r="M714" s="184"/>
      <c r="N714" s="184"/>
      <c r="O714" s="184"/>
      <c r="P714" s="184"/>
      <c r="Q714" s="184"/>
      <c r="R714" s="184"/>
      <c r="S714" s="184"/>
      <c r="T714" s="145"/>
      <c r="U714" s="151"/>
      <c r="V714" s="145"/>
      <c r="W714" s="145"/>
      <c r="X714" s="145"/>
      <c r="Y714" s="145"/>
      <c r="Z714" s="145"/>
      <c r="AA714" s="145"/>
      <c r="AB714" s="145"/>
      <c r="AC714" s="145"/>
      <c r="AD714" s="145"/>
      <c r="AE714" s="145"/>
      <c r="AF714" s="145"/>
      <c r="AG714" s="144"/>
      <c r="AH714" s="144"/>
      <c r="AI714" s="144"/>
      <c r="AJ714" s="144"/>
      <c r="AK714" s="144"/>
    </row>
    <row r="715" ht="22.5" customHeight="1">
      <c r="A715" s="183"/>
      <c r="B715" s="183"/>
      <c r="C715" s="183"/>
      <c r="D715" s="183"/>
      <c r="E715" s="183"/>
      <c r="F715" s="183"/>
      <c r="G715" s="183"/>
      <c r="H715" s="183"/>
      <c r="I715" s="183"/>
      <c r="J715" s="183"/>
      <c r="K715" s="183"/>
      <c r="L715" s="183"/>
      <c r="M715" s="183"/>
      <c r="N715" s="183"/>
      <c r="O715" s="183"/>
      <c r="P715" s="183"/>
      <c r="Q715" s="183"/>
      <c r="R715" s="183"/>
      <c r="S715" s="183"/>
      <c r="T715" s="152"/>
      <c r="U715" s="155"/>
      <c r="V715" s="152"/>
      <c r="W715" s="152"/>
      <c r="X715" s="152"/>
      <c r="Y715" s="152"/>
      <c r="Z715" s="152"/>
      <c r="AA715" s="152"/>
      <c r="AB715" s="152"/>
      <c r="AC715" s="152"/>
      <c r="AD715" s="152"/>
      <c r="AE715" s="152"/>
      <c r="AF715" s="152"/>
      <c r="AG715" s="144"/>
      <c r="AH715" s="144"/>
      <c r="AI715" s="144"/>
      <c r="AJ715" s="144"/>
      <c r="AK715" s="144"/>
    </row>
    <row r="716" ht="22.5" customHeight="1">
      <c r="A716" s="184"/>
      <c r="B716" s="184"/>
      <c r="C716" s="184"/>
      <c r="D716" s="184"/>
      <c r="E716" s="184"/>
      <c r="F716" s="184"/>
      <c r="G716" s="184"/>
      <c r="H716" s="184"/>
      <c r="I716" s="184"/>
      <c r="J716" s="184"/>
      <c r="K716" s="184"/>
      <c r="L716" s="184"/>
      <c r="M716" s="184"/>
      <c r="N716" s="184"/>
      <c r="O716" s="184"/>
      <c r="P716" s="184"/>
      <c r="Q716" s="184"/>
      <c r="R716" s="184"/>
      <c r="S716" s="184"/>
      <c r="T716" s="145"/>
      <c r="U716" s="151"/>
      <c r="V716" s="145"/>
      <c r="W716" s="145"/>
      <c r="X716" s="145"/>
      <c r="Y716" s="145"/>
      <c r="Z716" s="145"/>
      <c r="AA716" s="145"/>
      <c r="AB716" s="145"/>
      <c r="AC716" s="145"/>
      <c r="AD716" s="145"/>
      <c r="AE716" s="145"/>
      <c r="AF716" s="145"/>
      <c r="AG716" s="144"/>
      <c r="AH716" s="144"/>
      <c r="AI716" s="144"/>
      <c r="AJ716" s="144"/>
      <c r="AK716" s="144"/>
    </row>
    <row r="717" ht="22.5" customHeight="1">
      <c r="A717" s="183"/>
      <c r="B717" s="183"/>
      <c r="C717" s="183"/>
      <c r="D717" s="183"/>
      <c r="E717" s="183"/>
      <c r="F717" s="183"/>
      <c r="G717" s="183"/>
      <c r="H717" s="183"/>
      <c r="I717" s="183"/>
      <c r="J717" s="183"/>
      <c r="K717" s="183"/>
      <c r="L717" s="183"/>
      <c r="M717" s="183"/>
      <c r="N717" s="183"/>
      <c r="O717" s="183"/>
      <c r="P717" s="183"/>
      <c r="Q717" s="183"/>
      <c r="R717" s="183"/>
      <c r="S717" s="183"/>
      <c r="T717" s="152"/>
      <c r="U717" s="155"/>
      <c r="V717" s="152"/>
      <c r="W717" s="152"/>
      <c r="X717" s="152"/>
      <c r="Y717" s="152"/>
      <c r="Z717" s="152"/>
      <c r="AA717" s="152"/>
      <c r="AB717" s="152"/>
      <c r="AC717" s="152"/>
      <c r="AD717" s="152"/>
      <c r="AE717" s="152"/>
      <c r="AF717" s="152"/>
      <c r="AG717" s="144"/>
      <c r="AH717" s="144"/>
      <c r="AI717" s="144"/>
      <c r="AJ717" s="144"/>
      <c r="AK717" s="144"/>
    </row>
    <row r="718" ht="22.5" customHeight="1">
      <c r="A718" s="184"/>
      <c r="B718" s="184"/>
      <c r="C718" s="184"/>
      <c r="D718" s="184"/>
      <c r="E718" s="184"/>
      <c r="F718" s="184"/>
      <c r="G718" s="184"/>
      <c r="H718" s="184"/>
      <c r="I718" s="184"/>
      <c r="J718" s="184"/>
      <c r="K718" s="184"/>
      <c r="L718" s="184"/>
      <c r="M718" s="184"/>
      <c r="N718" s="184"/>
      <c r="O718" s="184"/>
      <c r="P718" s="184"/>
      <c r="Q718" s="184"/>
      <c r="R718" s="184"/>
      <c r="S718" s="184"/>
      <c r="T718" s="145"/>
      <c r="U718" s="151"/>
      <c r="V718" s="145"/>
      <c r="W718" s="145"/>
      <c r="X718" s="145"/>
      <c r="Y718" s="145"/>
      <c r="Z718" s="145"/>
      <c r="AA718" s="145"/>
      <c r="AB718" s="145"/>
      <c r="AC718" s="145"/>
      <c r="AD718" s="145"/>
      <c r="AE718" s="145"/>
      <c r="AF718" s="145"/>
      <c r="AG718" s="144"/>
      <c r="AH718" s="144"/>
      <c r="AI718" s="144"/>
      <c r="AJ718" s="144"/>
      <c r="AK718" s="144"/>
    </row>
    <row r="719" ht="22.5" customHeight="1">
      <c r="A719" s="183"/>
      <c r="B719" s="183"/>
      <c r="C719" s="183"/>
      <c r="D719" s="183"/>
      <c r="E719" s="183"/>
      <c r="F719" s="183"/>
      <c r="G719" s="183"/>
      <c r="H719" s="183"/>
      <c r="I719" s="183"/>
      <c r="J719" s="183"/>
      <c r="K719" s="183"/>
      <c r="L719" s="183"/>
      <c r="M719" s="183"/>
      <c r="N719" s="183"/>
      <c r="O719" s="183"/>
      <c r="P719" s="183"/>
      <c r="Q719" s="183"/>
      <c r="R719" s="183"/>
      <c r="S719" s="183"/>
      <c r="T719" s="152"/>
      <c r="U719" s="155"/>
      <c r="V719" s="152"/>
      <c r="W719" s="152"/>
      <c r="X719" s="152"/>
      <c r="Y719" s="152"/>
      <c r="Z719" s="152"/>
      <c r="AA719" s="152"/>
      <c r="AB719" s="152"/>
      <c r="AC719" s="152"/>
      <c r="AD719" s="152"/>
      <c r="AE719" s="152"/>
      <c r="AF719" s="152"/>
      <c r="AG719" s="144"/>
      <c r="AH719" s="144"/>
      <c r="AI719" s="144"/>
      <c r="AJ719" s="144"/>
      <c r="AK719" s="144"/>
    </row>
    <row r="720" ht="22.5" customHeight="1">
      <c r="A720" s="184"/>
      <c r="B720" s="184"/>
      <c r="C720" s="184"/>
      <c r="D720" s="184"/>
      <c r="E720" s="184"/>
      <c r="F720" s="184"/>
      <c r="G720" s="184"/>
      <c r="H720" s="184"/>
      <c r="I720" s="184"/>
      <c r="J720" s="184"/>
      <c r="K720" s="184"/>
      <c r="L720" s="184"/>
      <c r="M720" s="184"/>
      <c r="N720" s="184"/>
      <c r="O720" s="184"/>
      <c r="P720" s="184"/>
      <c r="Q720" s="184"/>
      <c r="R720" s="184"/>
      <c r="S720" s="184"/>
      <c r="T720" s="145"/>
      <c r="U720" s="151"/>
      <c r="V720" s="145"/>
      <c r="W720" s="145"/>
      <c r="X720" s="145"/>
      <c r="Y720" s="145"/>
      <c r="Z720" s="145"/>
      <c r="AA720" s="145"/>
      <c r="AB720" s="145"/>
      <c r="AC720" s="145"/>
      <c r="AD720" s="145"/>
      <c r="AE720" s="145"/>
      <c r="AF720" s="145"/>
      <c r="AG720" s="144"/>
      <c r="AH720" s="144"/>
      <c r="AI720" s="144"/>
      <c r="AJ720" s="144"/>
      <c r="AK720" s="144"/>
    </row>
    <row r="721" ht="22.5" customHeight="1">
      <c r="A721" s="183"/>
      <c r="B721" s="183"/>
      <c r="C721" s="183"/>
      <c r="D721" s="183"/>
      <c r="E721" s="183"/>
      <c r="F721" s="183"/>
      <c r="G721" s="183"/>
      <c r="H721" s="183"/>
      <c r="I721" s="183"/>
      <c r="J721" s="183"/>
      <c r="K721" s="183"/>
      <c r="L721" s="183"/>
      <c r="M721" s="183"/>
      <c r="N721" s="183"/>
      <c r="O721" s="183"/>
      <c r="P721" s="183"/>
      <c r="Q721" s="183"/>
      <c r="R721" s="183"/>
      <c r="S721" s="183"/>
      <c r="T721" s="152"/>
      <c r="U721" s="155"/>
      <c r="V721" s="152"/>
      <c r="W721" s="152"/>
      <c r="X721" s="152"/>
      <c r="Y721" s="152"/>
      <c r="Z721" s="152"/>
      <c r="AA721" s="152"/>
      <c r="AB721" s="152"/>
      <c r="AC721" s="152"/>
      <c r="AD721" s="152"/>
      <c r="AE721" s="152"/>
      <c r="AF721" s="152"/>
      <c r="AG721" s="144"/>
      <c r="AH721" s="144"/>
      <c r="AI721" s="144"/>
      <c r="AJ721" s="144"/>
      <c r="AK721" s="144"/>
    </row>
    <row r="722" ht="22.5" customHeight="1">
      <c r="A722" s="184"/>
      <c r="B722" s="184"/>
      <c r="C722" s="184"/>
      <c r="D722" s="184"/>
      <c r="E722" s="184"/>
      <c r="F722" s="184"/>
      <c r="G722" s="184"/>
      <c r="H722" s="184"/>
      <c r="I722" s="184"/>
      <c r="J722" s="184"/>
      <c r="K722" s="184"/>
      <c r="L722" s="184"/>
      <c r="M722" s="184"/>
      <c r="N722" s="184"/>
      <c r="O722" s="184"/>
      <c r="P722" s="184"/>
      <c r="Q722" s="184"/>
      <c r="R722" s="184"/>
      <c r="S722" s="184"/>
      <c r="T722" s="145"/>
      <c r="U722" s="151"/>
      <c r="V722" s="145"/>
      <c r="W722" s="145"/>
      <c r="X722" s="145"/>
      <c r="Y722" s="145"/>
      <c r="Z722" s="145"/>
      <c r="AA722" s="145"/>
      <c r="AB722" s="145"/>
      <c r="AC722" s="145"/>
      <c r="AD722" s="145"/>
      <c r="AE722" s="145"/>
      <c r="AF722" s="145"/>
      <c r="AG722" s="144"/>
      <c r="AH722" s="144"/>
      <c r="AI722" s="144"/>
      <c r="AJ722" s="144"/>
      <c r="AK722" s="144"/>
    </row>
    <row r="723" ht="22.5" customHeight="1">
      <c r="A723" s="183"/>
      <c r="B723" s="183"/>
      <c r="C723" s="183"/>
      <c r="D723" s="183"/>
      <c r="E723" s="183"/>
      <c r="F723" s="183"/>
      <c r="G723" s="183"/>
      <c r="H723" s="183"/>
      <c r="I723" s="183"/>
      <c r="J723" s="183"/>
      <c r="K723" s="183"/>
      <c r="L723" s="183"/>
      <c r="M723" s="183"/>
      <c r="N723" s="183"/>
      <c r="O723" s="183"/>
      <c r="P723" s="183"/>
      <c r="Q723" s="183"/>
      <c r="R723" s="183"/>
      <c r="S723" s="183"/>
      <c r="T723" s="152"/>
      <c r="U723" s="155"/>
      <c r="V723" s="152"/>
      <c r="W723" s="152"/>
      <c r="X723" s="152"/>
      <c r="Y723" s="152"/>
      <c r="Z723" s="152"/>
      <c r="AA723" s="152"/>
      <c r="AB723" s="152"/>
      <c r="AC723" s="152"/>
      <c r="AD723" s="152"/>
      <c r="AE723" s="152"/>
      <c r="AF723" s="152"/>
      <c r="AG723" s="144"/>
      <c r="AH723" s="144"/>
      <c r="AI723" s="144"/>
      <c r="AJ723" s="144"/>
      <c r="AK723" s="144"/>
    </row>
    <row r="724" ht="22.5" customHeight="1">
      <c r="A724" s="184"/>
      <c r="B724" s="184"/>
      <c r="C724" s="184"/>
      <c r="D724" s="184"/>
      <c r="E724" s="184"/>
      <c r="F724" s="184"/>
      <c r="G724" s="184"/>
      <c r="H724" s="184"/>
      <c r="I724" s="184"/>
      <c r="J724" s="184"/>
      <c r="K724" s="184"/>
      <c r="L724" s="184"/>
      <c r="M724" s="184"/>
      <c r="N724" s="184"/>
      <c r="O724" s="184"/>
      <c r="P724" s="184"/>
      <c r="Q724" s="184"/>
      <c r="R724" s="184"/>
      <c r="S724" s="184"/>
      <c r="T724" s="145"/>
      <c r="U724" s="151"/>
      <c r="V724" s="145"/>
      <c r="W724" s="145"/>
      <c r="X724" s="145"/>
      <c r="Y724" s="145"/>
      <c r="Z724" s="145"/>
      <c r="AA724" s="145"/>
      <c r="AB724" s="145"/>
      <c r="AC724" s="145"/>
      <c r="AD724" s="145"/>
      <c r="AE724" s="145"/>
      <c r="AF724" s="145"/>
      <c r="AG724" s="144"/>
      <c r="AH724" s="144"/>
      <c r="AI724" s="144"/>
      <c r="AJ724" s="144"/>
      <c r="AK724" s="144"/>
    </row>
    <row r="725" ht="22.5" customHeight="1">
      <c r="A725" s="183"/>
      <c r="B725" s="183"/>
      <c r="C725" s="183"/>
      <c r="D725" s="183"/>
      <c r="E725" s="183"/>
      <c r="F725" s="183"/>
      <c r="G725" s="183"/>
      <c r="H725" s="183"/>
      <c r="I725" s="183"/>
      <c r="J725" s="183"/>
      <c r="K725" s="183"/>
      <c r="L725" s="183"/>
      <c r="M725" s="183"/>
      <c r="N725" s="183"/>
      <c r="O725" s="183"/>
      <c r="P725" s="183"/>
      <c r="Q725" s="183"/>
      <c r="R725" s="183"/>
      <c r="S725" s="183"/>
      <c r="T725" s="152"/>
      <c r="U725" s="155"/>
      <c r="V725" s="152"/>
      <c r="W725" s="152"/>
      <c r="X725" s="152"/>
      <c r="Y725" s="152"/>
      <c r="Z725" s="152"/>
      <c r="AA725" s="152"/>
      <c r="AB725" s="152"/>
      <c r="AC725" s="152"/>
      <c r="AD725" s="152"/>
      <c r="AE725" s="152"/>
      <c r="AF725" s="152"/>
      <c r="AG725" s="144"/>
      <c r="AH725" s="144"/>
      <c r="AI725" s="144"/>
      <c r="AJ725" s="144"/>
      <c r="AK725" s="144"/>
    </row>
    <row r="726" ht="22.5" customHeight="1">
      <c r="A726" s="184"/>
      <c r="B726" s="184"/>
      <c r="C726" s="184"/>
      <c r="D726" s="184"/>
      <c r="E726" s="184"/>
      <c r="F726" s="184"/>
      <c r="G726" s="184"/>
      <c r="H726" s="184"/>
      <c r="I726" s="184"/>
      <c r="J726" s="184"/>
      <c r="K726" s="184"/>
      <c r="L726" s="184"/>
      <c r="M726" s="184"/>
      <c r="N726" s="184"/>
      <c r="O726" s="184"/>
      <c r="P726" s="184"/>
      <c r="Q726" s="184"/>
      <c r="R726" s="184"/>
      <c r="S726" s="184"/>
      <c r="T726" s="145"/>
      <c r="U726" s="151"/>
      <c r="V726" s="145"/>
      <c r="W726" s="145"/>
      <c r="X726" s="145"/>
      <c r="Y726" s="145"/>
      <c r="Z726" s="145"/>
      <c r="AA726" s="145"/>
      <c r="AB726" s="145"/>
      <c r="AC726" s="145"/>
      <c r="AD726" s="145"/>
      <c r="AE726" s="145"/>
      <c r="AF726" s="145"/>
      <c r="AG726" s="144"/>
      <c r="AH726" s="144"/>
      <c r="AI726" s="144"/>
      <c r="AJ726" s="144"/>
      <c r="AK726" s="144"/>
    </row>
    <row r="727" ht="22.5" customHeight="1">
      <c r="A727" s="183"/>
      <c r="B727" s="183"/>
      <c r="C727" s="183"/>
      <c r="D727" s="183"/>
      <c r="E727" s="183"/>
      <c r="F727" s="183"/>
      <c r="G727" s="183"/>
      <c r="H727" s="183"/>
      <c r="I727" s="183"/>
      <c r="J727" s="183"/>
      <c r="K727" s="183"/>
      <c r="L727" s="183"/>
      <c r="M727" s="183"/>
      <c r="N727" s="183"/>
      <c r="O727" s="183"/>
      <c r="P727" s="183"/>
      <c r="Q727" s="183"/>
      <c r="R727" s="183"/>
      <c r="S727" s="183"/>
      <c r="T727" s="152"/>
      <c r="U727" s="155"/>
      <c r="V727" s="152"/>
      <c r="W727" s="152"/>
      <c r="X727" s="152"/>
      <c r="Y727" s="152"/>
      <c r="Z727" s="152"/>
      <c r="AA727" s="152"/>
      <c r="AB727" s="152"/>
      <c r="AC727" s="152"/>
      <c r="AD727" s="152"/>
      <c r="AE727" s="152"/>
      <c r="AF727" s="152"/>
      <c r="AG727" s="144"/>
      <c r="AH727" s="144"/>
      <c r="AI727" s="144"/>
      <c r="AJ727" s="144"/>
      <c r="AK727" s="144"/>
    </row>
    <row r="728" ht="22.5" customHeight="1">
      <c r="A728" s="184"/>
      <c r="B728" s="184"/>
      <c r="C728" s="184"/>
      <c r="D728" s="184"/>
      <c r="E728" s="184"/>
      <c r="F728" s="184"/>
      <c r="G728" s="184"/>
      <c r="H728" s="184"/>
      <c r="I728" s="184"/>
      <c r="J728" s="184"/>
      <c r="K728" s="184"/>
      <c r="L728" s="184"/>
      <c r="M728" s="184"/>
      <c r="N728" s="184"/>
      <c r="O728" s="184"/>
      <c r="P728" s="184"/>
      <c r="Q728" s="184"/>
      <c r="R728" s="184"/>
      <c r="S728" s="184"/>
      <c r="T728" s="145"/>
      <c r="U728" s="151"/>
      <c r="V728" s="145"/>
      <c r="W728" s="145"/>
      <c r="X728" s="145"/>
      <c r="Y728" s="145"/>
      <c r="Z728" s="145"/>
      <c r="AA728" s="145"/>
      <c r="AB728" s="145"/>
      <c r="AC728" s="145"/>
      <c r="AD728" s="145"/>
      <c r="AE728" s="145"/>
      <c r="AF728" s="145"/>
      <c r="AG728" s="144"/>
      <c r="AH728" s="144"/>
      <c r="AI728" s="144"/>
      <c r="AJ728" s="144"/>
      <c r="AK728" s="144"/>
    </row>
    <row r="729" ht="22.5" customHeight="1">
      <c r="A729" s="183"/>
      <c r="B729" s="183"/>
      <c r="C729" s="183"/>
      <c r="D729" s="183"/>
      <c r="E729" s="183"/>
      <c r="F729" s="183"/>
      <c r="G729" s="183"/>
      <c r="H729" s="183"/>
      <c r="I729" s="183"/>
      <c r="J729" s="183"/>
      <c r="K729" s="183"/>
      <c r="L729" s="183"/>
      <c r="M729" s="183"/>
      <c r="N729" s="183"/>
      <c r="O729" s="183"/>
      <c r="P729" s="183"/>
      <c r="Q729" s="183"/>
      <c r="R729" s="183"/>
      <c r="S729" s="183"/>
      <c r="T729" s="152"/>
      <c r="U729" s="155"/>
      <c r="V729" s="152"/>
      <c r="W729" s="152"/>
      <c r="X729" s="152"/>
      <c r="Y729" s="152"/>
      <c r="Z729" s="152"/>
      <c r="AA729" s="152"/>
      <c r="AB729" s="152"/>
      <c r="AC729" s="152"/>
      <c r="AD729" s="152"/>
      <c r="AE729" s="152"/>
      <c r="AF729" s="152"/>
      <c r="AG729" s="144"/>
      <c r="AH729" s="144"/>
      <c r="AI729" s="144"/>
      <c r="AJ729" s="144"/>
      <c r="AK729" s="144"/>
    </row>
    <row r="730" ht="22.5" customHeight="1">
      <c r="A730" s="184"/>
      <c r="B730" s="184"/>
      <c r="C730" s="184"/>
      <c r="D730" s="184"/>
      <c r="E730" s="184"/>
      <c r="F730" s="184"/>
      <c r="G730" s="184"/>
      <c r="H730" s="184"/>
      <c r="I730" s="184"/>
      <c r="J730" s="184"/>
      <c r="K730" s="184"/>
      <c r="L730" s="184"/>
      <c r="M730" s="184"/>
      <c r="N730" s="184"/>
      <c r="O730" s="184"/>
      <c r="P730" s="184"/>
      <c r="Q730" s="184"/>
      <c r="R730" s="184"/>
      <c r="S730" s="184"/>
      <c r="T730" s="145"/>
      <c r="U730" s="151"/>
      <c r="V730" s="145"/>
      <c r="W730" s="145"/>
      <c r="X730" s="145"/>
      <c r="Y730" s="145"/>
      <c r="Z730" s="145"/>
      <c r="AA730" s="145"/>
      <c r="AB730" s="145"/>
      <c r="AC730" s="145"/>
      <c r="AD730" s="145"/>
      <c r="AE730" s="145"/>
      <c r="AF730" s="145"/>
      <c r="AG730" s="144"/>
      <c r="AH730" s="144"/>
      <c r="AI730" s="144"/>
      <c r="AJ730" s="144"/>
      <c r="AK730" s="144"/>
    </row>
    <row r="731" ht="22.5" customHeight="1">
      <c r="A731" s="183"/>
      <c r="B731" s="183"/>
      <c r="C731" s="183"/>
      <c r="D731" s="183"/>
      <c r="E731" s="183"/>
      <c r="F731" s="183"/>
      <c r="G731" s="183"/>
      <c r="H731" s="183"/>
      <c r="I731" s="183"/>
      <c r="J731" s="183"/>
      <c r="K731" s="183"/>
      <c r="L731" s="183"/>
      <c r="M731" s="183"/>
      <c r="N731" s="183"/>
      <c r="O731" s="183"/>
      <c r="P731" s="183"/>
      <c r="Q731" s="183"/>
      <c r="R731" s="183"/>
      <c r="S731" s="183"/>
      <c r="T731" s="152"/>
      <c r="U731" s="155"/>
      <c r="V731" s="152"/>
      <c r="W731" s="152"/>
      <c r="X731" s="152"/>
      <c r="Y731" s="152"/>
      <c r="Z731" s="152"/>
      <c r="AA731" s="152"/>
      <c r="AB731" s="152"/>
      <c r="AC731" s="152"/>
      <c r="AD731" s="152"/>
      <c r="AE731" s="152"/>
      <c r="AF731" s="152"/>
      <c r="AG731" s="144"/>
      <c r="AH731" s="144"/>
      <c r="AI731" s="144"/>
      <c r="AJ731" s="144"/>
      <c r="AK731" s="144"/>
    </row>
    <row r="732" ht="22.5" customHeight="1">
      <c r="A732" s="184"/>
      <c r="B732" s="184"/>
      <c r="C732" s="184"/>
      <c r="D732" s="184"/>
      <c r="E732" s="184"/>
      <c r="F732" s="184"/>
      <c r="G732" s="184"/>
      <c r="H732" s="184"/>
      <c r="I732" s="184"/>
      <c r="J732" s="184"/>
      <c r="K732" s="184"/>
      <c r="L732" s="184"/>
      <c r="M732" s="184"/>
      <c r="N732" s="184"/>
      <c r="O732" s="184"/>
      <c r="P732" s="184"/>
      <c r="Q732" s="184"/>
      <c r="R732" s="184"/>
      <c r="S732" s="184"/>
      <c r="T732" s="145"/>
      <c r="U732" s="151"/>
      <c r="V732" s="145"/>
      <c r="W732" s="145"/>
      <c r="X732" s="145"/>
      <c r="Y732" s="145"/>
      <c r="Z732" s="145"/>
      <c r="AA732" s="145"/>
      <c r="AB732" s="145"/>
      <c r="AC732" s="145"/>
      <c r="AD732" s="145"/>
      <c r="AE732" s="145"/>
      <c r="AF732" s="145"/>
      <c r="AG732" s="144"/>
      <c r="AH732" s="144"/>
      <c r="AI732" s="144"/>
      <c r="AJ732" s="144"/>
      <c r="AK732" s="144"/>
    </row>
    <row r="733" ht="22.5" customHeight="1">
      <c r="A733" s="183"/>
      <c r="B733" s="183"/>
      <c r="C733" s="183"/>
      <c r="D733" s="183"/>
      <c r="E733" s="183"/>
      <c r="F733" s="183"/>
      <c r="G733" s="183"/>
      <c r="H733" s="183"/>
      <c r="I733" s="183"/>
      <c r="J733" s="183"/>
      <c r="K733" s="183"/>
      <c r="L733" s="183"/>
      <c r="M733" s="183"/>
      <c r="N733" s="183"/>
      <c r="O733" s="183"/>
      <c r="P733" s="183"/>
      <c r="Q733" s="183"/>
      <c r="R733" s="183"/>
      <c r="S733" s="183"/>
      <c r="T733" s="152"/>
      <c r="U733" s="155"/>
      <c r="V733" s="152"/>
      <c r="W733" s="152"/>
      <c r="X733" s="152"/>
      <c r="Y733" s="152"/>
      <c r="Z733" s="152"/>
      <c r="AA733" s="152"/>
      <c r="AB733" s="152"/>
      <c r="AC733" s="152"/>
      <c r="AD733" s="152"/>
      <c r="AE733" s="152"/>
      <c r="AF733" s="152"/>
      <c r="AG733" s="144"/>
      <c r="AH733" s="144"/>
      <c r="AI733" s="144"/>
      <c r="AJ733" s="144"/>
      <c r="AK733" s="144"/>
    </row>
    <row r="734" ht="22.5" customHeight="1">
      <c r="A734" s="184"/>
      <c r="B734" s="184"/>
      <c r="C734" s="184"/>
      <c r="D734" s="184"/>
      <c r="E734" s="184"/>
      <c r="F734" s="184"/>
      <c r="G734" s="184"/>
      <c r="H734" s="184"/>
      <c r="I734" s="184"/>
      <c r="J734" s="184"/>
      <c r="K734" s="184"/>
      <c r="L734" s="184"/>
      <c r="M734" s="184"/>
      <c r="N734" s="184"/>
      <c r="O734" s="184"/>
      <c r="P734" s="184"/>
      <c r="Q734" s="184"/>
      <c r="R734" s="184"/>
      <c r="S734" s="184"/>
      <c r="T734" s="145"/>
      <c r="U734" s="151"/>
      <c r="V734" s="145"/>
      <c r="W734" s="145"/>
      <c r="X734" s="145"/>
      <c r="Y734" s="145"/>
      <c r="Z734" s="145"/>
      <c r="AA734" s="145"/>
      <c r="AB734" s="145"/>
      <c r="AC734" s="145"/>
      <c r="AD734" s="145"/>
      <c r="AE734" s="145"/>
      <c r="AF734" s="145"/>
      <c r="AG734" s="144"/>
      <c r="AH734" s="144"/>
      <c r="AI734" s="144"/>
      <c r="AJ734" s="144"/>
      <c r="AK734" s="144"/>
    </row>
    <row r="735" ht="22.5" customHeight="1">
      <c r="A735" s="183"/>
      <c r="B735" s="183"/>
      <c r="C735" s="183"/>
      <c r="D735" s="183"/>
      <c r="E735" s="183"/>
      <c r="F735" s="183"/>
      <c r="G735" s="183"/>
      <c r="H735" s="183"/>
      <c r="I735" s="183"/>
      <c r="J735" s="183"/>
      <c r="K735" s="183"/>
      <c r="L735" s="183"/>
      <c r="M735" s="183"/>
      <c r="N735" s="183"/>
      <c r="O735" s="183"/>
      <c r="P735" s="183"/>
      <c r="Q735" s="183"/>
      <c r="R735" s="183"/>
      <c r="S735" s="183"/>
      <c r="T735" s="152"/>
      <c r="U735" s="155"/>
      <c r="V735" s="152"/>
      <c r="W735" s="152"/>
      <c r="X735" s="152"/>
      <c r="Y735" s="152"/>
      <c r="Z735" s="152"/>
      <c r="AA735" s="152"/>
      <c r="AB735" s="152"/>
      <c r="AC735" s="152"/>
      <c r="AD735" s="152"/>
      <c r="AE735" s="152"/>
      <c r="AF735" s="152"/>
      <c r="AG735" s="144"/>
      <c r="AH735" s="144"/>
      <c r="AI735" s="144"/>
      <c r="AJ735" s="144"/>
      <c r="AK735" s="144"/>
    </row>
    <row r="736" ht="22.5" customHeight="1">
      <c r="A736" s="184"/>
      <c r="B736" s="184"/>
      <c r="C736" s="184"/>
      <c r="D736" s="184"/>
      <c r="E736" s="184"/>
      <c r="F736" s="184"/>
      <c r="G736" s="184"/>
      <c r="H736" s="184"/>
      <c r="I736" s="184"/>
      <c r="J736" s="184"/>
      <c r="K736" s="184"/>
      <c r="L736" s="184"/>
      <c r="M736" s="184"/>
      <c r="N736" s="184"/>
      <c r="O736" s="184"/>
      <c r="P736" s="184"/>
      <c r="Q736" s="184"/>
      <c r="R736" s="184"/>
      <c r="S736" s="184"/>
      <c r="T736" s="145"/>
      <c r="U736" s="151"/>
      <c r="V736" s="145"/>
      <c r="W736" s="145"/>
      <c r="X736" s="145"/>
      <c r="Y736" s="145"/>
      <c r="Z736" s="145"/>
      <c r="AA736" s="145"/>
      <c r="AB736" s="145"/>
      <c r="AC736" s="145"/>
      <c r="AD736" s="145"/>
      <c r="AE736" s="145"/>
      <c r="AF736" s="145"/>
      <c r="AG736" s="144"/>
      <c r="AH736" s="144"/>
      <c r="AI736" s="144"/>
      <c r="AJ736" s="144"/>
      <c r="AK736" s="144"/>
    </row>
    <row r="737" ht="22.5" customHeight="1">
      <c r="A737" s="183"/>
      <c r="B737" s="183"/>
      <c r="C737" s="183"/>
      <c r="D737" s="183"/>
      <c r="E737" s="183"/>
      <c r="F737" s="183"/>
      <c r="G737" s="183"/>
      <c r="H737" s="183"/>
      <c r="I737" s="183"/>
      <c r="J737" s="183"/>
      <c r="K737" s="183"/>
      <c r="L737" s="183"/>
      <c r="M737" s="183"/>
      <c r="N737" s="183"/>
      <c r="O737" s="183"/>
      <c r="P737" s="183"/>
      <c r="Q737" s="183"/>
      <c r="R737" s="183"/>
      <c r="S737" s="183"/>
      <c r="T737" s="152"/>
      <c r="U737" s="155"/>
      <c r="V737" s="152"/>
      <c r="W737" s="152"/>
      <c r="X737" s="152"/>
      <c r="Y737" s="152"/>
      <c r="Z737" s="152"/>
      <c r="AA737" s="152"/>
      <c r="AB737" s="152"/>
      <c r="AC737" s="152"/>
      <c r="AD737" s="152"/>
      <c r="AE737" s="152"/>
      <c r="AF737" s="152"/>
      <c r="AG737" s="144"/>
      <c r="AH737" s="144"/>
      <c r="AI737" s="144"/>
      <c r="AJ737" s="144"/>
      <c r="AK737" s="144"/>
    </row>
    <row r="738" ht="22.5" customHeight="1">
      <c r="A738" s="184"/>
      <c r="B738" s="184"/>
      <c r="C738" s="184"/>
      <c r="D738" s="184"/>
      <c r="E738" s="184"/>
      <c r="F738" s="184"/>
      <c r="G738" s="184"/>
      <c r="H738" s="184"/>
      <c r="I738" s="184"/>
      <c r="J738" s="184"/>
      <c r="K738" s="184"/>
      <c r="L738" s="184"/>
      <c r="M738" s="184"/>
      <c r="N738" s="184"/>
      <c r="O738" s="184"/>
      <c r="P738" s="184"/>
      <c r="Q738" s="184"/>
      <c r="R738" s="184"/>
      <c r="S738" s="184"/>
      <c r="T738" s="145"/>
      <c r="U738" s="151"/>
      <c r="V738" s="145"/>
      <c r="W738" s="145"/>
      <c r="X738" s="145"/>
      <c r="Y738" s="145"/>
      <c r="Z738" s="145"/>
      <c r="AA738" s="145"/>
      <c r="AB738" s="145"/>
      <c r="AC738" s="145"/>
      <c r="AD738" s="145"/>
      <c r="AE738" s="145"/>
      <c r="AF738" s="145"/>
      <c r="AG738" s="144"/>
      <c r="AH738" s="144"/>
      <c r="AI738" s="144"/>
      <c r="AJ738" s="144"/>
      <c r="AK738" s="144"/>
    </row>
    <row r="739" ht="22.5" customHeight="1">
      <c r="A739" s="183"/>
      <c r="B739" s="183"/>
      <c r="C739" s="183"/>
      <c r="D739" s="183"/>
      <c r="E739" s="183"/>
      <c r="F739" s="183"/>
      <c r="G739" s="183"/>
      <c r="H739" s="183"/>
      <c r="I739" s="183"/>
      <c r="J739" s="183"/>
      <c r="K739" s="183"/>
      <c r="L739" s="183"/>
      <c r="M739" s="183"/>
      <c r="N739" s="183"/>
      <c r="O739" s="183"/>
      <c r="P739" s="183"/>
      <c r="Q739" s="183"/>
      <c r="R739" s="183"/>
      <c r="S739" s="183"/>
      <c r="T739" s="152"/>
      <c r="U739" s="155"/>
      <c r="V739" s="152"/>
      <c r="W739" s="152"/>
      <c r="X739" s="152"/>
      <c r="Y739" s="152"/>
      <c r="Z739" s="152"/>
      <c r="AA739" s="152"/>
      <c r="AB739" s="152"/>
      <c r="AC739" s="152"/>
      <c r="AD739" s="152"/>
      <c r="AE739" s="152"/>
      <c r="AF739" s="152"/>
      <c r="AG739" s="144"/>
      <c r="AH739" s="144"/>
      <c r="AI739" s="144"/>
      <c r="AJ739" s="144"/>
      <c r="AK739" s="144"/>
    </row>
    <row r="740" ht="22.5" customHeight="1">
      <c r="A740" s="184"/>
      <c r="B740" s="184"/>
      <c r="C740" s="184"/>
      <c r="D740" s="184"/>
      <c r="E740" s="184"/>
      <c r="F740" s="184"/>
      <c r="G740" s="184"/>
      <c r="H740" s="184"/>
      <c r="I740" s="184"/>
      <c r="J740" s="184"/>
      <c r="K740" s="184"/>
      <c r="L740" s="184"/>
      <c r="M740" s="184"/>
      <c r="N740" s="184"/>
      <c r="O740" s="184"/>
      <c r="P740" s="184"/>
      <c r="Q740" s="184"/>
      <c r="R740" s="184"/>
      <c r="S740" s="184"/>
      <c r="T740" s="145"/>
      <c r="U740" s="151"/>
      <c r="V740" s="145"/>
      <c r="W740" s="145"/>
      <c r="X740" s="145"/>
      <c r="Y740" s="145"/>
      <c r="Z740" s="145"/>
      <c r="AA740" s="145"/>
      <c r="AB740" s="145"/>
      <c r="AC740" s="145"/>
      <c r="AD740" s="145"/>
      <c r="AE740" s="145"/>
      <c r="AF740" s="145"/>
      <c r="AG740" s="144"/>
      <c r="AH740" s="144"/>
      <c r="AI740" s="144"/>
      <c r="AJ740" s="144"/>
      <c r="AK740" s="144"/>
    </row>
    <row r="741" ht="22.5" customHeight="1">
      <c r="A741" s="183"/>
      <c r="B741" s="183"/>
      <c r="C741" s="183"/>
      <c r="D741" s="183"/>
      <c r="E741" s="183"/>
      <c r="F741" s="183"/>
      <c r="G741" s="183"/>
      <c r="H741" s="183"/>
      <c r="I741" s="183"/>
      <c r="J741" s="183"/>
      <c r="K741" s="183"/>
      <c r="L741" s="183"/>
      <c r="M741" s="183"/>
      <c r="N741" s="183"/>
      <c r="O741" s="183"/>
      <c r="P741" s="183"/>
      <c r="Q741" s="183"/>
      <c r="R741" s="183"/>
      <c r="S741" s="183"/>
      <c r="T741" s="152"/>
      <c r="U741" s="155"/>
      <c r="V741" s="152"/>
      <c r="W741" s="152"/>
      <c r="X741" s="152"/>
      <c r="Y741" s="152"/>
      <c r="Z741" s="152"/>
      <c r="AA741" s="152"/>
      <c r="AB741" s="152"/>
      <c r="AC741" s="152"/>
      <c r="AD741" s="152"/>
      <c r="AE741" s="152"/>
      <c r="AF741" s="152"/>
      <c r="AG741" s="144"/>
      <c r="AH741" s="144"/>
      <c r="AI741" s="144"/>
      <c r="AJ741" s="144"/>
      <c r="AK741" s="144"/>
    </row>
    <row r="742" ht="22.5" customHeight="1">
      <c r="A742" s="184"/>
      <c r="B742" s="184"/>
      <c r="C742" s="184"/>
      <c r="D742" s="184"/>
      <c r="E742" s="184"/>
      <c r="F742" s="184"/>
      <c r="G742" s="184"/>
      <c r="H742" s="184"/>
      <c r="I742" s="184"/>
      <c r="J742" s="184"/>
      <c r="K742" s="184"/>
      <c r="L742" s="184"/>
      <c r="M742" s="184"/>
      <c r="N742" s="184"/>
      <c r="O742" s="184"/>
      <c r="P742" s="184"/>
      <c r="Q742" s="184"/>
      <c r="R742" s="184"/>
      <c r="S742" s="184"/>
      <c r="T742" s="145"/>
      <c r="U742" s="151"/>
      <c r="V742" s="145"/>
      <c r="W742" s="145"/>
      <c r="X742" s="145"/>
      <c r="Y742" s="145"/>
      <c r="Z742" s="145"/>
      <c r="AA742" s="145"/>
      <c r="AB742" s="145"/>
      <c r="AC742" s="145"/>
      <c r="AD742" s="145"/>
      <c r="AE742" s="145"/>
      <c r="AF742" s="145"/>
      <c r="AG742" s="144"/>
      <c r="AH742" s="144"/>
      <c r="AI742" s="144"/>
      <c r="AJ742" s="144"/>
      <c r="AK742" s="144"/>
    </row>
    <row r="743" ht="22.5" customHeight="1">
      <c r="A743" s="183"/>
      <c r="B743" s="183"/>
      <c r="C743" s="183"/>
      <c r="D743" s="183"/>
      <c r="E743" s="183"/>
      <c r="F743" s="183"/>
      <c r="G743" s="183"/>
      <c r="H743" s="183"/>
      <c r="I743" s="183"/>
      <c r="J743" s="183"/>
      <c r="K743" s="183"/>
      <c r="L743" s="183"/>
      <c r="M743" s="183"/>
      <c r="N743" s="183"/>
      <c r="O743" s="183"/>
      <c r="P743" s="183"/>
      <c r="Q743" s="183"/>
      <c r="R743" s="183"/>
      <c r="S743" s="183"/>
      <c r="T743" s="152"/>
      <c r="U743" s="155"/>
      <c r="V743" s="152"/>
      <c r="W743" s="152"/>
      <c r="X743" s="152"/>
      <c r="Y743" s="152"/>
      <c r="Z743" s="152"/>
      <c r="AA743" s="152"/>
      <c r="AB743" s="152"/>
      <c r="AC743" s="152"/>
      <c r="AD743" s="152"/>
      <c r="AE743" s="152"/>
      <c r="AF743" s="152"/>
      <c r="AG743" s="144"/>
      <c r="AH743" s="144"/>
      <c r="AI743" s="144"/>
      <c r="AJ743" s="144"/>
      <c r="AK743" s="144"/>
    </row>
    <row r="744" ht="22.5" customHeight="1">
      <c r="A744" s="184"/>
      <c r="B744" s="184"/>
      <c r="C744" s="184"/>
      <c r="D744" s="184"/>
      <c r="E744" s="184"/>
      <c r="F744" s="184"/>
      <c r="G744" s="184"/>
      <c r="H744" s="184"/>
      <c r="I744" s="184"/>
      <c r="J744" s="184"/>
      <c r="K744" s="184"/>
      <c r="L744" s="184"/>
      <c r="M744" s="184"/>
      <c r="N744" s="184"/>
      <c r="O744" s="184"/>
      <c r="P744" s="184"/>
      <c r="Q744" s="184"/>
      <c r="R744" s="184"/>
      <c r="S744" s="184"/>
      <c r="T744" s="145"/>
      <c r="U744" s="151"/>
      <c r="V744" s="145"/>
      <c r="W744" s="145"/>
      <c r="X744" s="145"/>
      <c r="Y744" s="145"/>
      <c r="Z744" s="145"/>
      <c r="AA744" s="145"/>
      <c r="AB744" s="145"/>
      <c r="AC744" s="145"/>
      <c r="AD744" s="145"/>
      <c r="AE744" s="145"/>
      <c r="AF744" s="145"/>
      <c r="AG744" s="144"/>
      <c r="AH744" s="144"/>
      <c r="AI744" s="144"/>
      <c r="AJ744" s="144"/>
      <c r="AK744" s="144"/>
    </row>
    <row r="745" ht="22.5" customHeight="1">
      <c r="A745" s="183"/>
      <c r="B745" s="183"/>
      <c r="C745" s="183"/>
      <c r="D745" s="183"/>
      <c r="E745" s="183"/>
      <c r="F745" s="183"/>
      <c r="G745" s="183"/>
      <c r="H745" s="183"/>
      <c r="I745" s="183"/>
      <c r="J745" s="183"/>
      <c r="K745" s="183"/>
      <c r="L745" s="183"/>
      <c r="M745" s="183"/>
      <c r="N745" s="183"/>
      <c r="O745" s="183"/>
      <c r="P745" s="183"/>
      <c r="Q745" s="183"/>
      <c r="R745" s="183"/>
      <c r="S745" s="183"/>
      <c r="T745" s="152"/>
      <c r="U745" s="155"/>
      <c r="V745" s="152"/>
      <c r="W745" s="152"/>
      <c r="X745" s="152"/>
      <c r="Y745" s="152"/>
      <c r="Z745" s="152"/>
      <c r="AA745" s="152"/>
      <c r="AB745" s="152"/>
      <c r="AC745" s="152"/>
      <c r="AD745" s="152"/>
      <c r="AE745" s="152"/>
      <c r="AF745" s="152"/>
      <c r="AG745" s="144"/>
      <c r="AH745" s="144"/>
      <c r="AI745" s="144"/>
      <c r="AJ745" s="144"/>
      <c r="AK745" s="144"/>
    </row>
    <row r="746" ht="22.5" customHeight="1">
      <c r="A746" s="184"/>
      <c r="B746" s="184"/>
      <c r="C746" s="184"/>
      <c r="D746" s="184"/>
      <c r="E746" s="184"/>
      <c r="F746" s="184"/>
      <c r="G746" s="184"/>
      <c r="H746" s="184"/>
      <c r="I746" s="184"/>
      <c r="J746" s="184"/>
      <c r="K746" s="184"/>
      <c r="L746" s="184"/>
      <c r="M746" s="184"/>
      <c r="N746" s="184"/>
      <c r="O746" s="184"/>
      <c r="P746" s="184"/>
      <c r="Q746" s="184"/>
      <c r="R746" s="184"/>
      <c r="S746" s="184"/>
      <c r="T746" s="145"/>
      <c r="U746" s="151"/>
      <c r="V746" s="145"/>
      <c r="W746" s="145"/>
      <c r="X746" s="145"/>
      <c r="Y746" s="145"/>
      <c r="Z746" s="145"/>
      <c r="AA746" s="145"/>
      <c r="AB746" s="145"/>
      <c r="AC746" s="145"/>
      <c r="AD746" s="145"/>
      <c r="AE746" s="145"/>
      <c r="AF746" s="145"/>
      <c r="AG746" s="144"/>
      <c r="AH746" s="144"/>
      <c r="AI746" s="144"/>
      <c r="AJ746" s="144"/>
      <c r="AK746" s="144"/>
    </row>
    <row r="747" ht="22.5" customHeight="1">
      <c r="A747" s="183"/>
      <c r="B747" s="183"/>
      <c r="C747" s="183"/>
      <c r="D747" s="183"/>
      <c r="E747" s="183"/>
      <c r="F747" s="183"/>
      <c r="G747" s="183"/>
      <c r="H747" s="183"/>
      <c r="I747" s="183"/>
      <c r="J747" s="183"/>
      <c r="K747" s="183"/>
      <c r="L747" s="183"/>
      <c r="M747" s="183"/>
      <c r="N747" s="183"/>
      <c r="O747" s="183"/>
      <c r="P747" s="183"/>
      <c r="Q747" s="183"/>
      <c r="R747" s="183"/>
      <c r="S747" s="183"/>
      <c r="T747" s="152"/>
      <c r="U747" s="155"/>
      <c r="V747" s="152"/>
      <c r="W747" s="152"/>
      <c r="X747" s="152"/>
      <c r="Y747" s="152"/>
      <c r="Z747" s="152"/>
      <c r="AA747" s="152"/>
      <c r="AB747" s="152"/>
      <c r="AC747" s="152"/>
      <c r="AD747" s="152"/>
      <c r="AE747" s="152"/>
      <c r="AF747" s="152"/>
      <c r="AG747" s="144"/>
      <c r="AH747" s="144"/>
      <c r="AI747" s="144"/>
      <c r="AJ747" s="144"/>
      <c r="AK747" s="144"/>
    </row>
    <row r="748" ht="22.5" customHeight="1">
      <c r="A748" s="184"/>
      <c r="B748" s="184"/>
      <c r="C748" s="184"/>
      <c r="D748" s="184"/>
      <c r="E748" s="184"/>
      <c r="F748" s="184"/>
      <c r="G748" s="184"/>
      <c r="H748" s="184"/>
      <c r="I748" s="184"/>
      <c r="J748" s="184"/>
      <c r="K748" s="184"/>
      <c r="L748" s="184"/>
      <c r="M748" s="184"/>
      <c r="N748" s="184"/>
      <c r="O748" s="184"/>
      <c r="P748" s="184"/>
      <c r="Q748" s="184"/>
      <c r="R748" s="184"/>
      <c r="S748" s="184"/>
      <c r="T748" s="145"/>
      <c r="U748" s="151"/>
      <c r="V748" s="145"/>
      <c r="W748" s="145"/>
      <c r="X748" s="145"/>
      <c r="Y748" s="145"/>
      <c r="Z748" s="145"/>
      <c r="AA748" s="145"/>
      <c r="AB748" s="145"/>
      <c r="AC748" s="145"/>
      <c r="AD748" s="145"/>
      <c r="AE748" s="145"/>
      <c r="AF748" s="145"/>
      <c r="AG748" s="144"/>
      <c r="AH748" s="144"/>
      <c r="AI748" s="144"/>
      <c r="AJ748" s="144"/>
      <c r="AK748" s="144"/>
    </row>
    <row r="749" ht="22.5" customHeight="1">
      <c r="A749" s="183"/>
      <c r="B749" s="183"/>
      <c r="C749" s="183"/>
      <c r="D749" s="183"/>
      <c r="E749" s="183"/>
      <c r="F749" s="183"/>
      <c r="G749" s="183"/>
      <c r="H749" s="183"/>
      <c r="I749" s="183"/>
      <c r="J749" s="183"/>
      <c r="K749" s="183"/>
      <c r="L749" s="183"/>
      <c r="M749" s="183"/>
      <c r="N749" s="183"/>
      <c r="O749" s="183"/>
      <c r="P749" s="183"/>
      <c r="Q749" s="183"/>
      <c r="R749" s="183"/>
      <c r="S749" s="183"/>
      <c r="T749" s="152"/>
      <c r="U749" s="155"/>
      <c r="V749" s="152"/>
      <c r="W749" s="152"/>
      <c r="X749" s="152"/>
      <c r="Y749" s="152"/>
      <c r="Z749" s="152"/>
      <c r="AA749" s="152"/>
      <c r="AB749" s="152"/>
      <c r="AC749" s="152"/>
      <c r="AD749" s="152"/>
      <c r="AE749" s="152"/>
      <c r="AF749" s="152"/>
      <c r="AG749" s="144"/>
      <c r="AH749" s="144"/>
      <c r="AI749" s="144"/>
      <c r="AJ749" s="144"/>
      <c r="AK749" s="144"/>
    </row>
    <row r="750" ht="22.5" customHeight="1">
      <c r="A750" s="184"/>
      <c r="B750" s="184"/>
      <c r="C750" s="184"/>
      <c r="D750" s="184"/>
      <c r="E750" s="184"/>
      <c r="F750" s="184"/>
      <c r="G750" s="184"/>
      <c r="H750" s="184"/>
      <c r="I750" s="184"/>
      <c r="J750" s="184"/>
      <c r="K750" s="184"/>
      <c r="L750" s="184"/>
      <c r="M750" s="184"/>
      <c r="N750" s="184"/>
      <c r="O750" s="184"/>
      <c r="P750" s="184"/>
      <c r="Q750" s="184"/>
      <c r="R750" s="184"/>
      <c r="S750" s="184"/>
      <c r="T750" s="145"/>
      <c r="U750" s="151"/>
      <c r="V750" s="145"/>
      <c r="W750" s="145"/>
      <c r="X750" s="145"/>
      <c r="Y750" s="145"/>
      <c r="Z750" s="145"/>
      <c r="AA750" s="145"/>
      <c r="AB750" s="145"/>
      <c r="AC750" s="145"/>
      <c r="AD750" s="145"/>
      <c r="AE750" s="145"/>
      <c r="AF750" s="145"/>
      <c r="AG750" s="144"/>
      <c r="AH750" s="144"/>
      <c r="AI750" s="144"/>
      <c r="AJ750" s="144"/>
      <c r="AK750" s="144"/>
    </row>
    <row r="751" ht="22.5" customHeight="1">
      <c r="A751" s="183"/>
      <c r="B751" s="183"/>
      <c r="C751" s="183"/>
      <c r="D751" s="183"/>
      <c r="E751" s="183"/>
      <c r="F751" s="183"/>
      <c r="G751" s="183"/>
      <c r="H751" s="183"/>
      <c r="I751" s="183"/>
      <c r="J751" s="183"/>
      <c r="K751" s="183"/>
      <c r="L751" s="183"/>
      <c r="M751" s="183"/>
      <c r="N751" s="183"/>
      <c r="O751" s="183"/>
      <c r="P751" s="183"/>
      <c r="Q751" s="183"/>
      <c r="R751" s="183"/>
      <c r="S751" s="183"/>
      <c r="T751" s="152"/>
      <c r="U751" s="155"/>
      <c r="V751" s="152"/>
      <c r="W751" s="152"/>
      <c r="X751" s="152"/>
      <c r="Y751" s="152"/>
      <c r="Z751" s="152"/>
      <c r="AA751" s="152"/>
      <c r="AB751" s="152"/>
      <c r="AC751" s="152"/>
      <c r="AD751" s="152"/>
      <c r="AE751" s="152"/>
      <c r="AF751" s="152"/>
      <c r="AG751" s="144"/>
      <c r="AH751" s="144"/>
      <c r="AI751" s="144"/>
      <c r="AJ751" s="144"/>
      <c r="AK751" s="144"/>
    </row>
    <row r="752" ht="22.5" customHeight="1">
      <c r="A752" s="184"/>
      <c r="B752" s="184"/>
      <c r="C752" s="184"/>
      <c r="D752" s="184"/>
      <c r="E752" s="184"/>
      <c r="F752" s="184"/>
      <c r="G752" s="184"/>
      <c r="H752" s="184"/>
      <c r="I752" s="184"/>
      <c r="J752" s="184"/>
      <c r="K752" s="184"/>
      <c r="L752" s="184"/>
      <c r="M752" s="184"/>
      <c r="N752" s="184"/>
      <c r="O752" s="184"/>
      <c r="P752" s="184"/>
      <c r="Q752" s="184"/>
      <c r="R752" s="184"/>
      <c r="S752" s="184"/>
      <c r="T752" s="145"/>
      <c r="U752" s="151"/>
      <c r="V752" s="145"/>
      <c r="W752" s="145"/>
      <c r="X752" s="145"/>
      <c r="Y752" s="145"/>
      <c r="Z752" s="145"/>
      <c r="AA752" s="145"/>
      <c r="AB752" s="145"/>
      <c r="AC752" s="145"/>
      <c r="AD752" s="145"/>
      <c r="AE752" s="145"/>
      <c r="AF752" s="145"/>
      <c r="AG752" s="144"/>
      <c r="AH752" s="144"/>
      <c r="AI752" s="144"/>
      <c r="AJ752" s="144"/>
      <c r="AK752" s="144"/>
    </row>
    <row r="753" ht="22.5" customHeight="1">
      <c r="A753" s="183"/>
      <c r="B753" s="183"/>
      <c r="C753" s="183"/>
      <c r="D753" s="183"/>
      <c r="E753" s="183"/>
      <c r="F753" s="183"/>
      <c r="G753" s="183"/>
      <c r="H753" s="183"/>
      <c r="I753" s="183"/>
      <c r="J753" s="183"/>
      <c r="K753" s="183"/>
      <c r="L753" s="183"/>
      <c r="M753" s="183"/>
      <c r="N753" s="183"/>
      <c r="O753" s="183"/>
      <c r="P753" s="183"/>
      <c r="Q753" s="183"/>
      <c r="R753" s="183"/>
      <c r="S753" s="183"/>
      <c r="T753" s="152"/>
      <c r="U753" s="155"/>
      <c r="V753" s="152"/>
      <c r="W753" s="152"/>
      <c r="X753" s="152"/>
      <c r="Y753" s="152"/>
      <c r="Z753" s="152"/>
      <c r="AA753" s="152"/>
      <c r="AB753" s="152"/>
      <c r="AC753" s="152"/>
      <c r="AD753" s="152"/>
      <c r="AE753" s="152"/>
      <c r="AF753" s="152"/>
      <c r="AG753" s="144"/>
      <c r="AH753" s="144"/>
      <c r="AI753" s="144"/>
      <c r="AJ753" s="144"/>
      <c r="AK753" s="144"/>
    </row>
    <row r="754" ht="22.5" customHeight="1">
      <c r="A754" s="184"/>
      <c r="B754" s="184"/>
      <c r="C754" s="184"/>
      <c r="D754" s="184"/>
      <c r="E754" s="184"/>
      <c r="F754" s="184"/>
      <c r="G754" s="184"/>
      <c r="H754" s="184"/>
      <c r="I754" s="184"/>
      <c r="J754" s="184"/>
      <c r="K754" s="184"/>
      <c r="L754" s="184"/>
      <c r="M754" s="184"/>
      <c r="N754" s="184"/>
      <c r="O754" s="184"/>
      <c r="P754" s="184"/>
      <c r="Q754" s="184"/>
      <c r="R754" s="184"/>
      <c r="S754" s="184"/>
      <c r="T754" s="145"/>
      <c r="U754" s="151"/>
      <c r="V754" s="145"/>
      <c r="W754" s="145"/>
      <c r="X754" s="145"/>
      <c r="Y754" s="145"/>
      <c r="Z754" s="145"/>
      <c r="AA754" s="145"/>
      <c r="AB754" s="145"/>
      <c r="AC754" s="145"/>
      <c r="AD754" s="145"/>
      <c r="AE754" s="145"/>
      <c r="AF754" s="145"/>
      <c r="AG754" s="144"/>
      <c r="AH754" s="144"/>
      <c r="AI754" s="144"/>
      <c r="AJ754" s="144"/>
      <c r="AK754" s="144"/>
    </row>
    <row r="755" ht="22.5" customHeight="1">
      <c r="A755" s="183"/>
      <c r="B755" s="183"/>
      <c r="C755" s="183"/>
      <c r="D755" s="183"/>
      <c r="E755" s="183"/>
      <c r="F755" s="183"/>
      <c r="G755" s="183"/>
      <c r="H755" s="183"/>
      <c r="I755" s="183"/>
      <c r="J755" s="183"/>
      <c r="K755" s="183"/>
      <c r="L755" s="183"/>
      <c r="M755" s="183"/>
      <c r="N755" s="183"/>
      <c r="O755" s="183"/>
      <c r="P755" s="183"/>
      <c r="Q755" s="183"/>
      <c r="R755" s="183"/>
      <c r="S755" s="183"/>
      <c r="T755" s="152"/>
      <c r="U755" s="155"/>
      <c r="V755" s="152"/>
      <c r="W755" s="152"/>
      <c r="X755" s="152"/>
      <c r="Y755" s="152"/>
      <c r="Z755" s="152"/>
      <c r="AA755" s="152"/>
      <c r="AB755" s="152"/>
      <c r="AC755" s="152"/>
      <c r="AD755" s="152"/>
      <c r="AE755" s="152"/>
      <c r="AF755" s="152"/>
      <c r="AG755" s="144"/>
      <c r="AH755" s="144"/>
      <c r="AI755" s="144"/>
      <c r="AJ755" s="144"/>
      <c r="AK755" s="144"/>
    </row>
    <row r="756" ht="22.5" customHeight="1">
      <c r="A756" s="184"/>
      <c r="B756" s="184"/>
      <c r="C756" s="184"/>
      <c r="D756" s="184"/>
      <c r="E756" s="184"/>
      <c r="F756" s="184"/>
      <c r="G756" s="184"/>
      <c r="H756" s="184"/>
      <c r="I756" s="184"/>
      <c r="J756" s="184"/>
      <c r="K756" s="184"/>
      <c r="L756" s="184"/>
      <c r="M756" s="184"/>
      <c r="N756" s="184"/>
      <c r="O756" s="184"/>
      <c r="P756" s="184"/>
      <c r="Q756" s="184"/>
      <c r="R756" s="184"/>
      <c r="S756" s="184"/>
      <c r="T756" s="145"/>
      <c r="U756" s="151"/>
      <c r="V756" s="145"/>
      <c r="W756" s="145"/>
      <c r="X756" s="145"/>
      <c r="Y756" s="145"/>
      <c r="Z756" s="145"/>
      <c r="AA756" s="145"/>
      <c r="AB756" s="145"/>
      <c r="AC756" s="145"/>
      <c r="AD756" s="145"/>
      <c r="AE756" s="145"/>
      <c r="AF756" s="145"/>
      <c r="AG756" s="144"/>
      <c r="AH756" s="144"/>
      <c r="AI756" s="144"/>
      <c r="AJ756" s="144"/>
      <c r="AK756" s="144"/>
    </row>
    <row r="757" ht="22.5" customHeight="1">
      <c r="A757" s="183"/>
      <c r="B757" s="183"/>
      <c r="C757" s="183"/>
      <c r="D757" s="183"/>
      <c r="E757" s="183"/>
      <c r="F757" s="183"/>
      <c r="G757" s="183"/>
      <c r="H757" s="183"/>
      <c r="I757" s="183"/>
      <c r="J757" s="183"/>
      <c r="K757" s="183"/>
      <c r="L757" s="183"/>
      <c r="M757" s="183"/>
      <c r="N757" s="183"/>
      <c r="O757" s="183"/>
      <c r="P757" s="183"/>
      <c r="Q757" s="183"/>
      <c r="R757" s="183"/>
      <c r="S757" s="183"/>
      <c r="T757" s="152"/>
      <c r="U757" s="155"/>
      <c r="V757" s="152"/>
      <c r="W757" s="152"/>
      <c r="X757" s="152"/>
      <c r="Y757" s="152"/>
      <c r="Z757" s="152"/>
      <c r="AA757" s="152"/>
      <c r="AB757" s="152"/>
      <c r="AC757" s="152"/>
      <c r="AD757" s="152"/>
      <c r="AE757" s="152"/>
      <c r="AF757" s="152"/>
      <c r="AG757" s="144"/>
      <c r="AH757" s="144"/>
      <c r="AI757" s="144"/>
      <c r="AJ757" s="144"/>
      <c r="AK757" s="144"/>
    </row>
    <row r="758" ht="22.5" customHeight="1">
      <c r="A758" s="184"/>
      <c r="B758" s="184"/>
      <c r="C758" s="184"/>
      <c r="D758" s="184"/>
      <c r="E758" s="184"/>
      <c r="F758" s="184"/>
      <c r="G758" s="184"/>
      <c r="H758" s="184"/>
      <c r="I758" s="184"/>
      <c r="J758" s="184"/>
      <c r="K758" s="184"/>
      <c r="L758" s="184"/>
      <c r="M758" s="184"/>
      <c r="N758" s="184"/>
      <c r="O758" s="184"/>
      <c r="P758" s="184"/>
      <c r="Q758" s="184"/>
      <c r="R758" s="184"/>
      <c r="S758" s="184"/>
      <c r="T758" s="145"/>
      <c r="U758" s="151"/>
      <c r="V758" s="145"/>
      <c r="W758" s="145"/>
      <c r="X758" s="145"/>
      <c r="Y758" s="145"/>
      <c r="Z758" s="145"/>
      <c r="AA758" s="145"/>
      <c r="AB758" s="145"/>
      <c r="AC758" s="145"/>
      <c r="AD758" s="145"/>
      <c r="AE758" s="145"/>
      <c r="AF758" s="145"/>
      <c r="AG758" s="144"/>
      <c r="AH758" s="144"/>
      <c r="AI758" s="144"/>
      <c r="AJ758" s="144"/>
      <c r="AK758" s="144"/>
    </row>
    <row r="759" ht="22.5" customHeight="1">
      <c r="A759" s="183"/>
      <c r="B759" s="183"/>
      <c r="C759" s="183"/>
      <c r="D759" s="183"/>
      <c r="E759" s="183"/>
      <c r="F759" s="183"/>
      <c r="G759" s="183"/>
      <c r="H759" s="183"/>
      <c r="I759" s="183"/>
      <c r="J759" s="183"/>
      <c r="K759" s="183"/>
      <c r="L759" s="183"/>
      <c r="M759" s="183"/>
      <c r="N759" s="183"/>
      <c r="O759" s="183"/>
      <c r="P759" s="183"/>
      <c r="Q759" s="183"/>
      <c r="R759" s="183"/>
      <c r="S759" s="183"/>
      <c r="T759" s="152"/>
      <c r="U759" s="155"/>
      <c r="V759" s="152"/>
      <c r="W759" s="152"/>
      <c r="X759" s="152"/>
      <c r="Y759" s="152"/>
      <c r="Z759" s="152"/>
      <c r="AA759" s="152"/>
      <c r="AB759" s="152"/>
      <c r="AC759" s="152"/>
      <c r="AD759" s="152"/>
      <c r="AE759" s="152"/>
      <c r="AF759" s="152"/>
      <c r="AG759" s="144"/>
      <c r="AH759" s="144"/>
      <c r="AI759" s="144"/>
      <c r="AJ759" s="144"/>
      <c r="AK759" s="144"/>
    </row>
    <row r="760" ht="22.5" customHeight="1">
      <c r="A760" s="184"/>
      <c r="B760" s="184"/>
      <c r="C760" s="184"/>
      <c r="D760" s="184"/>
      <c r="E760" s="184"/>
      <c r="F760" s="184"/>
      <c r="G760" s="184"/>
      <c r="H760" s="184"/>
      <c r="I760" s="184"/>
      <c r="J760" s="184"/>
      <c r="K760" s="184"/>
      <c r="L760" s="184"/>
      <c r="M760" s="184"/>
      <c r="N760" s="184"/>
      <c r="O760" s="184"/>
      <c r="P760" s="184"/>
      <c r="Q760" s="184"/>
      <c r="R760" s="184"/>
      <c r="S760" s="184"/>
      <c r="T760" s="145"/>
      <c r="U760" s="151"/>
      <c r="V760" s="145"/>
      <c r="W760" s="145"/>
      <c r="X760" s="145"/>
      <c r="Y760" s="145"/>
      <c r="Z760" s="145"/>
      <c r="AA760" s="145"/>
      <c r="AB760" s="145"/>
      <c r="AC760" s="145"/>
      <c r="AD760" s="145"/>
      <c r="AE760" s="145"/>
      <c r="AF760" s="145"/>
      <c r="AG760" s="144"/>
      <c r="AH760" s="144"/>
      <c r="AI760" s="144"/>
      <c r="AJ760" s="144"/>
      <c r="AK760" s="144"/>
    </row>
    <row r="761" ht="22.5" customHeight="1">
      <c r="A761" s="183"/>
      <c r="B761" s="183"/>
      <c r="C761" s="183"/>
      <c r="D761" s="183"/>
      <c r="E761" s="183"/>
      <c r="F761" s="183"/>
      <c r="G761" s="183"/>
      <c r="H761" s="183"/>
      <c r="I761" s="183"/>
      <c r="J761" s="183"/>
      <c r="K761" s="183"/>
      <c r="L761" s="183"/>
      <c r="M761" s="183"/>
      <c r="N761" s="183"/>
      <c r="O761" s="183"/>
      <c r="P761" s="183"/>
      <c r="Q761" s="183"/>
      <c r="R761" s="183"/>
      <c r="S761" s="183"/>
      <c r="T761" s="152"/>
      <c r="U761" s="155"/>
      <c r="V761" s="152"/>
      <c r="W761" s="152"/>
      <c r="X761" s="152"/>
      <c r="Y761" s="152"/>
      <c r="Z761" s="152"/>
      <c r="AA761" s="152"/>
      <c r="AB761" s="152"/>
      <c r="AC761" s="152"/>
      <c r="AD761" s="152"/>
      <c r="AE761" s="152"/>
      <c r="AF761" s="152"/>
      <c r="AG761" s="144"/>
      <c r="AH761" s="144"/>
      <c r="AI761" s="144"/>
      <c r="AJ761" s="144"/>
      <c r="AK761" s="144"/>
    </row>
    <row r="762" ht="22.5" customHeight="1">
      <c r="A762" s="184"/>
      <c r="B762" s="184"/>
      <c r="C762" s="184"/>
      <c r="D762" s="184"/>
      <c r="E762" s="184"/>
      <c r="F762" s="184"/>
      <c r="G762" s="184"/>
      <c r="H762" s="184"/>
      <c r="I762" s="184"/>
      <c r="J762" s="184"/>
      <c r="K762" s="184"/>
      <c r="L762" s="184"/>
      <c r="M762" s="184"/>
      <c r="N762" s="184"/>
      <c r="O762" s="184"/>
      <c r="P762" s="184"/>
      <c r="Q762" s="184"/>
      <c r="R762" s="184"/>
      <c r="S762" s="184"/>
      <c r="T762" s="145"/>
      <c r="U762" s="151"/>
      <c r="V762" s="145"/>
      <c r="W762" s="145"/>
      <c r="X762" s="145"/>
      <c r="Y762" s="145"/>
      <c r="Z762" s="145"/>
      <c r="AA762" s="145"/>
      <c r="AB762" s="145"/>
      <c r="AC762" s="145"/>
      <c r="AD762" s="145"/>
      <c r="AE762" s="145"/>
      <c r="AF762" s="145"/>
      <c r="AG762" s="144"/>
      <c r="AH762" s="144"/>
      <c r="AI762" s="144"/>
      <c r="AJ762" s="144"/>
      <c r="AK762" s="144"/>
    </row>
    <row r="763" ht="22.5" customHeight="1">
      <c r="A763" s="183"/>
      <c r="B763" s="183"/>
      <c r="C763" s="183"/>
      <c r="D763" s="183"/>
      <c r="E763" s="183"/>
      <c r="F763" s="183"/>
      <c r="G763" s="183"/>
      <c r="H763" s="183"/>
      <c r="I763" s="183"/>
      <c r="J763" s="183"/>
      <c r="K763" s="183"/>
      <c r="L763" s="183"/>
      <c r="M763" s="183"/>
      <c r="N763" s="183"/>
      <c r="O763" s="183"/>
      <c r="P763" s="183"/>
      <c r="Q763" s="183"/>
      <c r="R763" s="183"/>
      <c r="S763" s="183"/>
      <c r="T763" s="152"/>
      <c r="U763" s="155"/>
      <c r="V763" s="152"/>
      <c r="W763" s="152"/>
      <c r="X763" s="152"/>
      <c r="Y763" s="152"/>
      <c r="Z763" s="152"/>
      <c r="AA763" s="152"/>
      <c r="AB763" s="152"/>
      <c r="AC763" s="152"/>
      <c r="AD763" s="152"/>
      <c r="AE763" s="152"/>
      <c r="AF763" s="152"/>
      <c r="AG763" s="144"/>
      <c r="AH763" s="144"/>
      <c r="AI763" s="144"/>
      <c r="AJ763" s="144"/>
      <c r="AK763" s="144"/>
    </row>
    <row r="764" ht="22.5" customHeight="1">
      <c r="A764" s="184"/>
      <c r="B764" s="184"/>
      <c r="C764" s="184"/>
      <c r="D764" s="184"/>
      <c r="E764" s="184"/>
      <c r="F764" s="184"/>
      <c r="G764" s="184"/>
      <c r="H764" s="184"/>
      <c r="I764" s="184"/>
      <c r="J764" s="184"/>
      <c r="K764" s="184"/>
      <c r="L764" s="184"/>
      <c r="M764" s="184"/>
      <c r="N764" s="184"/>
      <c r="O764" s="184"/>
      <c r="P764" s="184"/>
      <c r="Q764" s="184"/>
      <c r="R764" s="184"/>
      <c r="S764" s="184"/>
      <c r="T764" s="145"/>
      <c r="U764" s="151"/>
      <c r="V764" s="145"/>
      <c r="W764" s="145"/>
      <c r="X764" s="145"/>
      <c r="Y764" s="145"/>
      <c r="Z764" s="145"/>
      <c r="AA764" s="145"/>
      <c r="AB764" s="145"/>
      <c r="AC764" s="145"/>
      <c r="AD764" s="145"/>
      <c r="AE764" s="145"/>
      <c r="AF764" s="145"/>
      <c r="AG764" s="144"/>
      <c r="AH764" s="144"/>
      <c r="AI764" s="144"/>
      <c r="AJ764" s="144"/>
      <c r="AK764" s="144"/>
    </row>
    <row r="765" ht="22.5" customHeight="1">
      <c r="A765" s="183"/>
      <c r="B765" s="183"/>
      <c r="C765" s="183"/>
      <c r="D765" s="183"/>
      <c r="E765" s="183"/>
      <c r="F765" s="183"/>
      <c r="G765" s="183"/>
      <c r="H765" s="183"/>
      <c r="I765" s="183"/>
      <c r="J765" s="183"/>
      <c r="K765" s="183"/>
      <c r="L765" s="183"/>
      <c r="M765" s="183"/>
      <c r="N765" s="183"/>
      <c r="O765" s="183"/>
      <c r="P765" s="183"/>
      <c r="Q765" s="183"/>
      <c r="R765" s="183"/>
      <c r="S765" s="183"/>
      <c r="T765" s="152"/>
      <c r="U765" s="155"/>
      <c r="V765" s="152"/>
      <c r="W765" s="152"/>
      <c r="X765" s="152"/>
      <c r="Y765" s="152"/>
      <c r="Z765" s="152"/>
      <c r="AA765" s="152"/>
      <c r="AB765" s="152"/>
      <c r="AC765" s="152"/>
      <c r="AD765" s="152"/>
      <c r="AE765" s="152"/>
      <c r="AF765" s="152"/>
      <c r="AG765" s="144"/>
      <c r="AH765" s="144"/>
      <c r="AI765" s="144"/>
      <c r="AJ765" s="144"/>
      <c r="AK765" s="144"/>
    </row>
    <row r="766" ht="22.5" customHeight="1">
      <c r="A766" s="184"/>
      <c r="B766" s="184"/>
      <c r="C766" s="184"/>
      <c r="D766" s="184"/>
      <c r="E766" s="184"/>
      <c r="F766" s="184"/>
      <c r="G766" s="184"/>
      <c r="H766" s="184"/>
      <c r="I766" s="184"/>
      <c r="J766" s="184"/>
      <c r="K766" s="184"/>
      <c r="L766" s="184"/>
      <c r="M766" s="184"/>
      <c r="N766" s="184"/>
      <c r="O766" s="184"/>
      <c r="P766" s="184"/>
      <c r="Q766" s="184"/>
      <c r="R766" s="184"/>
      <c r="S766" s="184"/>
      <c r="T766" s="145"/>
      <c r="U766" s="151"/>
      <c r="V766" s="145"/>
      <c r="W766" s="145"/>
      <c r="X766" s="145"/>
      <c r="Y766" s="145"/>
      <c r="Z766" s="145"/>
      <c r="AA766" s="145"/>
      <c r="AB766" s="145"/>
      <c r="AC766" s="145"/>
      <c r="AD766" s="145"/>
      <c r="AE766" s="145"/>
      <c r="AF766" s="145"/>
      <c r="AG766" s="144"/>
      <c r="AH766" s="144"/>
      <c r="AI766" s="144"/>
      <c r="AJ766" s="144"/>
      <c r="AK766" s="144"/>
    </row>
    <row r="767" ht="22.5" customHeight="1">
      <c r="A767" s="183"/>
      <c r="B767" s="183"/>
      <c r="C767" s="183"/>
      <c r="D767" s="183"/>
      <c r="E767" s="183"/>
      <c r="F767" s="183"/>
      <c r="G767" s="183"/>
      <c r="H767" s="183"/>
      <c r="I767" s="183"/>
      <c r="J767" s="183"/>
      <c r="K767" s="183"/>
      <c r="L767" s="183"/>
      <c r="M767" s="183"/>
      <c r="N767" s="183"/>
      <c r="O767" s="183"/>
      <c r="P767" s="183"/>
      <c r="Q767" s="183"/>
      <c r="R767" s="183"/>
      <c r="S767" s="183"/>
      <c r="T767" s="152"/>
      <c r="U767" s="155"/>
      <c r="V767" s="152"/>
      <c r="W767" s="152"/>
      <c r="X767" s="152"/>
      <c r="Y767" s="152"/>
      <c r="Z767" s="152"/>
      <c r="AA767" s="152"/>
      <c r="AB767" s="152"/>
      <c r="AC767" s="152"/>
      <c r="AD767" s="152"/>
      <c r="AE767" s="152"/>
      <c r="AF767" s="152"/>
      <c r="AG767" s="144"/>
      <c r="AH767" s="144"/>
      <c r="AI767" s="144"/>
      <c r="AJ767" s="144"/>
      <c r="AK767" s="144"/>
    </row>
    <row r="768" ht="22.5" customHeight="1">
      <c r="A768" s="184"/>
      <c r="B768" s="184"/>
      <c r="C768" s="184"/>
      <c r="D768" s="184"/>
      <c r="E768" s="184"/>
      <c r="F768" s="184"/>
      <c r="G768" s="184"/>
      <c r="H768" s="184"/>
      <c r="I768" s="184"/>
      <c r="J768" s="184"/>
      <c r="K768" s="184"/>
      <c r="L768" s="184"/>
      <c r="M768" s="184"/>
      <c r="N768" s="184"/>
      <c r="O768" s="184"/>
      <c r="P768" s="184"/>
      <c r="Q768" s="184"/>
      <c r="R768" s="184"/>
      <c r="S768" s="184"/>
      <c r="T768" s="145"/>
      <c r="U768" s="151"/>
      <c r="V768" s="145"/>
      <c r="W768" s="145"/>
      <c r="X768" s="145"/>
      <c r="Y768" s="145"/>
      <c r="Z768" s="145"/>
      <c r="AA768" s="145"/>
      <c r="AB768" s="145"/>
      <c r="AC768" s="145"/>
      <c r="AD768" s="145"/>
      <c r="AE768" s="145"/>
      <c r="AF768" s="145"/>
      <c r="AG768" s="144"/>
      <c r="AH768" s="144"/>
      <c r="AI768" s="144"/>
      <c r="AJ768" s="144"/>
      <c r="AK768" s="144"/>
    </row>
    <row r="769" ht="22.5" customHeight="1">
      <c r="A769" s="183"/>
      <c r="B769" s="183"/>
      <c r="C769" s="183"/>
      <c r="D769" s="183"/>
      <c r="E769" s="183"/>
      <c r="F769" s="183"/>
      <c r="G769" s="183"/>
      <c r="H769" s="183"/>
      <c r="I769" s="183"/>
      <c r="J769" s="183"/>
      <c r="K769" s="183"/>
      <c r="L769" s="183"/>
      <c r="M769" s="183"/>
      <c r="N769" s="183"/>
      <c r="O769" s="183"/>
      <c r="P769" s="183"/>
      <c r="Q769" s="183"/>
      <c r="R769" s="183"/>
      <c r="S769" s="183"/>
      <c r="T769" s="152"/>
      <c r="U769" s="155"/>
      <c r="V769" s="152"/>
      <c r="W769" s="152"/>
      <c r="X769" s="152"/>
      <c r="Y769" s="152"/>
      <c r="Z769" s="152"/>
      <c r="AA769" s="152"/>
      <c r="AB769" s="152"/>
      <c r="AC769" s="152"/>
      <c r="AD769" s="152"/>
      <c r="AE769" s="152"/>
      <c r="AF769" s="152"/>
      <c r="AG769" s="144"/>
      <c r="AH769" s="144"/>
      <c r="AI769" s="144"/>
      <c r="AJ769" s="144"/>
      <c r="AK769" s="144"/>
    </row>
    <row r="770" ht="22.5" customHeight="1">
      <c r="A770" s="184"/>
      <c r="B770" s="184"/>
      <c r="C770" s="184"/>
      <c r="D770" s="184"/>
      <c r="E770" s="184"/>
      <c r="F770" s="184"/>
      <c r="G770" s="184"/>
      <c r="H770" s="184"/>
      <c r="I770" s="184"/>
      <c r="J770" s="184"/>
      <c r="K770" s="184"/>
      <c r="L770" s="184"/>
      <c r="M770" s="184"/>
      <c r="N770" s="184"/>
      <c r="O770" s="184"/>
      <c r="P770" s="184"/>
      <c r="Q770" s="184"/>
      <c r="R770" s="184"/>
      <c r="S770" s="184"/>
      <c r="T770" s="145"/>
      <c r="U770" s="151"/>
      <c r="V770" s="145"/>
      <c r="W770" s="145"/>
      <c r="X770" s="145"/>
      <c r="Y770" s="145"/>
      <c r="Z770" s="145"/>
      <c r="AA770" s="145"/>
      <c r="AB770" s="145"/>
      <c r="AC770" s="145"/>
      <c r="AD770" s="145"/>
      <c r="AE770" s="145"/>
      <c r="AF770" s="145"/>
      <c r="AG770" s="144"/>
      <c r="AH770" s="144"/>
      <c r="AI770" s="144"/>
      <c r="AJ770" s="144"/>
      <c r="AK770" s="144"/>
    </row>
    <row r="771" ht="22.5" customHeight="1">
      <c r="A771" s="183"/>
      <c r="B771" s="183"/>
      <c r="C771" s="183"/>
      <c r="D771" s="183"/>
      <c r="E771" s="183"/>
      <c r="F771" s="183"/>
      <c r="G771" s="183"/>
      <c r="H771" s="183"/>
      <c r="I771" s="183"/>
      <c r="J771" s="183"/>
      <c r="K771" s="183"/>
      <c r="L771" s="183"/>
      <c r="M771" s="183"/>
      <c r="N771" s="183"/>
      <c r="O771" s="183"/>
      <c r="P771" s="183"/>
      <c r="Q771" s="183"/>
      <c r="R771" s="183"/>
      <c r="S771" s="183"/>
      <c r="T771" s="152"/>
      <c r="U771" s="155"/>
      <c r="V771" s="152"/>
      <c r="W771" s="152"/>
      <c r="X771" s="152"/>
      <c r="Y771" s="152"/>
      <c r="Z771" s="152"/>
      <c r="AA771" s="152"/>
      <c r="AB771" s="152"/>
      <c r="AC771" s="152"/>
      <c r="AD771" s="152"/>
      <c r="AE771" s="152"/>
      <c r="AF771" s="152"/>
      <c r="AG771" s="144"/>
      <c r="AH771" s="144"/>
      <c r="AI771" s="144"/>
      <c r="AJ771" s="144"/>
      <c r="AK771" s="144"/>
    </row>
    <row r="772" ht="22.5" customHeight="1">
      <c r="A772" s="184"/>
      <c r="B772" s="184"/>
      <c r="C772" s="184"/>
      <c r="D772" s="184"/>
      <c r="E772" s="184"/>
      <c r="F772" s="184"/>
      <c r="G772" s="184"/>
      <c r="H772" s="184"/>
      <c r="I772" s="184"/>
      <c r="J772" s="184"/>
      <c r="K772" s="184"/>
      <c r="L772" s="184"/>
      <c r="M772" s="184"/>
      <c r="N772" s="184"/>
      <c r="O772" s="184"/>
      <c r="P772" s="184"/>
      <c r="Q772" s="184"/>
      <c r="R772" s="184"/>
      <c r="S772" s="184"/>
      <c r="T772" s="145"/>
      <c r="U772" s="151"/>
      <c r="V772" s="145"/>
      <c r="W772" s="145"/>
      <c r="X772" s="145"/>
      <c r="Y772" s="145"/>
      <c r="Z772" s="145"/>
      <c r="AA772" s="145"/>
      <c r="AB772" s="145"/>
      <c r="AC772" s="145"/>
      <c r="AD772" s="145"/>
      <c r="AE772" s="145"/>
      <c r="AF772" s="145"/>
      <c r="AG772" s="144"/>
      <c r="AH772" s="144"/>
      <c r="AI772" s="144"/>
      <c r="AJ772" s="144"/>
      <c r="AK772" s="144"/>
    </row>
    <row r="773" ht="22.5" customHeight="1">
      <c r="A773" s="183"/>
      <c r="B773" s="183"/>
      <c r="C773" s="183"/>
      <c r="D773" s="183"/>
      <c r="E773" s="183"/>
      <c r="F773" s="183"/>
      <c r="G773" s="183"/>
      <c r="H773" s="183"/>
      <c r="I773" s="183"/>
      <c r="J773" s="183"/>
      <c r="K773" s="183"/>
      <c r="L773" s="183"/>
      <c r="M773" s="183"/>
      <c r="N773" s="183"/>
      <c r="O773" s="183"/>
      <c r="P773" s="183"/>
      <c r="Q773" s="183"/>
      <c r="R773" s="183"/>
      <c r="S773" s="183"/>
      <c r="T773" s="152"/>
      <c r="U773" s="155"/>
      <c r="V773" s="152"/>
      <c r="W773" s="152"/>
      <c r="X773" s="152"/>
      <c r="Y773" s="152"/>
      <c r="Z773" s="152"/>
      <c r="AA773" s="152"/>
      <c r="AB773" s="152"/>
      <c r="AC773" s="152"/>
      <c r="AD773" s="152"/>
      <c r="AE773" s="152"/>
      <c r="AF773" s="152"/>
      <c r="AG773" s="144"/>
      <c r="AH773" s="144"/>
      <c r="AI773" s="144"/>
      <c r="AJ773" s="144"/>
      <c r="AK773" s="144"/>
    </row>
    <row r="774" ht="22.5" customHeight="1">
      <c r="A774" s="184"/>
      <c r="B774" s="184"/>
      <c r="C774" s="184"/>
      <c r="D774" s="184"/>
      <c r="E774" s="184"/>
      <c r="F774" s="184"/>
      <c r="G774" s="184"/>
      <c r="H774" s="184"/>
      <c r="I774" s="184"/>
      <c r="J774" s="184"/>
      <c r="K774" s="184"/>
      <c r="L774" s="184"/>
      <c r="M774" s="184"/>
      <c r="N774" s="184"/>
      <c r="O774" s="184"/>
      <c r="P774" s="184"/>
      <c r="Q774" s="184"/>
      <c r="R774" s="184"/>
      <c r="S774" s="184"/>
      <c r="T774" s="145"/>
      <c r="U774" s="151"/>
      <c r="V774" s="145"/>
      <c r="W774" s="145"/>
      <c r="X774" s="145"/>
      <c r="Y774" s="145"/>
      <c r="Z774" s="145"/>
      <c r="AA774" s="145"/>
      <c r="AB774" s="145"/>
      <c r="AC774" s="145"/>
      <c r="AD774" s="145"/>
      <c r="AE774" s="145"/>
      <c r="AF774" s="145"/>
      <c r="AG774" s="144"/>
      <c r="AH774" s="144"/>
      <c r="AI774" s="144"/>
      <c r="AJ774" s="144"/>
      <c r="AK774" s="144"/>
    </row>
    <row r="775" ht="22.5" customHeight="1">
      <c r="A775" s="183"/>
      <c r="B775" s="183"/>
      <c r="C775" s="183"/>
      <c r="D775" s="183"/>
      <c r="E775" s="183"/>
      <c r="F775" s="183"/>
      <c r="G775" s="183"/>
      <c r="H775" s="183"/>
      <c r="I775" s="183"/>
      <c r="J775" s="183"/>
      <c r="K775" s="183"/>
      <c r="L775" s="183"/>
      <c r="M775" s="183"/>
      <c r="N775" s="183"/>
      <c r="O775" s="183"/>
      <c r="P775" s="183"/>
      <c r="Q775" s="183"/>
      <c r="R775" s="183"/>
      <c r="S775" s="183"/>
      <c r="T775" s="152"/>
      <c r="U775" s="155"/>
      <c r="V775" s="152"/>
      <c r="W775" s="152"/>
      <c r="X775" s="152"/>
      <c r="Y775" s="152"/>
      <c r="Z775" s="152"/>
      <c r="AA775" s="152"/>
      <c r="AB775" s="152"/>
      <c r="AC775" s="152"/>
      <c r="AD775" s="152"/>
      <c r="AE775" s="152"/>
      <c r="AF775" s="152"/>
      <c r="AG775" s="144"/>
      <c r="AH775" s="144"/>
      <c r="AI775" s="144"/>
      <c r="AJ775" s="144"/>
      <c r="AK775" s="144"/>
    </row>
    <row r="776" ht="22.5" customHeight="1">
      <c r="A776" s="184"/>
      <c r="B776" s="184"/>
      <c r="C776" s="184"/>
      <c r="D776" s="184"/>
      <c r="E776" s="184"/>
      <c r="F776" s="184"/>
      <c r="G776" s="184"/>
      <c r="H776" s="184"/>
      <c r="I776" s="184"/>
      <c r="J776" s="184"/>
      <c r="K776" s="184"/>
      <c r="L776" s="184"/>
      <c r="M776" s="184"/>
      <c r="N776" s="184"/>
      <c r="O776" s="184"/>
      <c r="P776" s="184"/>
      <c r="Q776" s="184"/>
      <c r="R776" s="184"/>
      <c r="S776" s="184"/>
      <c r="T776" s="145"/>
      <c r="U776" s="151"/>
      <c r="V776" s="145"/>
      <c r="W776" s="145"/>
      <c r="X776" s="145"/>
      <c r="Y776" s="145"/>
      <c r="Z776" s="145"/>
      <c r="AA776" s="145"/>
      <c r="AB776" s="145"/>
      <c r="AC776" s="145"/>
      <c r="AD776" s="145"/>
      <c r="AE776" s="145"/>
      <c r="AF776" s="145"/>
      <c r="AG776" s="144"/>
      <c r="AH776" s="144"/>
      <c r="AI776" s="144"/>
      <c r="AJ776" s="144"/>
      <c r="AK776" s="144"/>
    </row>
    <row r="777" ht="22.5" customHeight="1">
      <c r="A777" s="183"/>
      <c r="B777" s="183"/>
      <c r="C777" s="183"/>
      <c r="D777" s="183"/>
      <c r="E777" s="183"/>
      <c r="F777" s="183"/>
      <c r="G777" s="183"/>
      <c r="H777" s="183"/>
      <c r="I777" s="183"/>
      <c r="J777" s="183"/>
      <c r="K777" s="183"/>
      <c r="L777" s="183"/>
      <c r="M777" s="183"/>
      <c r="N777" s="183"/>
      <c r="O777" s="183"/>
      <c r="P777" s="183"/>
      <c r="Q777" s="183"/>
      <c r="R777" s="183"/>
      <c r="S777" s="183"/>
      <c r="T777" s="152"/>
      <c r="U777" s="155"/>
      <c r="V777" s="152"/>
      <c r="W777" s="152"/>
      <c r="X777" s="152"/>
      <c r="Y777" s="152"/>
      <c r="Z777" s="152"/>
      <c r="AA777" s="152"/>
      <c r="AB777" s="152"/>
      <c r="AC777" s="152"/>
      <c r="AD777" s="152"/>
      <c r="AE777" s="152"/>
      <c r="AF777" s="152"/>
      <c r="AG777" s="144"/>
      <c r="AH777" s="144"/>
      <c r="AI777" s="144"/>
      <c r="AJ777" s="144"/>
      <c r="AK777" s="144"/>
    </row>
    <row r="778" ht="22.5" customHeight="1">
      <c r="A778" s="184"/>
      <c r="B778" s="184"/>
      <c r="C778" s="184"/>
      <c r="D778" s="184"/>
      <c r="E778" s="184"/>
      <c r="F778" s="184"/>
      <c r="G778" s="184"/>
      <c r="H778" s="184"/>
      <c r="I778" s="184"/>
      <c r="J778" s="184"/>
      <c r="K778" s="184"/>
      <c r="L778" s="184"/>
      <c r="M778" s="184"/>
      <c r="N778" s="184"/>
      <c r="O778" s="184"/>
      <c r="P778" s="184"/>
      <c r="Q778" s="184"/>
      <c r="R778" s="184"/>
      <c r="S778" s="184"/>
      <c r="T778" s="145"/>
      <c r="U778" s="151"/>
      <c r="V778" s="145"/>
      <c r="W778" s="145"/>
      <c r="X778" s="145"/>
      <c r="Y778" s="145"/>
      <c r="Z778" s="145"/>
      <c r="AA778" s="145"/>
      <c r="AB778" s="145"/>
      <c r="AC778" s="145"/>
      <c r="AD778" s="145"/>
      <c r="AE778" s="145"/>
      <c r="AF778" s="145"/>
      <c r="AG778" s="144"/>
      <c r="AH778" s="144"/>
      <c r="AI778" s="144"/>
      <c r="AJ778" s="144"/>
      <c r="AK778" s="144"/>
    </row>
    <row r="779" ht="22.5" customHeight="1">
      <c r="A779" s="183"/>
      <c r="B779" s="183"/>
      <c r="C779" s="183"/>
      <c r="D779" s="183"/>
      <c r="E779" s="183"/>
      <c r="F779" s="183"/>
      <c r="G779" s="183"/>
      <c r="H779" s="183"/>
      <c r="I779" s="183"/>
      <c r="J779" s="183"/>
      <c r="K779" s="183"/>
      <c r="L779" s="183"/>
      <c r="M779" s="183"/>
      <c r="N779" s="183"/>
      <c r="O779" s="183"/>
      <c r="P779" s="183"/>
      <c r="Q779" s="183"/>
      <c r="R779" s="183"/>
      <c r="S779" s="183"/>
      <c r="T779" s="152"/>
      <c r="U779" s="155"/>
      <c r="V779" s="152"/>
      <c r="W779" s="152"/>
      <c r="X779" s="152"/>
      <c r="Y779" s="152"/>
      <c r="Z779" s="152"/>
      <c r="AA779" s="152"/>
      <c r="AB779" s="152"/>
      <c r="AC779" s="152"/>
      <c r="AD779" s="152"/>
      <c r="AE779" s="152"/>
      <c r="AF779" s="152"/>
      <c r="AG779" s="144"/>
      <c r="AH779" s="144"/>
      <c r="AI779" s="144"/>
      <c r="AJ779" s="144"/>
      <c r="AK779" s="144"/>
    </row>
    <row r="780" ht="22.5" customHeight="1">
      <c r="A780" s="184"/>
      <c r="B780" s="184"/>
      <c r="C780" s="184"/>
      <c r="D780" s="184"/>
      <c r="E780" s="184"/>
      <c r="F780" s="184"/>
      <c r="G780" s="184"/>
      <c r="H780" s="184"/>
      <c r="I780" s="184"/>
      <c r="J780" s="184"/>
      <c r="K780" s="184"/>
      <c r="L780" s="184"/>
      <c r="M780" s="184"/>
      <c r="N780" s="184"/>
      <c r="O780" s="184"/>
      <c r="P780" s="184"/>
      <c r="Q780" s="184"/>
      <c r="R780" s="184"/>
      <c r="S780" s="184"/>
      <c r="T780" s="145"/>
      <c r="U780" s="151"/>
      <c r="V780" s="145"/>
      <c r="W780" s="145"/>
      <c r="X780" s="145"/>
      <c r="Y780" s="145"/>
      <c r="Z780" s="145"/>
      <c r="AA780" s="145"/>
      <c r="AB780" s="145"/>
      <c r="AC780" s="145"/>
      <c r="AD780" s="145"/>
      <c r="AE780" s="145"/>
      <c r="AF780" s="145"/>
      <c r="AG780" s="144"/>
      <c r="AH780" s="144"/>
      <c r="AI780" s="144"/>
      <c r="AJ780" s="144"/>
      <c r="AK780" s="144"/>
    </row>
    <row r="781" ht="22.5" customHeight="1">
      <c r="A781" s="183"/>
      <c r="B781" s="183"/>
      <c r="C781" s="183"/>
      <c r="D781" s="183"/>
      <c r="E781" s="183"/>
      <c r="F781" s="183"/>
      <c r="G781" s="183"/>
      <c r="H781" s="183"/>
      <c r="I781" s="183"/>
      <c r="J781" s="183"/>
      <c r="K781" s="183"/>
      <c r="L781" s="183"/>
      <c r="M781" s="183"/>
      <c r="N781" s="183"/>
      <c r="O781" s="183"/>
      <c r="P781" s="183"/>
      <c r="Q781" s="183"/>
      <c r="R781" s="183"/>
      <c r="S781" s="183"/>
      <c r="T781" s="152"/>
      <c r="U781" s="155"/>
      <c r="V781" s="152"/>
      <c r="W781" s="152"/>
      <c r="X781" s="152"/>
      <c r="Y781" s="152"/>
      <c r="Z781" s="152"/>
      <c r="AA781" s="152"/>
      <c r="AB781" s="152"/>
      <c r="AC781" s="152"/>
      <c r="AD781" s="152"/>
      <c r="AE781" s="152"/>
      <c r="AF781" s="152"/>
      <c r="AG781" s="144"/>
      <c r="AH781" s="144"/>
      <c r="AI781" s="144"/>
      <c r="AJ781" s="144"/>
      <c r="AK781" s="144"/>
    </row>
    <row r="782" ht="22.5" customHeight="1">
      <c r="A782" s="184"/>
      <c r="B782" s="184"/>
      <c r="C782" s="184"/>
      <c r="D782" s="184"/>
      <c r="E782" s="184"/>
      <c r="F782" s="184"/>
      <c r="G782" s="184"/>
      <c r="H782" s="184"/>
      <c r="I782" s="184"/>
      <c r="J782" s="184"/>
      <c r="K782" s="184"/>
      <c r="L782" s="184"/>
      <c r="M782" s="184"/>
      <c r="N782" s="184"/>
      <c r="O782" s="184"/>
      <c r="P782" s="184"/>
      <c r="Q782" s="184"/>
      <c r="R782" s="184"/>
      <c r="S782" s="184"/>
      <c r="T782" s="145"/>
      <c r="U782" s="151"/>
      <c r="V782" s="145"/>
      <c r="W782" s="145"/>
      <c r="X782" s="145"/>
      <c r="Y782" s="145"/>
      <c r="Z782" s="145"/>
      <c r="AA782" s="145"/>
      <c r="AB782" s="145"/>
      <c r="AC782" s="145"/>
      <c r="AD782" s="145"/>
      <c r="AE782" s="145"/>
      <c r="AF782" s="145"/>
      <c r="AG782" s="144"/>
      <c r="AH782" s="144"/>
      <c r="AI782" s="144"/>
      <c r="AJ782" s="144"/>
      <c r="AK782" s="144"/>
    </row>
    <row r="783" ht="22.5" customHeight="1">
      <c r="A783" s="183"/>
      <c r="B783" s="183"/>
      <c r="C783" s="183"/>
      <c r="D783" s="183"/>
      <c r="E783" s="183"/>
      <c r="F783" s="183"/>
      <c r="G783" s="183"/>
      <c r="H783" s="183"/>
      <c r="I783" s="183"/>
      <c r="J783" s="183"/>
      <c r="K783" s="183"/>
      <c r="L783" s="183"/>
      <c r="M783" s="183"/>
      <c r="N783" s="183"/>
      <c r="O783" s="183"/>
      <c r="P783" s="183"/>
      <c r="Q783" s="183"/>
      <c r="R783" s="183"/>
      <c r="S783" s="183"/>
      <c r="T783" s="152"/>
      <c r="U783" s="155"/>
      <c r="V783" s="152"/>
      <c r="W783" s="152"/>
      <c r="X783" s="152"/>
      <c r="Y783" s="152"/>
      <c r="Z783" s="152"/>
      <c r="AA783" s="152"/>
      <c r="AB783" s="152"/>
      <c r="AC783" s="152"/>
      <c r="AD783" s="152"/>
      <c r="AE783" s="152"/>
      <c r="AF783" s="152"/>
      <c r="AG783" s="144"/>
      <c r="AH783" s="144"/>
      <c r="AI783" s="144"/>
      <c r="AJ783" s="144"/>
      <c r="AK783" s="144"/>
    </row>
    <row r="784" ht="22.5" customHeight="1">
      <c r="A784" s="184"/>
      <c r="B784" s="184"/>
      <c r="C784" s="184"/>
      <c r="D784" s="184"/>
      <c r="E784" s="184"/>
      <c r="F784" s="184"/>
      <c r="G784" s="184"/>
      <c r="H784" s="184"/>
      <c r="I784" s="184"/>
      <c r="J784" s="184"/>
      <c r="K784" s="184"/>
      <c r="L784" s="184"/>
      <c r="M784" s="184"/>
      <c r="N784" s="184"/>
      <c r="O784" s="184"/>
      <c r="P784" s="184"/>
      <c r="Q784" s="184"/>
      <c r="R784" s="184"/>
      <c r="S784" s="184"/>
      <c r="T784" s="145"/>
      <c r="U784" s="151"/>
      <c r="V784" s="145"/>
      <c r="W784" s="145"/>
      <c r="X784" s="145"/>
      <c r="Y784" s="145"/>
      <c r="Z784" s="145"/>
      <c r="AA784" s="145"/>
      <c r="AB784" s="145"/>
      <c r="AC784" s="145"/>
      <c r="AD784" s="145"/>
      <c r="AE784" s="145"/>
      <c r="AF784" s="145"/>
      <c r="AG784" s="144"/>
      <c r="AH784" s="144"/>
      <c r="AI784" s="144"/>
      <c r="AJ784" s="144"/>
      <c r="AK784" s="144"/>
    </row>
    <row r="785" ht="22.5" customHeight="1">
      <c r="A785" s="183"/>
      <c r="B785" s="183"/>
      <c r="C785" s="183"/>
      <c r="D785" s="183"/>
      <c r="E785" s="183"/>
      <c r="F785" s="183"/>
      <c r="G785" s="183"/>
      <c r="H785" s="183"/>
      <c r="I785" s="183"/>
      <c r="J785" s="183"/>
      <c r="K785" s="183"/>
      <c r="L785" s="183"/>
      <c r="M785" s="183"/>
      <c r="N785" s="183"/>
      <c r="O785" s="183"/>
      <c r="P785" s="183"/>
      <c r="Q785" s="183"/>
      <c r="R785" s="183"/>
      <c r="S785" s="183"/>
      <c r="T785" s="152"/>
      <c r="U785" s="155"/>
      <c r="V785" s="152"/>
      <c r="W785" s="152"/>
      <c r="X785" s="152"/>
      <c r="Y785" s="152"/>
      <c r="Z785" s="152"/>
      <c r="AA785" s="152"/>
      <c r="AB785" s="152"/>
      <c r="AC785" s="152"/>
      <c r="AD785" s="152"/>
      <c r="AE785" s="152"/>
      <c r="AF785" s="152"/>
      <c r="AG785" s="144"/>
      <c r="AH785" s="144"/>
      <c r="AI785" s="144"/>
      <c r="AJ785" s="144"/>
      <c r="AK785" s="144"/>
    </row>
    <row r="786" ht="22.5" customHeight="1">
      <c r="A786" s="184"/>
      <c r="B786" s="184"/>
      <c r="C786" s="184"/>
      <c r="D786" s="184"/>
      <c r="E786" s="184"/>
      <c r="F786" s="184"/>
      <c r="G786" s="184"/>
      <c r="H786" s="184"/>
      <c r="I786" s="184"/>
      <c r="J786" s="184"/>
      <c r="K786" s="184"/>
      <c r="L786" s="184"/>
      <c r="M786" s="184"/>
      <c r="N786" s="184"/>
      <c r="O786" s="184"/>
      <c r="P786" s="184"/>
      <c r="Q786" s="184"/>
      <c r="R786" s="184"/>
      <c r="S786" s="184"/>
      <c r="T786" s="145"/>
      <c r="U786" s="151"/>
      <c r="V786" s="145"/>
      <c r="W786" s="145"/>
      <c r="X786" s="145"/>
      <c r="Y786" s="145"/>
      <c r="Z786" s="145"/>
      <c r="AA786" s="145"/>
      <c r="AB786" s="145"/>
      <c r="AC786" s="145"/>
      <c r="AD786" s="145"/>
      <c r="AE786" s="145"/>
      <c r="AF786" s="145"/>
      <c r="AG786" s="144"/>
      <c r="AH786" s="144"/>
      <c r="AI786" s="144"/>
      <c r="AJ786" s="144"/>
      <c r="AK786" s="144"/>
    </row>
    <row r="787" ht="22.5" customHeight="1">
      <c r="A787" s="183"/>
      <c r="B787" s="183"/>
      <c r="C787" s="183"/>
      <c r="D787" s="183"/>
      <c r="E787" s="183"/>
      <c r="F787" s="183"/>
      <c r="G787" s="183"/>
      <c r="H787" s="183"/>
      <c r="I787" s="183"/>
      <c r="J787" s="183"/>
      <c r="K787" s="183"/>
      <c r="L787" s="183"/>
      <c r="M787" s="183"/>
      <c r="N787" s="183"/>
      <c r="O787" s="183"/>
      <c r="P787" s="183"/>
      <c r="Q787" s="183"/>
      <c r="R787" s="183"/>
      <c r="S787" s="183"/>
      <c r="T787" s="152"/>
      <c r="U787" s="155"/>
      <c r="V787" s="152"/>
      <c r="W787" s="152"/>
      <c r="X787" s="152"/>
      <c r="Y787" s="152"/>
      <c r="Z787" s="152"/>
      <c r="AA787" s="152"/>
      <c r="AB787" s="152"/>
      <c r="AC787" s="152"/>
      <c r="AD787" s="152"/>
      <c r="AE787" s="152"/>
      <c r="AF787" s="152"/>
      <c r="AG787" s="144"/>
      <c r="AH787" s="144"/>
      <c r="AI787" s="144"/>
      <c r="AJ787" s="144"/>
      <c r="AK787" s="144"/>
    </row>
    <row r="788" ht="22.5" customHeight="1">
      <c r="A788" s="184"/>
      <c r="B788" s="184"/>
      <c r="C788" s="184"/>
      <c r="D788" s="184"/>
      <c r="E788" s="184"/>
      <c r="F788" s="184"/>
      <c r="G788" s="184"/>
      <c r="H788" s="184"/>
      <c r="I788" s="184"/>
      <c r="J788" s="184"/>
      <c r="K788" s="184"/>
      <c r="L788" s="184"/>
      <c r="M788" s="184"/>
      <c r="N788" s="184"/>
      <c r="O788" s="184"/>
      <c r="P788" s="184"/>
      <c r="Q788" s="184"/>
      <c r="R788" s="184"/>
      <c r="S788" s="184"/>
      <c r="T788" s="145"/>
      <c r="U788" s="151"/>
      <c r="V788" s="145"/>
      <c r="W788" s="145"/>
      <c r="X788" s="145"/>
      <c r="Y788" s="145"/>
      <c r="Z788" s="145"/>
      <c r="AA788" s="145"/>
      <c r="AB788" s="145"/>
      <c r="AC788" s="145"/>
      <c r="AD788" s="145"/>
      <c r="AE788" s="145"/>
      <c r="AF788" s="145"/>
      <c r="AG788" s="144"/>
      <c r="AH788" s="144"/>
      <c r="AI788" s="144"/>
      <c r="AJ788" s="144"/>
      <c r="AK788" s="144"/>
    </row>
    <row r="789" ht="22.5" customHeight="1">
      <c r="A789" s="183"/>
      <c r="B789" s="183"/>
      <c r="C789" s="183"/>
      <c r="D789" s="183"/>
      <c r="E789" s="183"/>
      <c r="F789" s="183"/>
      <c r="G789" s="183"/>
      <c r="H789" s="183"/>
      <c r="I789" s="183"/>
      <c r="J789" s="183"/>
      <c r="K789" s="183"/>
      <c r="L789" s="183"/>
      <c r="M789" s="183"/>
      <c r="N789" s="183"/>
      <c r="O789" s="183"/>
      <c r="P789" s="183"/>
      <c r="Q789" s="183"/>
      <c r="R789" s="183"/>
      <c r="S789" s="183"/>
      <c r="T789" s="152"/>
      <c r="U789" s="155"/>
      <c r="V789" s="152"/>
      <c r="W789" s="152"/>
      <c r="X789" s="152"/>
      <c r="Y789" s="152"/>
      <c r="Z789" s="152"/>
      <c r="AA789" s="152"/>
      <c r="AB789" s="152"/>
      <c r="AC789" s="152"/>
      <c r="AD789" s="152"/>
      <c r="AE789" s="152"/>
      <c r="AF789" s="152"/>
      <c r="AG789" s="144"/>
      <c r="AH789" s="144"/>
      <c r="AI789" s="144"/>
      <c r="AJ789" s="144"/>
      <c r="AK789" s="144"/>
    </row>
    <row r="790" ht="22.5" customHeight="1">
      <c r="A790" s="184"/>
      <c r="B790" s="184"/>
      <c r="C790" s="184"/>
      <c r="D790" s="184"/>
      <c r="E790" s="184"/>
      <c r="F790" s="184"/>
      <c r="G790" s="184"/>
      <c r="H790" s="184"/>
      <c r="I790" s="184"/>
      <c r="J790" s="184"/>
      <c r="K790" s="184"/>
      <c r="L790" s="184"/>
      <c r="M790" s="184"/>
      <c r="N790" s="184"/>
      <c r="O790" s="184"/>
      <c r="P790" s="184"/>
      <c r="Q790" s="184"/>
      <c r="R790" s="184"/>
      <c r="S790" s="184"/>
      <c r="T790" s="145"/>
      <c r="U790" s="151"/>
      <c r="V790" s="145"/>
      <c r="W790" s="145"/>
      <c r="X790" s="145"/>
      <c r="Y790" s="145"/>
      <c r="Z790" s="145"/>
      <c r="AA790" s="145"/>
      <c r="AB790" s="145"/>
      <c r="AC790" s="145"/>
      <c r="AD790" s="145"/>
      <c r="AE790" s="145"/>
      <c r="AF790" s="145"/>
      <c r="AG790" s="144"/>
      <c r="AH790" s="144"/>
      <c r="AI790" s="144"/>
      <c r="AJ790" s="144"/>
      <c r="AK790" s="144"/>
    </row>
    <row r="791" ht="22.5" customHeight="1">
      <c r="A791" s="183"/>
      <c r="B791" s="183"/>
      <c r="C791" s="183"/>
      <c r="D791" s="183"/>
      <c r="E791" s="183"/>
      <c r="F791" s="183"/>
      <c r="G791" s="183"/>
      <c r="H791" s="183"/>
      <c r="I791" s="183"/>
      <c r="J791" s="183"/>
      <c r="K791" s="183"/>
      <c r="L791" s="183"/>
      <c r="M791" s="183"/>
      <c r="N791" s="183"/>
      <c r="O791" s="183"/>
      <c r="P791" s="183"/>
      <c r="Q791" s="183"/>
      <c r="R791" s="183"/>
      <c r="S791" s="183"/>
      <c r="T791" s="152"/>
      <c r="U791" s="155"/>
      <c r="V791" s="152"/>
      <c r="W791" s="152"/>
      <c r="X791" s="152"/>
      <c r="Y791" s="152"/>
      <c r="Z791" s="152"/>
      <c r="AA791" s="152"/>
      <c r="AB791" s="152"/>
      <c r="AC791" s="152"/>
      <c r="AD791" s="152"/>
      <c r="AE791" s="152"/>
      <c r="AF791" s="152"/>
      <c r="AG791" s="144"/>
      <c r="AH791" s="144"/>
      <c r="AI791" s="144"/>
      <c r="AJ791" s="144"/>
      <c r="AK791" s="144"/>
    </row>
    <row r="792" ht="22.5" customHeight="1">
      <c r="A792" s="184"/>
      <c r="B792" s="184"/>
      <c r="C792" s="184"/>
      <c r="D792" s="184"/>
      <c r="E792" s="184"/>
      <c r="F792" s="184"/>
      <c r="G792" s="184"/>
      <c r="H792" s="184"/>
      <c r="I792" s="184"/>
      <c r="J792" s="184"/>
      <c r="K792" s="184"/>
      <c r="L792" s="184"/>
      <c r="M792" s="184"/>
      <c r="N792" s="184"/>
      <c r="O792" s="184"/>
      <c r="P792" s="184"/>
      <c r="Q792" s="184"/>
      <c r="R792" s="184"/>
      <c r="S792" s="184"/>
      <c r="T792" s="145"/>
      <c r="U792" s="151"/>
      <c r="V792" s="145"/>
      <c r="W792" s="145"/>
      <c r="X792" s="145"/>
      <c r="Y792" s="145"/>
      <c r="Z792" s="145"/>
      <c r="AA792" s="145"/>
      <c r="AB792" s="145"/>
      <c r="AC792" s="145"/>
      <c r="AD792" s="145"/>
      <c r="AE792" s="145"/>
      <c r="AF792" s="145"/>
      <c r="AG792" s="144"/>
      <c r="AH792" s="144"/>
      <c r="AI792" s="144"/>
      <c r="AJ792" s="144"/>
      <c r="AK792" s="144"/>
    </row>
    <row r="793" ht="22.5" customHeight="1">
      <c r="A793" s="183"/>
      <c r="B793" s="183"/>
      <c r="C793" s="183"/>
      <c r="D793" s="183"/>
      <c r="E793" s="183"/>
      <c r="F793" s="183"/>
      <c r="G793" s="183"/>
      <c r="H793" s="183"/>
      <c r="I793" s="183"/>
      <c r="J793" s="183"/>
      <c r="K793" s="183"/>
      <c r="L793" s="183"/>
      <c r="M793" s="183"/>
      <c r="N793" s="183"/>
      <c r="O793" s="183"/>
      <c r="P793" s="183"/>
      <c r="Q793" s="183"/>
      <c r="R793" s="183"/>
      <c r="S793" s="183"/>
      <c r="T793" s="152"/>
      <c r="U793" s="155"/>
      <c r="V793" s="152"/>
      <c r="W793" s="152"/>
      <c r="X793" s="152"/>
      <c r="Y793" s="152"/>
      <c r="Z793" s="152"/>
      <c r="AA793" s="152"/>
      <c r="AB793" s="152"/>
      <c r="AC793" s="152"/>
      <c r="AD793" s="152"/>
      <c r="AE793" s="152"/>
      <c r="AF793" s="152"/>
      <c r="AG793" s="144"/>
      <c r="AH793" s="144"/>
      <c r="AI793" s="144"/>
      <c r="AJ793" s="144"/>
      <c r="AK793" s="144"/>
    </row>
    <row r="794" ht="22.5" customHeight="1">
      <c r="A794" s="184"/>
      <c r="B794" s="184"/>
      <c r="C794" s="184"/>
      <c r="D794" s="184"/>
      <c r="E794" s="184"/>
      <c r="F794" s="184"/>
      <c r="G794" s="184"/>
      <c r="H794" s="184"/>
      <c r="I794" s="184"/>
      <c r="J794" s="184"/>
      <c r="K794" s="184"/>
      <c r="L794" s="184"/>
      <c r="M794" s="184"/>
      <c r="N794" s="184"/>
      <c r="O794" s="184"/>
      <c r="P794" s="184"/>
      <c r="Q794" s="184"/>
      <c r="R794" s="184"/>
      <c r="S794" s="184"/>
      <c r="T794" s="145"/>
      <c r="U794" s="151"/>
      <c r="V794" s="145"/>
      <c r="W794" s="145"/>
      <c r="X794" s="145"/>
      <c r="Y794" s="145"/>
      <c r="Z794" s="145"/>
      <c r="AA794" s="145"/>
      <c r="AB794" s="145"/>
      <c r="AC794" s="145"/>
      <c r="AD794" s="145"/>
      <c r="AE794" s="145"/>
      <c r="AF794" s="145"/>
      <c r="AG794" s="144"/>
      <c r="AH794" s="144"/>
      <c r="AI794" s="144"/>
      <c r="AJ794" s="144"/>
      <c r="AK794" s="144"/>
    </row>
    <row r="795" ht="22.5" customHeight="1">
      <c r="A795" s="183"/>
      <c r="B795" s="183"/>
      <c r="C795" s="183"/>
      <c r="D795" s="183"/>
      <c r="E795" s="183"/>
      <c r="F795" s="183"/>
      <c r="G795" s="183"/>
      <c r="H795" s="183"/>
      <c r="I795" s="183"/>
      <c r="J795" s="183"/>
      <c r="K795" s="183"/>
      <c r="L795" s="183"/>
      <c r="M795" s="183"/>
      <c r="N795" s="183"/>
      <c r="O795" s="183"/>
      <c r="P795" s="183"/>
      <c r="Q795" s="183"/>
      <c r="R795" s="183"/>
      <c r="S795" s="183"/>
      <c r="T795" s="152"/>
      <c r="U795" s="155"/>
      <c r="V795" s="152"/>
      <c r="W795" s="152"/>
      <c r="X795" s="152"/>
      <c r="Y795" s="152"/>
      <c r="Z795" s="152"/>
      <c r="AA795" s="152"/>
      <c r="AB795" s="152"/>
      <c r="AC795" s="152"/>
      <c r="AD795" s="152"/>
      <c r="AE795" s="152"/>
      <c r="AF795" s="152"/>
      <c r="AG795" s="144"/>
      <c r="AH795" s="144"/>
      <c r="AI795" s="144"/>
      <c r="AJ795" s="144"/>
      <c r="AK795" s="144"/>
    </row>
    <row r="796" ht="22.5" customHeight="1">
      <c r="A796" s="184"/>
      <c r="B796" s="184"/>
      <c r="C796" s="184"/>
      <c r="D796" s="184"/>
      <c r="E796" s="184"/>
      <c r="F796" s="184"/>
      <c r="G796" s="184"/>
      <c r="H796" s="184"/>
      <c r="I796" s="184"/>
      <c r="J796" s="184"/>
      <c r="K796" s="184"/>
      <c r="L796" s="184"/>
      <c r="M796" s="184"/>
      <c r="N796" s="184"/>
      <c r="O796" s="184"/>
      <c r="P796" s="184"/>
      <c r="Q796" s="184"/>
      <c r="R796" s="184"/>
      <c r="S796" s="184"/>
      <c r="T796" s="145"/>
      <c r="U796" s="151"/>
      <c r="V796" s="145"/>
      <c r="W796" s="145"/>
      <c r="X796" s="145"/>
      <c r="Y796" s="145"/>
      <c r="Z796" s="145"/>
      <c r="AA796" s="145"/>
      <c r="AB796" s="145"/>
      <c r="AC796" s="145"/>
      <c r="AD796" s="145"/>
      <c r="AE796" s="145"/>
      <c r="AF796" s="145"/>
      <c r="AG796" s="144"/>
      <c r="AH796" s="144"/>
      <c r="AI796" s="144"/>
      <c r="AJ796" s="144"/>
      <c r="AK796" s="144"/>
    </row>
    <row r="797" ht="22.5" customHeight="1">
      <c r="A797" s="183"/>
      <c r="B797" s="183"/>
      <c r="C797" s="183"/>
      <c r="D797" s="183"/>
      <c r="E797" s="183"/>
      <c r="F797" s="183"/>
      <c r="G797" s="183"/>
      <c r="H797" s="183"/>
      <c r="I797" s="183"/>
      <c r="J797" s="183"/>
      <c r="K797" s="183"/>
      <c r="L797" s="183"/>
      <c r="M797" s="183"/>
      <c r="N797" s="183"/>
      <c r="O797" s="183"/>
      <c r="P797" s="183"/>
      <c r="Q797" s="183"/>
      <c r="R797" s="183"/>
      <c r="S797" s="183"/>
      <c r="T797" s="152"/>
      <c r="U797" s="155"/>
      <c r="V797" s="152"/>
      <c r="W797" s="152"/>
      <c r="X797" s="152"/>
      <c r="Y797" s="152"/>
      <c r="Z797" s="152"/>
      <c r="AA797" s="152"/>
      <c r="AB797" s="152"/>
      <c r="AC797" s="152"/>
      <c r="AD797" s="152"/>
      <c r="AE797" s="152"/>
      <c r="AF797" s="152"/>
      <c r="AG797" s="144"/>
      <c r="AH797" s="144"/>
      <c r="AI797" s="144"/>
      <c r="AJ797" s="144"/>
      <c r="AK797" s="144"/>
    </row>
    <row r="798" ht="22.5" customHeight="1">
      <c r="A798" s="184"/>
      <c r="B798" s="184"/>
      <c r="C798" s="184"/>
      <c r="D798" s="184"/>
      <c r="E798" s="184"/>
      <c r="F798" s="184"/>
      <c r="G798" s="184"/>
      <c r="H798" s="184"/>
      <c r="I798" s="184"/>
      <c r="J798" s="184"/>
      <c r="K798" s="184"/>
      <c r="L798" s="184"/>
      <c r="M798" s="184"/>
      <c r="N798" s="184"/>
      <c r="O798" s="184"/>
      <c r="P798" s="184"/>
      <c r="Q798" s="184"/>
      <c r="R798" s="184"/>
      <c r="S798" s="184"/>
      <c r="T798" s="145"/>
      <c r="U798" s="151"/>
      <c r="V798" s="145"/>
      <c r="W798" s="145"/>
      <c r="X798" s="145"/>
      <c r="Y798" s="145"/>
      <c r="Z798" s="145"/>
      <c r="AA798" s="145"/>
      <c r="AB798" s="145"/>
      <c r="AC798" s="145"/>
      <c r="AD798" s="145"/>
      <c r="AE798" s="145"/>
      <c r="AF798" s="145"/>
      <c r="AG798" s="144"/>
      <c r="AH798" s="144"/>
      <c r="AI798" s="144"/>
      <c r="AJ798" s="144"/>
      <c r="AK798" s="144"/>
    </row>
    <row r="799" ht="22.5" customHeight="1">
      <c r="A799" s="183"/>
      <c r="B799" s="183"/>
      <c r="C799" s="183"/>
      <c r="D799" s="183"/>
      <c r="E799" s="183"/>
      <c r="F799" s="183"/>
      <c r="G799" s="183"/>
      <c r="H799" s="183"/>
      <c r="I799" s="183"/>
      <c r="J799" s="183"/>
      <c r="K799" s="183"/>
      <c r="L799" s="183"/>
      <c r="M799" s="183"/>
      <c r="N799" s="183"/>
      <c r="O799" s="183"/>
      <c r="P799" s="183"/>
      <c r="Q799" s="183"/>
      <c r="R799" s="183"/>
      <c r="S799" s="183"/>
      <c r="T799" s="152"/>
      <c r="U799" s="155"/>
      <c r="V799" s="152"/>
      <c r="W799" s="152"/>
      <c r="X799" s="152"/>
      <c r="Y799" s="152"/>
      <c r="Z799" s="152"/>
      <c r="AA799" s="152"/>
      <c r="AB799" s="152"/>
      <c r="AC799" s="152"/>
      <c r="AD799" s="152"/>
      <c r="AE799" s="152"/>
      <c r="AF799" s="152"/>
      <c r="AG799" s="144"/>
      <c r="AH799" s="144"/>
      <c r="AI799" s="144"/>
      <c r="AJ799" s="144"/>
      <c r="AK799" s="144"/>
    </row>
    <row r="800" ht="22.5" customHeight="1">
      <c r="A800" s="184"/>
      <c r="B800" s="184"/>
      <c r="C800" s="184"/>
      <c r="D800" s="184"/>
      <c r="E800" s="184"/>
      <c r="F800" s="184"/>
      <c r="G800" s="184"/>
      <c r="H800" s="184"/>
      <c r="I800" s="184"/>
      <c r="J800" s="184"/>
      <c r="K800" s="184"/>
      <c r="L800" s="184"/>
      <c r="M800" s="184"/>
      <c r="N800" s="184"/>
      <c r="O800" s="184"/>
      <c r="P800" s="184"/>
      <c r="Q800" s="184"/>
      <c r="R800" s="184"/>
      <c r="S800" s="184"/>
      <c r="T800" s="145"/>
      <c r="U800" s="151"/>
      <c r="V800" s="145"/>
      <c r="W800" s="145"/>
      <c r="X800" s="145"/>
      <c r="Y800" s="145"/>
      <c r="Z800" s="145"/>
      <c r="AA800" s="145"/>
      <c r="AB800" s="145"/>
      <c r="AC800" s="145"/>
      <c r="AD800" s="145"/>
      <c r="AE800" s="145"/>
      <c r="AF800" s="145"/>
      <c r="AG800" s="144"/>
      <c r="AH800" s="144"/>
      <c r="AI800" s="144"/>
      <c r="AJ800" s="144"/>
      <c r="AK800" s="144"/>
    </row>
    <row r="801" ht="22.5" customHeight="1">
      <c r="A801" s="183"/>
      <c r="B801" s="183"/>
      <c r="C801" s="183"/>
      <c r="D801" s="183"/>
      <c r="E801" s="183"/>
      <c r="F801" s="183"/>
      <c r="G801" s="183"/>
      <c r="H801" s="183"/>
      <c r="I801" s="183"/>
      <c r="J801" s="183"/>
      <c r="K801" s="183"/>
      <c r="L801" s="183"/>
      <c r="M801" s="183"/>
      <c r="N801" s="183"/>
      <c r="O801" s="183"/>
      <c r="P801" s="183"/>
      <c r="Q801" s="183"/>
      <c r="R801" s="183"/>
      <c r="S801" s="183"/>
      <c r="T801" s="152"/>
      <c r="U801" s="155"/>
      <c r="V801" s="152"/>
      <c r="W801" s="152"/>
      <c r="X801" s="152"/>
      <c r="Y801" s="152"/>
      <c r="Z801" s="152"/>
      <c r="AA801" s="152"/>
      <c r="AB801" s="152"/>
      <c r="AC801" s="152"/>
      <c r="AD801" s="152"/>
      <c r="AE801" s="152"/>
      <c r="AF801" s="152"/>
      <c r="AG801" s="144"/>
      <c r="AH801" s="144"/>
      <c r="AI801" s="144"/>
      <c r="AJ801" s="144"/>
      <c r="AK801" s="144"/>
    </row>
    <row r="802" ht="22.5" customHeight="1">
      <c r="A802" s="184"/>
      <c r="B802" s="184"/>
      <c r="C802" s="184"/>
      <c r="D802" s="184"/>
      <c r="E802" s="184"/>
      <c r="F802" s="184"/>
      <c r="G802" s="184"/>
      <c r="H802" s="184"/>
      <c r="I802" s="184"/>
      <c r="J802" s="184"/>
      <c r="K802" s="184"/>
      <c r="L802" s="184"/>
      <c r="M802" s="184"/>
      <c r="N802" s="184"/>
      <c r="O802" s="184"/>
      <c r="P802" s="184"/>
      <c r="Q802" s="184"/>
      <c r="R802" s="184"/>
      <c r="S802" s="184"/>
      <c r="T802" s="145"/>
      <c r="U802" s="151"/>
      <c r="V802" s="145"/>
      <c r="W802" s="145"/>
      <c r="X802" s="145"/>
      <c r="Y802" s="145"/>
      <c r="Z802" s="145"/>
      <c r="AA802" s="145"/>
      <c r="AB802" s="145"/>
      <c r="AC802" s="145"/>
      <c r="AD802" s="145"/>
      <c r="AE802" s="145"/>
      <c r="AF802" s="145"/>
      <c r="AG802" s="144"/>
      <c r="AH802" s="144"/>
      <c r="AI802" s="144"/>
      <c r="AJ802" s="144"/>
      <c r="AK802" s="144"/>
    </row>
    <row r="803" ht="22.5" customHeight="1">
      <c r="A803" s="183"/>
      <c r="B803" s="183"/>
      <c r="C803" s="183"/>
      <c r="D803" s="183"/>
      <c r="E803" s="183"/>
      <c r="F803" s="183"/>
      <c r="G803" s="183"/>
      <c r="H803" s="183"/>
      <c r="I803" s="183"/>
      <c r="J803" s="183"/>
      <c r="K803" s="183"/>
      <c r="L803" s="183"/>
      <c r="M803" s="183"/>
      <c r="N803" s="183"/>
      <c r="O803" s="183"/>
      <c r="P803" s="183"/>
      <c r="Q803" s="183"/>
      <c r="R803" s="183"/>
      <c r="S803" s="183"/>
      <c r="T803" s="152"/>
      <c r="U803" s="155"/>
      <c r="V803" s="152"/>
      <c r="W803" s="152"/>
      <c r="X803" s="152"/>
      <c r="Y803" s="152"/>
      <c r="Z803" s="152"/>
      <c r="AA803" s="152"/>
      <c r="AB803" s="152"/>
      <c r="AC803" s="152"/>
      <c r="AD803" s="152"/>
      <c r="AE803" s="152"/>
      <c r="AF803" s="152"/>
      <c r="AG803" s="144"/>
      <c r="AH803" s="144"/>
      <c r="AI803" s="144"/>
      <c r="AJ803" s="144"/>
      <c r="AK803" s="144"/>
    </row>
    <row r="804" ht="22.5" customHeight="1">
      <c r="A804" s="184"/>
      <c r="B804" s="184"/>
      <c r="C804" s="184"/>
      <c r="D804" s="184"/>
      <c r="E804" s="184"/>
      <c r="F804" s="184"/>
      <c r="G804" s="184"/>
      <c r="H804" s="184"/>
      <c r="I804" s="184"/>
      <c r="J804" s="184"/>
      <c r="K804" s="184"/>
      <c r="L804" s="184"/>
      <c r="M804" s="184"/>
      <c r="N804" s="184"/>
      <c r="O804" s="184"/>
      <c r="P804" s="184"/>
      <c r="Q804" s="184"/>
      <c r="R804" s="184"/>
      <c r="S804" s="184"/>
      <c r="T804" s="145"/>
      <c r="U804" s="151"/>
      <c r="V804" s="145"/>
      <c r="W804" s="145"/>
      <c r="X804" s="145"/>
      <c r="Y804" s="145"/>
      <c r="Z804" s="145"/>
      <c r="AA804" s="145"/>
      <c r="AB804" s="145"/>
      <c r="AC804" s="145"/>
      <c r="AD804" s="145"/>
      <c r="AE804" s="145"/>
      <c r="AF804" s="145"/>
      <c r="AG804" s="144"/>
      <c r="AH804" s="144"/>
      <c r="AI804" s="144"/>
      <c r="AJ804" s="144"/>
      <c r="AK804" s="144"/>
    </row>
    <row r="805" ht="22.5" customHeight="1">
      <c r="A805" s="183"/>
      <c r="B805" s="183"/>
      <c r="C805" s="183"/>
      <c r="D805" s="183"/>
      <c r="E805" s="183"/>
      <c r="F805" s="183"/>
      <c r="G805" s="183"/>
      <c r="H805" s="183"/>
      <c r="I805" s="183"/>
      <c r="J805" s="183"/>
      <c r="K805" s="183"/>
      <c r="L805" s="183"/>
      <c r="M805" s="183"/>
      <c r="N805" s="183"/>
      <c r="O805" s="183"/>
      <c r="P805" s="183"/>
      <c r="Q805" s="183"/>
      <c r="R805" s="183"/>
      <c r="S805" s="183"/>
      <c r="T805" s="152"/>
      <c r="U805" s="155"/>
      <c r="V805" s="152"/>
      <c r="W805" s="152"/>
      <c r="X805" s="152"/>
      <c r="Y805" s="152"/>
      <c r="Z805" s="152"/>
      <c r="AA805" s="152"/>
      <c r="AB805" s="152"/>
      <c r="AC805" s="152"/>
      <c r="AD805" s="152"/>
      <c r="AE805" s="152"/>
      <c r="AF805" s="152"/>
      <c r="AG805" s="144"/>
      <c r="AH805" s="144"/>
      <c r="AI805" s="144"/>
      <c r="AJ805" s="144"/>
      <c r="AK805" s="144"/>
    </row>
    <row r="806" ht="22.5" customHeight="1">
      <c r="A806" s="184"/>
      <c r="B806" s="184"/>
      <c r="C806" s="184"/>
      <c r="D806" s="184"/>
      <c r="E806" s="184"/>
      <c r="F806" s="184"/>
      <c r="G806" s="184"/>
      <c r="H806" s="184"/>
      <c r="I806" s="184"/>
      <c r="J806" s="184"/>
      <c r="K806" s="184"/>
      <c r="L806" s="184"/>
      <c r="M806" s="184"/>
      <c r="N806" s="184"/>
      <c r="O806" s="184"/>
      <c r="P806" s="184"/>
      <c r="Q806" s="184"/>
      <c r="R806" s="184"/>
      <c r="S806" s="184"/>
      <c r="T806" s="145"/>
      <c r="U806" s="151"/>
      <c r="V806" s="145"/>
      <c r="W806" s="145"/>
      <c r="X806" s="145"/>
      <c r="Y806" s="145"/>
      <c r="Z806" s="145"/>
      <c r="AA806" s="145"/>
      <c r="AB806" s="145"/>
      <c r="AC806" s="145"/>
      <c r="AD806" s="145"/>
      <c r="AE806" s="145"/>
      <c r="AF806" s="145"/>
      <c r="AG806" s="144"/>
      <c r="AH806" s="144"/>
      <c r="AI806" s="144"/>
      <c r="AJ806" s="144"/>
      <c r="AK806" s="144"/>
    </row>
    <row r="807" ht="22.5" customHeight="1">
      <c r="A807" s="183"/>
      <c r="B807" s="183"/>
      <c r="C807" s="183"/>
      <c r="D807" s="183"/>
      <c r="E807" s="183"/>
      <c r="F807" s="183"/>
      <c r="G807" s="183"/>
      <c r="H807" s="183"/>
      <c r="I807" s="183"/>
      <c r="J807" s="183"/>
      <c r="K807" s="183"/>
      <c r="L807" s="183"/>
      <c r="M807" s="183"/>
      <c r="N807" s="183"/>
      <c r="O807" s="183"/>
      <c r="P807" s="183"/>
      <c r="Q807" s="183"/>
      <c r="R807" s="183"/>
      <c r="S807" s="183"/>
      <c r="T807" s="152"/>
      <c r="U807" s="155"/>
      <c r="V807" s="152"/>
      <c r="W807" s="152"/>
      <c r="X807" s="152"/>
      <c r="Y807" s="152"/>
      <c r="Z807" s="152"/>
      <c r="AA807" s="152"/>
      <c r="AB807" s="152"/>
      <c r="AC807" s="152"/>
      <c r="AD807" s="152"/>
      <c r="AE807" s="152"/>
      <c r="AF807" s="152"/>
      <c r="AG807" s="144"/>
      <c r="AH807" s="144"/>
      <c r="AI807" s="144"/>
      <c r="AJ807" s="144"/>
      <c r="AK807" s="144"/>
    </row>
    <row r="808" ht="22.5" customHeight="1">
      <c r="A808" s="184"/>
      <c r="B808" s="184"/>
      <c r="C808" s="184"/>
      <c r="D808" s="184"/>
      <c r="E808" s="184"/>
      <c r="F808" s="184"/>
      <c r="G808" s="184"/>
      <c r="H808" s="184"/>
      <c r="I808" s="184"/>
      <c r="J808" s="184"/>
      <c r="K808" s="184"/>
      <c r="L808" s="184"/>
      <c r="M808" s="184"/>
      <c r="N808" s="184"/>
      <c r="O808" s="184"/>
      <c r="P808" s="184"/>
      <c r="Q808" s="184"/>
      <c r="R808" s="184"/>
      <c r="S808" s="184"/>
      <c r="T808" s="145"/>
      <c r="U808" s="151"/>
      <c r="V808" s="145"/>
      <c r="W808" s="145"/>
      <c r="X808" s="145"/>
      <c r="Y808" s="145"/>
      <c r="Z808" s="145"/>
      <c r="AA808" s="145"/>
      <c r="AB808" s="145"/>
      <c r="AC808" s="145"/>
      <c r="AD808" s="145"/>
      <c r="AE808" s="145"/>
      <c r="AF808" s="145"/>
      <c r="AG808" s="144"/>
      <c r="AH808" s="144"/>
      <c r="AI808" s="144"/>
      <c r="AJ808" s="144"/>
      <c r="AK808" s="144"/>
    </row>
    <row r="809" ht="22.5" customHeight="1">
      <c r="A809" s="183"/>
      <c r="B809" s="183"/>
      <c r="C809" s="183"/>
      <c r="D809" s="183"/>
      <c r="E809" s="183"/>
      <c r="F809" s="183"/>
      <c r="G809" s="183"/>
      <c r="H809" s="183"/>
      <c r="I809" s="183"/>
      <c r="J809" s="183"/>
      <c r="K809" s="183"/>
      <c r="L809" s="183"/>
      <c r="M809" s="183"/>
      <c r="N809" s="183"/>
      <c r="O809" s="183"/>
      <c r="P809" s="183"/>
      <c r="Q809" s="183"/>
      <c r="R809" s="183"/>
      <c r="S809" s="183"/>
      <c r="T809" s="152"/>
      <c r="U809" s="155"/>
      <c r="V809" s="152"/>
      <c r="W809" s="152"/>
      <c r="X809" s="152"/>
      <c r="Y809" s="152"/>
      <c r="Z809" s="152"/>
      <c r="AA809" s="152"/>
      <c r="AB809" s="152"/>
      <c r="AC809" s="152"/>
      <c r="AD809" s="152"/>
      <c r="AE809" s="152"/>
      <c r="AF809" s="152"/>
      <c r="AG809" s="144"/>
      <c r="AH809" s="144"/>
      <c r="AI809" s="144"/>
      <c r="AJ809" s="144"/>
      <c r="AK809" s="144"/>
    </row>
    <row r="810" ht="22.5" customHeight="1">
      <c r="A810" s="184"/>
      <c r="B810" s="184"/>
      <c r="C810" s="184"/>
      <c r="D810" s="184"/>
      <c r="E810" s="184"/>
      <c r="F810" s="184"/>
      <c r="G810" s="184"/>
      <c r="H810" s="184"/>
      <c r="I810" s="184"/>
      <c r="J810" s="184"/>
      <c r="K810" s="184"/>
      <c r="L810" s="184"/>
      <c r="M810" s="184"/>
      <c r="N810" s="184"/>
      <c r="O810" s="184"/>
      <c r="P810" s="184"/>
      <c r="Q810" s="184"/>
      <c r="R810" s="184"/>
      <c r="S810" s="184"/>
      <c r="T810" s="145"/>
      <c r="U810" s="151"/>
      <c r="V810" s="145"/>
      <c r="W810" s="145"/>
      <c r="X810" s="145"/>
      <c r="Y810" s="145"/>
      <c r="Z810" s="145"/>
      <c r="AA810" s="145"/>
      <c r="AB810" s="145"/>
      <c r="AC810" s="145"/>
      <c r="AD810" s="145"/>
      <c r="AE810" s="145"/>
      <c r="AF810" s="145"/>
      <c r="AG810" s="144"/>
      <c r="AH810" s="144"/>
      <c r="AI810" s="144"/>
      <c r="AJ810" s="144"/>
      <c r="AK810" s="144"/>
    </row>
    <row r="811" ht="22.5" customHeight="1">
      <c r="A811" s="183"/>
      <c r="B811" s="183"/>
      <c r="C811" s="183"/>
      <c r="D811" s="183"/>
      <c r="E811" s="183"/>
      <c r="F811" s="183"/>
      <c r="G811" s="183"/>
      <c r="H811" s="183"/>
      <c r="I811" s="183"/>
      <c r="J811" s="183"/>
      <c r="K811" s="183"/>
      <c r="L811" s="183"/>
      <c r="M811" s="183"/>
      <c r="N811" s="183"/>
      <c r="O811" s="183"/>
      <c r="P811" s="183"/>
      <c r="Q811" s="183"/>
      <c r="R811" s="183"/>
      <c r="S811" s="183"/>
      <c r="T811" s="152"/>
      <c r="U811" s="155"/>
      <c r="V811" s="152"/>
      <c r="W811" s="152"/>
      <c r="X811" s="152"/>
      <c r="Y811" s="152"/>
      <c r="Z811" s="152"/>
      <c r="AA811" s="152"/>
      <c r="AB811" s="152"/>
      <c r="AC811" s="152"/>
      <c r="AD811" s="152"/>
      <c r="AE811" s="152"/>
      <c r="AF811" s="152"/>
      <c r="AG811" s="144"/>
      <c r="AH811" s="144"/>
      <c r="AI811" s="144"/>
      <c r="AJ811" s="144"/>
      <c r="AK811" s="144"/>
    </row>
    <row r="812" ht="22.5" customHeight="1">
      <c r="A812" s="184"/>
      <c r="B812" s="184"/>
      <c r="C812" s="184"/>
      <c r="D812" s="184"/>
      <c r="E812" s="184"/>
      <c r="F812" s="184"/>
      <c r="G812" s="184"/>
      <c r="H812" s="184"/>
      <c r="I812" s="184"/>
      <c r="J812" s="184"/>
      <c r="K812" s="184"/>
      <c r="L812" s="184"/>
      <c r="M812" s="184"/>
      <c r="N812" s="184"/>
      <c r="O812" s="184"/>
      <c r="P812" s="184"/>
      <c r="Q812" s="184"/>
      <c r="R812" s="184"/>
      <c r="S812" s="184"/>
      <c r="T812" s="145"/>
      <c r="U812" s="151"/>
      <c r="V812" s="145"/>
      <c r="W812" s="145"/>
      <c r="X812" s="145"/>
      <c r="Y812" s="145"/>
      <c r="Z812" s="145"/>
      <c r="AA812" s="145"/>
      <c r="AB812" s="145"/>
      <c r="AC812" s="145"/>
      <c r="AD812" s="145"/>
      <c r="AE812" s="145"/>
      <c r="AF812" s="145"/>
      <c r="AG812" s="144"/>
      <c r="AH812" s="144"/>
      <c r="AI812" s="144"/>
      <c r="AJ812" s="144"/>
      <c r="AK812" s="144"/>
    </row>
    <row r="813" ht="22.5" customHeight="1">
      <c r="A813" s="183"/>
      <c r="B813" s="183"/>
      <c r="C813" s="183"/>
      <c r="D813" s="183"/>
      <c r="E813" s="183"/>
      <c r="F813" s="183"/>
      <c r="G813" s="183"/>
      <c r="H813" s="183"/>
      <c r="I813" s="183"/>
      <c r="J813" s="183"/>
      <c r="K813" s="183"/>
      <c r="L813" s="183"/>
      <c r="M813" s="183"/>
      <c r="N813" s="183"/>
      <c r="O813" s="183"/>
      <c r="P813" s="183"/>
      <c r="Q813" s="183"/>
      <c r="R813" s="183"/>
      <c r="S813" s="183"/>
      <c r="T813" s="152"/>
      <c r="U813" s="155"/>
      <c r="V813" s="152"/>
      <c r="W813" s="152"/>
      <c r="X813" s="152"/>
      <c r="Y813" s="152"/>
      <c r="Z813" s="152"/>
      <c r="AA813" s="152"/>
      <c r="AB813" s="152"/>
      <c r="AC813" s="152"/>
      <c r="AD813" s="152"/>
      <c r="AE813" s="152"/>
      <c r="AF813" s="152"/>
      <c r="AG813" s="144"/>
      <c r="AH813" s="144"/>
      <c r="AI813" s="144"/>
      <c r="AJ813" s="144"/>
      <c r="AK813" s="144"/>
    </row>
    <row r="814" ht="22.5" customHeight="1">
      <c r="A814" s="184"/>
      <c r="B814" s="184"/>
      <c r="C814" s="184"/>
      <c r="D814" s="184"/>
      <c r="E814" s="184"/>
      <c r="F814" s="184"/>
      <c r="G814" s="184"/>
      <c r="H814" s="184"/>
      <c r="I814" s="184"/>
      <c r="J814" s="184"/>
      <c r="K814" s="184"/>
      <c r="L814" s="184"/>
      <c r="M814" s="184"/>
      <c r="N814" s="184"/>
      <c r="O814" s="184"/>
      <c r="P814" s="184"/>
      <c r="Q814" s="184"/>
      <c r="R814" s="184"/>
      <c r="S814" s="184"/>
      <c r="T814" s="145"/>
      <c r="U814" s="151"/>
      <c r="V814" s="145"/>
      <c r="W814" s="145"/>
      <c r="X814" s="145"/>
      <c r="Y814" s="145"/>
      <c r="Z814" s="145"/>
      <c r="AA814" s="145"/>
      <c r="AB814" s="145"/>
      <c r="AC814" s="145"/>
      <c r="AD814" s="145"/>
      <c r="AE814" s="145"/>
      <c r="AF814" s="145"/>
      <c r="AG814" s="144"/>
      <c r="AH814" s="144"/>
      <c r="AI814" s="144"/>
      <c r="AJ814" s="144"/>
      <c r="AK814" s="144"/>
    </row>
    <row r="815" ht="22.5" customHeight="1">
      <c r="A815" s="183"/>
      <c r="B815" s="183"/>
      <c r="C815" s="183"/>
      <c r="D815" s="183"/>
      <c r="E815" s="183"/>
      <c r="F815" s="183"/>
      <c r="G815" s="183"/>
      <c r="H815" s="183"/>
      <c r="I815" s="183"/>
      <c r="J815" s="183"/>
      <c r="K815" s="183"/>
      <c r="L815" s="183"/>
      <c r="M815" s="183"/>
      <c r="N815" s="183"/>
      <c r="O815" s="183"/>
      <c r="P815" s="183"/>
      <c r="Q815" s="183"/>
      <c r="R815" s="183"/>
      <c r="S815" s="183"/>
      <c r="T815" s="152"/>
      <c r="U815" s="155"/>
      <c r="V815" s="152"/>
      <c r="W815" s="152"/>
      <c r="X815" s="152"/>
      <c r="Y815" s="152"/>
      <c r="Z815" s="152"/>
      <c r="AA815" s="152"/>
      <c r="AB815" s="152"/>
      <c r="AC815" s="152"/>
      <c r="AD815" s="152"/>
      <c r="AE815" s="152"/>
      <c r="AF815" s="152"/>
      <c r="AG815" s="144"/>
      <c r="AH815" s="144"/>
      <c r="AI815" s="144"/>
      <c r="AJ815" s="144"/>
      <c r="AK815" s="144"/>
    </row>
    <row r="816" ht="22.5" customHeight="1">
      <c r="A816" s="184"/>
      <c r="B816" s="184"/>
      <c r="C816" s="184"/>
      <c r="D816" s="184"/>
      <c r="E816" s="184"/>
      <c r="F816" s="184"/>
      <c r="G816" s="184"/>
      <c r="H816" s="184"/>
      <c r="I816" s="184"/>
      <c r="J816" s="184"/>
      <c r="K816" s="184"/>
      <c r="L816" s="184"/>
      <c r="M816" s="184"/>
      <c r="N816" s="184"/>
      <c r="O816" s="184"/>
      <c r="P816" s="184"/>
      <c r="Q816" s="184"/>
      <c r="R816" s="184"/>
      <c r="S816" s="184"/>
      <c r="T816" s="145"/>
      <c r="U816" s="151"/>
      <c r="V816" s="145"/>
      <c r="W816" s="145"/>
      <c r="X816" s="145"/>
      <c r="Y816" s="145"/>
      <c r="Z816" s="145"/>
      <c r="AA816" s="145"/>
      <c r="AB816" s="145"/>
      <c r="AC816" s="145"/>
      <c r="AD816" s="145"/>
      <c r="AE816" s="145"/>
      <c r="AF816" s="145"/>
      <c r="AG816" s="144"/>
      <c r="AH816" s="144"/>
      <c r="AI816" s="144"/>
      <c r="AJ816" s="144"/>
      <c r="AK816" s="144"/>
    </row>
    <row r="817" ht="22.5" customHeight="1">
      <c r="A817" s="183"/>
      <c r="B817" s="183"/>
      <c r="C817" s="183"/>
      <c r="D817" s="183"/>
      <c r="E817" s="183"/>
      <c r="F817" s="183"/>
      <c r="G817" s="183"/>
      <c r="H817" s="183"/>
      <c r="I817" s="183"/>
      <c r="J817" s="183"/>
      <c r="K817" s="183"/>
      <c r="L817" s="183"/>
      <c r="M817" s="183"/>
      <c r="N817" s="183"/>
      <c r="O817" s="183"/>
      <c r="P817" s="183"/>
      <c r="Q817" s="183"/>
      <c r="R817" s="183"/>
      <c r="S817" s="183"/>
      <c r="T817" s="152"/>
      <c r="U817" s="155"/>
      <c r="V817" s="152"/>
      <c r="W817" s="152"/>
      <c r="X817" s="152"/>
      <c r="Y817" s="152"/>
      <c r="Z817" s="152"/>
      <c r="AA817" s="152"/>
      <c r="AB817" s="152"/>
      <c r="AC817" s="152"/>
      <c r="AD817" s="152"/>
      <c r="AE817" s="152"/>
      <c r="AF817" s="152"/>
      <c r="AG817" s="144"/>
      <c r="AH817" s="144"/>
      <c r="AI817" s="144"/>
      <c r="AJ817" s="144"/>
      <c r="AK817" s="144"/>
    </row>
    <row r="818" ht="22.5" customHeight="1">
      <c r="A818" s="184"/>
      <c r="B818" s="184"/>
      <c r="C818" s="184"/>
      <c r="D818" s="184"/>
      <c r="E818" s="184"/>
      <c r="F818" s="184"/>
      <c r="G818" s="184"/>
      <c r="H818" s="184"/>
      <c r="I818" s="184"/>
      <c r="J818" s="184"/>
      <c r="K818" s="184"/>
      <c r="L818" s="184"/>
      <c r="M818" s="184"/>
      <c r="N818" s="184"/>
      <c r="O818" s="184"/>
      <c r="P818" s="184"/>
      <c r="Q818" s="184"/>
      <c r="R818" s="184"/>
      <c r="S818" s="184"/>
      <c r="T818" s="145"/>
      <c r="U818" s="151"/>
      <c r="V818" s="145"/>
      <c r="W818" s="145"/>
      <c r="X818" s="145"/>
      <c r="Y818" s="145"/>
      <c r="Z818" s="145"/>
      <c r="AA818" s="145"/>
      <c r="AB818" s="145"/>
      <c r="AC818" s="145"/>
      <c r="AD818" s="145"/>
      <c r="AE818" s="145"/>
      <c r="AF818" s="145"/>
      <c r="AG818" s="144"/>
      <c r="AH818" s="144"/>
      <c r="AI818" s="144"/>
      <c r="AJ818" s="144"/>
      <c r="AK818" s="144"/>
    </row>
    <row r="819" ht="22.5" customHeight="1">
      <c r="A819" s="183"/>
      <c r="B819" s="183"/>
      <c r="C819" s="183"/>
      <c r="D819" s="183"/>
      <c r="E819" s="183"/>
      <c r="F819" s="183"/>
      <c r="G819" s="183"/>
      <c r="H819" s="183"/>
      <c r="I819" s="183"/>
      <c r="J819" s="183"/>
      <c r="K819" s="183"/>
      <c r="L819" s="183"/>
      <c r="M819" s="183"/>
      <c r="N819" s="183"/>
      <c r="O819" s="183"/>
      <c r="P819" s="183"/>
      <c r="Q819" s="183"/>
      <c r="R819" s="183"/>
      <c r="S819" s="183"/>
      <c r="T819" s="152"/>
      <c r="U819" s="155"/>
      <c r="V819" s="152"/>
      <c r="W819" s="152"/>
      <c r="X819" s="152"/>
      <c r="Y819" s="152"/>
      <c r="Z819" s="152"/>
      <c r="AA819" s="152"/>
      <c r="AB819" s="152"/>
      <c r="AC819" s="152"/>
      <c r="AD819" s="152"/>
      <c r="AE819" s="152"/>
      <c r="AF819" s="152"/>
      <c r="AG819" s="144"/>
      <c r="AH819" s="144"/>
      <c r="AI819" s="144"/>
      <c r="AJ819" s="144"/>
      <c r="AK819" s="144"/>
    </row>
    <row r="820" ht="22.5" customHeight="1">
      <c r="A820" s="184"/>
      <c r="B820" s="184"/>
      <c r="C820" s="184"/>
      <c r="D820" s="184"/>
      <c r="E820" s="184"/>
      <c r="F820" s="184"/>
      <c r="G820" s="184"/>
      <c r="H820" s="184"/>
      <c r="I820" s="184"/>
      <c r="J820" s="184"/>
      <c r="K820" s="184"/>
      <c r="L820" s="184"/>
      <c r="M820" s="184"/>
      <c r="N820" s="184"/>
      <c r="O820" s="184"/>
      <c r="P820" s="184"/>
      <c r="Q820" s="184"/>
      <c r="R820" s="184"/>
      <c r="S820" s="184"/>
      <c r="T820" s="145"/>
      <c r="U820" s="151"/>
      <c r="V820" s="145"/>
      <c r="W820" s="145"/>
      <c r="X820" s="145"/>
      <c r="Y820" s="145"/>
      <c r="Z820" s="145"/>
      <c r="AA820" s="145"/>
      <c r="AB820" s="145"/>
      <c r="AC820" s="145"/>
      <c r="AD820" s="145"/>
      <c r="AE820" s="145"/>
      <c r="AF820" s="145"/>
      <c r="AG820" s="144"/>
      <c r="AH820" s="144"/>
      <c r="AI820" s="144"/>
      <c r="AJ820" s="144"/>
      <c r="AK820" s="144"/>
    </row>
    <row r="821" ht="22.5" customHeight="1">
      <c r="A821" s="183"/>
      <c r="B821" s="183"/>
      <c r="C821" s="183"/>
      <c r="D821" s="183"/>
      <c r="E821" s="183"/>
      <c r="F821" s="183"/>
      <c r="G821" s="183"/>
      <c r="H821" s="183"/>
      <c r="I821" s="183"/>
      <c r="J821" s="183"/>
      <c r="K821" s="183"/>
      <c r="L821" s="183"/>
      <c r="M821" s="183"/>
      <c r="N821" s="183"/>
      <c r="O821" s="183"/>
      <c r="P821" s="183"/>
      <c r="Q821" s="183"/>
      <c r="R821" s="183"/>
      <c r="S821" s="183"/>
      <c r="T821" s="152"/>
      <c r="U821" s="155"/>
      <c r="V821" s="152"/>
      <c r="W821" s="152"/>
      <c r="X821" s="152"/>
      <c r="Y821" s="152"/>
      <c r="Z821" s="152"/>
      <c r="AA821" s="152"/>
      <c r="AB821" s="152"/>
      <c r="AC821" s="152"/>
      <c r="AD821" s="152"/>
      <c r="AE821" s="152"/>
      <c r="AF821" s="152"/>
      <c r="AG821" s="144"/>
      <c r="AH821" s="144"/>
      <c r="AI821" s="144"/>
      <c r="AJ821" s="144"/>
      <c r="AK821" s="144"/>
    </row>
    <row r="822" ht="22.5" customHeight="1">
      <c r="A822" s="184"/>
      <c r="B822" s="184"/>
      <c r="C822" s="184"/>
      <c r="D822" s="184"/>
      <c r="E822" s="184"/>
      <c r="F822" s="184"/>
      <c r="G822" s="184"/>
      <c r="H822" s="184"/>
      <c r="I822" s="184"/>
      <c r="J822" s="184"/>
      <c r="K822" s="184"/>
      <c r="L822" s="184"/>
      <c r="M822" s="184"/>
      <c r="N822" s="184"/>
      <c r="O822" s="184"/>
      <c r="P822" s="184"/>
      <c r="Q822" s="184"/>
      <c r="R822" s="184"/>
      <c r="S822" s="184"/>
      <c r="T822" s="145"/>
      <c r="U822" s="151"/>
      <c r="V822" s="145"/>
      <c r="W822" s="145"/>
      <c r="X822" s="145"/>
      <c r="Y822" s="145"/>
      <c r="Z822" s="145"/>
      <c r="AA822" s="145"/>
      <c r="AB822" s="145"/>
      <c r="AC822" s="145"/>
      <c r="AD822" s="145"/>
      <c r="AE822" s="145"/>
      <c r="AF822" s="145"/>
      <c r="AG822" s="144"/>
      <c r="AH822" s="144"/>
      <c r="AI822" s="144"/>
      <c r="AJ822" s="144"/>
      <c r="AK822" s="144"/>
    </row>
    <row r="823" ht="22.5" customHeight="1">
      <c r="A823" s="183"/>
      <c r="B823" s="183"/>
      <c r="C823" s="183"/>
      <c r="D823" s="183"/>
      <c r="E823" s="183"/>
      <c r="F823" s="183"/>
      <c r="G823" s="183"/>
      <c r="H823" s="183"/>
      <c r="I823" s="183"/>
      <c r="J823" s="183"/>
      <c r="K823" s="183"/>
      <c r="L823" s="183"/>
      <c r="M823" s="183"/>
      <c r="N823" s="183"/>
      <c r="O823" s="183"/>
      <c r="P823" s="183"/>
      <c r="Q823" s="183"/>
      <c r="R823" s="183"/>
      <c r="S823" s="183"/>
      <c r="T823" s="152"/>
      <c r="U823" s="155"/>
      <c r="V823" s="152"/>
      <c r="W823" s="152"/>
      <c r="X823" s="152"/>
      <c r="Y823" s="152"/>
      <c r="Z823" s="152"/>
      <c r="AA823" s="152"/>
      <c r="AB823" s="152"/>
      <c r="AC823" s="152"/>
      <c r="AD823" s="152"/>
      <c r="AE823" s="152"/>
      <c r="AF823" s="152"/>
      <c r="AG823" s="144"/>
      <c r="AH823" s="144"/>
      <c r="AI823" s="144"/>
      <c r="AJ823" s="144"/>
      <c r="AK823" s="144"/>
    </row>
    <row r="824" ht="22.5" customHeight="1">
      <c r="A824" s="184"/>
      <c r="B824" s="184"/>
      <c r="C824" s="184"/>
      <c r="D824" s="184"/>
      <c r="E824" s="184"/>
      <c r="F824" s="184"/>
      <c r="G824" s="184"/>
      <c r="H824" s="184"/>
      <c r="I824" s="184"/>
      <c r="J824" s="184"/>
      <c r="K824" s="184"/>
      <c r="L824" s="184"/>
      <c r="M824" s="184"/>
      <c r="N824" s="184"/>
      <c r="O824" s="184"/>
      <c r="P824" s="184"/>
      <c r="Q824" s="184"/>
      <c r="R824" s="184"/>
      <c r="S824" s="184"/>
      <c r="T824" s="145"/>
      <c r="U824" s="151"/>
      <c r="V824" s="145"/>
      <c r="W824" s="145"/>
      <c r="X824" s="145"/>
      <c r="Y824" s="145"/>
      <c r="Z824" s="145"/>
      <c r="AA824" s="145"/>
      <c r="AB824" s="145"/>
      <c r="AC824" s="145"/>
      <c r="AD824" s="145"/>
      <c r="AE824" s="145"/>
      <c r="AF824" s="145"/>
      <c r="AG824" s="144"/>
      <c r="AH824" s="144"/>
      <c r="AI824" s="144"/>
      <c r="AJ824" s="144"/>
      <c r="AK824" s="144"/>
    </row>
    <row r="825" ht="22.5" customHeight="1">
      <c r="A825" s="183"/>
      <c r="B825" s="183"/>
      <c r="C825" s="183"/>
      <c r="D825" s="183"/>
      <c r="E825" s="183"/>
      <c r="F825" s="183"/>
      <c r="G825" s="183"/>
      <c r="H825" s="183"/>
      <c r="I825" s="183"/>
      <c r="J825" s="183"/>
      <c r="K825" s="183"/>
      <c r="L825" s="183"/>
      <c r="M825" s="183"/>
      <c r="N825" s="183"/>
      <c r="O825" s="183"/>
      <c r="P825" s="183"/>
      <c r="Q825" s="183"/>
      <c r="R825" s="183"/>
      <c r="S825" s="183"/>
      <c r="T825" s="152"/>
      <c r="U825" s="155"/>
      <c r="V825" s="152"/>
      <c r="W825" s="152"/>
      <c r="X825" s="152"/>
      <c r="Y825" s="152"/>
      <c r="Z825" s="152"/>
      <c r="AA825" s="152"/>
      <c r="AB825" s="152"/>
      <c r="AC825" s="152"/>
      <c r="AD825" s="152"/>
      <c r="AE825" s="152"/>
      <c r="AF825" s="152"/>
      <c r="AG825" s="144"/>
      <c r="AH825" s="144"/>
      <c r="AI825" s="144"/>
      <c r="AJ825" s="144"/>
      <c r="AK825" s="144"/>
    </row>
    <row r="826" ht="22.5" customHeight="1">
      <c r="A826" s="184"/>
      <c r="B826" s="184"/>
      <c r="C826" s="184"/>
      <c r="D826" s="184"/>
      <c r="E826" s="184"/>
      <c r="F826" s="184"/>
      <c r="G826" s="184"/>
      <c r="H826" s="184"/>
      <c r="I826" s="184"/>
      <c r="J826" s="184"/>
      <c r="K826" s="184"/>
      <c r="L826" s="184"/>
      <c r="M826" s="184"/>
      <c r="N826" s="184"/>
      <c r="O826" s="184"/>
      <c r="P826" s="184"/>
      <c r="Q826" s="184"/>
      <c r="R826" s="184"/>
      <c r="S826" s="184"/>
      <c r="T826" s="145"/>
      <c r="U826" s="151"/>
      <c r="V826" s="145"/>
      <c r="W826" s="145"/>
      <c r="X826" s="145"/>
      <c r="Y826" s="145"/>
      <c r="Z826" s="145"/>
      <c r="AA826" s="145"/>
      <c r="AB826" s="145"/>
      <c r="AC826" s="145"/>
      <c r="AD826" s="145"/>
      <c r="AE826" s="145"/>
      <c r="AF826" s="145"/>
      <c r="AG826" s="144"/>
      <c r="AH826" s="144"/>
      <c r="AI826" s="144"/>
      <c r="AJ826" s="144"/>
      <c r="AK826" s="144"/>
    </row>
    <row r="827" ht="22.5" customHeight="1">
      <c r="A827" s="183"/>
      <c r="B827" s="183"/>
      <c r="C827" s="183"/>
      <c r="D827" s="183"/>
      <c r="E827" s="183"/>
      <c r="F827" s="183"/>
      <c r="G827" s="183"/>
      <c r="H827" s="183"/>
      <c r="I827" s="183"/>
      <c r="J827" s="183"/>
      <c r="K827" s="183"/>
      <c r="L827" s="183"/>
      <c r="M827" s="183"/>
      <c r="N827" s="183"/>
      <c r="O827" s="183"/>
      <c r="P827" s="183"/>
      <c r="Q827" s="183"/>
      <c r="R827" s="183"/>
      <c r="S827" s="183"/>
      <c r="T827" s="152"/>
      <c r="U827" s="155"/>
      <c r="V827" s="152"/>
      <c r="W827" s="152"/>
      <c r="X827" s="152"/>
      <c r="Y827" s="152"/>
      <c r="Z827" s="152"/>
      <c r="AA827" s="152"/>
      <c r="AB827" s="152"/>
      <c r="AC827" s="152"/>
      <c r="AD827" s="152"/>
      <c r="AE827" s="152"/>
      <c r="AF827" s="152"/>
      <c r="AG827" s="144"/>
      <c r="AH827" s="144"/>
      <c r="AI827" s="144"/>
      <c r="AJ827" s="144"/>
      <c r="AK827" s="144"/>
    </row>
    <row r="828" ht="22.5" customHeight="1">
      <c r="A828" s="184"/>
      <c r="B828" s="184"/>
      <c r="C828" s="184"/>
      <c r="D828" s="184"/>
      <c r="E828" s="184"/>
      <c r="F828" s="184"/>
      <c r="G828" s="184"/>
      <c r="H828" s="184"/>
      <c r="I828" s="184"/>
      <c r="J828" s="184"/>
      <c r="K828" s="184"/>
      <c r="L828" s="184"/>
      <c r="M828" s="184"/>
      <c r="N828" s="184"/>
      <c r="O828" s="184"/>
      <c r="P828" s="184"/>
      <c r="Q828" s="184"/>
      <c r="R828" s="184"/>
      <c r="S828" s="184"/>
      <c r="T828" s="145"/>
      <c r="U828" s="151"/>
      <c r="V828" s="145"/>
      <c r="W828" s="145"/>
      <c r="X828" s="145"/>
      <c r="Y828" s="145"/>
      <c r="Z828" s="145"/>
      <c r="AA828" s="145"/>
      <c r="AB828" s="145"/>
      <c r="AC828" s="145"/>
      <c r="AD828" s="145"/>
      <c r="AE828" s="145"/>
      <c r="AF828" s="145"/>
      <c r="AG828" s="144"/>
      <c r="AH828" s="144"/>
      <c r="AI828" s="144"/>
      <c r="AJ828" s="144"/>
      <c r="AK828" s="144"/>
    </row>
    <row r="829" ht="22.5" customHeight="1">
      <c r="A829" s="183"/>
      <c r="B829" s="183"/>
      <c r="C829" s="183"/>
      <c r="D829" s="183"/>
      <c r="E829" s="183"/>
      <c r="F829" s="183"/>
      <c r="G829" s="183"/>
      <c r="H829" s="183"/>
      <c r="I829" s="183"/>
      <c r="J829" s="183"/>
      <c r="K829" s="183"/>
      <c r="L829" s="183"/>
      <c r="M829" s="183"/>
      <c r="N829" s="183"/>
      <c r="O829" s="183"/>
      <c r="P829" s="183"/>
      <c r="Q829" s="183"/>
      <c r="R829" s="183"/>
      <c r="S829" s="183"/>
      <c r="T829" s="152"/>
      <c r="U829" s="155"/>
      <c r="V829" s="152"/>
      <c r="W829" s="152"/>
      <c r="X829" s="152"/>
      <c r="Y829" s="152"/>
      <c r="Z829" s="152"/>
      <c r="AA829" s="152"/>
      <c r="AB829" s="152"/>
      <c r="AC829" s="152"/>
      <c r="AD829" s="152"/>
      <c r="AE829" s="152"/>
      <c r="AF829" s="152"/>
      <c r="AG829" s="144"/>
      <c r="AH829" s="144"/>
      <c r="AI829" s="144"/>
      <c r="AJ829" s="144"/>
      <c r="AK829" s="144"/>
    </row>
    <row r="830" ht="22.5" customHeight="1">
      <c r="A830" s="184"/>
      <c r="B830" s="184"/>
      <c r="C830" s="184"/>
      <c r="D830" s="184"/>
      <c r="E830" s="184"/>
      <c r="F830" s="184"/>
      <c r="G830" s="184"/>
      <c r="H830" s="184"/>
      <c r="I830" s="184"/>
      <c r="J830" s="184"/>
      <c r="K830" s="184"/>
      <c r="L830" s="184"/>
      <c r="M830" s="184"/>
      <c r="N830" s="184"/>
      <c r="O830" s="184"/>
      <c r="P830" s="184"/>
      <c r="Q830" s="184"/>
      <c r="R830" s="184"/>
      <c r="S830" s="184"/>
      <c r="T830" s="145"/>
      <c r="U830" s="151"/>
      <c r="V830" s="145"/>
      <c r="W830" s="145"/>
      <c r="X830" s="145"/>
      <c r="Y830" s="145"/>
      <c r="Z830" s="145"/>
      <c r="AA830" s="145"/>
      <c r="AB830" s="145"/>
      <c r="AC830" s="145"/>
      <c r="AD830" s="145"/>
      <c r="AE830" s="145"/>
      <c r="AF830" s="145"/>
      <c r="AG830" s="144"/>
      <c r="AH830" s="144"/>
      <c r="AI830" s="144"/>
      <c r="AJ830" s="144"/>
      <c r="AK830" s="144"/>
    </row>
    <row r="831" ht="22.5" customHeight="1">
      <c r="A831" s="183"/>
      <c r="B831" s="183"/>
      <c r="C831" s="183"/>
      <c r="D831" s="183"/>
      <c r="E831" s="183"/>
      <c r="F831" s="183"/>
      <c r="G831" s="183"/>
      <c r="H831" s="183"/>
      <c r="I831" s="183"/>
      <c r="J831" s="183"/>
      <c r="K831" s="183"/>
      <c r="L831" s="183"/>
      <c r="M831" s="183"/>
      <c r="N831" s="183"/>
      <c r="O831" s="183"/>
      <c r="P831" s="183"/>
      <c r="Q831" s="183"/>
      <c r="R831" s="183"/>
      <c r="S831" s="183"/>
      <c r="T831" s="152"/>
      <c r="U831" s="155"/>
      <c r="V831" s="152"/>
      <c r="W831" s="152"/>
      <c r="X831" s="152"/>
      <c r="Y831" s="152"/>
      <c r="Z831" s="152"/>
      <c r="AA831" s="152"/>
      <c r="AB831" s="152"/>
      <c r="AC831" s="152"/>
      <c r="AD831" s="152"/>
      <c r="AE831" s="152"/>
      <c r="AF831" s="152"/>
      <c r="AG831" s="144"/>
      <c r="AH831" s="144"/>
      <c r="AI831" s="144"/>
      <c r="AJ831" s="144"/>
      <c r="AK831" s="144"/>
    </row>
    <row r="832" ht="22.5" customHeight="1">
      <c r="A832" s="184"/>
      <c r="B832" s="184"/>
      <c r="C832" s="184"/>
      <c r="D832" s="184"/>
      <c r="E832" s="184"/>
      <c r="F832" s="184"/>
      <c r="G832" s="184"/>
      <c r="H832" s="184"/>
      <c r="I832" s="184"/>
      <c r="J832" s="184"/>
      <c r="K832" s="184"/>
      <c r="L832" s="184"/>
      <c r="M832" s="184"/>
      <c r="N832" s="184"/>
      <c r="O832" s="184"/>
      <c r="P832" s="184"/>
      <c r="Q832" s="184"/>
      <c r="R832" s="184"/>
      <c r="S832" s="184"/>
      <c r="T832" s="145"/>
      <c r="U832" s="151"/>
      <c r="V832" s="145"/>
      <c r="W832" s="145"/>
      <c r="X832" s="145"/>
      <c r="Y832" s="145"/>
      <c r="Z832" s="145"/>
      <c r="AA832" s="145"/>
      <c r="AB832" s="145"/>
      <c r="AC832" s="145"/>
      <c r="AD832" s="145"/>
      <c r="AE832" s="145"/>
      <c r="AF832" s="145"/>
      <c r="AG832" s="144"/>
      <c r="AH832" s="144"/>
      <c r="AI832" s="144"/>
      <c r="AJ832" s="144"/>
      <c r="AK832" s="144"/>
    </row>
    <row r="833" ht="22.5" customHeight="1">
      <c r="A833" s="183"/>
      <c r="B833" s="183"/>
      <c r="C833" s="183"/>
      <c r="D833" s="183"/>
      <c r="E833" s="183"/>
      <c r="F833" s="183"/>
      <c r="G833" s="183"/>
      <c r="H833" s="183"/>
      <c r="I833" s="183"/>
      <c r="J833" s="183"/>
      <c r="K833" s="183"/>
      <c r="L833" s="183"/>
      <c r="M833" s="183"/>
      <c r="N833" s="183"/>
      <c r="O833" s="183"/>
      <c r="P833" s="183"/>
      <c r="Q833" s="183"/>
      <c r="R833" s="183"/>
      <c r="S833" s="183"/>
      <c r="T833" s="152"/>
      <c r="U833" s="155"/>
      <c r="V833" s="152"/>
      <c r="W833" s="152"/>
      <c r="X833" s="152"/>
      <c r="Y833" s="152"/>
      <c r="Z833" s="152"/>
      <c r="AA833" s="152"/>
      <c r="AB833" s="152"/>
      <c r="AC833" s="152"/>
      <c r="AD833" s="152"/>
      <c r="AE833" s="152"/>
      <c r="AF833" s="152"/>
      <c r="AG833" s="144"/>
      <c r="AH833" s="144"/>
      <c r="AI833" s="144"/>
      <c r="AJ833" s="144"/>
      <c r="AK833" s="144"/>
    </row>
    <row r="834" ht="22.5" customHeight="1">
      <c r="A834" s="184"/>
      <c r="B834" s="184"/>
      <c r="C834" s="184"/>
      <c r="D834" s="184"/>
      <c r="E834" s="184"/>
      <c r="F834" s="184"/>
      <c r="G834" s="184"/>
      <c r="H834" s="184"/>
      <c r="I834" s="184"/>
      <c r="J834" s="184"/>
      <c r="K834" s="184"/>
      <c r="L834" s="184"/>
      <c r="M834" s="184"/>
      <c r="N834" s="184"/>
      <c r="O834" s="184"/>
      <c r="P834" s="184"/>
      <c r="Q834" s="184"/>
      <c r="R834" s="184"/>
      <c r="S834" s="184"/>
      <c r="T834" s="145"/>
      <c r="U834" s="151"/>
      <c r="V834" s="145"/>
      <c r="W834" s="145"/>
      <c r="X834" s="145"/>
      <c r="Y834" s="145"/>
      <c r="Z834" s="145"/>
      <c r="AA834" s="145"/>
      <c r="AB834" s="145"/>
      <c r="AC834" s="145"/>
      <c r="AD834" s="145"/>
      <c r="AE834" s="145"/>
      <c r="AF834" s="145"/>
      <c r="AG834" s="144"/>
      <c r="AH834" s="144"/>
      <c r="AI834" s="144"/>
      <c r="AJ834" s="144"/>
      <c r="AK834" s="144"/>
    </row>
    <row r="835" ht="22.5" customHeight="1">
      <c r="A835" s="183"/>
      <c r="B835" s="183"/>
      <c r="C835" s="183"/>
      <c r="D835" s="183"/>
      <c r="E835" s="183"/>
      <c r="F835" s="183"/>
      <c r="G835" s="183"/>
      <c r="H835" s="183"/>
      <c r="I835" s="183"/>
      <c r="J835" s="183"/>
      <c r="K835" s="183"/>
      <c r="L835" s="183"/>
      <c r="M835" s="183"/>
      <c r="N835" s="183"/>
      <c r="O835" s="183"/>
      <c r="P835" s="183"/>
      <c r="Q835" s="183"/>
      <c r="R835" s="183"/>
      <c r="S835" s="183"/>
      <c r="T835" s="152"/>
      <c r="U835" s="155"/>
      <c r="V835" s="152"/>
      <c r="W835" s="152"/>
      <c r="X835" s="152"/>
      <c r="Y835" s="152"/>
      <c r="Z835" s="152"/>
      <c r="AA835" s="152"/>
      <c r="AB835" s="152"/>
      <c r="AC835" s="152"/>
      <c r="AD835" s="152"/>
      <c r="AE835" s="152"/>
      <c r="AF835" s="152"/>
      <c r="AG835" s="144"/>
      <c r="AH835" s="144"/>
      <c r="AI835" s="144"/>
      <c r="AJ835" s="144"/>
      <c r="AK835" s="144"/>
    </row>
    <row r="836" ht="22.5" customHeight="1">
      <c r="A836" s="184"/>
      <c r="B836" s="184"/>
      <c r="C836" s="184"/>
      <c r="D836" s="184"/>
      <c r="E836" s="184"/>
      <c r="F836" s="184"/>
      <c r="G836" s="184"/>
      <c r="H836" s="184"/>
      <c r="I836" s="184"/>
      <c r="J836" s="184"/>
      <c r="K836" s="184"/>
      <c r="L836" s="184"/>
      <c r="M836" s="184"/>
      <c r="N836" s="184"/>
      <c r="O836" s="184"/>
      <c r="P836" s="184"/>
      <c r="Q836" s="184"/>
      <c r="R836" s="184"/>
      <c r="S836" s="184"/>
      <c r="T836" s="145"/>
      <c r="U836" s="151"/>
      <c r="V836" s="145"/>
      <c r="W836" s="145"/>
      <c r="X836" s="145"/>
      <c r="Y836" s="145"/>
      <c r="Z836" s="145"/>
      <c r="AA836" s="145"/>
      <c r="AB836" s="145"/>
      <c r="AC836" s="145"/>
      <c r="AD836" s="145"/>
      <c r="AE836" s="145"/>
      <c r="AF836" s="145"/>
      <c r="AG836" s="144"/>
      <c r="AH836" s="144"/>
      <c r="AI836" s="144"/>
      <c r="AJ836" s="144"/>
      <c r="AK836" s="144"/>
    </row>
    <row r="837" ht="22.5" customHeight="1">
      <c r="A837" s="183"/>
      <c r="B837" s="183"/>
      <c r="C837" s="183"/>
      <c r="D837" s="183"/>
      <c r="E837" s="183"/>
      <c r="F837" s="183"/>
      <c r="G837" s="183"/>
      <c r="H837" s="183"/>
      <c r="I837" s="183"/>
      <c r="J837" s="183"/>
      <c r="K837" s="183"/>
      <c r="L837" s="183"/>
      <c r="M837" s="183"/>
      <c r="N837" s="183"/>
      <c r="O837" s="183"/>
      <c r="P837" s="183"/>
      <c r="Q837" s="183"/>
      <c r="R837" s="183"/>
      <c r="S837" s="183"/>
      <c r="T837" s="152"/>
      <c r="U837" s="155"/>
      <c r="V837" s="152"/>
      <c r="W837" s="152"/>
      <c r="X837" s="152"/>
      <c r="Y837" s="152"/>
      <c r="Z837" s="152"/>
      <c r="AA837" s="152"/>
      <c r="AB837" s="152"/>
      <c r="AC837" s="152"/>
      <c r="AD837" s="152"/>
      <c r="AE837" s="152"/>
      <c r="AF837" s="152"/>
      <c r="AG837" s="144"/>
      <c r="AH837" s="144"/>
      <c r="AI837" s="144"/>
      <c r="AJ837" s="144"/>
      <c r="AK837" s="144"/>
    </row>
    <row r="838" ht="22.5" customHeight="1">
      <c r="A838" s="184"/>
      <c r="B838" s="184"/>
      <c r="C838" s="184"/>
      <c r="D838" s="184"/>
      <c r="E838" s="184"/>
      <c r="F838" s="184"/>
      <c r="G838" s="184"/>
      <c r="H838" s="184"/>
      <c r="I838" s="184"/>
      <c r="J838" s="184"/>
      <c r="K838" s="184"/>
      <c r="L838" s="184"/>
      <c r="M838" s="184"/>
      <c r="N838" s="184"/>
      <c r="O838" s="184"/>
      <c r="P838" s="184"/>
      <c r="Q838" s="184"/>
      <c r="R838" s="184"/>
      <c r="S838" s="184"/>
      <c r="T838" s="145"/>
      <c r="U838" s="151"/>
      <c r="V838" s="145"/>
      <c r="W838" s="145"/>
      <c r="X838" s="145"/>
      <c r="Y838" s="145"/>
      <c r="Z838" s="145"/>
      <c r="AA838" s="145"/>
      <c r="AB838" s="145"/>
      <c r="AC838" s="145"/>
      <c r="AD838" s="145"/>
      <c r="AE838" s="145"/>
      <c r="AF838" s="145"/>
      <c r="AG838" s="144"/>
      <c r="AH838" s="144"/>
      <c r="AI838" s="144"/>
      <c r="AJ838" s="144"/>
      <c r="AK838" s="144"/>
    </row>
    <row r="839" ht="22.5" customHeight="1">
      <c r="A839" s="183"/>
      <c r="B839" s="183"/>
      <c r="C839" s="183"/>
      <c r="D839" s="183"/>
      <c r="E839" s="183"/>
      <c r="F839" s="183"/>
      <c r="G839" s="183"/>
      <c r="H839" s="183"/>
      <c r="I839" s="183"/>
      <c r="J839" s="183"/>
      <c r="K839" s="183"/>
      <c r="L839" s="183"/>
      <c r="M839" s="183"/>
      <c r="N839" s="183"/>
      <c r="O839" s="183"/>
      <c r="P839" s="183"/>
      <c r="Q839" s="183"/>
      <c r="R839" s="183"/>
      <c r="S839" s="183"/>
      <c r="T839" s="152"/>
      <c r="U839" s="155"/>
      <c r="V839" s="152"/>
      <c r="W839" s="152"/>
      <c r="X839" s="152"/>
      <c r="Y839" s="152"/>
      <c r="Z839" s="152"/>
      <c r="AA839" s="152"/>
      <c r="AB839" s="152"/>
      <c r="AC839" s="152"/>
      <c r="AD839" s="152"/>
      <c r="AE839" s="152"/>
      <c r="AF839" s="152"/>
      <c r="AG839" s="144"/>
      <c r="AH839" s="144"/>
      <c r="AI839" s="144"/>
      <c r="AJ839" s="144"/>
      <c r="AK839" s="144"/>
    </row>
    <row r="840" ht="22.5" customHeight="1">
      <c r="A840" s="184"/>
      <c r="B840" s="184"/>
      <c r="C840" s="184"/>
      <c r="D840" s="184"/>
      <c r="E840" s="184"/>
      <c r="F840" s="184"/>
      <c r="G840" s="184"/>
      <c r="H840" s="184"/>
      <c r="I840" s="184"/>
      <c r="J840" s="184"/>
      <c r="K840" s="184"/>
      <c r="L840" s="184"/>
      <c r="M840" s="184"/>
      <c r="N840" s="184"/>
      <c r="O840" s="184"/>
      <c r="P840" s="184"/>
      <c r="Q840" s="184"/>
      <c r="R840" s="184"/>
      <c r="S840" s="184"/>
      <c r="T840" s="145"/>
      <c r="U840" s="151"/>
      <c r="V840" s="145"/>
      <c r="W840" s="145"/>
      <c r="X840" s="145"/>
      <c r="Y840" s="145"/>
      <c r="Z840" s="145"/>
      <c r="AA840" s="145"/>
      <c r="AB840" s="145"/>
      <c r="AC840" s="145"/>
      <c r="AD840" s="145"/>
      <c r="AE840" s="145"/>
      <c r="AF840" s="145"/>
      <c r="AG840" s="144"/>
      <c r="AH840" s="144"/>
      <c r="AI840" s="144"/>
      <c r="AJ840" s="144"/>
      <c r="AK840" s="144"/>
    </row>
    <row r="841" ht="22.5" customHeight="1">
      <c r="A841" s="183"/>
      <c r="B841" s="183"/>
      <c r="C841" s="183"/>
      <c r="D841" s="183"/>
      <c r="E841" s="183"/>
      <c r="F841" s="183"/>
      <c r="G841" s="183"/>
      <c r="H841" s="183"/>
      <c r="I841" s="183"/>
      <c r="J841" s="183"/>
      <c r="K841" s="183"/>
      <c r="L841" s="183"/>
      <c r="M841" s="183"/>
      <c r="N841" s="183"/>
      <c r="O841" s="183"/>
      <c r="P841" s="183"/>
      <c r="Q841" s="183"/>
      <c r="R841" s="183"/>
      <c r="S841" s="183"/>
      <c r="T841" s="152"/>
      <c r="U841" s="155"/>
      <c r="V841" s="152"/>
      <c r="W841" s="152"/>
      <c r="X841" s="152"/>
      <c r="Y841" s="152"/>
      <c r="Z841" s="152"/>
      <c r="AA841" s="152"/>
      <c r="AB841" s="152"/>
      <c r="AC841" s="152"/>
      <c r="AD841" s="152"/>
      <c r="AE841" s="152"/>
      <c r="AF841" s="152"/>
      <c r="AG841" s="144"/>
      <c r="AH841" s="144"/>
      <c r="AI841" s="144"/>
      <c r="AJ841" s="144"/>
      <c r="AK841" s="144"/>
    </row>
    <row r="842" ht="22.5" customHeight="1">
      <c r="A842" s="184"/>
      <c r="B842" s="184"/>
      <c r="C842" s="184"/>
      <c r="D842" s="184"/>
      <c r="E842" s="184"/>
      <c r="F842" s="184"/>
      <c r="G842" s="184"/>
      <c r="H842" s="184"/>
      <c r="I842" s="184"/>
      <c r="J842" s="184"/>
      <c r="K842" s="184"/>
      <c r="L842" s="184"/>
      <c r="M842" s="184"/>
      <c r="N842" s="184"/>
      <c r="O842" s="184"/>
      <c r="P842" s="184"/>
      <c r="Q842" s="184"/>
      <c r="R842" s="184"/>
      <c r="S842" s="184"/>
      <c r="T842" s="145"/>
      <c r="U842" s="151"/>
      <c r="V842" s="145"/>
      <c r="W842" s="145"/>
      <c r="X842" s="145"/>
      <c r="Y842" s="145"/>
      <c r="Z842" s="145"/>
      <c r="AA842" s="145"/>
      <c r="AB842" s="145"/>
      <c r="AC842" s="145"/>
      <c r="AD842" s="145"/>
      <c r="AE842" s="145"/>
      <c r="AF842" s="145"/>
      <c r="AG842" s="144"/>
      <c r="AH842" s="144"/>
      <c r="AI842" s="144"/>
      <c r="AJ842" s="144"/>
      <c r="AK842" s="144"/>
    </row>
    <row r="843" ht="22.5" customHeight="1">
      <c r="A843" s="183"/>
      <c r="B843" s="183"/>
      <c r="C843" s="183"/>
      <c r="D843" s="183"/>
      <c r="E843" s="183"/>
      <c r="F843" s="183"/>
      <c r="G843" s="183"/>
      <c r="H843" s="183"/>
      <c r="I843" s="183"/>
      <c r="J843" s="183"/>
      <c r="K843" s="183"/>
      <c r="L843" s="183"/>
      <c r="M843" s="183"/>
      <c r="N843" s="183"/>
      <c r="O843" s="183"/>
      <c r="P843" s="183"/>
      <c r="Q843" s="183"/>
      <c r="R843" s="183"/>
      <c r="S843" s="183"/>
      <c r="T843" s="152"/>
      <c r="U843" s="155"/>
      <c r="V843" s="152"/>
      <c r="W843" s="152"/>
      <c r="X843" s="152"/>
      <c r="Y843" s="152"/>
      <c r="Z843" s="152"/>
      <c r="AA843" s="152"/>
      <c r="AB843" s="152"/>
      <c r="AC843" s="152"/>
      <c r="AD843" s="152"/>
      <c r="AE843" s="152"/>
      <c r="AF843" s="152"/>
      <c r="AG843" s="144"/>
      <c r="AH843" s="144"/>
      <c r="AI843" s="144"/>
      <c r="AJ843" s="144"/>
      <c r="AK843" s="144"/>
    </row>
    <row r="844" ht="22.5" customHeight="1">
      <c r="A844" s="184"/>
      <c r="B844" s="184"/>
      <c r="C844" s="184"/>
      <c r="D844" s="184"/>
      <c r="E844" s="184"/>
      <c r="F844" s="184"/>
      <c r="G844" s="184"/>
      <c r="H844" s="184"/>
      <c r="I844" s="184"/>
      <c r="J844" s="184"/>
      <c r="K844" s="184"/>
      <c r="L844" s="184"/>
      <c r="M844" s="184"/>
      <c r="N844" s="184"/>
      <c r="O844" s="184"/>
      <c r="P844" s="184"/>
      <c r="Q844" s="184"/>
      <c r="R844" s="184"/>
      <c r="S844" s="184"/>
      <c r="T844" s="145"/>
      <c r="U844" s="151"/>
      <c r="V844" s="145"/>
      <c r="W844" s="145"/>
      <c r="X844" s="145"/>
      <c r="Y844" s="145"/>
      <c r="Z844" s="145"/>
      <c r="AA844" s="145"/>
      <c r="AB844" s="145"/>
      <c r="AC844" s="145"/>
      <c r="AD844" s="145"/>
      <c r="AE844" s="145"/>
      <c r="AF844" s="145"/>
      <c r="AG844" s="144"/>
      <c r="AH844" s="144"/>
      <c r="AI844" s="144"/>
      <c r="AJ844" s="144"/>
      <c r="AK844" s="144"/>
    </row>
    <row r="845" ht="22.5" customHeight="1">
      <c r="A845" s="183"/>
      <c r="B845" s="183"/>
      <c r="C845" s="183"/>
      <c r="D845" s="183"/>
      <c r="E845" s="183"/>
      <c r="F845" s="183"/>
      <c r="G845" s="183"/>
      <c r="H845" s="183"/>
      <c r="I845" s="183"/>
      <c r="J845" s="183"/>
      <c r="K845" s="183"/>
      <c r="L845" s="183"/>
      <c r="M845" s="183"/>
      <c r="N845" s="183"/>
      <c r="O845" s="183"/>
      <c r="P845" s="183"/>
      <c r="Q845" s="183"/>
      <c r="R845" s="183"/>
      <c r="S845" s="183"/>
      <c r="T845" s="152"/>
      <c r="U845" s="155"/>
      <c r="V845" s="152"/>
      <c r="W845" s="152"/>
      <c r="X845" s="152"/>
      <c r="Y845" s="152"/>
      <c r="Z845" s="152"/>
      <c r="AA845" s="152"/>
      <c r="AB845" s="152"/>
      <c r="AC845" s="152"/>
      <c r="AD845" s="152"/>
      <c r="AE845" s="152"/>
      <c r="AF845" s="152"/>
      <c r="AG845" s="144"/>
      <c r="AH845" s="144"/>
      <c r="AI845" s="144"/>
      <c r="AJ845" s="144"/>
      <c r="AK845" s="144"/>
    </row>
    <row r="846" ht="22.5" customHeight="1">
      <c r="A846" s="184"/>
      <c r="B846" s="184"/>
      <c r="C846" s="184"/>
      <c r="D846" s="184"/>
      <c r="E846" s="184"/>
      <c r="F846" s="184"/>
      <c r="G846" s="184"/>
      <c r="H846" s="184"/>
      <c r="I846" s="184"/>
      <c r="J846" s="184"/>
      <c r="K846" s="184"/>
      <c r="L846" s="184"/>
      <c r="M846" s="184"/>
      <c r="N846" s="184"/>
      <c r="O846" s="184"/>
      <c r="P846" s="184"/>
      <c r="Q846" s="184"/>
      <c r="R846" s="184"/>
      <c r="S846" s="184"/>
      <c r="T846" s="145"/>
      <c r="U846" s="151"/>
      <c r="V846" s="145"/>
      <c r="W846" s="145"/>
      <c r="X846" s="145"/>
      <c r="Y846" s="145"/>
      <c r="Z846" s="145"/>
      <c r="AA846" s="145"/>
      <c r="AB846" s="145"/>
      <c r="AC846" s="145"/>
      <c r="AD846" s="145"/>
      <c r="AE846" s="145"/>
      <c r="AF846" s="145"/>
      <c r="AG846" s="144"/>
      <c r="AH846" s="144"/>
      <c r="AI846" s="144"/>
      <c r="AJ846" s="144"/>
      <c r="AK846" s="144"/>
    </row>
    <row r="847" ht="22.5" customHeight="1">
      <c r="A847" s="183"/>
      <c r="B847" s="183"/>
      <c r="C847" s="183"/>
      <c r="D847" s="183"/>
      <c r="E847" s="183"/>
      <c r="F847" s="183"/>
      <c r="G847" s="183"/>
      <c r="H847" s="183"/>
      <c r="I847" s="183"/>
      <c r="J847" s="183"/>
      <c r="K847" s="183"/>
      <c r="L847" s="183"/>
      <c r="M847" s="183"/>
      <c r="N847" s="183"/>
      <c r="O847" s="183"/>
      <c r="P847" s="183"/>
      <c r="Q847" s="183"/>
      <c r="R847" s="183"/>
      <c r="S847" s="183"/>
      <c r="T847" s="152"/>
      <c r="U847" s="155"/>
      <c r="V847" s="152"/>
      <c r="W847" s="152"/>
      <c r="X847" s="152"/>
      <c r="Y847" s="152"/>
      <c r="Z847" s="152"/>
      <c r="AA847" s="152"/>
      <c r="AB847" s="152"/>
      <c r="AC847" s="152"/>
      <c r="AD847" s="152"/>
      <c r="AE847" s="152"/>
      <c r="AF847" s="152"/>
      <c r="AG847" s="144"/>
      <c r="AH847" s="144"/>
      <c r="AI847" s="144"/>
      <c r="AJ847" s="144"/>
      <c r="AK847" s="144"/>
    </row>
    <row r="848" ht="22.5" customHeight="1">
      <c r="A848" s="184"/>
      <c r="B848" s="184"/>
      <c r="C848" s="184"/>
      <c r="D848" s="184"/>
      <c r="E848" s="184"/>
      <c r="F848" s="184"/>
      <c r="G848" s="184"/>
      <c r="H848" s="184"/>
      <c r="I848" s="184"/>
      <c r="J848" s="184"/>
      <c r="K848" s="184"/>
      <c r="L848" s="184"/>
      <c r="M848" s="184"/>
      <c r="N848" s="184"/>
      <c r="O848" s="184"/>
      <c r="P848" s="184"/>
      <c r="Q848" s="184"/>
      <c r="R848" s="184"/>
      <c r="S848" s="184"/>
      <c r="T848" s="145"/>
      <c r="U848" s="151"/>
      <c r="V848" s="145"/>
      <c r="W848" s="145"/>
      <c r="X848" s="145"/>
      <c r="Y848" s="145"/>
      <c r="Z848" s="145"/>
      <c r="AA848" s="145"/>
      <c r="AB848" s="145"/>
      <c r="AC848" s="145"/>
      <c r="AD848" s="145"/>
      <c r="AE848" s="145"/>
      <c r="AF848" s="145"/>
      <c r="AG848" s="144"/>
      <c r="AH848" s="144"/>
      <c r="AI848" s="144"/>
      <c r="AJ848" s="144"/>
      <c r="AK848" s="144"/>
    </row>
    <row r="849" ht="22.5" customHeight="1">
      <c r="A849" s="183"/>
      <c r="B849" s="183"/>
      <c r="C849" s="183"/>
      <c r="D849" s="183"/>
      <c r="E849" s="183"/>
      <c r="F849" s="183"/>
      <c r="G849" s="183"/>
      <c r="H849" s="183"/>
      <c r="I849" s="183"/>
      <c r="J849" s="183"/>
      <c r="K849" s="183"/>
      <c r="L849" s="183"/>
      <c r="M849" s="183"/>
      <c r="N849" s="183"/>
      <c r="O849" s="183"/>
      <c r="P849" s="183"/>
      <c r="Q849" s="183"/>
      <c r="R849" s="183"/>
      <c r="S849" s="183"/>
      <c r="T849" s="152"/>
      <c r="U849" s="155"/>
      <c r="V849" s="152"/>
      <c r="W849" s="152"/>
      <c r="X849" s="152"/>
      <c r="Y849" s="152"/>
      <c r="Z849" s="152"/>
      <c r="AA849" s="152"/>
      <c r="AB849" s="152"/>
      <c r="AC849" s="152"/>
      <c r="AD849" s="152"/>
      <c r="AE849" s="152"/>
      <c r="AF849" s="152"/>
      <c r="AG849" s="144"/>
      <c r="AH849" s="144"/>
      <c r="AI849" s="144"/>
      <c r="AJ849" s="144"/>
      <c r="AK849" s="144"/>
    </row>
    <row r="850" ht="22.5" customHeight="1">
      <c r="A850" s="184"/>
      <c r="B850" s="184"/>
      <c r="C850" s="184"/>
      <c r="D850" s="184"/>
      <c r="E850" s="184"/>
      <c r="F850" s="184"/>
      <c r="G850" s="184"/>
      <c r="H850" s="184"/>
      <c r="I850" s="184"/>
      <c r="J850" s="184"/>
      <c r="K850" s="184"/>
      <c r="L850" s="184"/>
      <c r="M850" s="184"/>
      <c r="N850" s="184"/>
      <c r="O850" s="184"/>
      <c r="P850" s="184"/>
      <c r="Q850" s="184"/>
      <c r="R850" s="184"/>
      <c r="S850" s="184"/>
      <c r="T850" s="145"/>
      <c r="U850" s="151"/>
      <c r="V850" s="145"/>
      <c r="W850" s="145"/>
      <c r="X850" s="145"/>
      <c r="Y850" s="145"/>
      <c r="Z850" s="145"/>
      <c r="AA850" s="145"/>
      <c r="AB850" s="145"/>
      <c r="AC850" s="145"/>
      <c r="AD850" s="145"/>
      <c r="AE850" s="145"/>
      <c r="AF850" s="145"/>
      <c r="AG850" s="144"/>
      <c r="AH850" s="144"/>
      <c r="AI850" s="144"/>
      <c r="AJ850" s="144"/>
      <c r="AK850" s="144"/>
    </row>
    <row r="851" ht="22.5" customHeight="1">
      <c r="A851" s="183"/>
      <c r="B851" s="183"/>
      <c r="C851" s="183"/>
      <c r="D851" s="183"/>
      <c r="E851" s="183"/>
      <c r="F851" s="183"/>
      <c r="G851" s="183"/>
      <c r="H851" s="183"/>
      <c r="I851" s="183"/>
      <c r="J851" s="183"/>
      <c r="K851" s="183"/>
      <c r="L851" s="183"/>
      <c r="M851" s="183"/>
      <c r="N851" s="183"/>
      <c r="O851" s="183"/>
      <c r="P851" s="183"/>
      <c r="Q851" s="183"/>
      <c r="R851" s="183"/>
      <c r="S851" s="183"/>
      <c r="T851" s="152"/>
      <c r="U851" s="155"/>
      <c r="V851" s="152"/>
      <c r="W851" s="152"/>
      <c r="X851" s="152"/>
      <c r="Y851" s="152"/>
      <c r="Z851" s="152"/>
      <c r="AA851" s="152"/>
      <c r="AB851" s="152"/>
      <c r="AC851" s="152"/>
      <c r="AD851" s="152"/>
      <c r="AE851" s="152"/>
      <c r="AF851" s="152"/>
      <c r="AG851" s="144"/>
      <c r="AH851" s="144"/>
      <c r="AI851" s="144"/>
      <c r="AJ851" s="144"/>
      <c r="AK851" s="144"/>
    </row>
    <row r="852" ht="22.5" customHeight="1">
      <c r="A852" s="184"/>
      <c r="B852" s="184"/>
      <c r="C852" s="184"/>
      <c r="D852" s="184"/>
      <c r="E852" s="184"/>
      <c r="F852" s="184"/>
      <c r="G852" s="184"/>
      <c r="H852" s="184"/>
      <c r="I852" s="184"/>
      <c r="J852" s="184"/>
      <c r="K852" s="184"/>
      <c r="L852" s="184"/>
      <c r="M852" s="184"/>
      <c r="N852" s="184"/>
      <c r="O852" s="184"/>
      <c r="P852" s="184"/>
      <c r="Q852" s="184"/>
      <c r="R852" s="184"/>
      <c r="S852" s="184"/>
      <c r="T852" s="145"/>
      <c r="U852" s="151"/>
      <c r="V852" s="145"/>
      <c r="W852" s="145"/>
      <c r="X852" s="145"/>
      <c r="Y852" s="145"/>
      <c r="Z852" s="145"/>
      <c r="AA852" s="145"/>
      <c r="AB852" s="145"/>
      <c r="AC852" s="145"/>
      <c r="AD852" s="145"/>
      <c r="AE852" s="145"/>
      <c r="AF852" s="145"/>
      <c r="AG852" s="144"/>
      <c r="AH852" s="144"/>
      <c r="AI852" s="144"/>
      <c r="AJ852" s="144"/>
      <c r="AK852" s="144"/>
    </row>
    <row r="853" ht="22.5" customHeight="1">
      <c r="A853" s="183"/>
      <c r="B853" s="183"/>
      <c r="C853" s="183"/>
      <c r="D853" s="183"/>
      <c r="E853" s="183"/>
      <c r="F853" s="183"/>
      <c r="G853" s="183"/>
      <c r="H853" s="183"/>
      <c r="I853" s="183"/>
      <c r="J853" s="183"/>
      <c r="K853" s="183"/>
      <c r="L853" s="183"/>
      <c r="M853" s="183"/>
      <c r="N853" s="183"/>
      <c r="O853" s="183"/>
      <c r="P853" s="183"/>
      <c r="Q853" s="183"/>
      <c r="R853" s="183"/>
      <c r="S853" s="183"/>
      <c r="T853" s="152"/>
      <c r="U853" s="155"/>
      <c r="V853" s="152"/>
      <c r="W853" s="152"/>
      <c r="X853" s="152"/>
      <c r="Y853" s="152"/>
      <c r="Z853" s="152"/>
      <c r="AA853" s="152"/>
      <c r="AB853" s="152"/>
      <c r="AC853" s="152"/>
      <c r="AD853" s="152"/>
      <c r="AE853" s="152"/>
      <c r="AF853" s="152"/>
      <c r="AG853" s="144"/>
      <c r="AH853" s="144"/>
      <c r="AI853" s="144"/>
      <c r="AJ853" s="144"/>
      <c r="AK853" s="144"/>
    </row>
    <row r="854" ht="22.5" customHeight="1">
      <c r="A854" s="184"/>
      <c r="B854" s="184"/>
      <c r="C854" s="184"/>
      <c r="D854" s="184"/>
      <c r="E854" s="184"/>
      <c r="F854" s="184"/>
      <c r="G854" s="184"/>
      <c r="H854" s="184"/>
      <c r="I854" s="184"/>
      <c r="J854" s="184"/>
      <c r="K854" s="184"/>
      <c r="L854" s="184"/>
      <c r="M854" s="184"/>
      <c r="N854" s="184"/>
      <c r="O854" s="184"/>
      <c r="P854" s="184"/>
      <c r="Q854" s="184"/>
      <c r="R854" s="184"/>
      <c r="S854" s="184"/>
      <c r="T854" s="145"/>
      <c r="U854" s="151"/>
      <c r="V854" s="145"/>
      <c r="W854" s="145"/>
      <c r="X854" s="145"/>
      <c r="Y854" s="145"/>
      <c r="Z854" s="145"/>
      <c r="AA854" s="145"/>
      <c r="AB854" s="145"/>
      <c r="AC854" s="145"/>
      <c r="AD854" s="145"/>
      <c r="AE854" s="145"/>
      <c r="AF854" s="145"/>
      <c r="AG854" s="144"/>
      <c r="AH854" s="144"/>
      <c r="AI854" s="144"/>
      <c r="AJ854" s="144"/>
      <c r="AK854" s="144"/>
    </row>
    <row r="855" ht="22.5" customHeight="1">
      <c r="A855" s="183"/>
      <c r="B855" s="183"/>
      <c r="C855" s="183"/>
      <c r="D855" s="183"/>
      <c r="E855" s="183"/>
      <c r="F855" s="183"/>
      <c r="G855" s="183"/>
      <c r="H855" s="183"/>
      <c r="I855" s="183"/>
      <c r="J855" s="183"/>
      <c r="K855" s="183"/>
      <c r="L855" s="183"/>
      <c r="M855" s="183"/>
      <c r="N855" s="183"/>
      <c r="O855" s="183"/>
      <c r="P855" s="183"/>
      <c r="Q855" s="183"/>
      <c r="R855" s="183"/>
      <c r="S855" s="183"/>
      <c r="T855" s="152"/>
      <c r="U855" s="155"/>
      <c r="V855" s="152"/>
      <c r="W855" s="152"/>
      <c r="X855" s="152"/>
      <c r="Y855" s="152"/>
      <c r="Z855" s="152"/>
      <c r="AA855" s="152"/>
      <c r="AB855" s="152"/>
      <c r="AC855" s="152"/>
      <c r="AD855" s="152"/>
      <c r="AE855" s="152"/>
      <c r="AF855" s="152"/>
      <c r="AG855" s="144"/>
      <c r="AH855" s="144"/>
      <c r="AI855" s="144"/>
      <c r="AJ855" s="144"/>
      <c r="AK855" s="144"/>
    </row>
    <row r="856" ht="22.5" customHeight="1">
      <c r="A856" s="184"/>
      <c r="B856" s="184"/>
      <c r="C856" s="184"/>
      <c r="D856" s="184"/>
      <c r="E856" s="184"/>
      <c r="F856" s="184"/>
      <c r="G856" s="184"/>
      <c r="H856" s="184"/>
      <c r="I856" s="184"/>
      <c r="J856" s="184"/>
      <c r="K856" s="184"/>
      <c r="L856" s="184"/>
      <c r="M856" s="184"/>
      <c r="N856" s="184"/>
      <c r="O856" s="184"/>
      <c r="P856" s="184"/>
      <c r="Q856" s="184"/>
      <c r="R856" s="184"/>
      <c r="S856" s="184"/>
      <c r="T856" s="145"/>
      <c r="U856" s="151"/>
      <c r="V856" s="145"/>
      <c r="W856" s="145"/>
      <c r="X856" s="145"/>
      <c r="Y856" s="145"/>
      <c r="Z856" s="145"/>
      <c r="AA856" s="145"/>
      <c r="AB856" s="145"/>
      <c r="AC856" s="145"/>
      <c r="AD856" s="145"/>
      <c r="AE856" s="145"/>
      <c r="AF856" s="145"/>
      <c r="AG856" s="144"/>
      <c r="AH856" s="144"/>
      <c r="AI856" s="144"/>
      <c r="AJ856" s="144"/>
      <c r="AK856" s="144"/>
    </row>
    <row r="857" ht="22.5" customHeight="1">
      <c r="A857" s="183"/>
      <c r="B857" s="183"/>
      <c r="C857" s="183"/>
      <c r="D857" s="183"/>
      <c r="E857" s="183"/>
      <c r="F857" s="183"/>
      <c r="G857" s="183"/>
      <c r="H857" s="183"/>
      <c r="I857" s="183"/>
      <c r="J857" s="183"/>
      <c r="K857" s="183"/>
      <c r="L857" s="183"/>
      <c r="M857" s="183"/>
      <c r="N857" s="183"/>
      <c r="O857" s="183"/>
      <c r="P857" s="183"/>
      <c r="Q857" s="183"/>
      <c r="R857" s="183"/>
      <c r="S857" s="183"/>
      <c r="T857" s="152"/>
      <c r="U857" s="155"/>
      <c r="V857" s="152"/>
      <c r="W857" s="152"/>
      <c r="X857" s="152"/>
      <c r="Y857" s="152"/>
      <c r="Z857" s="152"/>
      <c r="AA857" s="152"/>
      <c r="AB857" s="152"/>
      <c r="AC857" s="152"/>
      <c r="AD857" s="152"/>
      <c r="AE857" s="152"/>
      <c r="AF857" s="152"/>
      <c r="AG857" s="144"/>
      <c r="AH857" s="144"/>
      <c r="AI857" s="144"/>
      <c r="AJ857" s="144"/>
      <c r="AK857" s="144"/>
    </row>
    <row r="858" ht="22.5" customHeight="1">
      <c r="A858" s="184"/>
      <c r="B858" s="184"/>
      <c r="C858" s="184"/>
      <c r="D858" s="184"/>
      <c r="E858" s="184"/>
      <c r="F858" s="184"/>
      <c r="G858" s="184"/>
      <c r="H858" s="184"/>
      <c r="I858" s="184"/>
      <c r="J858" s="184"/>
      <c r="K858" s="184"/>
      <c r="L858" s="184"/>
      <c r="M858" s="184"/>
      <c r="N858" s="184"/>
      <c r="O858" s="184"/>
      <c r="P858" s="184"/>
      <c r="Q858" s="184"/>
      <c r="R858" s="184"/>
      <c r="S858" s="184"/>
      <c r="T858" s="145"/>
      <c r="U858" s="151"/>
      <c r="V858" s="145"/>
      <c r="W858" s="145"/>
      <c r="X858" s="145"/>
      <c r="Y858" s="145"/>
      <c r="Z858" s="145"/>
      <c r="AA858" s="145"/>
      <c r="AB858" s="145"/>
      <c r="AC858" s="145"/>
      <c r="AD858" s="145"/>
      <c r="AE858" s="145"/>
      <c r="AF858" s="145"/>
      <c r="AG858" s="144"/>
      <c r="AH858" s="144"/>
      <c r="AI858" s="144"/>
      <c r="AJ858" s="144"/>
      <c r="AK858" s="144"/>
    </row>
    <row r="859" ht="22.5" customHeight="1">
      <c r="A859" s="183"/>
      <c r="B859" s="183"/>
      <c r="C859" s="183"/>
      <c r="D859" s="183"/>
      <c r="E859" s="183"/>
      <c r="F859" s="183"/>
      <c r="G859" s="183"/>
      <c r="H859" s="183"/>
      <c r="I859" s="183"/>
      <c r="J859" s="183"/>
      <c r="K859" s="183"/>
      <c r="L859" s="183"/>
      <c r="M859" s="183"/>
      <c r="N859" s="183"/>
      <c r="O859" s="183"/>
      <c r="P859" s="183"/>
      <c r="Q859" s="183"/>
      <c r="R859" s="183"/>
      <c r="S859" s="183"/>
      <c r="T859" s="152"/>
      <c r="U859" s="155"/>
      <c r="V859" s="152"/>
      <c r="W859" s="152"/>
      <c r="X859" s="152"/>
      <c r="Y859" s="152"/>
      <c r="Z859" s="152"/>
      <c r="AA859" s="152"/>
      <c r="AB859" s="152"/>
      <c r="AC859" s="152"/>
      <c r="AD859" s="152"/>
      <c r="AE859" s="152"/>
      <c r="AF859" s="152"/>
      <c r="AG859" s="144"/>
      <c r="AH859" s="144"/>
      <c r="AI859" s="144"/>
      <c r="AJ859" s="144"/>
      <c r="AK859" s="144"/>
    </row>
    <row r="860" ht="22.5" customHeight="1">
      <c r="A860" s="184"/>
      <c r="B860" s="184"/>
      <c r="C860" s="184"/>
      <c r="D860" s="184"/>
      <c r="E860" s="184"/>
      <c r="F860" s="184"/>
      <c r="G860" s="184"/>
      <c r="H860" s="184"/>
      <c r="I860" s="184"/>
      <c r="J860" s="184"/>
      <c r="K860" s="184"/>
      <c r="L860" s="184"/>
      <c r="M860" s="184"/>
      <c r="N860" s="184"/>
      <c r="O860" s="184"/>
      <c r="P860" s="184"/>
      <c r="Q860" s="184"/>
      <c r="R860" s="184"/>
      <c r="S860" s="184"/>
      <c r="T860" s="145"/>
      <c r="U860" s="151"/>
      <c r="V860" s="145"/>
      <c r="W860" s="145"/>
      <c r="X860" s="145"/>
      <c r="Y860" s="145"/>
      <c r="Z860" s="145"/>
      <c r="AA860" s="145"/>
      <c r="AB860" s="145"/>
      <c r="AC860" s="145"/>
      <c r="AD860" s="145"/>
      <c r="AE860" s="145"/>
      <c r="AF860" s="145"/>
      <c r="AG860" s="144"/>
      <c r="AH860" s="144"/>
      <c r="AI860" s="144"/>
      <c r="AJ860" s="144"/>
      <c r="AK860" s="144"/>
    </row>
    <row r="861" ht="22.5" customHeight="1">
      <c r="A861" s="183"/>
      <c r="B861" s="183"/>
      <c r="C861" s="183"/>
      <c r="D861" s="183"/>
      <c r="E861" s="183"/>
      <c r="F861" s="183"/>
      <c r="G861" s="183"/>
      <c r="H861" s="183"/>
      <c r="I861" s="183"/>
      <c r="J861" s="183"/>
      <c r="K861" s="183"/>
      <c r="L861" s="183"/>
      <c r="M861" s="183"/>
      <c r="N861" s="183"/>
      <c r="O861" s="183"/>
      <c r="P861" s="183"/>
      <c r="Q861" s="183"/>
      <c r="R861" s="183"/>
      <c r="S861" s="183"/>
      <c r="T861" s="152"/>
      <c r="U861" s="155"/>
      <c r="V861" s="152"/>
      <c r="W861" s="152"/>
      <c r="X861" s="152"/>
      <c r="Y861" s="152"/>
      <c r="Z861" s="152"/>
      <c r="AA861" s="152"/>
      <c r="AB861" s="152"/>
      <c r="AC861" s="152"/>
      <c r="AD861" s="152"/>
      <c r="AE861" s="152"/>
      <c r="AF861" s="152"/>
      <c r="AG861" s="144"/>
      <c r="AH861" s="144"/>
      <c r="AI861" s="144"/>
      <c r="AJ861" s="144"/>
      <c r="AK861" s="144"/>
    </row>
    <row r="862" ht="22.5" customHeight="1">
      <c r="A862" s="184"/>
      <c r="B862" s="184"/>
      <c r="C862" s="184"/>
      <c r="D862" s="184"/>
      <c r="E862" s="184"/>
      <c r="F862" s="184"/>
      <c r="G862" s="184"/>
      <c r="H862" s="184"/>
      <c r="I862" s="184"/>
      <c r="J862" s="184"/>
      <c r="K862" s="184"/>
      <c r="L862" s="184"/>
      <c r="M862" s="184"/>
      <c r="N862" s="184"/>
      <c r="O862" s="184"/>
      <c r="P862" s="184"/>
      <c r="Q862" s="184"/>
      <c r="R862" s="184"/>
      <c r="S862" s="184"/>
      <c r="T862" s="145"/>
      <c r="U862" s="151"/>
      <c r="V862" s="145"/>
      <c r="W862" s="145"/>
      <c r="X862" s="145"/>
      <c r="Y862" s="145"/>
      <c r="Z862" s="145"/>
      <c r="AA862" s="145"/>
      <c r="AB862" s="145"/>
      <c r="AC862" s="145"/>
      <c r="AD862" s="145"/>
      <c r="AE862" s="145"/>
      <c r="AF862" s="145"/>
      <c r="AG862" s="144"/>
      <c r="AH862" s="144"/>
      <c r="AI862" s="144"/>
      <c r="AJ862" s="144"/>
      <c r="AK862" s="144"/>
    </row>
    <row r="863" ht="22.5" customHeight="1">
      <c r="A863" s="183"/>
      <c r="B863" s="183"/>
      <c r="C863" s="183"/>
      <c r="D863" s="183"/>
      <c r="E863" s="183"/>
      <c r="F863" s="183"/>
      <c r="G863" s="183"/>
      <c r="H863" s="183"/>
      <c r="I863" s="183"/>
      <c r="J863" s="183"/>
      <c r="K863" s="183"/>
      <c r="L863" s="183"/>
      <c r="M863" s="183"/>
      <c r="N863" s="183"/>
      <c r="O863" s="183"/>
      <c r="P863" s="183"/>
      <c r="Q863" s="183"/>
      <c r="R863" s="183"/>
      <c r="S863" s="183"/>
      <c r="T863" s="152"/>
      <c r="U863" s="155"/>
      <c r="V863" s="152"/>
      <c r="W863" s="152"/>
      <c r="X863" s="152"/>
      <c r="Y863" s="152"/>
      <c r="Z863" s="152"/>
      <c r="AA863" s="152"/>
      <c r="AB863" s="152"/>
      <c r="AC863" s="152"/>
      <c r="AD863" s="152"/>
      <c r="AE863" s="152"/>
      <c r="AF863" s="152"/>
      <c r="AG863" s="144"/>
      <c r="AH863" s="144"/>
      <c r="AI863" s="144"/>
      <c r="AJ863" s="144"/>
      <c r="AK863" s="144"/>
    </row>
    <row r="864" ht="22.5" customHeight="1">
      <c r="A864" s="184"/>
      <c r="B864" s="184"/>
      <c r="C864" s="184"/>
      <c r="D864" s="184"/>
      <c r="E864" s="184"/>
      <c r="F864" s="184"/>
      <c r="G864" s="184"/>
      <c r="H864" s="184"/>
      <c r="I864" s="184"/>
      <c r="J864" s="184"/>
      <c r="K864" s="184"/>
      <c r="L864" s="184"/>
      <c r="M864" s="184"/>
      <c r="N864" s="184"/>
      <c r="O864" s="184"/>
      <c r="P864" s="184"/>
      <c r="Q864" s="184"/>
      <c r="R864" s="184"/>
      <c r="S864" s="184"/>
      <c r="T864" s="145"/>
      <c r="U864" s="151"/>
      <c r="V864" s="145"/>
      <c r="W864" s="145"/>
      <c r="X864" s="145"/>
      <c r="Y864" s="145"/>
      <c r="Z864" s="145"/>
      <c r="AA864" s="145"/>
      <c r="AB864" s="145"/>
      <c r="AC864" s="145"/>
      <c r="AD864" s="145"/>
      <c r="AE864" s="145"/>
      <c r="AF864" s="145"/>
      <c r="AG864" s="144"/>
      <c r="AH864" s="144"/>
      <c r="AI864" s="144"/>
      <c r="AJ864" s="144"/>
      <c r="AK864" s="144"/>
    </row>
    <row r="865" ht="22.5" customHeight="1">
      <c r="A865" s="183"/>
      <c r="B865" s="183"/>
      <c r="C865" s="183"/>
      <c r="D865" s="183"/>
      <c r="E865" s="183"/>
      <c r="F865" s="183"/>
      <c r="G865" s="183"/>
      <c r="H865" s="183"/>
      <c r="I865" s="183"/>
      <c r="J865" s="183"/>
      <c r="K865" s="183"/>
      <c r="L865" s="183"/>
      <c r="M865" s="183"/>
      <c r="N865" s="183"/>
      <c r="O865" s="183"/>
      <c r="P865" s="183"/>
      <c r="Q865" s="183"/>
      <c r="R865" s="183"/>
      <c r="S865" s="183"/>
      <c r="T865" s="152"/>
      <c r="U865" s="155"/>
      <c r="V865" s="152"/>
      <c r="W865" s="152"/>
      <c r="X865" s="152"/>
      <c r="Y865" s="152"/>
      <c r="Z865" s="152"/>
      <c r="AA865" s="152"/>
      <c r="AB865" s="152"/>
      <c r="AC865" s="152"/>
      <c r="AD865" s="152"/>
      <c r="AE865" s="152"/>
      <c r="AF865" s="152"/>
      <c r="AG865" s="144"/>
      <c r="AH865" s="144"/>
      <c r="AI865" s="144"/>
      <c r="AJ865" s="144"/>
      <c r="AK865" s="144"/>
    </row>
    <row r="866" ht="22.5" customHeight="1">
      <c r="A866" s="184"/>
      <c r="B866" s="184"/>
      <c r="C866" s="184"/>
      <c r="D866" s="184"/>
      <c r="E866" s="184"/>
      <c r="F866" s="184"/>
      <c r="G866" s="184"/>
      <c r="H866" s="184"/>
      <c r="I866" s="184"/>
      <c r="J866" s="184"/>
      <c r="K866" s="184"/>
      <c r="L866" s="184"/>
      <c r="M866" s="184"/>
      <c r="N866" s="184"/>
      <c r="O866" s="184"/>
      <c r="P866" s="184"/>
      <c r="Q866" s="184"/>
      <c r="R866" s="184"/>
      <c r="S866" s="184"/>
      <c r="T866" s="145"/>
      <c r="U866" s="151"/>
      <c r="V866" s="145"/>
      <c r="W866" s="145"/>
      <c r="X866" s="145"/>
      <c r="Y866" s="145"/>
      <c r="Z866" s="145"/>
      <c r="AA866" s="145"/>
      <c r="AB866" s="145"/>
      <c r="AC866" s="145"/>
      <c r="AD866" s="145"/>
      <c r="AE866" s="145"/>
      <c r="AF866" s="145"/>
      <c r="AG866" s="144"/>
      <c r="AH866" s="144"/>
      <c r="AI866" s="144"/>
      <c r="AJ866" s="144"/>
      <c r="AK866" s="144"/>
    </row>
    <row r="867" ht="22.5" customHeight="1">
      <c r="A867" s="183"/>
      <c r="B867" s="183"/>
      <c r="C867" s="183"/>
      <c r="D867" s="183"/>
      <c r="E867" s="183"/>
      <c r="F867" s="183"/>
      <c r="G867" s="183"/>
      <c r="H867" s="183"/>
      <c r="I867" s="183"/>
      <c r="J867" s="183"/>
      <c r="K867" s="183"/>
      <c r="L867" s="183"/>
      <c r="M867" s="183"/>
      <c r="N867" s="183"/>
      <c r="O867" s="183"/>
      <c r="P867" s="183"/>
      <c r="Q867" s="183"/>
      <c r="R867" s="183"/>
      <c r="S867" s="183"/>
      <c r="T867" s="152"/>
      <c r="U867" s="155"/>
      <c r="V867" s="152"/>
      <c r="W867" s="152"/>
      <c r="X867" s="152"/>
      <c r="Y867" s="152"/>
      <c r="Z867" s="152"/>
      <c r="AA867" s="152"/>
      <c r="AB867" s="152"/>
      <c r="AC867" s="152"/>
      <c r="AD867" s="152"/>
      <c r="AE867" s="152"/>
      <c r="AF867" s="152"/>
      <c r="AG867" s="144"/>
      <c r="AH867" s="144"/>
      <c r="AI867" s="144"/>
      <c r="AJ867" s="144"/>
      <c r="AK867" s="144"/>
    </row>
    <row r="868" ht="22.5" customHeight="1">
      <c r="A868" s="184"/>
      <c r="B868" s="184"/>
      <c r="C868" s="184"/>
      <c r="D868" s="184"/>
      <c r="E868" s="184"/>
      <c r="F868" s="184"/>
      <c r="G868" s="184"/>
      <c r="H868" s="184"/>
      <c r="I868" s="184"/>
      <c r="J868" s="184"/>
      <c r="K868" s="184"/>
      <c r="L868" s="184"/>
      <c r="M868" s="184"/>
      <c r="N868" s="184"/>
      <c r="O868" s="184"/>
      <c r="P868" s="184"/>
      <c r="Q868" s="184"/>
      <c r="R868" s="184"/>
      <c r="S868" s="184"/>
      <c r="T868" s="145"/>
      <c r="U868" s="151"/>
      <c r="V868" s="145"/>
      <c r="W868" s="145"/>
      <c r="X868" s="145"/>
      <c r="Y868" s="145"/>
      <c r="Z868" s="145"/>
      <c r="AA868" s="145"/>
      <c r="AB868" s="145"/>
      <c r="AC868" s="145"/>
      <c r="AD868" s="145"/>
      <c r="AE868" s="145"/>
      <c r="AF868" s="145"/>
      <c r="AG868" s="144"/>
      <c r="AH868" s="144"/>
      <c r="AI868" s="144"/>
      <c r="AJ868" s="144"/>
      <c r="AK868" s="144"/>
    </row>
    <row r="869" ht="22.5" customHeight="1">
      <c r="A869" s="183"/>
      <c r="B869" s="183"/>
      <c r="C869" s="183"/>
      <c r="D869" s="183"/>
      <c r="E869" s="183"/>
      <c r="F869" s="183"/>
      <c r="G869" s="183"/>
      <c r="H869" s="183"/>
      <c r="I869" s="183"/>
      <c r="J869" s="183"/>
      <c r="K869" s="183"/>
      <c r="L869" s="183"/>
      <c r="M869" s="183"/>
      <c r="N869" s="183"/>
      <c r="O869" s="183"/>
      <c r="P869" s="183"/>
      <c r="Q869" s="183"/>
      <c r="R869" s="183"/>
      <c r="S869" s="183"/>
      <c r="T869" s="152"/>
      <c r="U869" s="155"/>
      <c r="V869" s="152"/>
      <c r="W869" s="152"/>
      <c r="X869" s="152"/>
      <c r="Y869" s="152"/>
      <c r="Z869" s="152"/>
      <c r="AA869" s="152"/>
      <c r="AB869" s="152"/>
      <c r="AC869" s="152"/>
      <c r="AD869" s="152"/>
      <c r="AE869" s="152"/>
      <c r="AF869" s="152"/>
      <c r="AG869" s="144"/>
      <c r="AH869" s="144"/>
      <c r="AI869" s="144"/>
      <c r="AJ869" s="144"/>
      <c r="AK869" s="144"/>
    </row>
    <row r="870" ht="22.5" customHeight="1">
      <c r="A870" s="184"/>
      <c r="B870" s="184"/>
      <c r="C870" s="184"/>
      <c r="D870" s="184"/>
      <c r="E870" s="184"/>
      <c r="F870" s="184"/>
      <c r="G870" s="184"/>
      <c r="H870" s="184"/>
      <c r="I870" s="184"/>
      <c r="J870" s="184"/>
      <c r="K870" s="184"/>
      <c r="L870" s="184"/>
      <c r="M870" s="184"/>
      <c r="N870" s="184"/>
      <c r="O870" s="184"/>
      <c r="P870" s="184"/>
      <c r="Q870" s="184"/>
      <c r="R870" s="184"/>
      <c r="S870" s="184"/>
      <c r="T870" s="145"/>
      <c r="U870" s="151"/>
      <c r="V870" s="145"/>
      <c r="W870" s="145"/>
      <c r="X870" s="145"/>
      <c r="Y870" s="145"/>
      <c r="Z870" s="145"/>
      <c r="AA870" s="145"/>
      <c r="AB870" s="145"/>
      <c r="AC870" s="145"/>
      <c r="AD870" s="145"/>
      <c r="AE870" s="145"/>
      <c r="AF870" s="145"/>
      <c r="AG870" s="144"/>
      <c r="AH870" s="144"/>
      <c r="AI870" s="144"/>
      <c r="AJ870" s="144"/>
      <c r="AK870" s="144"/>
    </row>
    <row r="871" ht="22.5" customHeight="1">
      <c r="A871" s="183"/>
      <c r="B871" s="183"/>
      <c r="C871" s="183"/>
      <c r="D871" s="183"/>
      <c r="E871" s="183"/>
      <c r="F871" s="183"/>
      <c r="G871" s="183"/>
      <c r="H871" s="183"/>
      <c r="I871" s="183"/>
      <c r="J871" s="183"/>
      <c r="K871" s="183"/>
      <c r="L871" s="183"/>
      <c r="M871" s="183"/>
      <c r="N871" s="183"/>
      <c r="O871" s="183"/>
      <c r="P871" s="183"/>
      <c r="Q871" s="183"/>
      <c r="R871" s="183"/>
      <c r="S871" s="183"/>
      <c r="T871" s="152"/>
      <c r="U871" s="155"/>
      <c r="V871" s="152"/>
      <c r="W871" s="152"/>
      <c r="X871" s="152"/>
      <c r="Y871" s="152"/>
      <c r="Z871" s="152"/>
      <c r="AA871" s="152"/>
      <c r="AB871" s="152"/>
      <c r="AC871" s="152"/>
      <c r="AD871" s="152"/>
      <c r="AE871" s="152"/>
      <c r="AF871" s="152"/>
      <c r="AG871" s="144"/>
      <c r="AH871" s="144"/>
      <c r="AI871" s="144"/>
      <c r="AJ871" s="144"/>
      <c r="AK871" s="144"/>
    </row>
    <row r="872" ht="22.5" customHeight="1">
      <c r="A872" s="184"/>
      <c r="B872" s="184"/>
      <c r="C872" s="184"/>
      <c r="D872" s="184"/>
      <c r="E872" s="184"/>
      <c r="F872" s="184"/>
      <c r="G872" s="184"/>
      <c r="H872" s="184"/>
      <c r="I872" s="184"/>
      <c r="J872" s="184"/>
      <c r="K872" s="184"/>
      <c r="L872" s="184"/>
      <c r="M872" s="184"/>
      <c r="N872" s="184"/>
      <c r="O872" s="184"/>
      <c r="P872" s="184"/>
      <c r="Q872" s="184"/>
      <c r="R872" s="184"/>
      <c r="S872" s="184"/>
      <c r="T872" s="145"/>
      <c r="U872" s="151"/>
      <c r="V872" s="145"/>
      <c r="W872" s="145"/>
      <c r="X872" s="145"/>
      <c r="Y872" s="145"/>
      <c r="Z872" s="145"/>
      <c r="AA872" s="145"/>
      <c r="AB872" s="145"/>
      <c r="AC872" s="145"/>
      <c r="AD872" s="145"/>
      <c r="AE872" s="145"/>
      <c r="AF872" s="145"/>
      <c r="AG872" s="144"/>
      <c r="AH872" s="144"/>
      <c r="AI872" s="144"/>
      <c r="AJ872" s="144"/>
      <c r="AK872" s="144"/>
    </row>
    <row r="873" ht="22.5" customHeight="1">
      <c r="A873" s="183"/>
      <c r="B873" s="183"/>
      <c r="C873" s="183"/>
      <c r="D873" s="183"/>
      <c r="E873" s="183"/>
      <c r="F873" s="183"/>
      <c r="G873" s="183"/>
      <c r="H873" s="183"/>
      <c r="I873" s="183"/>
      <c r="J873" s="183"/>
      <c r="K873" s="183"/>
      <c r="L873" s="183"/>
      <c r="M873" s="183"/>
      <c r="N873" s="183"/>
      <c r="O873" s="183"/>
      <c r="P873" s="183"/>
      <c r="Q873" s="183"/>
      <c r="R873" s="183"/>
      <c r="S873" s="183"/>
      <c r="T873" s="152"/>
      <c r="U873" s="155"/>
      <c r="V873" s="152"/>
      <c r="W873" s="152"/>
      <c r="X873" s="152"/>
      <c r="Y873" s="152"/>
      <c r="Z873" s="152"/>
      <c r="AA873" s="152"/>
      <c r="AB873" s="152"/>
      <c r="AC873" s="152"/>
      <c r="AD873" s="152"/>
      <c r="AE873" s="152"/>
      <c r="AF873" s="152"/>
      <c r="AG873" s="144"/>
      <c r="AH873" s="144"/>
      <c r="AI873" s="144"/>
      <c r="AJ873" s="144"/>
      <c r="AK873" s="144"/>
    </row>
    <row r="874" ht="22.5" customHeight="1">
      <c r="A874" s="184"/>
      <c r="B874" s="184"/>
      <c r="C874" s="184"/>
      <c r="D874" s="184"/>
      <c r="E874" s="184"/>
      <c r="F874" s="184"/>
      <c r="G874" s="184"/>
      <c r="H874" s="184"/>
      <c r="I874" s="184"/>
      <c r="J874" s="184"/>
      <c r="K874" s="184"/>
      <c r="L874" s="184"/>
      <c r="M874" s="184"/>
      <c r="N874" s="184"/>
      <c r="O874" s="184"/>
      <c r="P874" s="184"/>
      <c r="Q874" s="184"/>
      <c r="R874" s="184"/>
      <c r="S874" s="184"/>
      <c r="T874" s="145"/>
      <c r="U874" s="151"/>
      <c r="V874" s="145"/>
      <c r="W874" s="145"/>
      <c r="X874" s="145"/>
      <c r="Y874" s="145"/>
      <c r="Z874" s="145"/>
      <c r="AA874" s="145"/>
      <c r="AB874" s="145"/>
      <c r="AC874" s="145"/>
      <c r="AD874" s="145"/>
      <c r="AE874" s="145"/>
      <c r="AF874" s="145"/>
      <c r="AG874" s="144"/>
      <c r="AH874" s="144"/>
      <c r="AI874" s="144"/>
      <c r="AJ874" s="144"/>
      <c r="AK874" s="144"/>
    </row>
    <row r="875" ht="22.5" customHeight="1">
      <c r="A875" s="183"/>
      <c r="B875" s="183"/>
      <c r="C875" s="183"/>
      <c r="D875" s="183"/>
      <c r="E875" s="183"/>
      <c r="F875" s="183"/>
      <c r="G875" s="183"/>
      <c r="H875" s="183"/>
      <c r="I875" s="183"/>
      <c r="J875" s="183"/>
      <c r="K875" s="183"/>
      <c r="L875" s="183"/>
      <c r="M875" s="183"/>
      <c r="N875" s="183"/>
      <c r="O875" s="183"/>
      <c r="P875" s="183"/>
      <c r="Q875" s="183"/>
      <c r="R875" s="183"/>
      <c r="S875" s="183"/>
      <c r="T875" s="152"/>
      <c r="U875" s="155"/>
      <c r="V875" s="152"/>
      <c r="W875" s="152"/>
      <c r="X875" s="152"/>
      <c r="Y875" s="152"/>
      <c r="Z875" s="152"/>
      <c r="AA875" s="152"/>
      <c r="AB875" s="152"/>
      <c r="AC875" s="152"/>
      <c r="AD875" s="152"/>
      <c r="AE875" s="152"/>
      <c r="AF875" s="152"/>
      <c r="AG875" s="144"/>
      <c r="AH875" s="144"/>
      <c r="AI875" s="144"/>
      <c r="AJ875" s="144"/>
      <c r="AK875" s="144"/>
    </row>
    <row r="876" ht="22.5" customHeight="1">
      <c r="A876" s="184"/>
      <c r="B876" s="184"/>
      <c r="C876" s="184"/>
      <c r="D876" s="184"/>
      <c r="E876" s="184"/>
      <c r="F876" s="184"/>
      <c r="G876" s="184"/>
      <c r="H876" s="184"/>
      <c r="I876" s="184"/>
      <c r="J876" s="184"/>
      <c r="K876" s="184"/>
      <c r="L876" s="184"/>
      <c r="M876" s="184"/>
      <c r="N876" s="184"/>
      <c r="O876" s="184"/>
      <c r="P876" s="184"/>
      <c r="Q876" s="184"/>
      <c r="R876" s="184"/>
      <c r="S876" s="184"/>
      <c r="T876" s="145"/>
      <c r="U876" s="151"/>
      <c r="V876" s="145"/>
      <c r="W876" s="145"/>
      <c r="X876" s="145"/>
      <c r="Y876" s="145"/>
      <c r="Z876" s="145"/>
      <c r="AA876" s="145"/>
      <c r="AB876" s="145"/>
      <c r="AC876" s="145"/>
      <c r="AD876" s="145"/>
      <c r="AE876" s="145"/>
      <c r="AF876" s="145"/>
      <c r="AG876" s="144"/>
      <c r="AH876" s="144"/>
      <c r="AI876" s="144"/>
      <c r="AJ876" s="144"/>
      <c r="AK876" s="144"/>
    </row>
    <row r="877" ht="22.5" customHeight="1">
      <c r="A877" s="183"/>
      <c r="B877" s="183"/>
      <c r="C877" s="183"/>
      <c r="D877" s="183"/>
      <c r="E877" s="183"/>
      <c r="F877" s="183"/>
      <c r="G877" s="183"/>
      <c r="H877" s="183"/>
      <c r="I877" s="183"/>
      <c r="J877" s="183"/>
      <c r="K877" s="183"/>
      <c r="L877" s="183"/>
      <c r="M877" s="183"/>
      <c r="N877" s="183"/>
      <c r="O877" s="183"/>
      <c r="P877" s="183"/>
      <c r="Q877" s="183"/>
      <c r="R877" s="183"/>
      <c r="S877" s="183"/>
      <c r="T877" s="152"/>
      <c r="U877" s="155"/>
      <c r="V877" s="152"/>
      <c r="W877" s="152"/>
      <c r="X877" s="152"/>
      <c r="Y877" s="152"/>
      <c r="Z877" s="152"/>
      <c r="AA877" s="152"/>
      <c r="AB877" s="152"/>
      <c r="AC877" s="152"/>
      <c r="AD877" s="152"/>
      <c r="AE877" s="152"/>
      <c r="AF877" s="152"/>
      <c r="AG877" s="144"/>
      <c r="AH877" s="144"/>
      <c r="AI877" s="144"/>
      <c r="AJ877" s="144"/>
      <c r="AK877" s="144"/>
    </row>
    <row r="878" ht="22.5" customHeight="1">
      <c r="A878" s="184"/>
      <c r="B878" s="184"/>
      <c r="C878" s="184"/>
      <c r="D878" s="184"/>
      <c r="E878" s="184"/>
      <c r="F878" s="184"/>
      <c r="G878" s="184"/>
      <c r="H878" s="184"/>
      <c r="I878" s="184"/>
      <c r="J878" s="184"/>
      <c r="K878" s="184"/>
      <c r="L878" s="184"/>
      <c r="M878" s="184"/>
      <c r="N878" s="184"/>
      <c r="O878" s="184"/>
      <c r="P878" s="184"/>
      <c r="Q878" s="184"/>
      <c r="R878" s="184"/>
      <c r="S878" s="184"/>
      <c r="T878" s="145"/>
      <c r="U878" s="151"/>
      <c r="V878" s="145"/>
      <c r="W878" s="145"/>
      <c r="X878" s="145"/>
      <c r="Y878" s="145"/>
      <c r="Z878" s="145"/>
      <c r="AA878" s="145"/>
      <c r="AB878" s="145"/>
      <c r="AC878" s="145"/>
      <c r="AD878" s="145"/>
      <c r="AE878" s="145"/>
      <c r="AF878" s="145"/>
      <c r="AG878" s="144"/>
      <c r="AH878" s="144"/>
      <c r="AI878" s="144"/>
      <c r="AJ878" s="144"/>
      <c r="AK878" s="144"/>
    </row>
    <row r="879" ht="22.5" customHeight="1">
      <c r="A879" s="183"/>
      <c r="B879" s="183"/>
      <c r="C879" s="183"/>
      <c r="D879" s="183"/>
      <c r="E879" s="183"/>
      <c r="F879" s="183"/>
      <c r="G879" s="183"/>
      <c r="H879" s="183"/>
      <c r="I879" s="183"/>
      <c r="J879" s="183"/>
      <c r="K879" s="183"/>
      <c r="L879" s="183"/>
      <c r="M879" s="183"/>
      <c r="N879" s="183"/>
      <c r="O879" s="183"/>
      <c r="P879" s="183"/>
      <c r="Q879" s="183"/>
      <c r="R879" s="183"/>
      <c r="S879" s="183"/>
      <c r="T879" s="152"/>
      <c r="U879" s="155"/>
      <c r="V879" s="152"/>
      <c r="W879" s="152"/>
      <c r="X879" s="152"/>
      <c r="Y879" s="152"/>
      <c r="Z879" s="152"/>
      <c r="AA879" s="152"/>
      <c r="AB879" s="152"/>
      <c r="AC879" s="152"/>
      <c r="AD879" s="152"/>
      <c r="AE879" s="152"/>
      <c r="AF879" s="152"/>
      <c r="AG879" s="144"/>
      <c r="AH879" s="144"/>
      <c r="AI879" s="144"/>
      <c r="AJ879" s="144"/>
      <c r="AK879" s="144"/>
    </row>
    <row r="880" ht="22.5" customHeight="1">
      <c r="A880" s="184"/>
      <c r="B880" s="184"/>
      <c r="C880" s="184"/>
      <c r="D880" s="184"/>
      <c r="E880" s="184"/>
      <c r="F880" s="184"/>
      <c r="G880" s="184"/>
      <c r="H880" s="184"/>
      <c r="I880" s="184"/>
      <c r="J880" s="184"/>
      <c r="K880" s="184"/>
      <c r="L880" s="184"/>
      <c r="M880" s="184"/>
      <c r="N880" s="184"/>
      <c r="O880" s="184"/>
      <c r="P880" s="184"/>
      <c r="Q880" s="184"/>
      <c r="R880" s="184"/>
      <c r="S880" s="184"/>
      <c r="T880" s="145"/>
      <c r="U880" s="151"/>
      <c r="V880" s="145"/>
      <c r="W880" s="145"/>
      <c r="X880" s="145"/>
      <c r="Y880" s="145"/>
      <c r="Z880" s="145"/>
      <c r="AA880" s="145"/>
      <c r="AB880" s="145"/>
      <c r="AC880" s="145"/>
      <c r="AD880" s="145"/>
      <c r="AE880" s="145"/>
      <c r="AF880" s="145"/>
      <c r="AG880" s="144"/>
      <c r="AH880" s="144"/>
      <c r="AI880" s="144"/>
      <c r="AJ880" s="144"/>
      <c r="AK880" s="144"/>
    </row>
    <row r="881" ht="22.5" customHeight="1">
      <c r="A881" s="183"/>
      <c r="B881" s="183"/>
      <c r="C881" s="183"/>
      <c r="D881" s="183"/>
      <c r="E881" s="183"/>
      <c r="F881" s="183"/>
      <c r="G881" s="183"/>
      <c r="H881" s="183"/>
      <c r="I881" s="183"/>
      <c r="J881" s="183"/>
      <c r="K881" s="183"/>
      <c r="L881" s="183"/>
      <c r="M881" s="183"/>
      <c r="N881" s="183"/>
      <c r="O881" s="183"/>
      <c r="P881" s="183"/>
      <c r="Q881" s="183"/>
      <c r="R881" s="183"/>
      <c r="S881" s="183"/>
      <c r="T881" s="152"/>
      <c r="U881" s="155"/>
      <c r="V881" s="152"/>
      <c r="W881" s="152"/>
      <c r="X881" s="152"/>
      <c r="Y881" s="152"/>
      <c r="Z881" s="152"/>
      <c r="AA881" s="152"/>
      <c r="AB881" s="152"/>
      <c r="AC881" s="152"/>
      <c r="AD881" s="152"/>
      <c r="AE881" s="152"/>
      <c r="AF881" s="152"/>
      <c r="AG881" s="144"/>
      <c r="AH881" s="144"/>
      <c r="AI881" s="144"/>
      <c r="AJ881" s="144"/>
      <c r="AK881" s="144"/>
    </row>
    <row r="882" ht="22.5" customHeight="1">
      <c r="A882" s="184"/>
      <c r="B882" s="184"/>
      <c r="C882" s="184"/>
      <c r="D882" s="184"/>
      <c r="E882" s="184"/>
      <c r="F882" s="184"/>
      <c r="G882" s="184"/>
      <c r="H882" s="184"/>
      <c r="I882" s="184"/>
      <c r="J882" s="184"/>
      <c r="K882" s="184"/>
      <c r="L882" s="184"/>
      <c r="M882" s="184"/>
      <c r="N882" s="184"/>
      <c r="O882" s="184"/>
      <c r="P882" s="184"/>
      <c r="Q882" s="184"/>
      <c r="R882" s="184"/>
      <c r="S882" s="184"/>
      <c r="T882" s="145"/>
      <c r="U882" s="151"/>
      <c r="V882" s="145"/>
      <c r="W882" s="145"/>
      <c r="X882" s="145"/>
      <c r="Y882" s="145"/>
      <c r="Z882" s="145"/>
      <c r="AA882" s="145"/>
      <c r="AB882" s="145"/>
      <c r="AC882" s="145"/>
      <c r="AD882" s="145"/>
      <c r="AE882" s="145"/>
      <c r="AF882" s="145"/>
      <c r="AG882" s="144"/>
      <c r="AH882" s="144"/>
      <c r="AI882" s="144"/>
      <c r="AJ882" s="144"/>
      <c r="AK882" s="144"/>
    </row>
    <row r="883" ht="22.5" customHeight="1">
      <c r="A883" s="183"/>
      <c r="B883" s="183"/>
      <c r="C883" s="183"/>
      <c r="D883" s="183"/>
      <c r="E883" s="183"/>
      <c r="F883" s="183"/>
      <c r="G883" s="183"/>
      <c r="H883" s="183"/>
      <c r="I883" s="183"/>
      <c r="J883" s="183"/>
      <c r="K883" s="183"/>
      <c r="L883" s="183"/>
      <c r="M883" s="183"/>
      <c r="N883" s="183"/>
      <c r="O883" s="183"/>
      <c r="P883" s="183"/>
      <c r="Q883" s="183"/>
      <c r="R883" s="183"/>
      <c r="S883" s="183"/>
      <c r="T883" s="152"/>
      <c r="U883" s="155"/>
      <c r="V883" s="152"/>
      <c r="W883" s="152"/>
      <c r="X883" s="152"/>
      <c r="Y883" s="152"/>
      <c r="Z883" s="152"/>
      <c r="AA883" s="152"/>
      <c r="AB883" s="152"/>
      <c r="AC883" s="152"/>
      <c r="AD883" s="152"/>
      <c r="AE883" s="152"/>
      <c r="AF883" s="152"/>
      <c r="AG883" s="144"/>
      <c r="AH883" s="144"/>
      <c r="AI883" s="144"/>
      <c r="AJ883" s="144"/>
      <c r="AK883" s="144"/>
    </row>
    <row r="884" ht="22.5" customHeight="1">
      <c r="A884" s="184"/>
      <c r="B884" s="184"/>
      <c r="C884" s="184"/>
      <c r="D884" s="184"/>
      <c r="E884" s="184"/>
      <c r="F884" s="184"/>
      <c r="G884" s="184"/>
      <c r="H884" s="184"/>
      <c r="I884" s="184"/>
      <c r="J884" s="184"/>
      <c r="K884" s="184"/>
      <c r="L884" s="184"/>
      <c r="M884" s="184"/>
      <c r="N884" s="184"/>
      <c r="O884" s="184"/>
      <c r="P884" s="184"/>
      <c r="Q884" s="184"/>
      <c r="R884" s="184"/>
      <c r="S884" s="184"/>
      <c r="T884" s="145"/>
      <c r="U884" s="151"/>
      <c r="V884" s="145"/>
      <c r="W884" s="145"/>
      <c r="X884" s="145"/>
      <c r="Y884" s="145"/>
      <c r="Z884" s="145"/>
      <c r="AA884" s="145"/>
      <c r="AB884" s="145"/>
      <c r="AC884" s="145"/>
      <c r="AD884" s="145"/>
      <c r="AE884" s="145"/>
      <c r="AF884" s="145"/>
      <c r="AG884" s="144"/>
      <c r="AH884" s="144"/>
      <c r="AI884" s="144"/>
      <c r="AJ884" s="144"/>
      <c r="AK884" s="144"/>
    </row>
    <row r="885" ht="22.5" customHeight="1">
      <c r="A885" s="183"/>
      <c r="B885" s="183"/>
      <c r="C885" s="183"/>
      <c r="D885" s="183"/>
      <c r="E885" s="183"/>
      <c r="F885" s="183"/>
      <c r="G885" s="183"/>
      <c r="H885" s="183"/>
      <c r="I885" s="183"/>
      <c r="J885" s="183"/>
      <c r="K885" s="183"/>
      <c r="L885" s="183"/>
      <c r="M885" s="183"/>
      <c r="N885" s="183"/>
      <c r="O885" s="183"/>
      <c r="P885" s="183"/>
      <c r="Q885" s="183"/>
      <c r="R885" s="183"/>
      <c r="S885" s="183"/>
      <c r="T885" s="152"/>
      <c r="U885" s="155"/>
      <c r="V885" s="152"/>
      <c r="W885" s="152"/>
      <c r="X885" s="152"/>
      <c r="Y885" s="152"/>
      <c r="Z885" s="152"/>
      <c r="AA885" s="152"/>
      <c r="AB885" s="152"/>
      <c r="AC885" s="152"/>
      <c r="AD885" s="152"/>
      <c r="AE885" s="152"/>
      <c r="AF885" s="152"/>
      <c r="AG885" s="144"/>
      <c r="AH885" s="144"/>
      <c r="AI885" s="144"/>
      <c r="AJ885" s="144"/>
      <c r="AK885" s="144"/>
    </row>
    <row r="886" ht="22.5" customHeight="1">
      <c r="A886" s="184"/>
      <c r="B886" s="184"/>
      <c r="C886" s="184"/>
      <c r="D886" s="184"/>
      <c r="E886" s="184"/>
      <c r="F886" s="184"/>
      <c r="G886" s="184"/>
      <c r="H886" s="184"/>
      <c r="I886" s="184"/>
      <c r="J886" s="184"/>
      <c r="K886" s="184"/>
      <c r="L886" s="184"/>
      <c r="M886" s="184"/>
      <c r="N886" s="184"/>
      <c r="O886" s="184"/>
      <c r="P886" s="184"/>
      <c r="Q886" s="184"/>
      <c r="R886" s="184"/>
      <c r="S886" s="184"/>
      <c r="T886" s="145"/>
      <c r="U886" s="151"/>
      <c r="V886" s="145"/>
      <c r="W886" s="145"/>
      <c r="X886" s="145"/>
      <c r="Y886" s="145"/>
      <c r="Z886" s="145"/>
      <c r="AA886" s="145"/>
      <c r="AB886" s="145"/>
      <c r="AC886" s="145"/>
      <c r="AD886" s="145"/>
      <c r="AE886" s="145"/>
      <c r="AF886" s="145"/>
      <c r="AG886" s="144"/>
      <c r="AH886" s="144"/>
      <c r="AI886" s="144"/>
      <c r="AJ886" s="144"/>
      <c r="AK886" s="144"/>
    </row>
    <row r="887" ht="22.5" customHeight="1">
      <c r="A887" s="183"/>
      <c r="B887" s="183"/>
      <c r="C887" s="183"/>
      <c r="D887" s="183"/>
      <c r="E887" s="183"/>
      <c r="F887" s="183"/>
      <c r="G887" s="183"/>
      <c r="H887" s="183"/>
      <c r="I887" s="183"/>
      <c r="J887" s="183"/>
      <c r="K887" s="183"/>
      <c r="L887" s="183"/>
      <c r="M887" s="183"/>
      <c r="N887" s="183"/>
      <c r="O887" s="183"/>
      <c r="P887" s="183"/>
      <c r="Q887" s="183"/>
      <c r="R887" s="183"/>
      <c r="S887" s="183"/>
      <c r="T887" s="152"/>
      <c r="U887" s="155"/>
      <c r="V887" s="152"/>
      <c r="W887" s="152"/>
      <c r="X887" s="152"/>
      <c r="Y887" s="152"/>
      <c r="Z887" s="152"/>
      <c r="AA887" s="152"/>
      <c r="AB887" s="152"/>
      <c r="AC887" s="152"/>
      <c r="AD887" s="152"/>
      <c r="AE887" s="152"/>
      <c r="AF887" s="152"/>
      <c r="AG887" s="144"/>
      <c r="AH887" s="144"/>
      <c r="AI887" s="144"/>
      <c r="AJ887" s="144"/>
      <c r="AK887" s="144"/>
    </row>
    <row r="888" ht="22.5" customHeight="1">
      <c r="A888" s="184"/>
      <c r="B888" s="184"/>
      <c r="C888" s="184"/>
      <c r="D888" s="184"/>
      <c r="E888" s="184"/>
      <c r="F888" s="184"/>
      <c r="G888" s="184"/>
      <c r="H888" s="184"/>
      <c r="I888" s="184"/>
      <c r="J888" s="184"/>
      <c r="K888" s="184"/>
      <c r="L888" s="184"/>
      <c r="M888" s="184"/>
      <c r="N888" s="184"/>
      <c r="O888" s="184"/>
      <c r="P888" s="184"/>
      <c r="Q888" s="184"/>
      <c r="R888" s="184"/>
      <c r="S888" s="184"/>
      <c r="T888" s="145"/>
      <c r="U888" s="151"/>
      <c r="V888" s="145"/>
      <c r="W888" s="145"/>
      <c r="X888" s="145"/>
      <c r="Y888" s="145"/>
      <c r="Z888" s="145"/>
      <c r="AA888" s="145"/>
      <c r="AB888" s="145"/>
      <c r="AC888" s="145"/>
      <c r="AD888" s="145"/>
      <c r="AE888" s="145"/>
      <c r="AF888" s="145"/>
      <c r="AG888" s="144"/>
      <c r="AH888" s="144"/>
      <c r="AI888" s="144"/>
      <c r="AJ888" s="144"/>
      <c r="AK888" s="144"/>
    </row>
    <row r="889" ht="22.5" customHeight="1">
      <c r="A889" s="183"/>
      <c r="B889" s="183"/>
      <c r="C889" s="183"/>
      <c r="D889" s="183"/>
      <c r="E889" s="183"/>
      <c r="F889" s="183"/>
      <c r="G889" s="183"/>
      <c r="H889" s="183"/>
      <c r="I889" s="183"/>
      <c r="J889" s="183"/>
      <c r="K889" s="183"/>
      <c r="L889" s="183"/>
      <c r="M889" s="183"/>
      <c r="N889" s="183"/>
      <c r="O889" s="183"/>
      <c r="P889" s="183"/>
      <c r="Q889" s="183"/>
      <c r="R889" s="183"/>
      <c r="S889" s="183"/>
      <c r="T889" s="152"/>
      <c r="U889" s="155"/>
      <c r="V889" s="152"/>
      <c r="W889" s="152"/>
      <c r="X889" s="152"/>
      <c r="Y889" s="152"/>
      <c r="Z889" s="152"/>
      <c r="AA889" s="152"/>
      <c r="AB889" s="152"/>
      <c r="AC889" s="152"/>
      <c r="AD889" s="152"/>
      <c r="AE889" s="152"/>
      <c r="AF889" s="152"/>
      <c r="AG889" s="144"/>
      <c r="AH889" s="144"/>
      <c r="AI889" s="144"/>
      <c r="AJ889" s="144"/>
      <c r="AK889" s="144"/>
    </row>
    <row r="890" ht="22.5" customHeight="1">
      <c r="A890" s="184"/>
      <c r="B890" s="184"/>
      <c r="C890" s="184"/>
      <c r="D890" s="184"/>
      <c r="E890" s="184"/>
      <c r="F890" s="184"/>
      <c r="G890" s="184"/>
      <c r="H890" s="184"/>
      <c r="I890" s="184"/>
      <c r="J890" s="184"/>
      <c r="K890" s="184"/>
      <c r="L890" s="184"/>
      <c r="M890" s="184"/>
      <c r="N890" s="184"/>
      <c r="O890" s="184"/>
      <c r="P890" s="184"/>
      <c r="Q890" s="184"/>
      <c r="R890" s="184"/>
      <c r="S890" s="184"/>
      <c r="T890" s="145"/>
      <c r="U890" s="151"/>
      <c r="V890" s="145"/>
      <c r="W890" s="145"/>
      <c r="X890" s="145"/>
      <c r="Y890" s="145"/>
      <c r="Z890" s="145"/>
      <c r="AA890" s="145"/>
      <c r="AB890" s="145"/>
      <c r="AC890" s="145"/>
      <c r="AD890" s="145"/>
      <c r="AE890" s="145"/>
      <c r="AF890" s="145"/>
      <c r="AG890" s="144"/>
      <c r="AH890" s="144"/>
      <c r="AI890" s="144"/>
      <c r="AJ890" s="144"/>
      <c r="AK890" s="144"/>
    </row>
    <row r="891" ht="22.5" customHeight="1">
      <c r="A891" s="183"/>
      <c r="B891" s="183"/>
      <c r="C891" s="183"/>
      <c r="D891" s="183"/>
      <c r="E891" s="183"/>
      <c r="F891" s="183"/>
      <c r="G891" s="183"/>
      <c r="H891" s="183"/>
      <c r="I891" s="183"/>
      <c r="J891" s="183"/>
      <c r="K891" s="183"/>
      <c r="L891" s="183"/>
      <c r="M891" s="183"/>
      <c r="N891" s="183"/>
      <c r="O891" s="183"/>
      <c r="P891" s="183"/>
      <c r="Q891" s="183"/>
      <c r="R891" s="183"/>
      <c r="S891" s="183"/>
      <c r="T891" s="152"/>
      <c r="U891" s="155"/>
      <c r="V891" s="152"/>
      <c r="W891" s="152"/>
      <c r="X891" s="152"/>
      <c r="Y891" s="152"/>
      <c r="Z891" s="152"/>
      <c r="AA891" s="152"/>
      <c r="AB891" s="152"/>
      <c r="AC891" s="152"/>
      <c r="AD891" s="152"/>
      <c r="AE891" s="152"/>
      <c r="AF891" s="152"/>
      <c r="AG891" s="144"/>
      <c r="AH891" s="144"/>
      <c r="AI891" s="144"/>
      <c r="AJ891" s="144"/>
      <c r="AK891" s="144"/>
    </row>
    <row r="892" ht="22.5" customHeight="1">
      <c r="A892" s="184"/>
      <c r="B892" s="184"/>
      <c r="C892" s="184"/>
      <c r="D892" s="184"/>
      <c r="E892" s="184"/>
      <c r="F892" s="184"/>
      <c r="G892" s="184"/>
      <c r="H892" s="184"/>
      <c r="I892" s="184"/>
      <c r="J892" s="184"/>
      <c r="K892" s="184"/>
      <c r="L892" s="184"/>
      <c r="M892" s="184"/>
      <c r="N892" s="184"/>
      <c r="O892" s="184"/>
      <c r="P892" s="184"/>
      <c r="Q892" s="184"/>
      <c r="R892" s="184"/>
      <c r="S892" s="184"/>
      <c r="T892" s="145"/>
      <c r="U892" s="151"/>
      <c r="V892" s="145"/>
      <c r="W892" s="145"/>
      <c r="X892" s="145"/>
      <c r="Y892" s="145"/>
      <c r="Z892" s="145"/>
      <c r="AA892" s="145"/>
      <c r="AB892" s="145"/>
      <c r="AC892" s="145"/>
      <c r="AD892" s="145"/>
      <c r="AE892" s="145"/>
      <c r="AF892" s="145"/>
      <c r="AG892" s="144"/>
      <c r="AH892" s="144"/>
      <c r="AI892" s="144"/>
      <c r="AJ892" s="144"/>
      <c r="AK892" s="144"/>
    </row>
    <row r="893" ht="22.5" customHeight="1">
      <c r="A893" s="183"/>
      <c r="B893" s="183"/>
      <c r="C893" s="183"/>
      <c r="D893" s="183"/>
      <c r="E893" s="183"/>
      <c r="F893" s="183"/>
      <c r="G893" s="183"/>
      <c r="H893" s="183"/>
      <c r="I893" s="183"/>
      <c r="J893" s="183"/>
      <c r="K893" s="183"/>
      <c r="L893" s="183"/>
      <c r="M893" s="183"/>
      <c r="N893" s="183"/>
      <c r="O893" s="183"/>
      <c r="P893" s="183"/>
      <c r="Q893" s="183"/>
      <c r="R893" s="183"/>
      <c r="S893" s="183"/>
      <c r="T893" s="152"/>
      <c r="U893" s="155"/>
      <c r="V893" s="152"/>
      <c r="W893" s="152"/>
      <c r="X893" s="152"/>
      <c r="Y893" s="152"/>
      <c r="Z893" s="152"/>
      <c r="AA893" s="152"/>
      <c r="AB893" s="152"/>
      <c r="AC893" s="152"/>
      <c r="AD893" s="152"/>
      <c r="AE893" s="152"/>
      <c r="AF893" s="152"/>
      <c r="AG893" s="144"/>
      <c r="AH893" s="144"/>
      <c r="AI893" s="144"/>
      <c r="AJ893" s="144"/>
      <c r="AK893" s="144"/>
    </row>
    <row r="894" ht="22.5" customHeight="1">
      <c r="A894" s="184"/>
      <c r="B894" s="184"/>
      <c r="C894" s="184"/>
      <c r="D894" s="184"/>
      <c r="E894" s="184"/>
      <c r="F894" s="184"/>
      <c r="G894" s="184"/>
      <c r="H894" s="184"/>
      <c r="I894" s="184"/>
      <c r="J894" s="184"/>
      <c r="K894" s="184"/>
      <c r="L894" s="184"/>
      <c r="M894" s="184"/>
      <c r="N894" s="184"/>
      <c r="O894" s="184"/>
      <c r="P894" s="184"/>
      <c r="Q894" s="184"/>
      <c r="R894" s="184"/>
      <c r="S894" s="184"/>
      <c r="T894" s="145"/>
      <c r="U894" s="151"/>
      <c r="V894" s="145"/>
      <c r="W894" s="145"/>
      <c r="X894" s="145"/>
      <c r="Y894" s="145"/>
      <c r="Z894" s="145"/>
      <c r="AA894" s="145"/>
      <c r="AB894" s="145"/>
      <c r="AC894" s="145"/>
      <c r="AD894" s="145"/>
      <c r="AE894" s="145"/>
      <c r="AF894" s="145"/>
      <c r="AG894" s="144"/>
      <c r="AH894" s="144"/>
      <c r="AI894" s="144"/>
      <c r="AJ894" s="144"/>
      <c r="AK894" s="144"/>
    </row>
    <row r="895" ht="22.5" customHeight="1">
      <c r="A895" s="183"/>
      <c r="B895" s="183"/>
      <c r="C895" s="183"/>
      <c r="D895" s="183"/>
      <c r="E895" s="183"/>
      <c r="F895" s="183"/>
      <c r="G895" s="183"/>
      <c r="H895" s="183"/>
      <c r="I895" s="183"/>
      <c r="J895" s="183"/>
      <c r="K895" s="183"/>
      <c r="L895" s="183"/>
      <c r="M895" s="183"/>
      <c r="N895" s="183"/>
      <c r="O895" s="183"/>
      <c r="P895" s="183"/>
      <c r="Q895" s="183"/>
      <c r="R895" s="183"/>
      <c r="S895" s="183"/>
      <c r="T895" s="152"/>
      <c r="U895" s="155"/>
      <c r="V895" s="152"/>
      <c r="W895" s="152"/>
      <c r="X895" s="152"/>
      <c r="Y895" s="152"/>
      <c r="Z895" s="152"/>
      <c r="AA895" s="152"/>
      <c r="AB895" s="152"/>
      <c r="AC895" s="152"/>
      <c r="AD895" s="152"/>
      <c r="AE895" s="152"/>
      <c r="AF895" s="152"/>
      <c r="AG895" s="144"/>
      <c r="AH895" s="144"/>
      <c r="AI895" s="144"/>
      <c r="AJ895" s="144"/>
      <c r="AK895" s="144"/>
    </row>
    <row r="896" ht="22.5" customHeight="1">
      <c r="A896" s="184"/>
      <c r="B896" s="184"/>
      <c r="C896" s="184"/>
      <c r="D896" s="184"/>
      <c r="E896" s="184"/>
      <c r="F896" s="184"/>
      <c r="G896" s="184"/>
      <c r="H896" s="184"/>
      <c r="I896" s="184"/>
      <c r="J896" s="184"/>
      <c r="K896" s="184"/>
      <c r="L896" s="184"/>
      <c r="M896" s="184"/>
      <c r="N896" s="184"/>
      <c r="O896" s="184"/>
      <c r="P896" s="184"/>
      <c r="Q896" s="184"/>
      <c r="R896" s="184"/>
      <c r="S896" s="184"/>
      <c r="T896" s="145"/>
      <c r="U896" s="151"/>
      <c r="V896" s="145"/>
      <c r="W896" s="145"/>
      <c r="X896" s="145"/>
      <c r="Y896" s="145"/>
      <c r="Z896" s="145"/>
      <c r="AA896" s="145"/>
      <c r="AB896" s="145"/>
      <c r="AC896" s="145"/>
      <c r="AD896" s="145"/>
      <c r="AE896" s="145"/>
      <c r="AF896" s="145"/>
      <c r="AG896" s="144"/>
      <c r="AH896" s="144"/>
      <c r="AI896" s="144"/>
      <c r="AJ896" s="144"/>
      <c r="AK896" s="144"/>
    </row>
    <row r="897" ht="22.5" customHeight="1">
      <c r="A897" s="183"/>
      <c r="B897" s="183"/>
      <c r="C897" s="183"/>
      <c r="D897" s="183"/>
      <c r="E897" s="183"/>
      <c r="F897" s="183"/>
      <c r="G897" s="183"/>
      <c r="H897" s="183"/>
      <c r="I897" s="183"/>
      <c r="J897" s="183"/>
      <c r="K897" s="183"/>
      <c r="L897" s="183"/>
      <c r="M897" s="183"/>
      <c r="N897" s="183"/>
      <c r="O897" s="183"/>
      <c r="P897" s="183"/>
      <c r="Q897" s="183"/>
      <c r="R897" s="183"/>
      <c r="S897" s="183"/>
      <c r="T897" s="152"/>
      <c r="U897" s="155"/>
      <c r="V897" s="152"/>
      <c r="W897" s="152"/>
      <c r="X897" s="152"/>
      <c r="Y897" s="152"/>
      <c r="Z897" s="152"/>
      <c r="AA897" s="152"/>
      <c r="AB897" s="152"/>
      <c r="AC897" s="152"/>
      <c r="AD897" s="152"/>
      <c r="AE897" s="152"/>
      <c r="AF897" s="152"/>
      <c r="AG897" s="144"/>
      <c r="AH897" s="144"/>
      <c r="AI897" s="144"/>
      <c r="AJ897" s="144"/>
      <c r="AK897" s="144"/>
    </row>
    <row r="898" ht="22.5" customHeight="1">
      <c r="A898" s="184"/>
      <c r="B898" s="184"/>
      <c r="C898" s="184"/>
      <c r="D898" s="184"/>
      <c r="E898" s="184"/>
      <c r="F898" s="184"/>
      <c r="G898" s="184"/>
      <c r="H898" s="184"/>
      <c r="I898" s="184"/>
      <c r="J898" s="184"/>
      <c r="K898" s="184"/>
      <c r="L898" s="184"/>
      <c r="M898" s="184"/>
      <c r="N898" s="184"/>
      <c r="O898" s="184"/>
      <c r="P898" s="184"/>
      <c r="Q898" s="184"/>
      <c r="R898" s="184"/>
      <c r="S898" s="184"/>
      <c r="T898" s="145"/>
      <c r="U898" s="151"/>
      <c r="V898" s="145"/>
      <c r="W898" s="145"/>
      <c r="X898" s="145"/>
      <c r="Y898" s="145"/>
      <c r="Z898" s="145"/>
      <c r="AA898" s="145"/>
      <c r="AB898" s="145"/>
      <c r="AC898" s="145"/>
      <c r="AD898" s="145"/>
      <c r="AE898" s="145"/>
      <c r="AF898" s="145"/>
      <c r="AG898" s="144"/>
      <c r="AH898" s="144"/>
      <c r="AI898" s="144"/>
      <c r="AJ898" s="144"/>
      <c r="AK898" s="144"/>
    </row>
    <row r="899" ht="22.5" customHeight="1">
      <c r="A899" s="183"/>
      <c r="B899" s="183"/>
      <c r="C899" s="183"/>
      <c r="D899" s="183"/>
      <c r="E899" s="183"/>
      <c r="F899" s="183"/>
      <c r="G899" s="183"/>
      <c r="H899" s="183"/>
      <c r="I899" s="183"/>
      <c r="J899" s="183"/>
      <c r="K899" s="183"/>
      <c r="L899" s="183"/>
      <c r="M899" s="183"/>
      <c r="N899" s="183"/>
      <c r="O899" s="183"/>
      <c r="P899" s="183"/>
      <c r="Q899" s="183"/>
      <c r="R899" s="183"/>
      <c r="S899" s="183"/>
      <c r="T899" s="152"/>
      <c r="U899" s="155"/>
      <c r="V899" s="152"/>
      <c r="W899" s="152"/>
      <c r="X899" s="152"/>
      <c r="Y899" s="152"/>
      <c r="Z899" s="152"/>
      <c r="AA899" s="152"/>
      <c r="AB899" s="152"/>
      <c r="AC899" s="152"/>
      <c r="AD899" s="152"/>
      <c r="AE899" s="152"/>
      <c r="AF899" s="152"/>
      <c r="AG899" s="144"/>
      <c r="AH899" s="144"/>
      <c r="AI899" s="144"/>
      <c r="AJ899" s="144"/>
      <c r="AK899" s="144"/>
    </row>
    <row r="900" ht="22.5" customHeight="1">
      <c r="A900" s="184"/>
      <c r="B900" s="184"/>
      <c r="C900" s="184"/>
      <c r="D900" s="184"/>
      <c r="E900" s="184"/>
      <c r="F900" s="184"/>
      <c r="G900" s="184"/>
      <c r="H900" s="184"/>
      <c r="I900" s="184"/>
      <c r="J900" s="184"/>
      <c r="K900" s="184"/>
      <c r="L900" s="184"/>
      <c r="M900" s="184"/>
      <c r="N900" s="184"/>
      <c r="O900" s="184"/>
      <c r="P900" s="184"/>
      <c r="Q900" s="184"/>
      <c r="R900" s="184"/>
      <c r="S900" s="184"/>
      <c r="T900" s="145"/>
      <c r="U900" s="151"/>
      <c r="V900" s="145"/>
      <c r="W900" s="145"/>
      <c r="X900" s="145"/>
      <c r="Y900" s="145"/>
      <c r="Z900" s="145"/>
      <c r="AA900" s="145"/>
      <c r="AB900" s="145"/>
      <c r="AC900" s="145"/>
      <c r="AD900" s="145"/>
      <c r="AE900" s="145"/>
      <c r="AF900" s="145"/>
      <c r="AG900" s="144"/>
      <c r="AH900" s="144"/>
      <c r="AI900" s="144"/>
      <c r="AJ900" s="144"/>
      <c r="AK900" s="144"/>
    </row>
    <row r="901" ht="22.5" customHeight="1">
      <c r="A901" s="183"/>
      <c r="B901" s="183"/>
      <c r="C901" s="183"/>
      <c r="D901" s="183"/>
      <c r="E901" s="183"/>
      <c r="F901" s="183"/>
      <c r="G901" s="183"/>
      <c r="H901" s="183"/>
      <c r="I901" s="183"/>
      <c r="J901" s="183"/>
      <c r="K901" s="183"/>
      <c r="L901" s="183"/>
      <c r="M901" s="183"/>
      <c r="N901" s="183"/>
      <c r="O901" s="183"/>
      <c r="P901" s="183"/>
      <c r="Q901" s="183"/>
      <c r="R901" s="183"/>
      <c r="S901" s="183"/>
      <c r="T901" s="152"/>
      <c r="U901" s="155"/>
      <c r="V901" s="152"/>
      <c r="W901" s="152"/>
      <c r="X901" s="152"/>
      <c r="Y901" s="152"/>
      <c r="Z901" s="152"/>
      <c r="AA901" s="152"/>
      <c r="AB901" s="152"/>
      <c r="AC901" s="152"/>
      <c r="AD901" s="152"/>
      <c r="AE901" s="152"/>
      <c r="AF901" s="152"/>
      <c r="AG901" s="144"/>
      <c r="AH901" s="144"/>
      <c r="AI901" s="144"/>
      <c r="AJ901" s="144"/>
      <c r="AK901" s="144"/>
    </row>
    <row r="902" ht="22.5" customHeight="1">
      <c r="A902" s="184"/>
      <c r="B902" s="184"/>
      <c r="C902" s="184"/>
      <c r="D902" s="184"/>
      <c r="E902" s="184"/>
      <c r="F902" s="184"/>
      <c r="G902" s="184"/>
      <c r="H902" s="184"/>
      <c r="I902" s="184"/>
      <c r="J902" s="184"/>
      <c r="K902" s="184"/>
      <c r="L902" s="184"/>
      <c r="M902" s="184"/>
      <c r="N902" s="184"/>
      <c r="O902" s="184"/>
      <c r="P902" s="184"/>
      <c r="Q902" s="184"/>
      <c r="R902" s="184"/>
      <c r="S902" s="184"/>
      <c r="T902" s="145"/>
      <c r="U902" s="151"/>
      <c r="V902" s="145"/>
      <c r="W902" s="145"/>
      <c r="X902" s="145"/>
      <c r="Y902" s="145"/>
      <c r="Z902" s="145"/>
      <c r="AA902" s="145"/>
      <c r="AB902" s="145"/>
      <c r="AC902" s="145"/>
      <c r="AD902" s="145"/>
      <c r="AE902" s="145"/>
      <c r="AF902" s="145"/>
      <c r="AG902" s="144"/>
      <c r="AH902" s="144"/>
      <c r="AI902" s="144"/>
      <c r="AJ902" s="144"/>
      <c r="AK902" s="144"/>
    </row>
    <row r="903" ht="22.5" customHeight="1">
      <c r="A903" s="183"/>
      <c r="B903" s="183"/>
      <c r="C903" s="183"/>
      <c r="D903" s="183"/>
      <c r="E903" s="183"/>
      <c r="F903" s="183"/>
      <c r="G903" s="183"/>
      <c r="H903" s="183"/>
      <c r="I903" s="183"/>
      <c r="J903" s="183"/>
      <c r="K903" s="183"/>
      <c r="L903" s="183"/>
      <c r="M903" s="183"/>
      <c r="N903" s="183"/>
      <c r="O903" s="183"/>
      <c r="P903" s="183"/>
      <c r="Q903" s="183"/>
      <c r="R903" s="183"/>
      <c r="S903" s="183"/>
      <c r="T903" s="152"/>
      <c r="U903" s="155"/>
      <c r="V903" s="152"/>
      <c r="W903" s="152"/>
      <c r="X903" s="152"/>
      <c r="Y903" s="152"/>
      <c r="Z903" s="152"/>
      <c r="AA903" s="152"/>
      <c r="AB903" s="152"/>
      <c r="AC903" s="152"/>
      <c r="AD903" s="152"/>
      <c r="AE903" s="152"/>
      <c r="AF903" s="152"/>
      <c r="AG903" s="144"/>
      <c r="AH903" s="144"/>
      <c r="AI903" s="144"/>
      <c r="AJ903" s="144"/>
      <c r="AK903" s="144"/>
    </row>
    <row r="904" ht="22.5" customHeight="1">
      <c r="A904" s="184"/>
      <c r="B904" s="184"/>
      <c r="C904" s="184"/>
      <c r="D904" s="184"/>
      <c r="E904" s="184"/>
      <c r="F904" s="184"/>
      <c r="G904" s="184"/>
      <c r="H904" s="184"/>
      <c r="I904" s="184"/>
      <c r="J904" s="184"/>
      <c r="K904" s="184"/>
      <c r="L904" s="184"/>
      <c r="M904" s="184"/>
      <c r="N904" s="184"/>
      <c r="O904" s="184"/>
      <c r="P904" s="184"/>
      <c r="Q904" s="184"/>
      <c r="R904" s="184"/>
      <c r="S904" s="184"/>
      <c r="T904" s="145"/>
      <c r="U904" s="151"/>
      <c r="V904" s="145"/>
      <c r="W904" s="145"/>
      <c r="X904" s="145"/>
      <c r="Y904" s="145"/>
      <c r="Z904" s="145"/>
      <c r="AA904" s="145"/>
      <c r="AB904" s="145"/>
      <c r="AC904" s="145"/>
      <c r="AD904" s="145"/>
      <c r="AE904" s="145"/>
      <c r="AF904" s="145"/>
      <c r="AG904" s="144"/>
      <c r="AH904" s="144"/>
      <c r="AI904" s="144"/>
      <c r="AJ904" s="144"/>
      <c r="AK904" s="144"/>
    </row>
    <row r="905" ht="22.5" customHeight="1">
      <c r="A905" s="183"/>
      <c r="B905" s="183"/>
      <c r="C905" s="183"/>
      <c r="D905" s="183"/>
      <c r="E905" s="183"/>
      <c r="F905" s="183"/>
      <c r="G905" s="183"/>
      <c r="H905" s="183"/>
      <c r="I905" s="183"/>
      <c r="J905" s="183"/>
      <c r="K905" s="183"/>
      <c r="L905" s="183"/>
      <c r="M905" s="183"/>
      <c r="N905" s="183"/>
      <c r="O905" s="183"/>
      <c r="P905" s="183"/>
      <c r="Q905" s="183"/>
      <c r="R905" s="183"/>
      <c r="S905" s="183"/>
      <c r="T905" s="152"/>
      <c r="U905" s="155"/>
      <c r="V905" s="152"/>
      <c r="W905" s="152"/>
      <c r="X905" s="152"/>
      <c r="Y905" s="152"/>
      <c r="Z905" s="152"/>
      <c r="AA905" s="152"/>
      <c r="AB905" s="152"/>
      <c r="AC905" s="152"/>
      <c r="AD905" s="152"/>
      <c r="AE905" s="152"/>
      <c r="AF905" s="152"/>
      <c r="AG905" s="144"/>
      <c r="AH905" s="144"/>
      <c r="AI905" s="144"/>
      <c r="AJ905" s="144"/>
      <c r="AK905" s="144"/>
    </row>
    <row r="906" ht="22.5" customHeight="1">
      <c r="A906" s="184"/>
      <c r="B906" s="184"/>
      <c r="C906" s="184"/>
      <c r="D906" s="184"/>
      <c r="E906" s="184"/>
      <c r="F906" s="184"/>
      <c r="G906" s="184"/>
      <c r="H906" s="184"/>
      <c r="I906" s="184"/>
      <c r="J906" s="184"/>
      <c r="K906" s="184"/>
      <c r="L906" s="184"/>
      <c r="M906" s="184"/>
      <c r="N906" s="184"/>
      <c r="O906" s="184"/>
      <c r="P906" s="184"/>
      <c r="Q906" s="184"/>
      <c r="R906" s="184"/>
      <c r="S906" s="184"/>
      <c r="T906" s="145"/>
      <c r="U906" s="151"/>
      <c r="V906" s="145"/>
      <c r="W906" s="145"/>
      <c r="X906" s="145"/>
      <c r="Y906" s="145"/>
      <c r="Z906" s="145"/>
      <c r="AA906" s="145"/>
      <c r="AB906" s="145"/>
      <c r="AC906" s="145"/>
      <c r="AD906" s="145"/>
      <c r="AE906" s="145"/>
      <c r="AF906" s="145"/>
      <c r="AG906" s="144"/>
      <c r="AH906" s="144"/>
      <c r="AI906" s="144"/>
      <c r="AJ906" s="144"/>
      <c r="AK906" s="144"/>
    </row>
    <row r="907" ht="22.5" customHeight="1">
      <c r="A907" s="183"/>
      <c r="B907" s="183"/>
      <c r="C907" s="183"/>
      <c r="D907" s="183"/>
      <c r="E907" s="183"/>
      <c r="F907" s="183"/>
      <c r="G907" s="183"/>
      <c r="H907" s="183"/>
      <c r="I907" s="183"/>
      <c r="J907" s="183"/>
      <c r="K907" s="183"/>
      <c r="L907" s="183"/>
      <c r="M907" s="183"/>
      <c r="N907" s="183"/>
      <c r="O907" s="183"/>
      <c r="P907" s="183"/>
      <c r="Q907" s="183"/>
      <c r="R907" s="183"/>
      <c r="S907" s="183"/>
      <c r="T907" s="152"/>
      <c r="U907" s="155"/>
      <c r="V907" s="152"/>
      <c r="W907" s="152"/>
      <c r="X907" s="152"/>
      <c r="Y907" s="152"/>
      <c r="Z907" s="152"/>
      <c r="AA907" s="152"/>
      <c r="AB907" s="152"/>
      <c r="AC907" s="152"/>
      <c r="AD907" s="152"/>
      <c r="AE907" s="152"/>
      <c r="AF907" s="152"/>
      <c r="AG907" s="144"/>
      <c r="AH907" s="144"/>
      <c r="AI907" s="144"/>
      <c r="AJ907" s="144"/>
      <c r="AK907" s="144"/>
    </row>
    <row r="908" ht="22.5" customHeight="1">
      <c r="A908" s="184"/>
      <c r="B908" s="184"/>
      <c r="C908" s="184"/>
      <c r="D908" s="184"/>
      <c r="E908" s="184"/>
      <c r="F908" s="184"/>
      <c r="G908" s="184"/>
      <c r="H908" s="184"/>
      <c r="I908" s="184"/>
      <c r="J908" s="184"/>
      <c r="K908" s="184"/>
      <c r="L908" s="184"/>
      <c r="M908" s="184"/>
      <c r="N908" s="184"/>
      <c r="O908" s="184"/>
      <c r="P908" s="184"/>
      <c r="Q908" s="184"/>
      <c r="R908" s="184"/>
      <c r="S908" s="184"/>
      <c r="T908" s="145"/>
      <c r="U908" s="151"/>
      <c r="V908" s="145"/>
      <c r="W908" s="145"/>
      <c r="X908" s="145"/>
      <c r="Y908" s="145"/>
      <c r="Z908" s="145"/>
      <c r="AA908" s="145"/>
      <c r="AB908" s="145"/>
      <c r="AC908" s="145"/>
      <c r="AD908" s="145"/>
      <c r="AE908" s="145"/>
      <c r="AF908" s="145"/>
      <c r="AG908" s="144"/>
      <c r="AH908" s="144"/>
      <c r="AI908" s="144"/>
      <c r="AJ908" s="144"/>
      <c r="AK908" s="144"/>
    </row>
    <row r="909" ht="22.5" customHeight="1">
      <c r="A909" s="183"/>
      <c r="B909" s="183"/>
      <c r="C909" s="183"/>
      <c r="D909" s="183"/>
      <c r="E909" s="183"/>
      <c r="F909" s="183"/>
      <c r="G909" s="183"/>
      <c r="H909" s="183"/>
      <c r="I909" s="183"/>
      <c r="J909" s="183"/>
      <c r="K909" s="183"/>
      <c r="L909" s="183"/>
      <c r="M909" s="183"/>
      <c r="N909" s="183"/>
      <c r="O909" s="183"/>
      <c r="P909" s="183"/>
      <c r="Q909" s="183"/>
      <c r="R909" s="183"/>
      <c r="S909" s="183"/>
      <c r="T909" s="152"/>
      <c r="U909" s="155"/>
      <c r="V909" s="152"/>
      <c r="W909" s="152"/>
      <c r="X909" s="152"/>
      <c r="Y909" s="152"/>
      <c r="Z909" s="152"/>
      <c r="AA909" s="152"/>
      <c r="AB909" s="152"/>
      <c r="AC909" s="152"/>
      <c r="AD909" s="152"/>
      <c r="AE909" s="152"/>
      <c r="AF909" s="152"/>
      <c r="AG909" s="144"/>
      <c r="AH909" s="144"/>
      <c r="AI909" s="144"/>
      <c r="AJ909" s="144"/>
      <c r="AK909" s="144"/>
    </row>
    <row r="910" ht="22.5" customHeight="1">
      <c r="A910" s="184"/>
      <c r="B910" s="184"/>
      <c r="C910" s="184"/>
      <c r="D910" s="184"/>
      <c r="E910" s="184"/>
      <c r="F910" s="184"/>
      <c r="G910" s="184"/>
      <c r="H910" s="184"/>
      <c r="I910" s="184"/>
      <c r="J910" s="184"/>
      <c r="K910" s="184"/>
      <c r="L910" s="184"/>
      <c r="M910" s="184"/>
      <c r="N910" s="184"/>
      <c r="O910" s="184"/>
      <c r="P910" s="184"/>
      <c r="Q910" s="184"/>
      <c r="R910" s="184"/>
      <c r="S910" s="184"/>
      <c r="T910" s="145"/>
      <c r="U910" s="151"/>
      <c r="V910" s="145"/>
      <c r="W910" s="145"/>
      <c r="X910" s="145"/>
      <c r="Y910" s="145"/>
      <c r="Z910" s="145"/>
      <c r="AA910" s="145"/>
      <c r="AB910" s="145"/>
      <c r="AC910" s="145"/>
      <c r="AD910" s="145"/>
      <c r="AE910" s="145"/>
      <c r="AF910" s="145"/>
      <c r="AG910" s="144"/>
      <c r="AH910" s="144"/>
      <c r="AI910" s="144"/>
      <c r="AJ910" s="144"/>
      <c r="AK910" s="144"/>
    </row>
    <row r="911" ht="22.5" customHeight="1">
      <c r="A911" s="183"/>
      <c r="B911" s="183"/>
      <c r="C911" s="183"/>
      <c r="D911" s="183"/>
      <c r="E911" s="183"/>
      <c r="F911" s="183"/>
      <c r="G911" s="183"/>
      <c r="H911" s="183"/>
      <c r="I911" s="183"/>
      <c r="J911" s="183"/>
      <c r="K911" s="183"/>
      <c r="L911" s="183"/>
      <c r="M911" s="183"/>
      <c r="N911" s="183"/>
      <c r="O911" s="183"/>
      <c r="P911" s="183"/>
      <c r="Q911" s="183"/>
      <c r="R911" s="183"/>
      <c r="S911" s="183"/>
      <c r="T911" s="152"/>
      <c r="U911" s="155"/>
      <c r="V911" s="152"/>
      <c r="W911" s="152"/>
      <c r="X911" s="152"/>
      <c r="Y911" s="152"/>
      <c r="Z911" s="152"/>
      <c r="AA911" s="152"/>
      <c r="AB911" s="152"/>
      <c r="AC911" s="152"/>
      <c r="AD911" s="152"/>
      <c r="AE911" s="152"/>
      <c r="AF911" s="152"/>
      <c r="AG911" s="144"/>
      <c r="AH911" s="144"/>
      <c r="AI911" s="144"/>
      <c r="AJ911" s="144"/>
      <c r="AK911" s="144"/>
    </row>
    <row r="912" ht="22.5" customHeight="1">
      <c r="A912" s="184"/>
      <c r="B912" s="184"/>
      <c r="C912" s="184"/>
      <c r="D912" s="184"/>
      <c r="E912" s="184"/>
      <c r="F912" s="184"/>
      <c r="G912" s="184"/>
      <c r="H912" s="184"/>
      <c r="I912" s="184"/>
      <c r="J912" s="184"/>
      <c r="K912" s="184"/>
      <c r="L912" s="184"/>
      <c r="M912" s="184"/>
      <c r="N912" s="184"/>
      <c r="O912" s="184"/>
      <c r="P912" s="184"/>
      <c r="Q912" s="184"/>
      <c r="R912" s="184"/>
      <c r="S912" s="184"/>
      <c r="T912" s="145"/>
      <c r="U912" s="151"/>
      <c r="V912" s="145"/>
      <c r="W912" s="145"/>
      <c r="X912" s="145"/>
      <c r="Y912" s="145"/>
      <c r="Z912" s="145"/>
      <c r="AA912" s="145"/>
      <c r="AB912" s="145"/>
      <c r="AC912" s="145"/>
      <c r="AD912" s="145"/>
      <c r="AE912" s="145"/>
      <c r="AF912" s="145"/>
      <c r="AG912" s="144"/>
      <c r="AH912" s="144"/>
      <c r="AI912" s="144"/>
      <c r="AJ912" s="144"/>
      <c r="AK912" s="144"/>
    </row>
    <row r="913" ht="22.5" customHeight="1">
      <c r="A913" s="183"/>
      <c r="B913" s="183"/>
      <c r="C913" s="183"/>
      <c r="D913" s="183"/>
      <c r="E913" s="183"/>
      <c r="F913" s="183"/>
      <c r="G913" s="183"/>
      <c r="H913" s="183"/>
      <c r="I913" s="183"/>
      <c r="J913" s="183"/>
      <c r="K913" s="183"/>
      <c r="L913" s="183"/>
      <c r="M913" s="183"/>
      <c r="N913" s="183"/>
      <c r="O913" s="183"/>
      <c r="P913" s="183"/>
      <c r="Q913" s="183"/>
      <c r="R913" s="183"/>
      <c r="S913" s="183"/>
      <c r="T913" s="152"/>
      <c r="U913" s="155"/>
      <c r="V913" s="152"/>
      <c r="W913" s="152"/>
      <c r="X913" s="152"/>
      <c r="Y913" s="152"/>
      <c r="Z913" s="152"/>
      <c r="AA913" s="152"/>
      <c r="AB913" s="152"/>
      <c r="AC913" s="152"/>
      <c r="AD913" s="152"/>
      <c r="AE913" s="152"/>
      <c r="AF913" s="152"/>
      <c r="AG913" s="144"/>
      <c r="AH913" s="144"/>
      <c r="AI913" s="144"/>
      <c r="AJ913" s="144"/>
      <c r="AK913" s="144"/>
    </row>
    <row r="914" ht="22.5" customHeight="1">
      <c r="A914" s="184"/>
      <c r="B914" s="184"/>
      <c r="C914" s="184"/>
      <c r="D914" s="184"/>
      <c r="E914" s="184"/>
      <c r="F914" s="184"/>
      <c r="G914" s="184"/>
      <c r="H914" s="184"/>
      <c r="I914" s="184"/>
      <c r="J914" s="184"/>
      <c r="K914" s="184"/>
      <c r="L914" s="184"/>
      <c r="M914" s="184"/>
      <c r="N914" s="184"/>
      <c r="O914" s="184"/>
      <c r="P914" s="184"/>
      <c r="Q914" s="184"/>
      <c r="R914" s="184"/>
      <c r="S914" s="184"/>
      <c r="T914" s="145"/>
      <c r="U914" s="151"/>
      <c r="V914" s="145"/>
      <c r="W914" s="145"/>
      <c r="X914" s="145"/>
      <c r="Y914" s="145"/>
      <c r="Z914" s="145"/>
      <c r="AA914" s="145"/>
      <c r="AB914" s="145"/>
      <c r="AC914" s="145"/>
      <c r="AD914" s="145"/>
      <c r="AE914" s="145"/>
      <c r="AF914" s="145"/>
      <c r="AG914" s="144"/>
      <c r="AH914" s="144"/>
      <c r="AI914" s="144"/>
      <c r="AJ914" s="144"/>
      <c r="AK914" s="144"/>
    </row>
    <row r="915" ht="22.5" customHeight="1">
      <c r="A915" s="183"/>
      <c r="B915" s="183"/>
      <c r="C915" s="183"/>
      <c r="D915" s="183"/>
      <c r="E915" s="183"/>
      <c r="F915" s="183"/>
      <c r="G915" s="183"/>
      <c r="H915" s="183"/>
      <c r="I915" s="183"/>
      <c r="J915" s="183"/>
      <c r="K915" s="183"/>
      <c r="L915" s="183"/>
      <c r="M915" s="183"/>
      <c r="N915" s="183"/>
      <c r="O915" s="183"/>
      <c r="P915" s="183"/>
      <c r="Q915" s="183"/>
      <c r="R915" s="183"/>
      <c r="S915" s="183"/>
      <c r="T915" s="152"/>
      <c r="U915" s="155"/>
      <c r="V915" s="152"/>
      <c r="W915" s="152"/>
      <c r="X915" s="152"/>
      <c r="Y915" s="152"/>
      <c r="Z915" s="152"/>
      <c r="AA915" s="152"/>
      <c r="AB915" s="152"/>
      <c r="AC915" s="152"/>
      <c r="AD915" s="152"/>
      <c r="AE915" s="152"/>
      <c r="AF915" s="152"/>
      <c r="AG915" s="144"/>
      <c r="AH915" s="144"/>
      <c r="AI915" s="144"/>
      <c r="AJ915" s="144"/>
      <c r="AK915" s="144"/>
    </row>
    <row r="916" ht="22.5" customHeight="1">
      <c r="A916" s="184"/>
      <c r="B916" s="184"/>
      <c r="C916" s="184"/>
      <c r="D916" s="184"/>
      <c r="E916" s="184"/>
      <c r="F916" s="184"/>
      <c r="G916" s="184"/>
      <c r="H916" s="184"/>
      <c r="I916" s="184"/>
      <c r="J916" s="184"/>
      <c r="K916" s="184"/>
      <c r="L916" s="184"/>
      <c r="M916" s="184"/>
      <c r="N916" s="184"/>
      <c r="O916" s="184"/>
      <c r="P916" s="184"/>
      <c r="Q916" s="184"/>
      <c r="R916" s="184"/>
      <c r="S916" s="184"/>
      <c r="T916" s="145"/>
      <c r="U916" s="151"/>
      <c r="V916" s="145"/>
      <c r="W916" s="145"/>
      <c r="X916" s="145"/>
      <c r="Y916" s="145"/>
      <c r="Z916" s="145"/>
      <c r="AA916" s="145"/>
      <c r="AB916" s="145"/>
      <c r="AC916" s="145"/>
      <c r="AD916" s="145"/>
      <c r="AE916" s="145"/>
      <c r="AF916" s="145"/>
      <c r="AG916" s="144"/>
      <c r="AH916" s="144"/>
      <c r="AI916" s="144"/>
      <c r="AJ916" s="144"/>
      <c r="AK916" s="144"/>
    </row>
    <row r="917" ht="22.5" customHeight="1">
      <c r="A917" s="183"/>
      <c r="B917" s="183"/>
      <c r="C917" s="183"/>
      <c r="D917" s="183"/>
      <c r="E917" s="183"/>
      <c r="F917" s="183"/>
      <c r="G917" s="183"/>
      <c r="H917" s="183"/>
      <c r="I917" s="183"/>
      <c r="J917" s="183"/>
      <c r="K917" s="183"/>
      <c r="L917" s="183"/>
      <c r="M917" s="183"/>
      <c r="N917" s="183"/>
      <c r="O917" s="183"/>
      <c r="P917" s="183"/>
      <c r="Q917" s="183"/>
      <c r="R917" s="183"/>
      <c r="S917" s="183"/>
      <c r="T917" s="152"/>
      <c r="U917" s="155"/>
      <c r="V917" s="152"/>
      <c r="W917" s="152"/>
      <c r="X917" s="152"/>
      <c r="Y917" s="152"/>
      <c r="Z917" s="152"/>
      <c r="AA917" s="152"/>
      <c r="AB917" s="152"/>
      <c r="AC917" s="152"/>
      <c r="AD917" s="152"/>
      <c r="AE917" s="152"/>
      <c r="AF917" s="152"/>
      <c r="AG917" s="144"/>
      <c r="AH917" s="144"/>
      <c r="AI917" s="144"/>
      <c r="AJ917" s="144"/>
      <c r="AK917" s="144"/>
    </row>
    <row r="918" ht="22.5" customHeight="1">
      <c r="A918" s="184"/>
      <c r="B918" s="184"/>
      <c r="C918" s="184"/>
      <c r="D918" s="184"/>
      <c r="E918" s="184"/>
      <c r="F918" s="184"/>
      <c r="G918" s="184"/>
      <c r="H918" s="184"/>
      <c r="I918" s="184"/>
      <c r="J918" s="184"/>
      <c r="K918" s="184"/>
      <c r="L918" s="184"/>
      <c r="M918" s="184"/>
      <c r="N918" s="184"/>
      <c r="O918" s="184"/>
      <c r="P918" s="184"/>
      <c r="Q918" s="184"/>
      <c r="R918" s="184"/>
      <c r="S918" s="184"/>
      <c r="T918" s="145"/>
      <c r="U918" s="151"/>
      <c r="V918" s="145"/>
      <c r="W918" s="145"/>
      <c r="X918" s="145"/>
      <c r="Y918" s="145"/>
      <c r="Z918" s="145"/>
      <c r="AA918" s="145"/>
      <c r="AB918" s="145"/>
      <c r="AC918" s="145"/>
      <c r="AD918" s="145"/>
      <c r="AE918" s="145"/>
      <c r="AF918" s="145"/>
      <c r="AG918" s="144"/>
      <c r="AH918" s="144"/>
      <c r="AI918" s="144"/>
      <c r="AJ918" s="144"/>
      <c r="AK918" s="144"/>
    </row>
    <row r="919" ht="22.5" customHeight="1">
      <c r="A919" s="183"/>
      <c r="B919" s="183"/>
      <c r="C919" s="183"/>
      <c r="D919" s="183"/>
      <c r="E919" s="183"/>
      <c r="F919" s="183"/>
      <c r="G919" s="183"/>
      <c r="H919" s="183"/>
      <c r="I919" s="183"/>
      <c r="J919" s="183"/>
      <c r="K919" s="183"/>
      <c r="L919" s="183"/>
      <c r="M919" s="183"/>
      <c r="N919" s="183"/>
      <c r="O919" s="183"/>
      <c r="P919" s="183"/>
      <c r="Q919" s="183"/>
      <c r="R919" s="183"/>
      <c r="S919" s="183"/>
      <c r="T919" s="152"/>
      <c r="U919" s="155"/>
      <c r="V919" s="152"/>
      <c r="W919" s="152"/>
      <c r="X919" s="152"/>
      <c r="Y919" s="152"/>
      <c r="Z919" s="152"/>
      <c r="AA919" s="152"/>
      <c r="AB919" s="152"/>
      <c r="AC919" s="152"/>
      <c r="AD919" s="152"/>
      <c r="AE919" s="152"/>
      <c r="AF919" s="152"/>
      <c r="AG919" s="144"/>
      <c r="AH919" s="144"/>
      <c r="AI919" s="144"/>
      <c r="AJ919" s="144"/>
      <c r="AK919" s="144"/>
    </row>
    <row r="920" ht="22.5" customHeight="1">
      <c r="A920" s="184"/>
      <c r="B920" s="184"/>
      <c r="C920" s="184"/>
      <c r="D920" s="184"/>
      <c r="E920" s="184"/>
      <c r="F920" s="184"/>
      <c r="G920" s="184"/>
      <c r="H920" s="184"/>
      <c r="I920" s="184"/>
      <c r="J920" s="184"/>
      <c r="K920" s="184"/>
      <c r="L920" s="184"/>
      <c r="M920" s="184"/>
      <c r="N920" s="184"/>
      <c r="O920" s="184"/>
      <c r="P920" s="184"/>
      <c r="Q920" s="184"/>
      <c r="R920" s="184"/>
      <c r="S920" s="184"/>
      <c r="T920" s="145"/>
      <c r="U920" s="151"/>
      <c r="V920" s="145"/>
      <c r="W920" s="145"/>
      <c r="X920" s="145"/>
      <c r="Y920" s="145"/>
      <c r="Z920" s="145"/>
      <c r="AA920" s="145"/>
      <c r="AB920" s="145"/>
      <c r="AC920" s="145"/>
      <c r="AD920" s="145"/>
      <c r="AE920" s="145"/>
      <c r="AF920" s="145"/>
      <c r="AG920" s="144"/>
      <c r="AH920" s="144"/>
      <c r="AI920" s="144"/>
      <c r="AJ920" s="144"/>
      <c r="AK920" s="144"/>
    </row>
    <row r="921" ht="22.5" customHeight="1">
      <c r="A921" s="183"/>
      <c r="B921" s="183"/>
      <c r="C921" s="183"/>
      <c r="D921" s="183"/>
      <c r="E921" s="183"/>
      <c r="F921" s="183"/>
      <c r="G921" s="183"/>
      <c r="H921" s="183"/>
      <c r="I921" s="183"/>
      <c r="J921" s="183"/>
      <c r="K921" s="183"/>
      <c r="L921" s="183"/>
      <c r="M921" s="183"/>
      <c r="N921" s="183"/>
      <c r="O921" s="183"/>
      <c r="P921" s="183"/>
      <c r="Q921" s="183"/>
      <c r="R921" s="183"/>
      <c r="S921" s="183"/>
      <c r="T921" s="152"/>
      <c r="U921" s="155"/>
      <c r="V921" s="152"/>
      <c r="W921" s="152"/>
      <c r="X921" s="152"/>
      <c r="Y921" s="152"/>
      <c r="Z921" s="152"/>
      <c r="AA921" s="152"/>
      <c r="AB921" s="152"/>
      <c r="AC921" s="152"/>
      <c r="AD921" s="152"/>
      <c r="AE921" s="152"/>
      <c r="AF921" s="152"/>
      <c r="AG921" s="144"/>
      <c r="AH921" s="144"/>
      <c r="AI921" s="144"/>
      <c r="AJ921" s="144"/>
      <c r="AK921" s="144"/>
    </row>
    <row r="922" ht="22.5" customHeight="1">
      <c r="A922" s="184"/>
      <c r="B922" s="184"/>
      <c r="C922" s="184"/>
      <c r="D922" s="184"/>
      <c r="E922" s="184"/>
      <c r="F922" s="184"/>
      <c r="G922" s="184"/>
      <c r="H922" s="184"/>
      <c r="I922" s="184"/>
      <c r="J922" s="184"/>
      <c r="K922" s="184"/>
      <c r="L922" s="184"/>
      <c r="M922" s="184"/>
      <c r="N922" s="184"/>
      <c r="O922" s="184"/>
      <c r="P922" s="184"/>
      <c r="Q922" s="184"/>
      <c r="R922" s="184"/>
      <c r="S922" s="184"/>
      <c r="T922" s="145"/>
      <c r="U922" s="151"/>
      <c r="V922" s="145"/>
      <c r="W922" s="145"/>
      <c r="X922" s="145"/>
      <c r="Y922" s="145"/>
      <c r="Z922" s="145"/>
      <c r="AA922" s="145"/>
      <c r="AB922" s="145"/>
      <c r="AC922" s="145"/>
      <c r="AD922" s="145"/>
      <c r="AE922" s="145"/>
      <c r="AF922" s="145"/>
      <c r="AG922" s="144"/>
      <c r="AH922" s="144"/>
      <c r="AI922" s="144"/>
      <c r="AJ922" s="144"/>
      <c r="AK922" s="144"/>
    </row>
    <row r="923" ht="22.5" customHeight="1">
      <c r="A923" s="183"/>
      <c r="B923" s="183"/>
      <c r="C923" s="183"/>
      <c r="D923" s="183"/>
      <c r="E923" s="183"/>
      <c r="F923" s="183"/>
      <c r="G923" s="183"/>
      <c r="H923" s="183"/>
      <c r="I923" s="183"/>
      <c r="J923" s="183"/>
      <c r="K923" s="183"/>
      <c r="L923" s="183"/>
      <c r="M923" s="183"/>
      <c r="N923" s="183"/>
      <c r="O923" s="183"/>
      <c r="P923" s="183"/>
      <c r="Q923" s="183"/>
      <c r="R923" s="183"/>
      <c r="S923" s="183"/>
      <c r="T923" s="152"/>
      <c r="U923" s="155"/>
      <c r="V923" s="152"/>
      <c r="W923" s="152"/>
      <c r="X923" s="152"/>
      <c r="Y923" s="152"/>
      <c r="Z923" s="152"/>
      <c r="AA923" s="152"/>
      <c r="AB923" s="152"/>
      <c r="AC923" s="152"/>
      <c r="AD923" s="152"/>
      <c r="AE923" s="152"/>
      <c r="AF923" s="152"/>
      <c r="AG923" s="144"/>
      <c r="AH923" s="144"/>
      <c r="AI923" s="144"/>
      <c r="AJ923" s="144"/>
      <c r="AK923" s="144"/>
    </row>
    <row r="924" ht="22.5" customHeight="1">
      <c r="A924" s="184"/>
      <c r="B924" s="184"/>
      <c r="C924" s="184"/>
      <c r="D924" s="184"/>
      <c r="E924" s="184"/>
      <c r="F924" s="184"/>
      <c r="G924" s="184"/>
      <c r="H924" s="184"/>
      <c r="I924" s="184"/>
      <c r="J924" s="184"/>
      <c r="K924" s="184"/>
      <c r="L924" s="184"/>
      <c r="M924" s="184"/>
      <c r="N924" s="184"/>
      <c r="O924" s="184"/>
      <c r="P924" s="184"/>
      <c r="Q924" s="184"/>
      <c r="R924" s="184"/>
      <c r="S924" s="184"/>
      <c r="T924" s="145"/>
      <c r="U924" s="151"/>
      <c r="V924" s="145"/>
      <c r="W924" s="145"/>
      <c r="X924" s="145"/>
      <c r="Y924" s="145"/>
      <c r="Z924" s="145"/>
      <c r="AA924" s="145"/>
      <c r="AB924" s="145"/>
      <c r="AC924" s="145"/>
      <c r="AD924" s="145"/>
      <c r="AE924" s="145"/>
      <c r="AF924" s="145"/>
      <c r="AG924" s="144"/>
      <c r="AH924" s="144"/>
      <c r="AI924" s="144"/>
      <c r="AJ924" s="144"/>
      <c r="AK924" s="144"/>
    </row>
    <row r="925" ht="22.5" customHeight="1">
      <c r="A925" s="183"/>
      <c r="B925" s="183"/>
      <c r="C925" s="183"/>
      <c r="D925" s="183"/>
      <c r="E925" s="183"/>
      <c r="F925" s="183"/>
      <c r="G925" s="183"/>
      <c r="H925" s="183"/>
      <c r="I925" s="183"/>
      <c r="J925" s="183"/>
      <c r="K925" s="183"/>
      <c r="L925" s="183"/>
      <c r="M925" s="183"/>
      <c r="N925" s="183"/>
      <c r="O925" s="183"/>
      <c r="P925" s="183"/>
      <c r="Q925" s="183"/>
      <c r="R925" s="183"/>
      <c r="S925" s="183"/>
      <c r="T925" s="152"/>
      <c r="U925" s="155"/>
      <c r="V925" s="152"/>
      <c r="W925" s="152"/>
      <c r="X925" s="152"/>
      <c r="Y925" s="152"/>
      <c r="Z925" s="152"/>
      <c r="AA925" s="152"/>
      <c r="AB925" s="152"/>
      <c r="AC925" s="152"/>
      <c r="AD925" s="152"/>
      <c r="AE925" s="152"/>
      <c r="AF925" s="152"/>
      <c r="AG925" s="144"/>
      <c r="AH925" s="144"/>
      <c r="AI925" s="144"/>
      <c r="AJ925" s="144"/>
      <c r="AK925" s="144"/>
    </row>
    <row r="926" ht="22.5" customHeight="1">
      <c r="A926" s="184"/>
      <c r="B926" s="184"/>
      <c r="C926" s="184"/>
      <c r="D926" s="184"/>
      <c r="E926" s="184"/>
      <c r="F926" s="184"/>
      <c r="G926" s="184"/>
      <c r="H926" s="184"/>
      <c r="I926" s="184"/>
      <c r="J926" s="184"/>
      <c r="K926" s="184"/>
      <c r="L926" s="184"/>
      <c r="M926" s="184"/>
      <c r="N926" s="184"/>
      <c r="O926" s="184"/>
      <c r="P926" s="184"/>
      <c r="Q926" s="184"/>
      <c r="R926" s="184"/>
      <c r="S926" s="184"/>
      <c r="T926" s="145"/>
      <c r="U926" s="151"/>
      <c r="V926" s="145"/>
      <c r="W926" s="145"/>
      <c r="X926" s="145"/>
      <c r="Y926" s="145"/>
      <c r="Z926" s="145"/>
      <c r="AA926" s="145"/>
      <c r="AB926" s="145"/>
      <c r="AC926" s="145"/>
      <c r="AD926" s="145"/>
      <c r="AE926" s="145"/>
      <c r="AF926" s="145"/>
      <c r="AG926" s="144"/>
      <c r="AH926" s="144"/>
      <c r="AI926" s="144"/>
      <c r="AJ926" s="144"/>
      <c r="AK926" s="144"/>
    </row>
    <row r="927" ht="22.5" customHeight="1">
      <c r="A927" s="183"/>
      <c r="B927" s="183"/>
      <c r="C927" s="183"/>
      <c r="D927" s="183"/>
      <c r="E927" s="183"/>
      <c r="F927" s="183"/>
      <c r="G927" s="183"/>
      <c r="H927" s="183"/>
      <c r="I927" s="183"/>
      <c r="J927" s="183"/>
      <c r="K927" s="183"/>
      <c r="L927" s="183"/>
      <c r="M927" s="183"/>
      <c r="N927" s="183"/>
      <c r="O927" s="183"/>
      <c r="P927" s="183"/>
      <c r="Q927" s="183"/>
      <c r="R927" s="183"/>
      <c r="S927" s="183"/>
      <c r="T927" s="152"/>
      <c r="U927" s="155"/>
      <c r="V927" s="152"/>
      <c r="W927" s="152"/>
      <c r="X927" s="152"/>
      <c r="Y927" s="152"/>
      <c r="Z927" s="152"/>
      <c r="AA927" s="152"/>
      <c r="AB927" s="152"/>
      <c r="AC927" s="152"/>
      <c r="AD927" s="152"/>
      <c r="AE927" s="152"/>
      <c r="AF927" s="152"/>
      <c r="AG927" s="144"/>
      <c r="AH927" s="144"/>
      <c r="AI927" s="144"/>
      <c r="AJ927" s="144"/>
      <c r="AK927" s="144"/>
    </row>
    <row r="928" ht="22.5" customHeight="1">
      <c r="A928" s="184"/>
      <c r="B928" s="184"/>
      <c r="C928" s="184"/>
      <c r="D928" s="184"/>
      <c r="E928" s="184"/>
      <c r="F928" s="184"/>
      <c r="G928" s="184"/>
      <c r="H928" s="184"/>
      <c r="I928" s="184"/>
      <c r="J928" s="184"/>
      <c r="K928" s="184"/>
      <c r="L928" s="184"/>
      <c r="M928" s="184"/>
      <c r="N928" s="184"/>
      <c r="O928" s="184"/>
      <c r="P928" s="184"/>
      <c r="Q928" s="184"/>
      <c r="R928" s="184"/>
      <c r="S928" s="184"/>
      <c r="T928" s="145"/>
      <c r="U928" s="151"/>
      <c r="V928" s="145"/>
      <c r="W928" s="145"/>
      <c r="X928" s="145"/>
      <c r="Y928" s="145"/>
      <c r="Z928" s="145"/>
      <c r="AA928" s="145"/>
      <c r="AB928" s="145"/>
      <c r="AC928" s="145"/>
      <c r="AD928" s="145"/>
      <c r="AE928" s="145"/>
      <c r="AF928" s="145"/>
      <c r="AG928" s="144"/>
      <c r="AH928" s="144"/>
      <c r="AI928" s="144"/>
      <c r="AJ928" s="144"/>
      <c r="AK928" s="144"/>
    </row>
    <row r="929" ht="22.5" customHeight="1">
      <c r="A929" s="183"/>
      <c r="B929" s="183"/>
      <c r="C929" s="183"/>
      <c r="D929" s="183"/>
      <c r="E929" s="183"/>
      <c r="F929" s="183"/>
      <c r="G929" s="183"/>
      <c r="H929" s="183"/>
      <c r="I929" s="183"/>
      <c r="J929" s="183"/>
      <c r="K929" s="183"/>
      <c r="L929" s="183"/>
      <c r="M929" s="183"/>
      <c r="N929" s="183"/>
      <c r="O929" s="183"/>
      <c r="P929" s="183"/>
      <c r="Q929" s="183"/>
      <c r="R929" s="183"/>
      <c r="S929" s="183"/>
      <c r="T929" s="152"/>
      <c r="U929" s="155"/>
      <c r="V929" s="152"/>
      <c r="W929" s="152"/>
      <c r="X929" s="152"/>
      <c r="Y929" s="152"/>
      <c r="Z929" s="152"/>
      <c r="AA929" s="152"/>
      <c r="AB929" s="152"/>
      <c r="AC929" s="152"/>
      <c r="AD929" s="152"/>
      <c r="AE929" s="152"/>
      <c r="AF929" s="152"/>
      <c r="AG929" s="144"/>
      <c r="AH929" s="144"/>
      <c r="AI929" s="144"/>
      <c r="AJ929" s="144"/>
      <c r="AK929" s="144"/>
    </row>
    <row r="930" ht="22.5" customHeight="1">
      <c r="A930" s="184"/>
      <c r="B930" s="184"/>
      <c r="C930" s="184"/>
      <c r="D930" s="184"/>
      <c r="E930" s="184"/>
      <c r="F930" s="184"/>
      <c r="G930" s="184"/>
      <c r="H930" s="184"/>
      <c r="I930" s="184"/>
      <c r="J930" s="184"/>
      <c r="K930" s="184"/>
      <c r="L930" s="184"/>
      <c r="M930" s="184"/>
      <c r="N930" s="184"/>
      <c r="O930" s="184"/>
      <c r="P930" s="184"/>
      <c r="Q930" s="184"/>
      <c r="R930" s="184"/>
      <c r="S930" s="184"/>
      <c r="T930" s="145"/>
      <c r="U930" s="151"/>
      <c r="V930" s="145"/>
      <c r="W930" s="145"/>
      <c r="X930" s="145"/>
      <c r="Y930" s="145"/>
      <c r="Z930" s="145"/>
      <c r="AA930" s="145"/>
      <c r="AB930" s="145"/>
      <c r="AC930" s="145"/>
      <c r="AD930" s="145"/>
      <c r="AE930" s="145"/>
      <c r="AF930" s="145"/>
      <c r="AG930" s="144"/>
      <c r="AH930" s="144"/>
      <c r="AI930" s="144"/>
      <c r="AJ930" s="144"/>
      <c r="AK930" s="144"/>
    </row>
    <row r="931" ht="22.5" customHeight="1">
      <c r="A931" s="183"/>
      <c r="B931" s="183"/>
      <c r="C931" s="183"/>
      <c r="D931" s="183"/>
      <c r="E931" s="183"/>
      <c r="F931" s="183"/>
      <c r="G931" s="183"/>
      <c r="H931" s="183"/>
      <c r="I931" s="183"/>
      <c r="J931" s="183"/>
      <c r="K931" s="183"/>
      <c r="L931" s="183"/>
      <c r="M931" s="183"/>
      <c r="N931" s="183"/>
      <c r="O931" s="183"/>
      <c r="P931" s="183"/>
      <c r="Q931" s="183"/>
      <c r="R931" s="183"/>
      <c r="S931" s="183"/>
      <c r="T931" s="152"/>
      <c r="U931" s="155"/>
      <c r="V931" s="152"/>
      <c r="W931" s="152"/>
      <c r="X931" s="152"/>
      <c r="Y931" s="152"/>
      <c r="Z931" s="152"/>
      <c r="AA931" s="152"/>
      <c r="AB931" s="152"/>
      <c r="AC931" s="152"/>
      <c r="AD931" s="152"/>
      <c r="AE931" s="152"/>
      <c r="AF931" s="152"/>
      <c r="AG931" s="144"/>
      <c r="AH931" s="144"/>
      <c r="AI931" s="144"/>
      <c r="AJ931" s="144"/>
      <c r="AK931" s="144"/>
    </row>
    <row r="932" ht="22.5" customHeight="1">
      <c r="A932" s="184"/>
      <c r="B932" s="184"/>
      <c r="C932" s="184"/>
      <c r="D932" s="184"/>
      <c r="E932" s="184"/>
      <c r="F932" s="184"/>
      <c r="G932" s="184"/>
      <c r="H932" s="184"/>
      <c r="I932" s="184"/>
      <c r="J932" s="184"/>
      <c r="K932" s="184"/>
      <c r="L932" s="184"/>
      <c r="M932" s="184"/>
      <c r="N932" s="184"/>
      <c r="O932" s="184"/>
      <c r="P932" s="184"/>
      <c r="Q932" s="184"/>
      <c r="R932" s="184"/>
      <c r="S932" s="184"/>
      <c r="T932" s="145"/>
      <c r="U932" s="151"/>
      <c r="V932" s="145"/>
      <c r="W932" s="145"/>
      <c r="X932" s="145"/>
      <c r="Y932" s="145"/>
      <c r="Z932" s="145"/>
      <c r="AA932" s="145"/>
      <c r="AB932" s="145"/>
      <c r="AC932" s="145"/>
      <c r="AD932" s="145"/>
      <c r="AE932" s="145"/>
      <c r="AF932" s="145"/>
      <c r="AG932" s="144"/>
      <c r="AH932" s="144"/>
      <c r="AI932" s="144"/>
      <c r="AJ932" s="144"/>
      <c r="AK932" s="144"/>
    </row>
    <row r="933" ht="22.5" customHeight="1">
      <c r="A933" s="183"/>
      <c r="B933" s="183"/>
      <c r="C933" s="183"/>
      <c r="D933" s="183"/>
      <c r="E933" s="183"/>
      <c r="F933" s="183"/>
      <c r="G933" s="183"/>
      <c r="H933" s="183"/>
      <c r="I933" s="183"/>
      <c r="J933" s="183"/>
      <c r="K933" s="183"/>
      <c r="L933" s="183"/>
      <c r="M933" s="183"/>
      <c r="N933" s="183"/>
      <c r="O933" s="183"/>
      <c r="P933" s="183"/>
      <c r="Q933" s="183"/>
      <c r="R933" s="183"/>
      <c r="S933" s="183"/>
      <c r="T933" s="152"/>
      <c r="U933" s="155"/>
      <c r="V933" s="152"/>
      <c r="W933" s="152"/>
      <c r="X933" s="152"/>
      <c r="Y933" s="152"/>
      <c r="Z933" s="152"/>
      <c r="AA933" s="152"/>
      <c r="AB933" s="152"/>
      <c r="AC933" s="152"/>
      <c r="AD933" s="152"/>
      <c r="AE933" s="152"/>
      <c r="AF933" s="152"/>
      <c r="AG933" s="144"/>
      <c r="AH933" s="144"/>
      <c r="AI933" s="144"/>
      <c r="AJ933" s="144"/>
      <c r="AK933" s="144"/>
    </row>
    <row r="934" ht="22.5" customHeight="1">
      <c r="A934" s="184"/>
      <c r="B934" s="184"/>
      <c r="C934" s="184"/>
      <c r="D934" s="184"/>
      <c r="E934" s="184"/>
      <c r="F934" s="184"/>
      <c r="G934" s="184"/>
      <c r="H934" s="184"/>
      <c r="I934" s="184"/>
      <c r="J934" s="184"/>
      <c r="K934" s="184"/>
      <c r="L934" s="184"/>
      <c r="M934" s="184"/>
      <c r="N934" s="184"/>
      <c r="O934" s="184"/>
      <c r="P934" s="184"/>
      <c r="Q934" s="184"/>
      <c r="R934" s="184"/>
      <c r="S934" s="184"/>
      <c r="T934" s="145"/>
      <c r="U934" s="151"/>
      <c r="V934" s="145"/>
      <c r="W934" s="145"/>
      <c r="X934" s="145"/>
      <c r="Y934" s="145"/>
      <c r="Z934" s="145"/>
      <c r="AA934" s="145"/>
      <c r="AB934" s="145"/>
      <c r="AC934" s="145"/>
      <c r="AD934" s="145"/>
      <c r="AE934" s="145"/>
      <c r="AF934" s="145"/>
      <c r="AG934" s="144"/>
      <c r="AH934" s="144"/>
      <c r="AI934" s="144"/>
      <c r="AJ934" s="144"/>
      <c r="AK934" s="144"/>
    </row>
    <row r="935" ht="22.5" customHeight="1">
      <c r="A935" s="183"/>
      <c r="B935" s="183"/>
      <c r="C935" s="183"/>
      <c r="D935" s="183"/>
      <c r="E935" s="183"/>
      <c r="F935" s="183"/>
      <c r="G935" s="183"/>
      <c r="H935" s="183"/>
      <c r="I935" s="183"/>
      <c r="J935" s="183"/>
      <c r="K935" s="183"/>
      <c r="L935" s="183"/>
      <c r="M935" s="183"/>
      <c r="N935" s="183"/>
      <c r="O935" s="183"/>
      <c r="P935" s="183"/>
      <c r="Q935" s="183"/>
      <c r="R935" s="183"/>
      <c r="S935" s="183"/>
      <c r="T935" s="152"/>
      <c r="U935" s="155"/>
      <c r="V935" s="152"/>
      <c r="W935" s="152"/>
      <c r="X935" s="152"/>
      <c r="Y935" s="152"/>
      <c r="Z935" s="152"/>
      <c r="AA935" s="152"/>
      <c r="AB935" s="152"/>
      <c r="AC935" s="152"/>
      <c r="AD935" s="152"/>
      <c r="AE935" s="152"/>
      <c r="AF935" s="152"/>
      <c r="AG935" s="144"/>
      <c r="AH935" s="144"/>
      <c r="AI935" s="144"/>
      <c r="AJ935" s="144"/>
      <c r="AK935" s="144"/>
    </row>
    <row r="936" ht="22.5" customHeight="1">
      <c r="A936" s="184"/>
      <c r="B936" s="184"/>
      <c r="C936" s="184"/>
      <c r="D936" s="184"/>
      <c r="E936" s="184"/>
      <c r="F936" s="184"/>
      <c r="G936" s="184"/>
      <c r="H936" s="184"/>
      <c r="I936" s="184"/>
      <c r="J936" s="184"/>
      <c r="K936" s="184"/>
      <c r="L936" s="184"/>
      <c r="M936" s="184"/>
      <c r="N936" s="184"/>
      <c r="O936" s="184"/>
      <c r="P936" s="184"/>
      <c r="Q936" s="184"/>
      <c r="R936" s="184"/>
      <c r="S936" s="184"/>
      <c r="T936" s="145"/>
      <c r="U936" s="151"/>
      <c r="V936" s="145"/>
      <c r="W936" s="145"/>
      <c r="X936" s="145"/>
      <c r="Y936" s="145"/>
      <c r="Z936" s="145"/>
      <c r="AA936" s="145"/>
      <c r="AB936" s="145"/>
      <c r="AC936" s="145"/>
      <c r="AD936" s="145"/>
      <c r="AE936" s="145"/>
      <c r="AF936" s="145"/>
      <c r="AG936" s="144"/>
      <c r="AH936" s="144"/>
      <c r="AI936" s="144"/>
      <c r="AJ936" s="144"/>
      <c r="AK936" s="144"/>
    </row>
    <row r="937" ht="22.5" customHeight="1">
      <c r="A937" s="183"/>
      <c r="B937" s="183"/>
      <c r="C937" s="183"/>
      <c r="D937" s="183"/>
      <c r="E937" s="183"/>
      <c r="F937" s="183"/>
      <c r="G937" s="183"/>
      <c r="H937" s="183"/>
      <c r="I937" s="183"/>
      <c r="J937" s="183"/>
      <c r="K937" s="183"/>
      <c r="L937" s="183"/>
      <c r="M937" s="183"/>
      <c r="N937" s="183"/>
      <c r="O937" s="183"/>
      <c r="P937" s="183"/>
      <c r="Q937" s="183"/>
      <c r="R937" s="183"/>
      <c r="S937" s="183"/>
      <c r="T937" s="152"/>
      <c r="U937" s="155"/>
      <c r="V937" s="152"/>
      <c r="W937" s="152"/>
      <c r="X937" s="152"/>
      <c r="Y937" s="152"/>
      <c r="Z937" s="152"/>
      <c r="AA937" s="152"/>
      <c r="AB937" s="152"/>
      <c r="AC937" s="152"/>
      <c r="AD937" s="152"/>
      <c r="AE937" s="152"/>
      <c r="AF937" s="152"/>
      <c r="AG937" s="144"/>
      <c r="AH937" s="144"/>
      <c r="AI937" s="144"/>
      <c r="AJ937" s="144"/>
      <c r="AK937" s="144"/>
    </row>
    <row r="938" ht="22.5" customHeight="1">
      <c r="A938" s="184"/>
      <c r="B938" s="184"/>
      <c r="C938" s="184"/>
      <c r="D938" s="184"/>
      <c r="E938" s="184"/>
      <c r="F938" s="184"/>
      <c r="G938" s="184"/>
      <c r="H938" s="184"/>
      <c r="I938" s="184"/>
      <c r="J938" s="184"/>
      <c r="K938" s="184"/>
      <c r="L938" s="184"/>
      <c r="M938" s="184"/>
      <c r="N938" s="184"/>
      <c r="O938" s="184"/>
      <c r="P938" s="184"/>
      <c r="Q938" s="184"/>
      <c r="R938" s="184"/>
      <c r="S938" s="184"/>
      <c r="T938" s="145"/>
      <c r="U938" s="151"/>
      <c r="V938" s="145"/>
      <c r="W938" s="145"/>
      <c r="X938" s="145"/>
      <c r="Y938" s="145"/>
      <c r="Z938" s="145"/>
      <c r="AA938" s="145"/>
      <c r="AB938" s="145"/>
      <c r="AC938" s="145"/>
      <c r="AD938" s="145"/>
      <c r="AE938" s="145"/>
      <c r="AF938" s="145"/>
      <c r="AG938" s="144"/>
      <c r="AH938" s="144"/>
      <c r="AI938" s="144"/>
      <c r="AJ938" s="144"/>
      <c r="AK938" s="144"/>
    </row>
    <row r="939" ht="22.5" customHeight="1">
      <c r="A939" s="183"/>
      <c r="B939" s="183"/>
      <c r="C939" s="183"/>
      <c r="D939" s="183"/>
      <c r="E939" s="183"/>
      <c r="F939" s="183"/>
      <c r="G939" s="183"/>
      <c r="H939" s="183"/>
      <c r="I939" s="183"/>
      <c r="J939" s="183"/>
      <c r="K939" s="183"/>
      <c r="L939" s="183"/>
      <c r="M939" s="183"/>
      <c r="N939" s="183"/>
      <c r="O939" s="183"/>
      <c r="P939" s="183"/>
      <c r="Q939" s="183"/>
      <c r="R939" s="183"/>
      <c r="S939" s="183"/>
      <c r="T939" s="152"/>
      <c r="U939" s="155"/>
      <c r="V939" s="152"/>
      <c r="W939" s="152"/>
      <c r="X939" s="152"/>
      <c r="Y939" s="152"/>
      <c r="Z939" s="152"/>
      <c r="AA939" s="152"/>
      <c r="AB939" s="152"/>
      <c r="AC939" s="152"/>
      <c r="AD939" s="152"/>
      <c r="AE939" s="152"/>
      <c r="AF939" s="152"/>
      <c r="AG939" s="144"/>
      <c r="AH939" s="144"/>
      <c r="AI939" s="144"/>
      <c r="AJ939" s="144"/>
      <c r="AK939" s="144"/>
    </row>
    <row r="940" ht="22.5" customHeight="1">
      <c r="A940" s="184"/>
      <c r="B940" s="184"/>
      <c r="C940" s="184"/>
      <c r="D940" s="184"/>
      <c r="E940" s="184"/>
      <c r="F940" s="184"/>
      <c r="G940" s="184"/>
      <c r="H940" s="184"/>
      <c r="I940" s="184"/>
      <c r="J940" s="184"/>
      <c r="K940" s="184"/>
      <c r="L940" s="184"/>
      <c r="M940" s="184"/>
      <c r="N940" s="184"/>
      <c r="O940" s="184"/>
      <c r="P940" s="184"/>
      <c r="Q940" s="184"/>
      <c r="R940" s="184"/>
      <c r="S940" s="184"/>
      <c r="T940" s="145"/>
      <c r="U940" s="151"/>
      <c r="V940" s="145"/>
      <c r="W940" s="145"/>
      <c r="X940" s="145"/>
      <c r="Y940" s="145"/>
      <c r="Z940" s="145"/>
      <c r="AA940" s="145"/>
      <c r="AB940" s="145"/>
      <c r="AC940" s="145"/>
      <c r="AD940" s="145"/>
      <c r="AE940" s="145"/>
      <c r="AF940" s="145"/>
      <c r="AG940" s="144"/>
      <c r="AH940" s="144"/>
      <c r="AI940" s="144"/>
      <c r="AJ940" s="144"/>
      <c r="AK940" s="144"/>
    </row>
    <row r="941" ht="22.5" customHeight="1">
      <c r="A941" s="183"/>
      <c r="B941" s="183"/>
      <c r="C941" s="183"/>
      <c r="D941" s="183"/>
      <c r="E941" s="183"/>
      <c r="F941" s="183"/>
      <c r="G941" s="183"/>
      <c r="H941" s="183"/>
      <c r="I941" s="183"/>
      <c r="J941" s="183"/>
      <c r="K941" s="183"/>
      <c r="L941" s="183"/>
      <c r="M941" s="183"/>
      <c r="N941" s="183"/>
      <c r="O941" s="183"/>
      <c r="P941" s="183"/>
      <c r="Q941" s="183"/>
      <c r="R941" s="183"/>
      <c r="S941" s="183"/>
      <c r="T941" s="152"/>
      <c r="U941" s="155"/>
      <c r="V941" s="152"/>
      <c r="W941" s="152"/>
      <c r="X941" s="152"/>
      <c r="Y941" s="152"/>
      <c r="Z941" s="152"/>
      <c r="AA941" s="152"/>
      <c r="AB941" s="152"/>
      <c r="AC941" s="152"/>
      <c r="AD941" s="152"/>
      <c r="AE941" s="152"/>
      <c r="AF941" s="152"/>
      <c r="AG941" s="144"/>
      <c r="AH941" s="144"/>
      <c r="AI941" s="144"/>
      <c r="AJ941" s="144"/>
      <c r="AK941" s="144"/>
    </row>
    <row r="942" ht="22.5" customHeight="1">
      <c r="A942" s="184"/>
      <c r="B942" s="184"/>
      <c r="C942" s="184"/>
      <c r="D942" s="184"/>
      <c r="E942" s="184"/>
      <c r="F942" s="184"/>
      <c r="G942" s="184"/>
      <c r="H942" s="184"/>
      <c r="I942" s="184"/>
      <c r="J942" s="184"/>
      <c r="K942" s="184"/>
      <c r="L942" s="184"/>
      <c r="M942" s="184"/>
      <c r="N942" s="184"/>
      <c r="O942" s="184"/>
      <c r="P942" s="184"/>
      <c r="Q942" s="184"/>
      <c r="R942" s="184"/>
      <c r="S942" s="184"/>
      <c r="T942" s="145"/>
      <c r="U942" s="151"/>
      <c r="V942" s="145"/>
      <c r="W942" s="145"/>
      <c r="X942" s="145"/>
      <c r="Y942" s="145"/>
      <c r="Z942" s="145"/>
      <c r="AA942" s="145"/>
      <c r="AB942" s="145"/>
      <c r="AC942" s="145"/>
      <c r="AD942" s="145"/>
      <c r="AE942" s="145"/>
      <c r="AF942" s="145"/>
      <c r="AG942" s="144"/>
      <c r="AH942" s="144"/>
      <c r="AI942" s="144"/>
      <c r="AJ942" s="144"/>
      <c r="AK942" s="144"/>
    </row>
    <row r="943" ht="22.5" customHeight="1">
      <c r="A943" s="183"/>
      <c r="B943" s="183"/>
      <c r="C943" s="183"/>
      <c r="D943" s="183"/>
      <c r="E943" s="183"/>
      <c r="F943" s="183"/>
      <c r="G943" s="183"/>
      <c r="H943" s="183"/>
      <c r="I943" s="183"/>
      <c r="J943" s="183"/>
      <c r="K943" s="183"/>
      <c r="L943" s="183"/>
      <c r="M943" s="183"/>
      <c r="N943" s="183"/>
      <c r="O943" s="183"/>
      <c r="P943" s="183"/>
      <c r="Q943" s="183"/>
      <c r="R943" s="183"/>
      <c r="S943" s="183"/>
      <c r="T943" s="152"/>
      <c r="U943" s="155"/>
      <c r="V943" s="152"/>
      <c r="W943" s="152"/>
      <c r="X943" s="152"/>
      <c r="Y943" s="152"/>
      <c r="Z943" s="152"/>
      <c r="AA943" s="152"/>
      <c r="AB943" s="152"/>
      <c r="AC943" s="152"/>
      <c r="AD943" s="152"/>
      <c r="AE943" s="152"/>
      <c r="AF943" s="152"/>
      <c r="AG943" s="144"/>
      <c r="AH943" s="144"/>
      <c r="AI943" s="144"/>
      <c r="AJ943" s="144"/>
      <c r="AK943" s="144"/>
    </row>
    <row r="944" ht="22.5" customHeight="1">
      <c r="A944" s="184"/>
      <c r="B944" s="184"/>
      <c r="C944" s="184"/>
      <c r="D944" s="184"/>
      <c r="E944" s="184"/>
      <c r="F944" s="184"/>
      <c r="G944" s="184"/>
      <c r="H944" s="184"/>
      <c r="I944" s="184"/>
      <c r="J944" s="184"/>
      <c r="K944" s="184"/>
      <c r="L944" s="184"/>
      <c r="M944" s="184"/>
      <c r="N944" s="184"/>
      <c r="O944" s="184"/>
      <c r="P944" s="184"/>
      <c r="Q944" s="184"/>
      <c r="R944" s="184"/>
      <c r="S944" s="184"/>
      <c r="T944" s="145"/>
      <c r="U944" s="151"/>
      <c r="V944" s="145"/>
      <c r="W944" s="145"/>
      <c r="X944" s="145"/>
      <c r="Y944" s="145"/>
      <c r="Z944" s="145"/>
      <c r="AA944" s="145"/>
      <c r="AB944" s="145"/>
      <c r="AC944" s="145"/>
      <c r="AD944" s="145"/>
      <c r="AE944" s="145"/>
      <c r="AF944" s="145"/>
      <c r="AG944" s="144"/>
      <c r="AH944" s="144"/>
      <c r="AI944" s="144"/>
      <c r="AJ944" s="144"/>
      <c r="AK944" s="144"/>
    </row>
    <row r="945" ht="22.5" customHeight="1">
      <c r="A945" s="183"/>
      <c r="B945" s="183"/>
      <c r="C945" s="183"/>
      <c r="D945" s="183"/>
      <c r="E945" s="183"/>
      <c r="F945" s="183"/>
      <c r="G945" s="183"/>
      <c r="H945" s="183"/>
      <c r="I945" s="183"/>
      <c r="J945" s="183"/>
      <c r="K945" s="183"/>
      <c r="L945" s="183"/>
      <c r="M945" s="183"/>
      <c r="N945" s="183"/>
      <c r="O945" s="183"/>
      <c r="P945" s="183"/>
      <c r="Q945" s="183"/>
      <c r="R945" s="183"/>
      <c r="S945" s="183"/>
      <c r="T945" s="152"/>
      <c r="U945" s="155"/>
      <c r="V945" s="152"/>
      <c r="W945" s="152"/>
      <c r="X945" s="152"/>
      <c r="Y945" s="152"/>
      <c r="Z945" s="152"/>
      <c r="AA945" s="152"/>
      <c r="AB945" s="152"/>
      <c r="AC945" s="152"/>
      <c r="AD945" s="152"/>
      <c r="AE945" s="152"/>
      <c r="AF945" s="152"/>
      <c r="AG945" s="144"/>
      <c r="AH945" s="144"/>
      <c r="AI945" s="144"/>
      <c r="AJ945" s="144"/>
      <c r="AK945" s="144"/>
    </row>
    <row r="946" ht="22.5" customHeight="1">
      <c r="A946" s="184"/>
      <c r="B946" s="184"/>
      <c r="C946" s="184"/>
      <c r="D946" s="184"/>
      <c r="E946" s="184"/>
      <c r="F946" s="184"/>
      <c r="G946" s="184"/>
      <c r="H946" s="184"/>
      <c r="I946" s="184"/>
      <c r="J946" s="184"/>
      <c r="K946" s="184"/>
      <c r="L946" s="184"/>
      <c r="M946" s="184"/>
      <c r="N946" s="184"/>
      <c r="O946" s="184"/>
      <c r="P946" s="184"/>
      <c r="Q946" s="184"/>
      <c r="R946" s="184"/>
      <c r="S946" s="184"/>
      <c r="T946" s="145"/>
      <c r="U946" s="151"/>
      <c r="V946" s="145"/>
      <c r="W946" s="145"/>
      <c r="X946" s="145"/>
      <c r="Y946" s="145"/>
      <c r="Z946" s="145"/>
      <c r="AA946" s="145"/>
      <c r="AB946" s="145"/>
      <c r="AC946" s="145"/>
      <c r="AD946" s="145"/>
      <c r="AE946" s="145"/>
      <c r="AF946" s="145"/>
      <c r="AG946" s="144"/>
      <c r="AH946" s="144"/>
      <c r="AI946" s="144"/>
      <c r="AJ946" s="144"/>
      <c r="AK946" s="144"/>
    </row>
    <row r="947" ht="22.5" customHeight="1">
      <c r="A947" s="183"/>
      <c r="B947" s="183"/>
      <c r="C947" s="183"/>
      <c r="D947" s="183"/>
      <c r="E947" s="183"/>
      <c r="F947" s="183"/>
      <c r="G947" s="183"/>
      <c r="H947" s="183"/>
      <c r="I947" s="183"/>
      <c r="J947" s="183"/>
      <c r="K947" s="183"/>
      <c r="L947" s="183"/>
      <c r="M947" s="183"/>
      <c r="N947" s="183"/>
      <c r="O947" s="183"/>
      <c r="P947" s="183"/>
      <c r="Q947" s="183"/>
      <c r="R947" s="183"/>
      <c r="S947" s="183"/>
      <c r="T947" s="152"/>
      <c r="U947" s="155"/>
      <c r="V947" s="152"/>
      <c r="W947" s="152"/>
      <c r="X947" s="152"/>
      <c r="Y947" s="152"/>
      <c r="Z947" s="152"/>
      <c r="AA947" s="152"/>
      <c r="AB947" s="152"/>
      <c r="AC947" s="152"/>
      <c r="AD947" s="152"/>
      <c r="AE947" s="152"/>
      <c r="AF947" s="152"/>
      <c r="AG947" s="144"/>
      <c r="AH947" s="144"/>
      <c r="AI947" s="144"/>
      <c r="AJ947" s="144"/>
      <c r="AK947" s="144"/>
    </row>
    <row r="948" ht="22.5" customHeight="1">
      <c r="A948" s="184"/>
      <c r="B948" s="184"/>
      <c r="C948" s="184"/>
      <c r="D948" s="184"/>
      <c r="E948" s="184"/>
      <c r="F948" s="184"/>
      <c r="G948" s="184"/>
      <c r="H948" s="184"/>
      <c r="I948" s="184"/>
      <c r="J948" s="184"/>
      <c r="K948" s="184"/>
      <c r="L948" s="184"/>
      <c r="M948" s="184"/>
      <c r="N948" s="184"/>
      <c r="O948" s="184"/>
      <c r="P948" s="184"/>
      <c r="Q948" s="184"/>
      <c r="R948" s="184"/>
      <c r="S948" s="184"/>
      <c r="T948" s="145"/>
      <c r="U948" s="151"/>
      <c r="V948" s="145"/>
      <c r="W948" s="145"/>
      <c r="X948" s="145"/>
      <c r="Y948" s="145"/>
      <c r="Z948" s="145"/>
      <c r="AA948" s="145"/>
      <c r="AB948" s="145"/>
      <c r="AC948" s="145"/>
      <c r="AD948" s="145"/>
      <c r="AE948" s="145"/>
      <c r="AF948" s="145"/>
      <c r="AG948" s="144"/>
      <c r="AH948" s="144"/>
      <c r="AI948" s="144"/>
      <c r="AJ948" s="144"/>
      <c r="AK948" s="144"/>
    </row>
    <row r="949" ht="22.5" customHeight="1">
      <c r="A949" s="183"/>
      <c r="B949" s="183"/>
      <c r="C949" s="183"/>
      <c r="D949" s="183"/>
      <c r="E949" s="183"/>
      <c r="F949" s="183"/>
      <c r="G949" s="183"/>
      <c r="H949" s="183"/>
      <c r="I949" s="183"/>
      <c r="J949" s="183"/>
      <c r="K949" s="183"/>
      <c r="L949" s="183"/>
      <c r="M949" s="183"/>
      <c r="N949" s="183"/>
      <c r="O949" s="183"/>
      <c r="P949" s="183"/>
      <c r="Q949" s="183"/>
      <c r="R949" s="183"/>
      <c r="S949" s="183"/>
      <c r="T949" s="152"/>
      <c r="U949" s="155"/>
      <c r="V949" s="152"/>
      <c r="W949" s="152"/>
      <c r="X949" s="152"/>
      <c r="Y949" s="152"/>
      <c r="Z949" s="152"/>
      <c r="AA949" s="152"/>
      <c r="AB949" s="152"/>
      <c r="AC949" s="152"/>
      <c r="AD949" s="152"/>
      <c r="AE949" s="152"/>
      <c r="AF949" s="152"/>
      <c r="AG949" s="144"/>
      <c r="AH949" s="144"/>
      <c r="AI949" s="144"/>
      <c r="AJ949" s="144"/>
      <c r="AK949" s="144"/>
    </row>
    <row r="950" ht="22.5" customHeight="1">
      <c r="A950" s="184"/>
      <c r="B950" s="184"/>
      <c r="C950" s="184"/>
      <c r="D950" s="184"/>
      <c r="E950" s="184"/>
      <c r="F950" s="184"/>
      <c r="G950" s="184"/>
      <c r="H950" s="184"/>
      <c r="I950" s="184"/>
      <c r="J950" s="184"/>
      <c r="K950" s="184"/>
      <c r="L950" s="184"/>
      <c r="M950" s="184"/>
      <c r="N950" s="184"/>
      <c r="O950" s="184"/>
      <c r="P950" s="184"/>
      <c r="Q950" s="184"/>
      <c r="R950" s="184"/>
      <c r="S950" s="184"/>
      <c r="T950" s="145"/>
      <c r="U950" s="151"/>
      <c r="V950" s="145"/>
      <c r="W950" s="145"/>
      <c r="X950" s="145"/>
      <c r="Y950" s="145"/>
      <c r="Z950" s="145"/>
      <c r="AA950" s="145"/>
      <c r="AB950" s="145"/>
      <c r="AC950" s="145"/>
      <c r="AD950" s="145"/>
      <c r="AE950" s="145"/>
      <c r="AF950" s="145"/>
      <c r="AG950" s="144"/>
      <c r="AH950" s="144"/>
      <c r="AI950" s="144"/>
      <c r="AJ950" s="144"/>
      <c r="AK950" s="144"/>
    </row>
    <row r="951" ht="22.5" customHeight="1">
      <c r="A951" s="183"/>
      <c r="B951" s="183"/>
      <c r="C951" s="183"/>
      <c r="D951" s="183"/>
      <c r="E951" s="183"/>
      <c r="F951" s="183"/>
      <c r="G951" s="183"/>
      <c r="H951" s="183"/>
      <c r="I951" s="183"/>
      <c r="J951" s="183"/>
      <c r="K951" s="183"/>
      <c r="L951" s="183"/>
      <c r="M951" s="183"/>
      <c r="N951" s="183"/>
      <c r="O951" s="183"/>
      <c r="P951" s="183"/>
      <c r="Q951" s="183"/>
      <c r="R951" s="183"/>
      <c r="S951" s="183"/>
      <c r="T951" s="152"/>
      <c r="U951" s="155"/>
      <c r="V951" s="152"/>
      <c r="W951" s="152"/>
      <c r="X951" s="152"/>
      <c r="Y951" s="152"/>
      <c r="Z951" s="152"/>
      <c r="AA951" s="152"/>
      <c r="AB951" s="152"/>
      <c r="AC951" s="152"/>
      <c r="AD951" s="152"/>
      <c r="AE951" s="152"/>
      <c r="AF951" s="152"/>
      <c r="AG951" s="144"/>
      <c r="AH951" s="144"/>
      <c r="AI951" s="144"/>
      <c r="AJ951" s="144"/>
      <c r="AK951" s="144"/>
    </row>
    <row r="952" ht="22.5" customHeight="1">
      <c r="A952" s="184"/>
      <c r="B952" s="184"/>
      <c r="C952" s="184"/>
      <c r="D952" s="184"/>
      <c r="E952" s="184"/>
      <c r="F952" s="184"/>
      <c r="G952" s="184"/>
      <c r="H952" s="184"/>
      <c r="I952" s="184"/>
      <c r="J952" s="184"/>
      <c r="K952" s="184"/>
      <c r="L952" s="184"/>
      <c r="M952" s="184"/>
      <c r="N952" s="184"/>
      <c r="O952" s="184"/>
      <c r="P952" s="184"/>
      <c r="Q952" s="184"/>
      <c r="R952" s="184"/>
      <c r="S952" s="184"/>
      <c r="T952" s="145"/>
      <c r="U952" s="151"/>
      <c r="V952" s="145"/>
      <c r="W952" s="145"/>
      <c r="X952" s="145"/>
      <c r="Y952" s="145"/>
      <c r="Z952" s="145"/>
      <c r="AA952" s="145"/>
      <c r="AB952" s="145"/>
      <c r="AC952" s="145"/>
      <c r="AD952" s="145"/>
      <c r="AE952" s="145"/>
      <c r="AF952" s="145"/>
      <c r="AG952" s="144"/>
      <c r="AH952" s="144"/>
      <c r="AI952" s="144"/>
      <c r="AJ952" s="144"/>
      <c r="AK952" s="144"/>
    </row>
    <row r="953" ht="22.5" customHeight="1">
      <c r="A953" s="183"/>
      <c r="B953" s="183"/>
      <c r="C953" s="183"/>
      <c r="D953" s="183"/>
      <c r="E953" s="183"/>
      <c r="F953" s="183"/>
      <c r="G953" s="183"/>
      <c r="H953" s="183"/>
      <c r="I953" s="183"/>
      <c r="J953" s="183"/>
      <c r="K953" s="183"/>
      <c r="L953" s="183"/>
      <c r="M953" s="183"/>
      <c r="N953" s="183"/>
      <c r="O953" s="183"/>
      <c r="P953" s="183"/>
      <c r="Q953" s="183"/>
      <c r="R953" s="183"/>
      <c r="S953" s="183"/>
      <c r="T953" s="152"/>
      <c r="U953" s="155"/>
      <c r="V953" s="152"/>
      <c r="W953" s="152"/>
      <c r="X953" s="152"/>
      <c r="Y953" s="152"/>
      <c r="Z953" s="152"/>
      <c r="AA953" s="152"/>
      <c r="AB953" s="152"/>
      <c r="AC953" s="152"/>
      <c r="AD953" s="152"/>
      <c r="AE953" s="152"/>
      <c r="AF953" s="152"/>
      <c r="AG953" s="144"/>
      <c r="AH953" s="144"/>
      <c r="AI953" s="144"/>
      <c r="AJ953" s="144"/>
      <c r="AK953" s="144"/>
    </row>
    <row r="954" ht="22.5" customHeight="1">
      <c r="A954" s="184"/>
      <c r="B954" s="184"/>
      <c r="C954" s="184"/>
      <c r="D954" s="184"/>
      <c r="E954" s="184"/>
      <c r="F954" s="184"/>
      <c r="G954" s="184"/>
      <c r="H954" s="184"/>
      <c r="I954" s="184"/>
      <c r="J954" s="184"/>
      <c r="K954" s="184"/>
      <c r="L954" s="184"/>
      <c r="M954" s="184"/>
      <c r="N954" s="184"/>
      <c r="O954" s="184"/>
      <c r="P954" s="184"/>
      <c r="Q954" s="184"/>
      <c r="R954" s="184"/>
      <c r="S954" s="184"/>
      <c r="T954" s="145"/>
      <c r="U954" s="151"/>
      <c r="V954" s="145"/>
      <c r="W954" s="145"/>
      <c r="X954" s="145"/>
      <c r="Y954" s="145"/>
      <c r="Z954" s="145"/>
      <c r="AA954" s="145"/>
      <c r="AB954" s="145"/>
      <c r="AC954" s="145"/>
      <c r="AD954" s="145"/>
      <c r="AE954" s="145"/>
      <c r="AF954" s="145"/>
      <c r="AG954" s="144"/>
      <c r="AH954" s="144"/>
      <c r="AI954" s="144"/>
      <c r="AJ954" s="144"/>
      <c r="AK954" s="144"/>
    </row>
    <row r="955" ht="22.5" customHeight="1">
      <c r="A955" s="183"/>
      <c r="B955" s="183"/>
      <c r="C955" s="183"/>
      <c r="D955" s="183"/>
      <c r="E955" s="183"/>
      <c r="F955" s="183"/>
      <c r="G955" s="183"/>
      <c r="H955" s="183"/>
      <c r="I955" s="183"/>
      <c r="J955" s="183"/>
      <c r="K955" s="183"/>
      <c r="L955" s="183"/>
      <c r="M955" s="183"/>
      <c r="N955" s="183"/>
      <c r="O955" s="183"/>
      <c r="P955" s="183"/>
      <c r="Q955" s="183"/>
      <c r="R955" s="183"/>
      <c r="S955" s="183"/>
      <c r="T955" s="152"/>
      <c r="U955" s="155"/>
      <c r="V955" s="152"/>
      <c r="W955" s="152"/>
      <c r="X955" s="152"/>
      <c r="Y955" s="152"/>
      <c r="Z955" s="152"/>
      <c r="AA955" s="152"/>
      <c r="AB955" s="152"/>
      <c r="AC955" s="152"/>
      <c r="AD955" s="152"/>
      <c r="AE955" s="152"/>
      <c r="AF955" s="152"/>
      <c r="AG955" s="144"/>
      <c r="AH955" s="144"/>
      <c r="AI955" s="144"/>
      <c r="AJ955" s="144"/>
      <c r="AK955" s="144"/>
    </row>
    <row r="956" ht="22.5" customHeight="1">
      <c r="A956" s="184"/>
      <c r="B956" s="184"/>
      <c r="C956" s="184"/>
      <c r="D956" s="184"/>
      <c r="E956" s="184"/>
      <c r="F956" s="184"/>
      <c r="G956" s="184"/>
      <c r="H956" s="184"/>
      <c r="I956" s="184"/>
      <c r="J956" s="184"/>
      <c r="K956" s="184"/>
      <c r="L956" s="184"/>
      <c r="M956" s="184"/>
      <c r="N956" s="184"/>
      <c r="O956" s="184"/>
      <c r="P956" s="184"/>
      <c r="Q956" s="184"/>
      <c r="R956" s="184"/>
      <c r="S956" s="184"/>
      <c r="T956" s="145"/>
      <c r="U956" s="151"/>
      <c r="V956" s="145"/>
      <c r="W956" s="145"/>
      <c r="X956" s="145"/>
      <c r="Y956" s="145"/>
      <c r="Z956" s="145"/>
      <c r="AA956" s="145"/>
      <c r="AB956" s="145"/>
      <c r="AC956" s="145"/>
      <c r="AD956" s="145"/>
      <c r="AE956" s="145"/>
      <c r="AF956" s="145"/>
      <c r="AG956" s="144"/>
      <c r="AH956" s="144"/>
      <c r="AI956" s="144"/>
      <c r="AJ956" s="144"/>
      <c r="AK956" s="144"/>
    </row>
    <row r="957" ht="22.5" customHeight="1">
      <c r="A957" s="183"/>
      <c r="B957" s="183"/>
      <c r="C957" s="183"/>
      <c r="D957" s="183"/>
      <c r="E957" s="183"/>
      <c r="F957" s="183"/>
      <c r="G957" s="183"/>
      <c r="H957" s="183"/>
      <c r="I957" s="183"/>
      <c r="J957" s="183"/>
      <c r="K957" s="183"/>
      <c r="L957" s="183"/>
      <c r="M957" s="183"/>
      <c r="N957" s="183"/>
      <c r="O957" s="183"/>
      <c r="P957" s="183"/>
      <c r="Q957" s="183"/>
      <c r="R957" s="183"/>
      <c r="S957" s="183"/>
      <c r="T957" s="152"/>
      <c r="U957" s="155"/>
      <c r="V957" s="152"/>
      <c r="W957" s="152"/>
      <c r="X957" s="152"/>
      <c r="Y957" s="152"/>
      <c r="Z957" s="152"/>
      <c r="AA957" s="152"/>
      <c r="AB957" s="152"/>
      <c r="AC957" s="152"/>
      <c r="AD957" s="152"/>
      <c r="AE957" s="152"/>
      <c r="AF957" s="152"/>
      <c r="AG957" s="144"/>
      <c r="AH957" s="144"/>
      <c r="AI957" s="144"/>
      <c r="AJ957" s="144"/>
      <c r="AK957" s="144"/>
    </row>
    <row r="958" ht="22.5" customHeight="1">
      <c r="A958" s="184"/>
      <c r="B958" s="184"/>
      <c r="C958" s="184"/>
      <c r="D958" s="184"/>
      <c r="E958" s="184"/>
      <c r="F958" s="184"/>
      <c r="G958" s="184"/>
      <c r="H958" s="184"/>
      <c r="I958" s="184"/>
      <c r="J958" s="184"/>
      <c r="K958" s="184"/>
      <c r="L958" s="184"/>
      <c r="M958" s="184"/>
      <c r="N958" s="184"/>
      <c r="O958" s="184"/>
      <c r="P958" s="184"/>
      <c r="Q958" s="184"/>
      <c r="R958" s="184"/>
      <c r="S958" s="184"/>
      <c r="T958" s="145"/>
      <c r="U958" s="151"/>
      <c r="V958" s="145"/>
      <c r="W958" s="145"/>
      <c r="X958" s="145"/>
      <c r="Y958" s="145"/>
      <c r="Z958" s="145"/>
      <c r="AA958" s="145"/>
      <c r="AB958" s="145"/>
      <c r="AC958" s="145"/>
      <c r="AD958" s="145"/>
      <c r="AE958" s="145"/>
      <c r="AF958" s="145"/>
      <c r="AG958" s="144"/>
      <c r="AH958" s="144"/>
      <c r="AI958" s="144"/>
      <c r="AJ958" s="144"/>
      <c r="AK958" s="144"/>
    </row>
    <row r="959" ht="22.5" customHeight="1">
      <c r="A959" s="183"/>
      <c r="B959" s="183"/>
      <c r="C959" s="183"/>
      <c r="D959" s="183"/>
      <c r="E959" s="183"/>
      <c r="F959" s="183"/>
      <c r="G959" s="183"/>
      <c r="H959" s="183"/>
      <c r="I959" s="183"/>
      <c r="J959" s="183"/>
      <c r="K959" s="183"/>
      <c r="L959" s="183"/>
      <c r="M959" s="183"/>
      <c r="N959" s="183"/>
      <c r="O959" s="183"/>
      <c r="P959" s="183"/>
      <c r="Q959" s="183"/>
      <c r="R959" s="183"/>
      <c r="S959" s="183"/>
      <c r="T959" s="152"/>
      <c r="U959" s="155"/>
      <c r="V959" s="152"/>
      <c r="W959" s="152"/>
      <c r="X959" s="152"/>
      <c r="Y959" s="152"/>
      <c r="Z959" s="152"/>
      <c r="AA959" s="152"/>
      <c r="AB959" s="152"/>
      <c r="AC959" s="152"/>
      <c r="AD959" s="152"/>
      <c r="AE959" s="152"/>
      <c r="AF959" s="152"/>
      <c r="AG959" s="144"/>
      <c r="AH959" s="144"/>
      <c r="AI959" s="144"/>
      <c r="AJ959" s="144"/>
      <c r="AK959" s="144"/>
    </row>
    <row r="960" ht="22.5" customHeight="1">
      <c r="A960" s="184"/>
      <c r="B960" s="184"/>
      <c r="C960" s="184"/>
      <c r="D960" s="184"/>
      <c r="E960" s="184"/>
      <c r="F960" s="184"/>
      <c r="G960" s="184"/>
      <c r="H960" s="184"/>
      <c r="I960" s="184"/>
      <c r="J960" s="184"/>
      <c r="K960" s="184"/>
      <c r="L960" s="184"/>
      <c r="M960" s="184"/>
      <c r="N960" s="184"/>
      <c r="O960" s="184"/>
      <c r="P960" s="184"/>
      <c r="Q960" s="184"/>
      <c r="R960" s="184"/>
      <c r="S960" s="184"/>
      <c r="T960" s="145"/>
      <c r="U960" s="151"/>
      <c r="V960" s="145"/>
      <c r="W960" s="145"/>
      <c r="X960" s="145"/>
      <c r="Y960" s="145"/>
      <c r="Z960" s="145"/>
      <c r="AA960" s="145"/>
      <c r="AB960" s="145"/>
      <c r="AC960" s="145"/>
      <c r="AD960" s="145"/>
      <c r="AE960" s="145"/>
      <c r="AF960" s="145"/>
      <c r="AG960" s="144"/>
      <c r="AH960" s="144"/>
      <c r="AI960" s="144"/>
      <c r="AJ960" s="144"/>
      <c r="AK960" s="144"/>
    </row>
    <row r="961" ht="22.5" customHeight="1">
      <c r="A961" s="183"/>
      <c r="B961" s="183"/>
      <c r="C961" s="183"/>
      <c r="D961" s="183"/>
      <c r="E961" s="183"/>
      <c r="F961" s="183"/>
      <c r="G961" s="183"/>
      <c r="H961" s="183"/>
      <c r="I961" s="183"/>
      <c r="J961" s="183"/>
      <c r="K961" s="183"/>
      <c r="L961" s="183"/>
      <c r="M961" s="183"/>
      <c r="N961" s="183"/>
      <c r="O961" s="183"/>
      <c r="P961" s="183"/>
      <c r="Q961" s="183"/>
      <c r="R961" s="183"/>
      <c r="S961" s="183"/>
      <c r="T961" s="152"/>
      <c r="U961" s="155"/>
      <c r="V961" s="152"/>
      <c r="W961" s="152"/>
      <c r="X961" s="152"/>
      <c r="Y961" s="152"/>
      <c r="Z961" s="152"/>
      <c r="AA961" s="152"/>
      <c r="AB961" s="152"/>
      <c r="AC961" s="152"/>
      <c r="AD961" s="152"/>
      <c r="AE961" s="152"/>
      <c r="AF961" s="152"/>
      <c r="AG961" s="144"/>
      <c r="AH961" s="144"/>
      <c r="AI961" s="144"/>
      <c r="AJ961" s="144"/>
      <c r="AK961" s="144"/>
    </row>
    <row r="962" ht="22.5" customHeight="1">
      <c r="A962" s="184"/>
      <c r="B962" s="184"/>
      <c r="C962" s="184"/>
      <c r="D962" s="184"/>
      <c r="E962" s="184"/>
      <c r="F962" s="184"/>
      <c r="G962" s="184"/>
      <c r="H962" s="184"/>
      <c r="I962" s="184"/>
      <c r="J962" s="184"/>
      <c r="K962" s="184"/>
      <c r="L962" s="184"/>
      <c r="M962" s="184"/>
      <c r="N962" s="184"/>
      <c r="O962" s="184"/>
      <c r="P962" s="184"/>
      <c r="Q962" s="184"/>
      <c r="R962" s="184"/>
      <c r="S962" s="184"/>
      <c r="T962" s="145"/>
      <c r="U962" s="151"/>
      <c r="V962" s="145"/>
      <c r="W962" s="145"/>
      <c r="X962" s="145"/>
      <c r="Y962" s="145"/>
      <c r="Z962" s="145"/>
      <c r="AA962" s="145"/>
      <c r="AB962" s="145"/>
      <c r="AC962" s="145"/>
      <c r="AD962" s="145"/>
      <c r="AE962" s="145"/>
      <c r="AF962" s="145"/>
      <c r="AG962" s="144"/>
      <c r="AH962" s="144"/>
      <c r="AI962" s="144"/>
      <c r="AJ962" s="144"/>
      <c r="AK962" s="144"/>
    </row>
    <row r="963" ht="22.5" customHeight="1">
      <c r="A963" s="183"/>
      <c r="B963" s="183"/>
      <c r="C963" s="183"/>
      <c r="D963" s="183"/>
      <c r="E963" s="183"/>
      <c r="F963" s="183"/>
      <c r="G963" s="183"/>
      <c r="H963" s="183"/>
      <c r="I963" s="183"/>
      <c r="J963" s="183"/>
      <c r="K963" s="183"/>
      <c r="L963" s="183"/>
      <c r="M963" s="183"/>
      <c r="N963" s="183"/>
      <c r="O963" s="183"/>
      <c r="P963" s="183"/>
      <c r="Q963" s="183"/>
      <c r="R963" s="183"/>
      <c r="S963" s="183"/>
      <c r="T963" s="152"/>
      <c r="U963" s="155"/>
      <c r="V963" s="152"/>
      <c r="W963" s="152"/>
      <c r="X963" s="152"/>
      <c r="Y963" s="152"/>
      <c r="Z963" s="152"/>
      <c r="AA963" s="152"/>
      <c r="AB963" s="152"/>
      <c r="AC963" s="152"/>
      <c r="AD963" s="152"/>
      <c r="AE963" s="152"/>
      <c r="AF963" s="152"/>
      <c r="AG963" s="144"/>
      <c r="AH963" s="144"/>
      <c r="AI963" s="144"/>
      <c r="AJ963" s="144"/>
      <c r="AK963" s="144"/>
    </row>
    <row r="964" ht="22.5" customHeight="1">
      <c r="A964" s="184"/>
      <c r="B964" s="184"/>
      <c r="C964" s="184"/>
      <c r="D964" s="184"/>
      <c r="E964" s="184"/>
      <c r="F964" s="184"/>
      <c r="G964" s="184"/>
      <c r="H964" s="184"/>
      <c r="I964" s="184"/>
      <c r="J964" s="184"/>
      <c r="K964" s="184"/>
      <c r="L964" s="184"/>
      <c r="M964" s="184"/>
      <c r="N964" s="184"/>
      <c r="O964" s="184"/>
      <c r="P964" s="184"/>
      <c r="Q964" s="184"/>
      <c r="R964" s="184"/>
      <c r="S964" s="184"/>
      <c r="T964" s="145"/>
      <c r="U964" s="151"/>
      <c r="V964" s="145"/>
      <c r="W964" s="145"/>
      <c r="X964" s="145"/>
      <c r="Y964" s="145"/>
      <c r="Z964" s="145"/>
      <c r="AA964" s="145"/>
      <c r="AB964" s="145"/>
      <c r="AC964" s="145"/>
      <c r="AD964" s="145"/>
      <c r="AE964" s="145"/>
      <c r="AF964" s="145"/>
      <c r="AG964" s="144"/>
      <c r="AH964" s="144"/>
      <c r="AI964" s="144"/>
      <c r="AJ964" s="144"/>
      <c r="AK964" s="144"/>
    </row>
    <row r="965" ht="22.5" customHeight="1">
      <c r="A965" s="183"/>
      <c r="B965" s="183"/>
      <c r="C965" s="183"/>
      <c r="D965" s="183"/>
      <c r="E965" s="183"/>
      <c r="F965" s="183"/>
      <c r="G965" s="183"/>
      <c r="H965" s="183"/>
      <c r="I965" s="183"/>
      <c r="J965" s="183"/>
      <c r="K965" s="183"/>
      <c r="L965" s="183"/>
      <c r="M965" s="183"/>
      <c r="N965" s="183"/>
      <c r="O965" s="183"/>
      <c r="P965" s="183"/>
      <c r="Q965" s="183"/>
      <c r="R965" s="183"/>
      <c r="S965" s="183"/>
      <c r="T965" s="152"/>
      <c r="U965" s="155"/>
      <c r="V965" s="152"/>
      <c r="W965" s="152"/>
      <c r="X965" s="152"/>
      <c r="Y965" s="152"/>
      <c r="Z965" s="152"/>
      <c r="AA965" s="152"/>
      <c r="AB965" s="152"/>
      <c r="AC965" s="152"/>
      <c r="AD965" s="152"/>
      <c r="AE965" s="152"/>
      <c r="AF965" s="152"/>
      <c r="AG965" s="144"/>
      <c r="AH965" s="144"/>
      <c r="AI965" s="144"/>
      <c r="AJ965" s="144"/>
      <c r="AK965" s="144"/>
    </row>
    <row r="966" ht="22.5" customHeight="1">
      <c r="A966" s="184"/>
      <c r="B966" s="184"/>
      <c r="C966" s="184"/>
      <c r="D966" s="184"/>
      <c r="E966" s="184"/>
      <c r="F966" s="184"/>
      <c r="G966" s="184"/>
      <c r="H966" s="184"/>
      <c r="I966" s="184"/>
      <c r="J966" s="184"/>
      <c r="K966" s="184"/>
      <c r="L966" s="184"/>
      <c r="M966" s="184"/>
      <c r="N966" s="184"/>
      <c r="O966" s="184"/>
      <c r="P966" s="184"/>
      <c r="Q966" s="184"/>
      <c r="R966" s="184"/>
      <c r="S966" s="184"/>
      <c r="T966" s="145"/>
      <c r="U966" s="151"/>
      <c r="V966" s="145"/>
      <c r="W966" s="145"/>
      <c r="X966" s="145"/>
      <c r="Y966" s="145"/>
      <c r="Z966" s="145"/>
      <c r="AA966" s="145"/>
      <c r="AB966" s="145"/>
      <c r="AC966" s="145"/>
      <c r="AD966" s="145"/>
      <c r="AE966" s="145"/>
      <c r="AF966" s="145"/>
      <c r="AG966" s="144"/>
      <c r="AH966" s="144"/>
      <c r="AI966" s="144"/>
      <c r="AJ966" s="144"/>
      <c r="AK966" s="144"/>
    </row>
    <row r="967" ht="22.5" customHeight="1">
      <c r="A967" s="183"/>
      <c r="B967" s="183"/>
      <c r="C967" s="183"/>
      <c r="D967" s="183"/>
      <c r="E967" s="183"/>
      <c r="F967" s="183"/>
      <c r="G967" s="183"/>
      <c r="H967" s="183"/>
      <c r="I967" s="183"/>
      <c r="J967" s="183"/>
      <c r="K967" s="183"/>
      <c r="L967" s="183"/>
      <c r="M967" s="183"/>
      <c r="N967" s="183"/>
      <c r="O967" s="183"/>
      <c r="P967" s="183"/>
      <c r="Q967" s="183"/>
      <c r="R967" s="183"/>
      <c r="S967" s="183"/>
      <c r="T967" s="152"/>
      <c r="U967" s="155"/>
      <c r="V967" s="152"/>
      <c r="W967" s="152"/>
      <c r="X967" s="152"/>
      <c r="Y967" s="152"/>
      <c r="Z967" s="152"/>
      <c r="AA967" s="152"/>
      <c r="AB967" s="152"/>
      <c r="AC967" s="152"/>
      <c r="AD967" s="152"/>
      <c r="AE967" s="152"/>
      <c r="AF967" s="152"/>
      <c r="AG967" s="144"/>
      <c r="AH967" s="144"/>
      <c r="AI967" s="144"/>
      <c r="AJ967" s="144"/>
      <c r="AK967" s="144"/>
    </row>
    <row r="968" ht="22.5" customHeight="1">
      <c r="A968" s="184"/>
      <c r="B968" s="184"/>
      <c r="C968" s="184"/>
      <c r="D968" s="184"/>
      <c r="E968" s="184"/>
      <c r="F968" s="184"/>
      <c r="G968" s="184"/>
      <c r="H968" s="184"/>
      <c r="I968" s="184"/>
      <c r="J968" s="184"/>
      <c r="K968" s="184"/>
      <c r="L968" s="184"/>
      <c r="M968" s="184"/>
      <c r="N968" s="184"/>
      <c r="O968" s="184"/>
      <c r="P968" s="184"/>
      <c r="Q968" s="184"/>
      <c r="R968" s="184"/>
      <c r="S968" s="184"/>
      <c r="T968" s="145"/>
      <c r="U968" s="151"/>
      <c r="V968" s="145"/>
      <c r="W968" s="145"/>
      <c r="X968" s="145"/>
      <c r="Y968" s="145"/>
      <c r="Z968" s="145"/>
      <c r="AA968" s="145"/>
      <c r="AB968" s="145"/>
      <c r="AC968" s="145"/>
      <c r="AD968" s="145"/>
      <c r="AE968" s="145"/>
      <c r="AF968" s="145"/>
      <c r="AG968" s="144"/>
      <c r="AH968" s="144"/>
      <c r="AI968" s="144"/>
      <c r="AJ968" s="144"/>
      <c r="AK968" s="144"/>
    </row>
    <row r="969" ht="22.5" customHeight="1">
      <c r="A969" s="183"/>
      <c r="B969" s="183"/>
      <c r="C969" s="183"/>
      <c r="D969" s="183"/>
      <c r="E969" s="183"/>
      <c r="F969" s="183"/>
      <c r="G969" s="183"/>
      <c r="H969" s="183"/>
      <c r="I969" s="183"/>
      <c r="J969" s="183"/>
      <c r="K969" s="183"/>
      <c r="L969" s="183"/>
      <c r="M969" s="183"/>
      <c r="N969" s="183"/>
      <c r="O969" s="183"/>
      <c r="P969" s="183"/>
      <c r="Q969" s="183"/>
      <c r="R969" s="183"/>
      <c r="S969" s="183"/>
      <c r="T969" s="152"/>
      <c r="U969" s="155"/>
      <c r="V969" s="152"/>
      <c r="W969" s="152"/>
      <c r="X969" s="152"/>
      <c r="Y969" s="152"/>
      <c r="Z969" s="152"/>
      <c r="AA969" s="152"/>
      <c r="AB969" s="152"/>
      <c r="AC969" s="152"/>
      <c r="AD969" s="152"/>
      <c r="AE969" s="152"/>
      <c r="AF969" s="152"/>
      <c r="AG969" s="144"/>
      <c r="AH969" s="144"/>
      <c r="AI969" s="144"/>
      <c r="AJ969" s="144"/>
      <c r="AK969" s="144"/>
    </row>
    <row r="970" ht="22.5" customHeight="1">
      <c r="A970" s="184"/>
      <c r="B970" s="184"/>
      <c r="C970" s="184"/>
      <c r="D970" s="184"/>
      <c r="E970" s="184"/>
      <c r="F970" s="184"/>
      <c r="G970" s="184"/>
      <c r="H970" s="184"/>
      <c r="I970" s="184"/>
      <c r="J970" s="184"/>
      <c r="K970" s="184"/>
      <c r="L970" s="184"/>
      <c r="M970" s="184"/>
      <c r="N970" s="184"/>
      <c r="O970" s="184"/>
      <c r="P970" s="184"/>
      <c r="Q970" s="184"/>
      <c r="R970" s="184"/>
      <c r="S970" s="184"/>
      <c r="T970" s="145"/>
      <c r="U970" s="151"/>
      <c r="V970" s="145"/>
      <c r="W970" s="145"/>
      <c r="X970" s="145"/>
      <c r="Y970" s="145"/>
      <c r="Z970" s="145"/>
      <c r="AA970" s="145"/>
      <c r="AB970" s="145"/>
      <c r="AC970" s="145"/>
      <c r="AD970" s="145"/>
      <c r="AE970" s="145"/>
      <c r="AF970" s="145"/>
      <c r="AG970" s="144"/>
      <c r="AH970" s="144"/>
      <c r="AI970" s="144"/>
      <c r="AJ970" s="144"/>
      <c r="AK970" s="144"/>
    </row>
    <row r="971" ht="22.5" customHeight="1">
      <c r="A971" s="183"/>
      <c r="B971" s="183"/>
      <c r="C971" s="183"/>
      <c r="D971" s="183"/>
      <c r="E971" s="183"/>
      <c r="F971" s="183"/>
      <c r="G971" s="183"/>
      <c r="H971" s="183"/>
      <c r="I971" s="183"/>
      <c r="J971" s="183"/>
      <c r="K971" s="183"/>
      <c r="L971" s="183"/>
      <c r="M971" s="183"/>
      <c r="N971" s="183"/>
      <c r="O971" s="183"/>
      <c r="P971" s="183"/>
      <c r="Q971" s="183"/>
      <c r="R971" s="183"/>
      <c r="S971" s="183"/>
      <c r="T971" s="152"/>
      <c r="U971" s="155"/>
      <c r="V971" s="152"/>
      <c r="W971" s="152"/>
      <c r="X971" s="152"/>
      <c r="Y971" s="152"/>
      <c r="Z971" s="152"/>
      <c r="AA971" s="152"/>
      <c r="AB971" s="152"/>
      <c r="AC971" s="152"/>
      <c r="AD971" s="152"/>
      <c r="AE971" s="152"/>
      <c r="AF971" s="152"/>
      <c r="AG971" s="144"/>
      <c r="AH971" s="144"/>
      <c r="AI971" s="144"/>
      <c r="AJ971" s="144"/>
      <c r="AK971" s="144"/>
    </row>
    <row r="972" ht="22.5" customHeight="1">
      <c r="A972" s="184"/>
      <c r="B972" s="184"/>
      <c r="C972" s="184"/>
      <c r="D972" s="184"/>
      <c r="E972" s="184"/>
      <c r="F972" s="184"/>
      <c r="G972" s="184"/>
      <c r="H972" s="184"/>
      <c r="I972" s="184"/>
      <c r="J972" s="184"/>
      <c r="K972" s="184"/>
      <c r="L972" s="184"/>
      <c r="M972" s="184"/>
      <c r="N972" s="184"/>
      <c r="O972" s="184"/>
      <c r="P972" s="184"/>
      <c r="Q972" s="184"/>
      <c r="R972" s="184"/>
      <c r="S972" s="184"/>
      <c r="T972" s="145"/>
      <c r="U972" s="151"/>
      <c r="V972" s="145"/>
      <c r="W972" s="145"/>
      <c r="X972" s="145"/>
      <c r="Y972" s="145"/>
      <c r="Z972" s="145"/>
      <c r="AA972" s="145"/>
      <c r="AB972" s="145"/>
      <c r="AC972" s="145"/>
      <c r="AD972" s="145"/>
      <c r="AE972" s="145"/>
      <c r="AF972" s="145"/>
      <c r="AG972" s="144"/>
      <c r="AH972" s="144"/>
      <c r="AI972" s="144"/>
      <c r="AJ972" s="144"/>
      <c r="AK972" s="144"/>
    </row>
    <row r="973" ht="22.5" customHeight="1">
      <c r="A973" s="183"/>
      <c r="B973" s="183"/>
      <c r="C973" s="183"/>
      <c r="D973" s="183"/>
      <c r="E973" s="183"/>
      <c r="F973" s="183"/>
      <c r="G973" s="183"/>
      <c r="H973" s="183"/>
      <c r="I973" s="183"/>
      <c r="J973" s="183"/>
      <c r="K973" s="183"/>
      <c r="L973" s="183"/>
      <c r="M973" s="183"/>
      <c r="N973" s="183"/>
      <c r="O973" s="183"/>
      <c r="P973" s="183"/>
      <c r="Q973" s="183"/>
      <c r="R973" s="183"/>
      <c r="S973" s="183"/>
      <c r="T973" s="152"/>
      <c r="U973" s="155"/>
      <c r="V973" s="152"/>
      <c r="W973" s="152"/>
      <c r="X973" s="152"/>
      <c r="Y973" s="152"/>
      <c r="Z973" s="152"/>
      <c r="AA973" s="152"/>
      <c r="AB973" s="152"/>
      <c r="AC973" s="152"/>
      <c r="AD973" s="152"/>
      <c r="AE973" s="152"/>
      <c r="AF973" s="152"/>
      <c r="AG973" s="144"/>
      <c r="AH973" s="144"/>
      <c r="AI973" s="144"/>
      <c r="AJ973" s="144"/>
      <c r="AK973" s="144"/>
    </row>
    <row r="974" ht="22.5" customHeight="1">
      <c r="A974" s="184"/>
      <c r="B974" s="184"/>
      <c r="C974" s="184"/>
      <c r="D974" s="184"/>
      <c r="E974" s="184"/>
      <c r="F974" s="184"/>
      <c r="G974" s="184"/>
      <c r="H974" s="184"/>
      <c r="I974" s="184"/>
      <c r="J974" s="184"/>
      <c r="K974" s="184"/>
      <c r="L974" s="184"/>
      <c r="M974" s="184"/>
      <c r="N974" s="184"/>
      <c r="O974" s="184"/>
      <c r="P974" s="184"/>
      <c r="Q974" s="184"/>
      <c r="R974" s="184"/>
      <c r="S974" s="184"/>
      <c r="T974" s="145"/>
      <c r="U974" s="151"/>
      <c r="V974" s="145"/>
      <c r="W974" s="145"/>
      <c r="X974" s="145"/>
      <c r="Y974" s="145"/>
      <c r="Z974" s="145"/>
      <c r="AA974" s="145"/>
      <c r="AB974" s="145"/>
      <c r="AC974" s="145"/>
      <c r="AD974" s="145"/>
      <c r="AE974" s="145"/>
      <c r="AF974" s="145"/>
      <c r="AG974" s="144"/>
      <c r="AH974" s="144"/>
      <c r="AI974" s="144"/>
      <c r="AJ974" s="144"/>
      <c r="AK974" s="144"/>
    </row>
    <row r="975" ht="22.5" customHeight="1">
      <c r="A975" s="183"/>
      <c r="B975" s="183"/>
      <c r="C975" s="183"/>
      <c r="D975" s="183"/>
      <c r="E975" s="183"/>
      <c r="F975" s="183"/>
      <c r="G975" s="183"/>
      <c r="H975" s="183"/>
      <c r="I975" s="183"/>
      <c r="J975" s="183"/>
      <c r="K975" s="183"/>
      <c r="L975" s="183"/>
      <c r="M975" s="183"/>
      <c r="N975" s="183"/>
      <c r="O975" s="183"/>
      <c r="P975" s="183"/>
      <c r="Q975" s="183"/>
      <c r="R975" s="183"/>
      <c r="S975" s="183"/>
      <c r="T975" s="152"/>
      <c r="U975" s="155"/>
      <c r="V975" s="152"/>
      <c r="W975" s="152"/>
      <c r="X975" s="152"/>
      <c r="Y975" s="152"/>
      <c r="Z975" s="152"/>
      <c r="AA975" s="152"/>
      <c r="AB975" s="152"/>
      <c r="AC975" s="152"/>
      <c r="AD975" s="152"/>
      <c r="AE975" s="152"/>
      <c r="AF975" s="152"/>
      <c r="AG975" s="144"/>
      <c r="AH975" s="144"/>
      <c r="AI975" s="144"/>
      <c r="AJ975" s="144"/>
      <c r="AK975" s="144"/>
    </row>
    <row r="976" ht="22.5" customHeight="1">
      <c r="A976" s="184"/>
      <c r="B976" s="184"/>
      <c r="C976" s="184"/>
      <c r="D976" s="184"/>
      <c r="E976" s="184"/>
      <c r="F976" s="184"/>
      <c r="G976" s="184"/>
      <c r="H976" s="184"/>
      <c r="I976" s="184"/>
      <c r="J976" s="184"/>
      <c r="K976" s="184"/>
      <c r="L976" s="184"/>
      <c r="M976" s="184"/>
      <c r="N976" s="184"/>
      <c r="O976" s="184"/>
      <c r="P976" s="184"/>
      <c r="Q976" s="184"/>
      <c r="R976" s="184"/>
      <c r="S976" s="184"/>
      <c r="T976" s="145"/>
      <c r="U976" s="151"/>
      <c r="V976" s="145"/>
      <c r="W976" s="145"/>
      <c r="X976" s="145"/>
      <c r="Y976" s="145"/>
      <c r="Z976" s="145"/>
      <c r="AA976" s="145"/>
      <c r="AB976" s="145"/>
      <c r="AC976" s="145"/>
      <c r="AD976" s="145"/>
      <c r="AE976" s="145"/>
      <c r="AF976" s="145"/>
      <c r="AG976" s="144"/>
      <c r="AH976" s="144"/>
      <c r="AI976" s="144"/>
      <c r="AJ976" s="144"/>
      <c r="AK976" s="144"/>
    </row>
    <row r="977" ht="22.5" customHeight="1">
      <c r="A977" s="183"/>
      <c r="B977" s="183"/>
      <c r="C977" s="183"/>
      <c r="D977" s="183"/>
      <c r="E977" s="183"/>
      <c r="F977" s="183"/>
      <c r="G977" s="183"/>
      <c r="H977" s="183"/>
      <c r="I977" s="183"/>
      <c r="J977" s="183"/>
      <c r="K977" s="183"/>
      <c r="L977" s="183"/>
      <c r="M977" s="183"/>
      <c r="N977" s="183"/>
      <c r="O977" s="183"/>
      <c r="P977" s="183"/>
      <c r="Q977" s="183"/>
      <c r="R977" s="183"/>
      <c r="S977" s="183"/>
      <c r="T977" s="152"/>
      <c r="U977" s="155"/>
      <c r="V977" s="152"/>
      <c r="W977" s="152"/>
      <c r="X977" s="152"/>
      <c r="Y977" s="152"/>
      <c r="Z977" s="152"/>
      <c r="AA977" s="152"/>
      <c r="AB977" s="152"/>
      <c r="AC977" s="152"/>
      <c r="AD977" s="152"/>
      <c r="AE977" s="152"/>
      <c r="AF977" s="152"/>
      <c r="AG977" s="144"/>
      <c r="AH977" s="144"/>
      <c r="AI977" s="144"/>
      <c r="AJ977" s="144"/>
      <c r="AK977" s="144"/>
    </row>
    <row r="978" ht="22.5" customHeight="1">
      <c r="A978" s="184"/>
      <c r="B978" s="184"/>
      <c r="C978" s="184"/>
      <c r="D978" s="184"/>
      <c r="E978" s="184"/>
      <c r="F978" s="184"/>
      <c r="G978" s="184"/>
      <c r="H978" s="184"/>
      <c r="I978" s="184"/>
      <c r="J978" s="184"/>
      <c r="K978" s="184"/>
      <c r="L978" s="184"/>
      <c r="M978" s="184"/>
      <c r="N978" s="184"/>
      <c r="O978" s="184"/>
      <c r="P978" s="184"/>
      <c r="Q978" s="184"/>
      <c r="R978" s="184"/>
      <c r="S978" s="184"/>
      <c r="T978" s="145"/>
      <c r="U978" s="151"/>
      <c r="V978" s="145"/>
      <c r="W978" s="145"/>
      <c r="X978" s="145"/>
      <c r="Y978" s="145"/>
      <c r="Z978" s="145"/>
      <c r="AA978" s="145"/>
      <c r="AB978" s="145"/>
      <c r="AC978" s="145"/>
      <c r="AD978" s="145"/>
      <c r="AE978" s="145"/>
      <c r="AF978" s="145"/>
      <c r="AG978" s="144"/>
      <c r="AH978" s="144"/>
      <c r="AI978" s="144"/>
      <c r="AJ978" s="144"/>
      <c r="AK978" s="144"/>
    </row>
    <row r="979" ht="22.5" customHeight="1">
      <c r="A979" s="183"/>
      <c r="B979" s="183"/>
      <c r="C979" s="183"/>
      <c r="D979" s="183"/>
      <c r="E979" s="183"/>
      <c r="F979" s="183"/>
      <c r="G979" s="183"/>
      <c r="H979" s="183"/>
      <c r="I979" s="183"/>
      <c r="J979" s="183"/>
      <c r="K979" s="183"/>
      <c r="L979" s="183"/>
      <c r="M979" s="183"/>
      <c r="N979" s="183"/>
      <c r="O979" s="183"/>
      <c r="P979" s="183"/>
      <c r="Q979" s="183"/>
      <c r="R979" s="183"/>
      <c r="S979" s="183"/>
      <c r="T979" s="152"/>
      <c r="U979" s="155"/>
      <c r="V979" s="152"/>
      <c r="W979" s="152"/>
      <c r="X979" s="152"/>
      <c r="Y979" s="152"/>
      <c r="Z979" s="152"/>
      <c r="AA979" s="152"/>
      <c r="AB979" s="152"/>
      <c r="AC979" s="152"/>
      <c r="AD979" s="152"/>
      <c r="AE979" s="152"/>
      <c r="AF979" s="152"/>
      <c r="AG979" s="144"/>
      <c r="AH979" s="144"/>
      <c r="AI979" s="144"/>
      <c r="AJ979" s="144"/>
      <c r="AK979" s="144"/>
    </row>
    <row r="980" ht="22.5" customHeight="1">
      <c r="A980" s="184"/>
      <c r="B980" s="184"/>
      <c r="C980" s="184"/>
      <c r="D980" s="184"/>
      <c r="E980" s="184"/>
      <c r="F980" s="184"/>
      <c r="G980" s="184"/>
      <c r="H980" s="184"/>
      <c r="I980" s="184"/>
      <c r="J980" s="184"/>
      <c r="K980" s="184"/>
      <c r="L980" s="184"/>
      <c r="M980" s="184"/>
      <c r="N980" s="184"/>
      <c r="O980" s="184"/>
      <c r="P980" s="184"/>
      <c r="Q980" s="184"/>
      <c r="R980" s="184"/>
      <c r="S980" s="184"/>
      <c r="T980" s="145"/>
      <c r="U980" s="151"/>
      <c r="V980" s="145"/>
      <c r="W980" s="145"/>
      <c r="X980" s="145"/>
      <c r="Y980" s="145"/>
      <c r="Z980" s="145"/>
      <c r="AA980" s="145"/>
      <c r="AB980" s="145"/>
      <c r="AC980" s="145"/>
      <c r="AD980" s="145"/>
      <c r="AE980" s="145"/>
      <c r="AF980" s="145"/>
      <c r="AG980" s="144"/>
      <c r="AH980" s="144"/>
      <c r="AI980" s="144"/>
      <c r="AJ980" s="144"/>
      <c r="AK980" s="144"/>
    </row>
    <row r="981" ht="22.5" customHeight="1">
      <c r="A981" s="183"/>
      <c r="B981" s="183"/>
      <c r="C981" s="183"/>
      <c r="D981" s="183"/>
      <c r="E981" s="183"/>
      <c r="F981" s="183"/>
      <c r="G981" s="183"/>
      <c r="H981" s="183"/>
      <c r="I981" s="183"/>
      <c r="J981" s="183"/>
      <c r="K981" s="183"/>
      <c r="L981" s="183"/>
      <c r="M981" s="183"/>
      <c r="N981" s="183"/>
      <c r="O981" s="183"/>
      <c r="P981" s="183"/>
      <c r="Q981" s="183"/>
      <c r="R981" s="183"/>
      <c r="S981" s="183"/>
      <c r="T981" s="152"/>
      <c r="U981" s="155"/>
      <c r="V981" s="152"/>
      <c r="W981" s="152"/>
      <c r="X981" s="152"/>
      <c r="Y981" s="152"/>
      <c r="Z981" s="152"/>
      <c r="AA981" s="152"/>
      <c r="AB981" s="152"/>
      <c r="AC981" s="152"/>
      <c r="AD981" s="152"/>
      <c r="AE981" s="152"/>
      <c r="AF981" s="152"/>
      <c r="AG981" s="144"/>
      <c r="AH981" s="144"/>
      <c r="AI981" s="144"/>
      <c r="AJ981" s="144"/>
      <c r="AK981" s="144"/>
    </row>
    <row r="982" ht="22.5" customHeight="1">
      <c r="A982" s="184"/>
      <c r="B982" s="184"/>
      <c r="C982" s="184"/>
      <c r="D982" s="184"/>
      <c r="E982" s="184"/>
      <c r="F982" s="184"/>
      <c r="G982" s="184"/>
      <c r="H982" s="184"/>
      <c r="I982" s="184"/>
      <c r="J982" s="184"/>
      <c r="K982" s="184"/>
      <c r="L982" s="184"/>
      <c r="M982" s="184"/>
      <c r="N982" s="184"/>
      <c r="O982" s="184"/>
      <c r="P982" s="184"/>
      <c r="Q982" s="184"/>
      <c r="R982" s="184"/>
      <c r="S982" s="184"/>
      <c r="T982" s="145"/>
      <c r="U982" s="151"/>
      <c r="V982" s="145"/>
      <c r="W982" s="145"/>
      <c r="X982" s="145"/>
      <c r="Y982" s="145"/>
      <c r="Z982" s="145"/>
      <c r="AA982" s="145"/>
      <c r="AB982" s="145"/>
      <c r="AC982" s="145"/>
      <c r="AD982" s="145"/>
      <c r="AE982" s="145"/>
      <c r="AF982" s="145"/>
      <c r="AG982" s="144"/>
      <c r="AH982" s="144"/>
      <c r="AI982" s="144"/>
      <c r="AJ982" s="144"/>
      <c r="AK982" s="144"/>
    </row>
    <row r="983" ht="22.5" customHeight="1">
      <c r="A983" s="183"/>
      <c r="B983" s="183"/>
      <c r="C983" s="183"/>
      <c r="D983" s="183"/>
      <c r="E983" s="183"/>
      <c r="F983" s="183"/>
      <c r="G983" s="183"/>
      <c r="H983" s="183"/>
      <c r="I983" s="183"/>
      <c r="J983" s="183"/>
      <c r="K983" s="183"/>
      <c r="L983" s="183"/>
      <c r="M983" s="183"/>
      <c r="N983" s="183"/>
      <c r="O983" s="183"/>
      <c r="P983" s="183"/>
      <c r="Q983" s="183"/>
      <c r="R983" s="183"/>
      <c r="S983" s="183"/>
      <c r="T983" s="152"/>
      <c r="U983" s="155"/>
      <c r="V983" s="152"/>
      <c r="W983" s="152"/>
      <c r="X983" s="152"/>
      <c r="Y983" s="152"/>
      <c r="Z983" s="152"/>
      <c r="AA983" s="152"/>
      <c r="AB983" s="152"/>
      <c r="AC983" s="152"/>
      <c r="AD983" s="152"/>
      <c r="AE983" s="152"/>
      <c r="AF983" s="152"/>
      <c r="AG983" s="144"/>
      <c r="AH983" s="144"/>
      <c r="AI983" s="144"/>
      <c r="AJ983" s="144"/>
      <c r="AK983" s="144"/>
    </row>
    <row r="984" ht="22.5" customHeight="1">
      <c r="A984" s="184"/>
      <c r="B984" s="184"/>
      <c r="C984" s="184"/>
      <c r="D984" s="184"/>
      <c r="E984" s="184"/>
      <c r="F984" s="184"/>
      <c r="G984" s="184"/>
      <c r="H984" s="184"/>
      <c r="I984" s="184"/>
      <c r="J984" s="184"/>
      <c r="K984" s="184"/>
      <c r="L984" s="184"/>
      <c r="M984" s="184"/>
      <c r="N984" s="184"/>
      <c r="O984" s="184"/>
      <c r="P984" s="184"/>
      <c r="Q984" s="184"/>
      <c r="R984" s="184"/>
      <c r="S984" s="184"/>
      <c r="T984" s="145"/>
      <c r="U984" s="151"/>
      <c r="V984" s="145"/>
      <c r="W984" s="145"/>
      <c r="X984" s="145"/>
      <c r="Y984" s="145"/>
      <c r="Z984" s="145"/>
      <c r="AA984" s="145"/>
      <c r="AB984" s="145"/>
      <c r="AC984" s="145"/>
      <c r="AD984" s="145"/>
      <c r="AE984" s="145"/>
      <c r="AF984" s="145"/>
      <c r="AG984" s="144"/>
      <c r="AH984" s="144"/>
      <c r="AI984" s="144"/>
      <c r="AJ984" s="144"/>
      <c r="AK984" s="144"/>
    </row>
    <row r="985" ht="22.5" customHeight="1">
      <c r="A985" s="183"/>
      <c r="B985" s="183"/>
      <c r="C985" s="183"/>
      <c r="D985" s="183"/>
      <c r="E985" s="183"/>
      <c r="F985" s="183"/>
      <c r="G985" s="183"/>
      <c r="H985" s="183"/>
      <c r="I985" s="183"/>
      <c r="J985" s="183"/>
      <c r="K985" s="183"/>
      <c r="L985" s="183"/>
      <c r="M985" s="183"/>
      <c r="N985" s="183"/>
      <c r="O985" s="183"/>
      <c r="P985" s="183"/>
      <c r="Q985" s="183"/>
      <c r="R985" s="183"/>
      <c r="S985" s="183"/>
      <c r="T985" s="152"/>
      <c r="U985" s="155"/>
      <c r="V985" s="152"/>
      <c r="W985" s="152"/>
      <c r="X985" s="152"/>
      <c r="Y985" s="152"/>
      <c r="Z985" s="152"/>
      <c r="AA985" s="152"/>
      <c r="AB985" s="152"/>
      <c r="AC985" s="152"/>
      <c r="AD985" s="152"/>
      <c r="AE985" s="152"/>
      <c r="AF985" s="152"/>
      <c r="AG985" s="144"/>
      <c r="AH985" s="144"/>
      <c r="AI985" s="144"/>
      <c r="AJ985" s="144"/>
      <c r="AK985" s="144"/>
    </row>
    <row r="986" ht="22.5" customHeight="1">
      <c r="A986" s="184"/>
      <c r="B986" s="184"/>
      <c r="C986" s="184"/>
      <c r="D986" s="184"/>
      <c r="E986" s="184"/>
      <c r="F986" s="184"/>
      <c r="G986" s="184"/>
      <c r="H986" s="184"/>
      <c r="I986" s="184"/>
      <c r="J986" s="184"/>
      <c r="K986" s="184"/>
      <c r="L986" s="184"/>
      <c r="M986" s="184"/>
      <c r="N986" s="184"/>
      <c r="O986" s="184"/>
      <c r="P986" s="184"/>
      <c r="Q986" s="184"/>
      <c r="R986" s="184"/>
      <c r="S986" s="184"/>
      <c r="T986" s="145"/>
      <c r="U986" s="151"/>
      <c r="V986" s="145"/>
      <c r="W986" s="145"/>
      <c r="X986" s="145"/>
      <c r="Y986" s="145"/>
      <c r="Z986" s="145"/>
      <c r="AA986" s="145"/>
      <c r="AB986" s="145"/>
      <c r="AC986" s="145"/>
      <c r="AD986" s="145"/>
      <c r="AE986" s="145"/>
      <c r="AF986" s="145"/>
      <c r="AG986" s="144"/>
      <c r="AH986" s="144"/>
      <c r="AI986" s="144"/>
      <c r="AJ986" s="144"/>
      <c r="AK986" s="144"/>
    </row>
    <row r="987" ht="22.5" customHeight="1">
      <c r="A987" s="183"/>
      <c r="B987" s="183"/>
      <c r="C987" s="183"/>
      <c r="D987" s="183"/>
      <c r="E987" s="183"/>
      <c r="F987" s="183"/>
      <c r="G987" s="183"/>
      <c r="H987" s="183"/>
      <c r="I987" s="183"/>
      <c r="J987" s="183"/>
      <c r="K987" s="183"/>
      <c r="L987" s="183"/>
      <c r="M987" s="183"/>
      <c r="N987" s="183"/>
      <c r="O987" s="183"/>
      <c r="P987" s="183"/>
      <c r="Q987" s="183"/>
      <c r="R987" s="183"/>
      <c r="S987" s="183"/>
      <c r="T987" s="152"/>
      <c r="U987" s="155"/>
      <c r="V987" s="152"/>
      <c r="W987" s="152"/>
      <c r="X987" s="152"/>
      <c r="Y987" s="152"/>
      <c r="Z987" s="152"/>
      <c r="AA987" s="152"/>
      <c r="AB987" s="152"/>
      <c r="AC987" s="152"/>
      <c r="AD987" s="152"/>
      <c r="AE987" s="152"/>
      <c r="AF987" s="152"/>
      <c r="AG987" s="144"/>
      <c r="AH987" s="144"/>
      <c r="AI987" s="144"/>
      <c r="AJ987" s="144"/>
      <c r="AK987" s="144"/>
    </row>
    <row r="988" ht="22.5" customHeight="1">
      <c r="A988" s="184"/>
      <c r="B988" s="184"/>
      <c r="C988" s="184"/>
      <c r="D988" s="184"/>
      <c r="E988" s="184"/>
      <c r="F988" s="184"/>
      <c r="G988" s="184"/>
      <c r="H988" s="184"/>
      <c r="I988" s="184"/>
      <c r="J988" s="184"/>
      <c r="K988" s="184"/>
      <c r="L988" s="184"/>
      <c r="M988" s="184"/>
      <c r="N988" s="184"/>
      <c r="O988" s="184"/>
      <c r="P988" s="184"/>
      <c r="Q988" s="184"/>
      <c r="R988" s="184"/>
      <c r="S988" s="184"/>
      <c r="T988" s="145"/>
      <c r="U988" s="151"/>
      <c r="V988" s="145"/>
      <c r="W988" s="145"/>
      <c r="X988" s="145"/>
      <c r="Y988" s="145"/>
      <c r="Z988" s="145"/>
      <c r="AA988" s="145"/>
      <c r="AB988" s="145"/>
      <c r="AC988" s="145"/>
      <c r="AD988" s="145"/>
      <c r="AE988" s="145"/>
      <c r="AF988" s="145"/>
      <c r="AG988" s="144"/>
      <c r="AH988" s="144"/>
      <c r="AI988" s="144"/>
      <c r="AJ988" s="144"/>
      <c r="AK988" s="144"/>
    </row>
    <row r="989" ht="22.5" customHeight="1">
      <c r="A989" s="183"/>
      <c r="B989" s="183"/>
      <c r="C989" s="183"/>
      <c r="D989" s="183"/>
      <c r="E989" s="183"/>
      <c r="F989" s="183"/>
      <c r="G989" s="183"/>
      <c r="H989" s="183"/>
      <c r="I989" s="183"/>
      <c r="J989" s="183"/>
      <c r="K989" s="183"/>
      <c r="L989" s="183"/>
      <c r="M989" s="183"/>
      <c r="N989" s="183"/>
      <c r="O989" s="183"/>
      <c r="P989" s="183"/>
      <c r="Q989" s="183"/>
      <c r="R989" s="183"/>
      <c r="S989" s="183"/>
      <c r="T989" s="152"/>
      <c r="U989" s="155"/>
      <c r="V989" s="152"/>
      <c r="W989" s="152"/>
      <c r="X989" s="152"/>
      <c r="Y989" s="152"/>
      <c r="Z989" s="152"/>
      <c r="AA989" s="152"/>
      <c r="AB989" s="152"/>
      <c r="AC989" s="152"/>
      <c r="AD989" s="152"/>
      <c r="AE989" s="152"/>
      <c r="AF989" s="152"/>
      <c r="AG989" s="144"/>
      <c r="AH989" s="144"/>
      <c r="AI989" s="144"/>
      <c r="AJ989" s="144"/>
      <c r="AK989" s="144"/>
    </row>
    <row r="990" ht="22.5" customHeight="1">
      <c r="A990" s="184"/>
      <c r="B990" s="184"/>
      <c r="C990" s="184"/>
      <c r="D990" s="184"/>
      <c r="E990" s="184"/>
      <c r="F990" s="184"/>
      <c r="G990" s="184"/>
      <c r="H990" s="184"/>
      <c r="I990" s="184"/>
      <c r="J990" s="184"/>
      <c r="K990" s="184"/>
      <c r="L990" s="184"/>
      <c r="M990" s="184"/>
      <c r="N990" s="184"/>
      <c r="O990" s="184"/>
      <c r="P990" s="184"/>
      <c r="Q990" s="184"/>
      <c r="R990" s="184"/>
      <c r="S990" s="184"/>
      <c r="T990" s="145"/>
      <c r="U990" s="151"/>
      <c r="V990" s="145"/>
      <c r="W990" s="145"/>
      <c r="X990" s="145"/>
      <c r="Y990" s="145"/>
      <c r="Z990" s="145"/>
      <c r="AA990" s="145"/>
      <c r="AB990" s="145"/>
      <c r="AC990" s="145"/>
      <c r="AD990" s="145"/>
      <c r="AE990" s="145"/>
      <c r="AF990" s="145"/>
      <c r="AG990" s="144"/>
      <c r="AH990" s="144"/>
      <c r="AI990" s="144"/>
      <c r="AJ990" s="144"/>
      <c r="AK990" s="144"/>
    </row>
    <row r="991" ht="22.5" customHeight="1">
      <c r="A991" s="183"/>
      <c r="B991" s="183"/>
      <c r="C991" s="183"/>
      <c r="D991" s="183"/>
      <c r="E991" s="183"/>
      <c r="F991" s="183"/>
      <c r="G991" s="183"/>
      <c r="H991" s="183"/>
      <c r="I991" s="183"/>
      <c r="J991" s="183"/>
      <c r="K991" s="183"/>
      <c r="L991" s="183"/>
      <c r="M991" s="183"/>
      <c r="N991" s="183"/>
      <c r="O991" s="183"/>
      <c r="P991" s="183"/>
      <c r="Q991" s="183"/>
      <c r="R991" s="183"/>
      <c r="S991" s="183"/>
      <c r="T991" s="152"/>
      <c r="U991" s="155"/>
      <c r="V991" s="152"/>
      <c r="W991" s="152"/>
      <c r="X991" s="152"/>
      <c r="Y991" s="152"/>
      <c r="Z991" s="152"/>
      <c r="AA991" s="152"/>
      <c r="AB991" s="152"/>
      <c r="AC991" s="152"/>
      <c r="AD991" s="152"/>
      <c r="AE991" s="152"/>
      <c r="AF991" s="152"/>
      <c r="AG991" s="144"/>
      <c r="AH991" s="144"/>
      <c r="AI991" s="144"/>
      <c r="AJ991" s="144"/>
      <c r="AK991" s="144"/>
    </row>
    <row r="992" ht="22.5" customHeight="1">
      <c r="A992" s="184"/>
      <c r="B992" s="184"/>
      <c r="C992" s="184"/>
      <c r="D992" s="184"/>
      <c r="E992" s="184"/>
      <c r="F992" s="184"/>
      <c r="G992" s="184"/>
      <c r="H992" s="184"/>
      <c r="I992" s="184"/>
      <c r="J992" s="184"/>
      <c r="K992" s="184"/>
      <c r="L992" s="184"/>
      <c r="M992" s="184"/>
      <c r="N992" s="184"/>
      <c r="O992" s="184"/>
      <c r="P992" s="184"/>
      <c r="Q992" s="184"/>
      <c r="R992" s="184"/>
      <c r="S992" s="184"/>
      <c r="T992" s="145"/>
      <c r="U992" s="151"/>
      <c r="V992" s="145"/>
      <c r="W992" s="145"/>
      <c r="X992" s="145"/>
      <c r="Y992" s="145"/>
      <c r="Z992" s="145"/>
      <c r="AA992" s="145"/>
      <c r="AB992" s="145"/>
      <c r="AC992" s="145"/>
      <c r="AD992" s="145"/>
      <c r="AE992" s="145"/>
      <c r="AF992" s="145"/>
      <c r="AG992" s="144"/>
      <c r="AH992" s="144"/>
      <c r="AI992" s="144"/>
      <c r="AJ992" s="144"/>
      <c r="AK992" s="144"/>
    </row>
    <row r="993" ht="22.5" customHeight="1">
      <c r="A993" s="183"/>
      <c r="B993" s="183"/>
      <c r="C993" s="183"/>
      <c r="D993" s="183"/>
      <c r="E993" s="183"/>
      <c r="F993" s="183"/>
      <c r="G993" s="183"/>
      <c r="H993" s="183"/>
      <c r="I993" s="183"/>
      <c r="J993" s="183"/>
      <c r="K993" s="183"/>
      <c r="L993" s="183"/>
      <c r="M993" s="183"/>
      <c r="N993" s="183"/>
      <c r="O993" s="183"/>
      <c r="P993" s="183"/>
      <c r="Q993" s="183"/>
      <c r="R993" s="183"/>
      <c r="S993" s="183"/>
      <c r="T993" s="152"/>
      <c r="U993" s="155"/>
      <c r="V993" s="152"/>
      <c r="W993" s="152"/>
      <c r="X993" s="152"/>
      <c r="Y993" s="152"/>
      <c r="Z993" s="152"/>
      <c r="AA993" s="152"/>
      <c r="AB993" s="152"/>
      <c r="AC993" s="152"/>
      <c r="AD993" s="152"/>
      <c r="AE993" s="152"/>
      <c r="AF993" s="152"/>
      <c r="AG993" s="144"/>
      <c r="AH993" s="144"/>
      <c r="AI993" s="144"/>
      <c r="AJ993" s="144"/>
      <c r="AK993" s="144"/>
    </row>
    <row r="994" ht="22.5" customHeight="1">
      <c r="A994" s="184"/>
      <c r="B994" s="184"/>
      <c r="C994" s="184"/>
      <c r="D994" s="184"/>
      <c r="E994" s="184"/>
      <c r="F994" s="184"/>
      <c r="G994" s="184"/>
      <c r="H994" s="184"/>
      <c r="I994" s="184"/>
      <c r="J994" s="184"/>
      <c r="K994" s="184"/>
      <c r="L994" s="184"/>
      <c r="M994" s="184"/>
      <c r="N994" s="184"/>
      <c r="O994" s="184"/>
      <c r="P994" s="184"/>
      <c r="Q994" s="184"/>
      <c r="R994" s="184"/>
      <c r="S994" s="184"/>
      <c r="T994" s="145"/>
      <c r="U994" s="151"/>
      <c r="V994" s="145"/>
      <c r="W994" s="145"/>
      <c r="X994" s="145"/>
      <c r="Y994" s="145"/>
      <c r="Z994" s="145"/>
      <c r="AA994" s="145"/>
      <c r="AB994" s="145"/>
      <c r="AC994" s="145"/>
      <c r="AD994" s="145"/>
      <c r="AE994" s="145"/>
      <c r="AF994" s="145"/>
      <c r="AG994" s="144"/>
      <c r="AH994" s="144"/>
      <c r="AI994" s="144"/>
      <c r="AJ994" s="144"/>
      <c r="AK994" s="144"/>
    </row>
    <row r="995" ht="22.5" customHeight="1">
      <c r="A995" s="183"/>
      <c r="B995" s="183"/>
      <c r="C995" s="183"/>
      <c r="D995" s="183"/>
      <c r="E995" s="183"/>
      <c r="F995" s="183"/>
      <c r="G995" s="183"/>
      <c r="H995" s="183"/>
      <c r="I995" s="183"/>
      <c r="J995" s="183"/>
      <c r="K995" s="183"/>
      <c r="L995" s="183"/>
      <c r="M995" s="183"/>
      <c r="N995" s="183"/>
      <c r="O995" s="183"/>
      <c r="P995" s="183"/>
      <c r="Q995" s="183"/>
      <c r="R995" s="183"/>
      <c r="S995" s="183"/>
      <c r="T995" s="152"/>
      <c r="U995" s="155"/>
      <c r="V995" s="152"/>
      <c r="W995" s="152"/>
      <c r="X995" s="152"/>
      <c r="Y995" s="152"/>
      <c r="Z995" s="152"/>
      <c r="AA995" s="152"/>
      <c r="AB995" s="152"/>
      <c r="AC995" s="152"/>
      <c r="AD995" s="152"/>
      <c r="AE995" s="152"/>
      <c r="AF995" s="152"/>
      <c r="AG995" s="144"/>
      <c r="AH995" s="144"/>
      <c r="AI995" s="144"/>
      <c r="AJ995" s="144"/>
      <c r="AK995" s="144"/>
    </row>
    <row r="996" ht="22.5" customHeight="1">
      <c r="A996" s="184"/>
      <c r="B996" s="184"/>
      <c r="C996" s="184"/>
      <c r="D996" s="184"/>
      <c r="E996" s="184"/>
      <c r="F996" s="184"/>
      <c r="G996" s="184"/>
      <c r="H996" s="184"/>
      <c r="I996" s="184"/>
      <c r="J996" s="184"/>
      <c r="K996" s="184"/>
      <c r="L996" s="184"/>
      <c r="M996" s="184"/>
      <c r="N996" s="184"/>
      <c r="O996" s="184"/>
      <c r="P996" s="184"/>
      <c r="Q996" s="184"/>
      <c r="R996" s="184"/>
      <c r="S996" s="184"/>
      <c r="T996" s="145"/>
      <c r="U996" s="151"/>
      <c r="V996" s="145"/>
      <c r="W996" s="145"/>
      <c r="X996" s="145"/>
      <c r="Y996" s="145"/>
      <c r="Z996" s="145"/>
      <c r="AA996" s="145"/>
      <c r="AB996" s="145"/>
      <c r="AC996" s="145"/>
      <c r="AD996" s="145"/>
      <c r="AE996" s="145"/>
      <c r="AF996" s="145"/>
      <c r="AG996" s="144"/>
      <c r="AH996" s="144"/>
      <c r="AI996" s="144"/>
      <c r="AJ996" s="144"/>
      <c r="AK996" s="144"/>
    </row>
    <row r="997" ht="22.5" customHeight="1">
      <c r="A997" s="183"/>
      <c r="B997" s="183"/>
      <c r="C997" s="183"/>
      <c r="D997" s="183"/>
      <c r="E997" s="183"/>
      <c r="F997" s="183"/>
      <c r="G997" s="183"/>
      <c r="H997" s="183"/>
      <c r="I997" s="183"/>
      <c r="J997" s="183"/>
      <c r="K997" s="183"/>
      <c r="L997" s="183"/>
      <c r="M997" s="183"/>
      <c r="N997" s="183"/>
      <c r="O997" s="183"/>
      <c r="P997" s="183"/>
      <c r="Q997" s="183"/>
      <c r="R997" s="183"/>
      <c r="S997" s="183"/>
      <c r="T997" s="152"/>
      <c r="U997" s="155"/>
      <c r="V997" s="152"/>
      <c r="W997" s="152"/>
      <c r="X997" s="152"/>
      <c r="Y997" s="152"/>
      <c r="Z997" s="152"/>
      <c r="AA997" s="152"/>
      <c r="AB997" s="152"/>
      <c r="AC997" s="152"/>
      <c r="AD997" s="152"/>
      <c r="AE997" s="152"/>
      <c r="AF997" s="152"/>
      <c r="AG997" s="144"/>
      <c r="AH997" s="144"/>
      <c r="AI997" s="144"/>
      <c r="AJ997" s="144"/>
      <c r="AK997" s="144"/>
    </row>
    <row r="998" ht="22.5" customHeight="1">
      <c r="A998" s="184"/>
      <c r="B998" s="184"/>
      <c r="C998" s="184"/>
      <c r="D998" s="184"/>
      <c r="E998" s="184"/>
      <c r="F998" s="184"/>
      <c r="G998" s="184"/>
      <c r="H998" s="184"/>
      <c r="I998" s="184"/>
      <c r="J998" s="184"/>
      <c r="K998" s="184"/>
      <c r="L998" s="184"/>
      <c r="M998" s="184"/>
      <c r="N998" s="184"/>
      <c r="O998" s="184"/>
      <c r="P998" s="184"/>
      <c r="Q998" s="184"/>
      <c r="R998" s="184"/>
      <c r="S998" s="184"/>
      <c r="T998" s="145"/>
      <c r="U998" s="151"/>
      <c r="V998" s="145"/>
      <c r="W998" s="145"/>
      <c r="X998" s="145"/>
      <c r="Y998" s="145"/>
      <c r="Z998" s="145"/>
      <c r="AA998" s="145"/>
      <c r="AB998" s="145"/>
      <c r="AC998" s="145"/>
      <c r="AD998" s="145"/>
      <c r="AE998" s="145"/>
      <c r="AF998" s="145"/>
      <c r="AG998" s="144"/>
      <c r="AH998" s="144"/>
      <c r="AI998" s="144"/>
      <c r="AJ998" s="144"/>
      <c r="AK998" s="144"/>
    </row>
    <row r="999" ht="22.5" customHeight="1">
      <c r="A999" s="183"/>
      <c r="B999" s="183"/>
      <c r="C999" s="183"/>
      <c r="D999" s="183"/>
      <c r="E999" s="183"/>
      <c r="F999" s="183"/>
      <c r="G999" s="183"/>
      <c r="H999" s="183"/>
      <c r="I999" s="183"/>
      <c r="J999" s="183"/>
      <c r="K999" s="183"/>
      <c r="L999" s="183"/>
      <c r="M999" s="183"/>
      <c r="N999" s="183"/>
      <c r="O999" s="183"/>
      <c r="P999" s="183"/>
      <c r="Q999" s="183"/>
      <c r="R999" s="183"/>
      <c r="S999" s="183"/>
      <c r="T999" s="152"/>
      <c r="U999" s="155"/>
      <c r="V999" s="152"/>
      <c r="W999" s="152"/>
      <c r="X999" s="152"/>
      <c r="Y999" s="152"/>
      <c r="Z999" s="152"/>
      <c r="AA999" s="152"/>
      <c r="AB999" s="152"/>
      <c r="AC999" s="152"/>
      <c r="AD999" s="152"/>
      <c r="AE999" s="152"/>
      <c r="AF999" s="152"/>
      <c r="AG999" s="144"/>
      <c r="AH999" s="144"/>
      <c r="AI999" s="144"/>
      <c r="AJ999" s="144"/>
      <c r="AK999" s="144"/>
    </row>
    <row r="1000" ht="22.5" customHeight="1">
      <c r="A1000" s="184"/>
      <c r="B1000" s="184"/>
      <c r="C1000" s="184"/>
      <c r="D1000" s="184"/>
      <c r="E1000" s="184"/>
      <c r="F1000" s="184"/>
      <c r="G1000" s="184"/>
      <c r="H1000" s="184"/>
      <c r="I1000" s="184"/>
      <c r="J1000" s="184"/>
      <c r="K1000" s="184"/>
      <c r="L1000" s="184"/>
      <c r="M1000" s="184"/>
      <c r="N1000" s="184"/>
      <c r="O1000" s="184"/>
      <c r="P1000" s="184"/>
      <c r="Q1000" s="184"/>
      <c r="R1000" s="184"/>
      <c r="S1000" s="184"/>
      <c r="T1000" s="145"/>
      <c r="U1000" s="151"/>
      <c r="V1000" s="145"/>
      <c r="W1000" s="145"/>
      <c r="X1000" s="145"/>
      <c r="Y1000" s="145"/>
      <c r="Z1000" s="145"/>
      <c r="AA1000" s="145"/>
      <c r="AB1000" s="145"/>
      <c r="AC1000" s="145"/>
      <c r="AD1000" s="145"/>
      <c r="AE1000" s="145"/>
      <c r="AF1000" s="145"/>
      <c r="AG1000" s="144"/>
      <c r="AH1000" s="144"/>
      <c r="AI1000" s="144"/>
      <c r="AJ1000" s="144"/>
      <c r="AK1000" s="144"/>
    </row>
    <row r="1001" ht="22.5" customHeight="1">
      <c r="A1001" s="183"/>
      <c r="B1001" s="183"/>
      <c r="C1001" s="183"/>
      <c r="D1001" s="183"/>
      <c r="E1001" s="183"/>
      <c r="F1001" s="183"/>
      <c r="G1001" s="183"/>
      <c r="H1001" s="183"/>
      <c r="I1001" s="183"/>
      <c r="J1001" s="183"/>
      <c r="K1001" s="183"/>
      <c r="L1001" s="183"/>
      <c r="M1001" s="183"/>
      <c r="N1001" s="183"/>
      <c r="O1001" s="183"/>
      <c r="P1001" s="183"/>
      <c r="Q1001" s="183"/>
      <c r="R1001" s="183"/>
      <c r="S1001" s="183"/>
      <c r="T1001" s="152"/>
      <c r="U1001" s="155"/>
      <c r="V1001" s="152"/>
      <c r="W1001" s="152"/>
      <c r="X1001" s="152"/>
      <c r="Y1001" s="152"/>
      <c r="Z1001" s="152"/>
      <c r="AA1001" s="152"/>
      <c r="AB1001" s="152"/>
      <c r="AC1001" s="152"/>
      <c r="AD1001" s="152"/>
      <c r="AE1001" s="152"/>
      <c r="AF1001" s="152"/>
      <c r="AG1001" s="144"/>
      <c r="AH1001" s="144"/>
      <c r="AI1001" s="144"/>
      <c r="AJ1001" s="144"/>
      <c r="AK1001" s="144"/>
    </row>
    <row r="1002" ht="22.5" customHeight="1">
      <c r="A1002" s="184"/>
      <c r="B1002" s="184"/>
      <c r="C1002" s="184"/>
      <c r="D1002" s="184"/>
      <c r="E1002" s="184"/>
      <c r="F1002" s="184"/>
      <c r="G1002" s="184"/>
      <c r="H1002" s="184"/>
      <c r="I1002" s="184"/>
      <c r="J1002" s="184"/>
      <c r="K1002" s="184"/>
      <c r="L1002" s="184"/>
      <c r="M1002" s="184"/>
      <c r="N1002" s="184"/>
      <c r="O1002" s="184"/>
      <c r="P1002" s="184"/>
      <c r="Q1002" s="184"/>
      <c r="R1002" s="184"/>
      <c r="S1002" s="184"/>
      <c r="T1002" s="145"/>
      <c r="U1002" s="151"/>
      <c r="V1002" s="145"/>
      <c r="W1002" s="145"/>
      <c r="X1002" s="145"/>
      <c r="Y1002" s="145"/>
      <c r="Z1002" s="145"/>
      <c r="AA1002" s="145"/>
      <c r="AB1002" s="145"/>
      <c r="AC1002" s="145"/>
      <c r="AD1002" s="145"/>
      <c r="AE1002" s="145"/>
      <c r="AF1002" s="145"/>
      <c r="AG1002" s="144"/>
      <c r="AH1002" s="144"/>
      <c r="AI1002" s="144"/>
      <c r="AJ1002" s="144"/>
      <c r="AK1002" s="144"/>
    </row>
    <row r="1003" ht="22.5" customHeight="1">
      <c r="A1003" s="183"/>
      <c r="B1003" s="183"/>
      <c r="C1003" s="183"/>
      <c r="D1003" s="183"/>
      <c r="E1003" s="183"/>
      <c r="F1003" s="183"/>
      <c r="G1003" s="183"/>
      <c r="H1003" s="183"/>
      <c r="I1003" s="183"/>
      <c r="J1003" s="183"/>
      <c r="K1003" s="183"/>
      <c r="L1003" s="183"/>
      <c r="M1003" s="183"/>
      <c r="N1003" s="183"/>
      <c r="O1003" s="183"/>
      <c r="P1003" s="183"/>
      <c r="Q1003" s="183"/>
      <c r="R1003" s="183"/>
      <c r="S1003" s="183"/>
      <c r="T1003" s="152"/>
      <c r="U1003" s="155"/>
      <c r="V1003" s="152"/>
      <c r="W1003" s="152"/>
      <c r="X1003" s="152"/>
      <c r="Y1003" s="152"/>
      <c r="Z1003" s="152"/>
      <c r="AA1003" s="152"/>
      <c r="AB1003" s="152"/>
      <c r="AC1003" s="152"/>
      <c r="AD1003" s="152"/>
      <c r="AE1003" s="152"/>
      <c r="AF1003" s="152"/>
      <c r="AG1003" s="144"/>
      <c r="AH1003" s="144"/>
      <c r="AI1003" s="144"/>
      <c r="AJ1003" s="144"/>
      <c r="AK1003" s="144"/>
    </row>
    <row r="1004" ht="22.5" customHeight="1">
      <c r="A1004" s="184"/>
      <c r="B1004" s="184"/>
      <c r="C1004" s="184"/>
      <c r="D1004" s="184"/>
      <c r="E1004" s="184"/>
      <c r="F1004" s="184"/>
      <c r="G1004" s="184"/>
      <c r="H1004" s="184"/>
      <c r="I1004" s="184"/>
      <c r="J1004" s="184"/>
      <c r="K1004" s="184"/>
      <c r="L1004" s="184"/>
      <c r="M1004" s="184"/>
      <c r="N1004" s="184"/>
      <c r="O1004" s="184"/>
      <c r="P1004" s="184"/>
      <c r="Q1004" s="184"/>
      <c r="R1004" s="184"/>
      <c r="S1004" s="184"/>
      <c r="T1004" s="145"/>
      <c r="U1004" s="151"/>
      <c r="V1004" s="145"/>
      <c r="W1004" s="145"/>
      <c r="X1004" s="145"/>
      <c r="Y1004" s="145"/>
      <c r="Z1004" s="145"/>
      <c r="AA1004" s="145"/>
      <c r="AB1004" s="145"/>
      <c r="AC1004" s="145"/>
      <c r="AD1004" s="145"/>
      <c r="AE1004" s="145"/>
      <c r="AF1004" s="145"/>
      <c r="AG1004" s="144"/>
      <c r="AH1004" s="144"/>
      <c r="AI1004" s="144"/>
      <c r="AJ1004" s="144"/>
      <c r="AK1004" s="144"/>
    </row>
    <row r="1005" ht="22.5" customHeight="1">
      <c r="A1005" s="183"/>
      <c r="B1005" s="183"/>
      <c r="C1005" s="183"/>
      <c r="D1005" s="183"/>
      <c r="E1005" s="183"/>
      <c r="F1005" s="183"/>
      <c r="G1005" s="183"/>
      <c r="H1005" s="183"/>
      <c r="I1005" s="183"/>
      <c r="J1005" s="183"/>
      <c r="K1005" s="183"/>
      <c r="L1005" s="183"/>
      <c r="M1005" s="183"/>
      <c r="N1005" s="183"/>
      <c r="O1005" s="183"/>
      <c r="P1005" s="183"/>
      <c r="Q1005" s="183"/>
      <c r="R1005" s="183"/>
      <c r="S1005" s="183"/>
      <c r="T1005" s="152"/>
      <c r="U1005" s="155"/>
      <c r="V1005" s="152"/>
      <c r="W1005" s="152"/>
      <c r="X1005" s="152"/>
      <c r="Y1005" s="152"/>
      <c r="Z1005" s="152"/>
      <c r="AA1005" s="152"/>
      <c r="AB1005" s="152"/>
      <c r="AC1005" s="152"/>
      <c r="AD1005" s="152"/>
      <c r="AE1005" s="152"/>
      <c r="AF1005" s="152"/>
      <c r="AG1005" s="144"/>
      <c r="AH1005" s="144"/>
      <c r="AI1005" s="144"/>
      <c r="AJ1005" s="144"/>
      <c r="AK1005" s="144"/>
    </row>
    <row r="1006" ht="22.5" customHeight="1">
      <c r="A1006" s="184"/>
      <c r="B1006" s="184"/>
      <c r="C1006" s="184"/>
      <c r="D1006" s="184"/>
      <c r="E1006" s="184"/>
      <c r="F1006" s="184"/>
      <c r="G1006" s="184"/>
      <c r="H1006" s="184"/>
      <c r="I1006" s="184"/>
      <c r="J1006" s="184"/>
      <c r="K1006" s="184"/>
      <c r="L1006" s="184"/>
      <c r="M1006" s="184"/>
      <c r="N1006" s="184"/>
      <c r="O1006" s="184"/>
      <c r="P1006" s="184"/>
      <c r="Q1006" s="184"/>
      <c r="R1006" s="184"/>
      <c r="S1006" s="184"/>
      <c r="T1006" s="145"/>
      <c r="U1006" s="151"/>
      <c r="V1006" s="145"/>
      <c r="W1006" s="145"/>
      <c r="X1006" s="145"/>
      <c r="Y1006" s="145"/>
      <c r="Z1006" s="145"/>
      <c r="AA1006" s="145"/>
      <c r="AB1006" s="145"/>
      <c r="AC1006" s="145"/>
      <c r="AD1006" s="145"/>
      <c r="AE1006" s="145"/>
      <c r="AF1006" s="145"/>
      <c r="AG1006" s="144"/>
      <c r="AH1006" s="144"/>
      <c r="AI1006" s="144"/>
      <c r="AJ1006" s="144"/>
      <c r="AK1006" s="144"/>
    </row>
    <row r="1007" ht="22.5" customHeight="1">
      <c r="A1007" s="183"/>
      <c r="B1007" s="183"/>
      <c r="C1007" s="183"/>
      <c r="D1007" s="183"/>
      <c r="E1007" s="183"/>
      <c r="F1007" s="183"/>
      <c r="G1007" s="183"/>
      <c r="H1007" s="183"/>
      <c r="I1007" s="183"/>
      <c r="J1007" s="183"/>
      <c r="K1007" s="183"/>
      <c r="L1007" s="183"/>
      <c r="M1007" s="183"/>
      <c r="N1007" s="183"/>
      <c r="O1007" s="183"/>
      <c r="P1007" s="183"/>
      <c r="Q1007" s="183"/>
      <c r="R1007" s="183"/>
      <c r="S1007" s="183"/>
      <c r="T1007" s="152"/>
      <c r="U1007" s="155"/>
      <c r="V1007" s="152"/>
      <c r="W1007" s="152"/>
      <c r="X1007" s="152"/>
      <c r="Y1007" s="152"/>
      <c r="Z1007" s="152"/>
      <c r="AA1007" s="152"/>
      <c r="AB1007" s="152"/>
      <c r="AC1007" s="152"/>
      <c r="AD1007" s="152"/>
      <c r="AE1007" s="152"/>
      <c r="AF1007" s="152"/>
      <c r="AG1007" s="144"/>
      <c r="AH1007" s="144"/>
      <c r="AI1007" s="144"/>
      <c r="AJ1007" s="144"/>
      <c r="AK1007" s="144"/>
    </row>
    <row r="1008" ht="22.5" customHeight="1">
      <c r="A1008" s="184"/>
      <c r="B1008" s="184"/>
      <c r="C1008" s="184"/>
      <c r="D1008" s="184"/>
      <c r="E1008" s="184"/>
      <c r="F1008" s="184"/>
      <c r="G1008" s="184"/>
      <c r="H1008" s="184"/>
      <c r="I1008" s="184"/>
      <c r="J1008" s="184"/>
      <c r="K1008" s="184"/>
      <c r="L1008" s="184"/>
      <c r="M1008" s="184"/>
      <c r="N1008" s="184"/>
      <c r="O1008" s="184"/>
      <c r="P1008" s="184"/>
      <c r="Q1008" s="184"/>
      <c r="R1008" s="184"/>
      <c r="S1008" s="184"/>
      <c r="T1008" s="145"/>
      <c r="U1008" s="151"/>
      <c r="V1008" s="145"/>
      <c r="W1008" s="145"/>
      <c r="X1008" s="145"/>
      <c r="Y1008" s="145"/>
      <c r="Z1008" s="145"/>
      <c r="AA1008" s="145"/>
      <c r="AB1008" s="145"/>
      <c r="AC1008" s="145"/>
      <c r="AD1008" s="145"/>
      <c r="AE1008" s="145"/>
      <c r="AF1008" s="145"/>
      <c r="AG1008" s="144"/>
      <c r="AH1008" s="144"/>
      <c r="AI1008" s="144"/>
      <c r="AJ1008" s="144"/>
      <c r="AK1008" s="144"/>
    </row>
    <row r="1009" ht="22.5" customHeight="1">
      <c r="A1009" s="183"/>
      <c r="B1009" s="183"/>
      <c r="C1009" s="183"/>
      <c r="D1009" s="183"/>
      <c r="E1009" s="183"/>
      <c r="F1009" s="183"/>
      <c r="G1009" s="183"/>
      <c r="H1009" s="183"/>
      <c r="I1009" s="183"/>
      <c r="J1009" s="183"/>
      <c r="K1009" s="183"/>
      <c r="L1009" s="183"/>
      <c r="M1009" s="183"/>
      <c r="N1009" s="183"/>
      <c r="O1009" s="183"/>
      <c r="P1009" s="183"/>
      <c r="Q1009" s="183"/>
      <c r="R1009" s="183"/>
      <c r="S1009" s="183"/>
      <c r="T1009" s="152"/>
      <c r="U1009" s="155"/>
      <c r="V1009" s="152"/>
      <c r="W1009" s="152"/>
      <c r="X1009" s="152"/>
      <c r="Y1009" s="152"/>
      <c r="Z1009" s="152"/>
      <c r="AA1009" s="152"/>
      <c r="AB1009" s="152"/>
      <c r="AC1009" s="152"/>
      <c r="AD1009" s="152"/>
      <c r="AE1009" s="152"/>
      <c r="AF1009" s="152"/>
      <c r="AG1009" s="144"/>
      <c r="AH1009" s="144"/>
      <c r="AI1009" s="144"/>
      <c r="AJ1009" s="144"/>
      <c r="AK1009" s="144"/>
    </row>
    <row r="1010" ht="22.5" customHeight="1">
      <c r="A1010" s="184"/>
      <c r="B1010" s="184"/>
      <c r="C1010" s="184"/>
      <c r="D1010" s="184"/>
      <c r="E1010" s="184"/>
      <c r="F1010" s="184"/>
      <c r="G1010" s="184"/>
      <c r="H1010" s="184"/>
      <c r="I1010" s="184"/>
      <c r="J1010" s="184"/>
      <c r="K1010" s="184"/>
      <c r="L1010" s="184"/>
      <c r="M1010" s="184"/>
      <c r="N1010" s="184"/>
      <c r="O1010" s="184"/>
      <c r="P1010" s="184"/>
      <c r="Q1010" s="184"/>
      <c r="R1010" s="184"/>
      <c r="S1010" s="184"/>
      <c r="T1010" s="145"/>
      <c r="U1010" s="151"/>
      <c r="V1010" s="145"/>
      <c r="W1010" s="145"/>
      <c r="X1010" s="145"/>
      <c r="Y1010" s="145"/>
      <c r="Z1010" s="145"/>
      <c r="AA1010" s="145"/>
      <c r="AB1010" s="145"/>
      <c r="AC1010" s="145"/>
      <c r="AD1010" s="145"/>
      <c r="AE1010" s="145"/>
      <c r="AF1010" s="145"/>
      <c r="AG1010" s="144"/>
      <c r="AH1010" s="144"/>
      <c r="AI1010" s="144"/>
      <c r="AJ1010" s="144"/>
      <c r="AK1010" s="144"/>
    </row>
    <row r="1011" ht="22.5" customHeight="1">
      <c r="A1011" s="183"/>
      <c r="B1011" s="183"/>
      <c r="C1011" s="183"/>
      <c r="D1011" s="183"/>
      <c r="E1011" s="183"/>
      <c r="F1011" s="183"/>
      <c r="G1011" s="183"/>
      <c r="H1011" s="183"/>
      <c r="I1011" s="183"/>
      <c r="J1011" s="183"/>
      <c r="K1011" s="183"/>
      <c r="L1011" s="183"/>
      <c r="M1011" s="183"/>
      <c r="N1011" s="183"/>
      <c r="O1011" s="183"/>
      <c r="P1011" s="183"/>
      <c r="Q1011" s="183"/>
      <c r="R1011" s="183"/>
      <c r="S1011" s="183"/>
      <c r="T1011" s="152"/>
      <c r="U1011" s="155"/>
      <c r="V1011" s="152"/>
      <c r="W1011" s="152"/>
      <c r="X1011" s="152"/>
      <c r="Y1011" s="152"/>
      <c r="Z1011" s="152"/>
      <c r="AA1011" s="152"/>
      <c r="AB1011" s="152"/>
      <c r="AC1011" s="152"/>
      <c r="AD1011" s="152"/>
      <c r="AE1011" s="152"/>
      <c r="AF1011" s="152"/>
      <c r="AG1011" s="144"/>
      <c r="AH1011" s="144"/>
      <c r="AI1011" s="144"/>
      <c r="AJ1011" s="144"/>
      <c r="AK1011" s="144"/>
    </row>
    <row r="1012" ht="22.5" customHeight="1">
      <c r="A1012" s="184"/>
      <c r="B1012" s="184"/>
      <c r="C1012" s="184"/>
      <c r="D1012" s="184"/>
      <c r="E1012" s="184"/>
      <c r="F1012" s="184"/>
      <c r="G1012" s="184"/>
      <c r="H1012" s="184"/>
      <c r="I1012" s="184"/>
      <c r="J1012" s="184"/>
      <c r="K1012" s="184"/>
      <c r="L1012" s="184"/>
      <c r="M1012" s="184"/>
      <c r="N1012" s="184"/>
      <c r="O1012" s="184"/>
      <c r="P1012" s="184"/>
      <c r="Q1012" s="184"/>
      <c r="R1012" s="184"/>
      <c r="S1012" s="184"/>
      <c r="T1012" s="145"/>
      <c r="U1012" s="151"/>
      <c r="V1012" s="145"/>
      <c r="W1012" s="145"/>
      <c r="X1012" s="145"/>
      <c r="Y1012" s="145"/>
      <c r="Z1012" s="145"/>
      <c r="AA1012" s="145"/>
      <c r="AB1012" s="145"/>
      <c r="AC1012" s="145"/>
      <c r="AD1012" s="145"/>
      <c r="AE1012" s="145"/>
      <c r="AF1012" s="145"/>
      <c r="AG1012" s="144"/>
      <c r="AH1012" s="144"/>
      <c r="AI1012" s="144"/>
      <c r="AJ1012" s="144"/>
      <c r="AK1012" s="144"/>
    </row>
    <row r="1013" ht="22.5" customHeight="1">
      <c r="A1013" s="183"/>
      <c r="B1013" s="183"/>
      <c r="C1013" s="183"/>
      <c r="D1013" s="183"/>
      <c r="E1013" s="183"/>
      <c r="F1013" s="183"/>
      <c r="G1013" s="183"/>
      <c r="H1013" s="183"/>
      <c r="I1013" s="183"/>
      <c r="J1013" s="183"/>
      <c r="K1013" s="183"/>
      <c r="L1013" s="183"/>
      <c r="M1013" s="183"/>
      <c r="N1013" s="183"/>
      <c r="O1013" s="183"/>
      <c r="P1013" s="183"/>
      <c r="Q1013" s="183"/>
      <c r="R1013" s="183"/>
      <c r="S1013" s="183"/>
      <c r="T1013" s="152"/>
      <c r="U1013" s="155"/>
      <c r="V1013" s="152"/>
      <c r="W1013" s="152"/>
      <c r="X1013" s="152"/>
      <c r="Y1013" s="152"/>
      <c r="Z1013" s="152"/>
      <c r="AA1013" s="152"/>
      <c r="AB1013" s="152"/>
      <c r="AC1013" s="152"/>
      <c r="AD1013" s="152"/>
      <c r="AE1013" s="152"/>
      <c r="AF1013" s="152"/>
      <c r="AG1013" s="144"/>
      <c r="AH1013" s="144"/>
      <c r="AI1013" s="144"/>
      <c r="AJ1013" s="144"/>
      <c r="AK1013" s="144"/>
    </row>
    <row r="1014" ht="22.5" customHeight="1">
      <c r="A1014" s="184"/>
      <c r="B1014" s="184"/>
      <c r="C1014" s="184"/>
      <c r="D1014" s="184"/>
      <c r="E1014" s="184"/>
      <c r="F1014" s="184"/>
      <c r="G1014" s="184"/>
      <c r="H1014" s="184"/>
      <c r="I1014" s="184"/>
      <c r="J1014" s="184"/>
      <c r="K1014" s="184"/>
      <c r="L1014" s="184"/>
      <c r="M1014" s="184"/>
      <c r="N1014" s="184"/>
      <c r="O1014" s="184"/>
      <c r="P1014" s="184"/>
      <c r="Q1014" s="184"/>
      <c r="R1014" s="184"/>
      <c r="S1014" s="184"/>
      <c r="T1014" s="145"/>
      <c r="U1014" s="151"/>
      <c r="V1014" s="145"/>
      <c r="W1014" s="145"/>
      <c r="X1014" s="145"/>
      <c r="Y1014" s="145"/>
      <c r="Z1014" s="145"/>
      <c r="AA1014" s="145"/>
      <c r="AB1014" s="145"/>
      <c r="AC1014" s="145"/>
      <c r="AD1014" s="145"/>
      <c r="AE1014" s="145"/>
      <c r="AF1014" s="145"/>
      <c r="AG1014" s="144"/>
      <c r="AH1014" s="144"/>
      <c r="AI1014" s="144"/>
      <c r="AJ1014" s="144"/>
      <c r="AK1014" s="144"/>
    </row>
    <row r="1015" ht="22.5" customHeight="1">
      <c r="A1015" s="183"/>
      <c r="B1015" s="183"/>
      <c r="C1015" s="183"/>
      <c r="D1015" s="183"/>
      <c r="E1015" s="183"/>
      <c r="F1015" s="183"/>
      <c r="G1015" s="183"/>
      <c r="H1015" s="183"/>
      <c r="I1015" s="183"/>
      <c r="J1015" s="183"/>
      <c r="K1015" s="183"/>
      <c r="L1015" s="183"/>
      <c r="M1015" s="183"/>
      <c r="N1015" s="183"/>
      <c r="O1015" s="183"/>
      <c r="P1015" s="183"/>
      <c r="Q1015" s="183"/>
      <c r="R1015" s="183"/>
      <c r="S1015" s="183"/>
      <c r="T1015" s="152"/>
      <c r="U1015" s="155"/>
      <c r="V1015" s="152"/>
      <c r="W1015" s="152"/>
      <c r="X1015" s="152"/>
      <c r="Y1015" s="152"/>
      <c r="Z1015" s="152"/>
      <c r="AA1015" s="152"/>
      <c r="AB1015" s="152"/>
      <c r="AC1015" s="152"/>
      <c r="AD1015" s="152"/>
      <c r="AE1015" s="152"/>
      <c r="AF1015" s="152"/>
      <c r="AG1015" s="144"/>
      <c r="AH1015" s="144"/>
      <c r="AI1015" s="144"/>
      <c r="AJ1015" s="144"/>
      <c r="AK1015" s="144"/>
    </row>
    <row r="1016" ht="22.5" customHeight="1">
      <c r="A1016" s="184"/>
      <c r="B1016" s="184"/>
      <c r="C1016" s="184"/>
      <c r="D1016" s="184"/>
      <c r="E1016" s="184"/>
      <c r="F1016" s="184"/>
      <c r="G1016" s="184"/>
      <c r="H1016" s="184"/>
      <c r="I1016" s="184"/>
      <c r="J1016" s="184"/>
      <c r="K1016" s="184"/>
      <c r="L1016" s="184"/>
      <c r="M1016" s="184"/>
      <c r="N1016" s="184"/>
      <c r="O1016" s="184"/>
      <c r="P1016" s="184"/>
      <c r="Q1016" s="184"/>
      <c r="R1016" s="184"/>
      <c r="S1016" s="184"/>
      <c r="T1016" s="145"/>
      <c r="U1016" s="151"/>
      <c r="V1016" s="145"/>
      <c r="W1016" s="145"/>
      <c r="X1016" s="145"/>
      <c r="Y1016" s="145"/>
      <c r="Z1016" s="145"/>
      <c r="AA1016" s="145"/>
      <c r="AB1016" s="145"/>
      <c r="AC1016" s="145"/>
      <c r="AD1016" s="145"/>
      <c r="AE1016" s="145"/>
      <c r="AF1016" s="145"/>
      <c r="AG1016" s="144"/>
      <c r="AH1016" s="144"/>
      <c r="AI1016" s="144"/>
      <c r="AJ1016" s="144"/>
      <c r="AK1016" s="144"/>
    </row>
    <row r="1017" ht="22.5" customHeight="1">
      <c r="A1017" s="183"/>
      <c r="B1017" s="183"/>
      <c r="C1017" s="183"/>
      <c r="D1017" s="183"/>
      <c r="E1017" s="183"/>
      <c r="F1017" s="183"/>
      <c r="G1017" s="183"/>
      <c r="H1017" s="183"/>
      <c r="I1017" s="183"/>
      <c r="J1017" s="183"/>
      <c r="K1017" s="183"/>
      <c r="L1017" s="183"/>
      <c r="M1017" s="183"/>
      <c r="N1017" s="183"/>
      <c r="O1017" s="183"/>
      <c r="P1017" s="183"/>
      <c r="Q1017" s="183"/>
      <c r="R1017" s="183"/>
      <c r="S1017" s="183"/>
      <c r="T1017" s="152"/>
      <c r="U1017" s="155"/>
      <c r="V1017" s="152"/>
      <c r="W1017" s="152"/>
      <c r="X1017" s="152"/>
      <c r="Y1017" s="152"/>
      <c r="Z1017" s="152"/>
      <c r="AA1017" s="152"/>
      <c r="AB1017" s="152"/>
      <c r="AC1017" s="152"/>
      <c r="AD1017" s="152"/>
      <c r="AE1017" s="152"/>
      <c r="AF1017" s="152"/>
      <c r="AG1017" s="144"/>
      <c r="AH1017" s="144"/>
      <c r="AI1017" s="144"/>
      <c r="AJ1017" s="144"/>
      <c r="AK1017" s="144"/>
    </row>
    <row r="1018" ht="22.5" customHeight="1">
      <c r="A1018" s="184"/>
      <c r="B1018" s="184"/>
      <c r="C1018" s="184"/>
      <c r="D1018" s="184"/>
      <c r="E1018" s="184"/>
      <c r="F1018" s="184"/>
      <c r="G1018" s="184"/>
      <c r="H1018" s="184"/>
      <c r="I1018" s="184"/>
      <c r="J1018" s="184"/>
      <c r="K1018" s="184"/>
      <c r="L1018" s="184"/>
      <c r="M1018" s="184"/>
      <c r="N1018" s="184"/>
      <c r="O1018" s="184"/>
      <c r="P1018" s="184"/>
      <c r="Q1018" s="184"/>
      <c r="R1018" s="184"/>
      <c r="S1018" s="184"/>
      <c r="T1018" s="145"/>
      <c r="U1018" s="151"/>
      <c r="V1018" s="145"/>
      <c r="W1018" s="145"/>
      <c r="X1018" s="145"/>
      <c r="Y1018" s="145"/>
      <c r="Z1018" s="145"/>
      <c r="AA1018" s="145"/>
      <c r="AB1018" s="145"/>
      <c r="AC1018" s="145"/>
      <c r="AD1018" s="145"/>
      <c r="AE1018" s="145"/>
      <c r="AF1018" s="145"/>
      <c r="AG1018" s="144"/>
      <c r="AH1018" s="144"/>
      <c r="AI1018" s="144"/>
      <c r="AJ1018" s="144"/>
      <c r="AK1018" s="144"/>
    </row>
    <row r="1019" ht="22.5" customHeight="1">
      <c r="A1019" s="183"/>
      <c r="B1019" s="183"/>
      <c r="C1019" s="183"/>
      <c r="D1019" s="183"/>
      <c r="E1019" s="183"/>
      <c r="F1019" s="183"/>
      <c r="G1019" s="183"/>
      <c r="H1019" s="183"/>
      <c r="I1019" s="183"/>
      <c r="J1019" s="183"/>
      <c r="K1019" s="183"/>
      <c r="L1019" s="183"/>
      <c r="M1019" s="183"/>
      <c r="N1019" s="183"/>
      <c r="O1019" s="183"/>
      <c r="P1019" s="183"/>
      <c r="Q1019" s="183"/>
      <c r="R1019" s="183"/>
      <c r="S1019" s="183"/>
      <c r="T1019" s="152"/>
      <c r="U1019" s="155"/>
      <c r="V1019" s="152"/>
      <c r="W1019" s="152"/>
      <c r="X1019" s="152"/>
      <c r="Y1019" s="152"/>
      <c r="Z1019" s="152"/>
      <c r="AA1019" s="152"/>
      <c r="AB1019" s="152"/>
      <c r="AC1019" s="152"/>
      <c r="AD1019" s="152"/>
      <c r="AE1019" s="152"/>
      <c r="AF1019" s="152"/>
      <c r="AG1019" s="144"/>
      <c r="AH1019" s="144"/>
      <c r="AI1019" s="144"/>
      <c r="AJ1019" s="144"/>
      <c r="AK1019" s="144"/>
    </row>
    <row r="1020" ht="22.5" customHeight="1">
      <c r="A1020" s="184"/>
      <c r="B1020" s="184"/>
      <c r="C1020" s="184"/>
      <c r="D1020" s="184"/>
      <c r="E1020" s="184"/>
      <c r="F1020" s="184"/>
      <c r="G1020" s="184"/>
      <c r="H1020" s="184"/>
      <c r="I1020" s="184"/>
      <c r="J1020" s="184"/>
      <c r="K1020" s="184"/>
      <c r="L1020" s="184"/>
      <c r="M1020" s="184"/>
      <c r="N1020" s="184"/>
      <c r="O1020" s="184"/>
      <c r="P1020" s="184"/>
      <c r="Q1020" s="184"/>
      <c r="R1020" s="184"/>
      <c r="S1020" s="184"/>
      <c r="T1020" s="145"/>
      <c r="U1020" s="151"/>
      <c r="V1020" s="145"/>
      <c r="W1020" s="145"/>
      <c r="X1020" s="145"/>
      <c r="Y1020" s="145"/>
      <c r="Z1020" s="145"/>
      <c r="AA1020" s="145"/>
      <c r="AB1020" s="145"/>
      <c r="AC1020" s="145"/>
      <c r="AD1020" s="145"/>
      <c r="AE1020" s="145"/>
      <c r="AF1020" s="145"/>
      <c r="AG1020" s="144"/>
      <c r="AH1020" s="144"/>
      <c r="AI1020" s="144"/>
      <c r="AJ1020" s="144"/>
      <c r="AK1020" s="144"/>
    </row>
    <row r="1021" ht="22.5" customHeight="1">
      <c r="A1021" s="183"/>
      <c r="B1021" s="183"/>
      <c r="C1021" s="183"/>
      <c r="D1021" s="183"/>
      <c r="E1021" s="183"/>
      <c r="F1021" s="183"/>
      <c r="G1021" s="183"/>
      <c r="H1021" s="183"/>
      <c r="I1021" s="183"/>
      <c r="J1021" s="183"/>
      <c r="K1021" s="183"/>
      <c r="L1021" s="183"/>
      <c r="M1021" s="183"/>
      <c r="N1021" s="183"/>
      <c r="O1021" s="183"/>
      <c r="P1021" s="183"/>
      <c r="Q1021" s="183"/>
      <c r="R1021" s="183"/>
      <c r="S1021" s="183"/>
      <c r="T1021" s="152"/>
      <c r="U1021" s="155"/>
      <c r="V1021" s="152"/>
      <c r="W1021" s="152"/>
      <c r="X1021" s="152"/>
      <c r="Y1021" s="152"/>
      <c r="Z1021" s="152"/>
      <c r="AA1021" s="152"/>
      <c r="AB1021" s="152"/>
      <c r="AC1021" s="152"/>
      <c r="AD1021" s="152"/>
      <c r="AE1021" s="152"/>
      <c r="AF1021" s="152"/>
      <c r="AG1021" s="144"/>
      <c r="AH1021" s="144"/>
      <c r="AI1021" s="144"/>
      <c r="AJ1021" s="144"/>
      <c r="AK1021" s="144"/>
    </row>
    <row r="1022" ht="22.5" customHeight="1">
      <c r="A1022" s="184"/>
      <c r="B1022" s="184"/>
      <c r="C1022" s="184"/>
      <c r="D1022" s="184"/>
      <c r="E1022" s="184"/>
      <c r="F1022" s="184"/>
      <c r="G1022" s="184"/>
      <c r="H1022" s="184"/>
      <c r="I1022" s="184"/>
      <c r="J1022" s="184"/>
      <c r="K1022" s="184"/>
      <c r="L1022" s="184"/>
      <c r="M1022" s="184"/>
      <c r="N1022" s="184"/>
      <c r="O1022" s="184"/>
      <c r="P1022" s="184"/>
      <c r="Q1022" s="184"/>
      <c r="R1022" s="184"/>
      <c r="S1022" s="184"/>
      <c r="T1022" s="145"/>
      <c r="U1022" s="151"/>
      <c r="V1022" s="145"/>
      <c r="W1022" s="145"/>
      <c r="X1022" s="145"/>
      <c r="Y1022" s="145"/>
      <c r="Z1022" s="145"/>
      <c r="AA1022" s="145"/>
      <c r="AB1022" s="145"/>
      <c r="AC1022" s="145"/>
      <c r="AD1022" s="145"/>
      <c r="AE1022" s="145"/>
      <c r="AF1022" s="145"/>
      <c r="AG1022" s="144"/>
      <c r="AH1022" s="144"/>
      <c r="AI1022" s="144"/>
      <c r="AJ1022" s="144"/>
      <c r="AK1022" s="144"/>
    </row>
    <row r="1023" ht="22.5" customHeight="1">
      <c r="A1023" s="183"/>
      <c r="B1023" s="183"/>
      <c r="C1023" s="183"/>
      <c r="D1023" s="183"/>
      <c r="E1023" s="183"/>
      <c r="F1023" s="183"/>
      <c r="G1023" s="183"/>
      <c r="H1023" s="183"/>
      <c r="I1023" s="183"/>
      <c r="J1023" s="183"/>
      <c r="K1023" s="183"/>
      <c r="L1023" s="183"/>
      <c r="M1023" s="183"/>
      <c r="N1023" s="183"/>
      <c r="O1023" s="183"/>
      <c r="P1023" s="183"/>
      <c r="Q1023" s="183"/>
      <c r="R1023" s="183"/>
      <c r="S1023" s="183"/>
      <c r="T1023" s="152"/>
      <c r="U1023" s="155"/>
      <c r="V1023" s="152"/>
      <c r="W1023" s="152"/>
      <c r="X1023" s="152"/>
      <c r="Y1023" s="152"/>
      <c r="Z1023" s="152"/>
      <c r="AA1023" s="152"/>
      <c r="AB1023" s="152"/>
      <c r="AC1023" s="152"/>
      <c r="AD1023" s="152"/>
      <c r="AE1023" s="152"/>
      <c r="AF1023" s="152"/>
      <c r="AG1023" s="144"/>
      <c r="AH1023" s="144"/>
      <c r="AI1023" s="144"/>
      <c r="AJ1023" s="144"/>
      <c r="AK1023" s="144"/>
    </row>
    <row r="1024" ht="22.5" customHeight="1">
      <c r="A1024" s="184"/>
      <c r="B1024" s="184"/>
      <c r="C1024" s="184"/>
      <c r="D1024" s="184"/>
      <c r="E1024" s="184"/>
      <c r="F1024" s="184"/>
      <c r="G1024" s="184"/>
      <c r="H1024" s="184"/>
      <c r="I1024" s="184"/>
      <c r="J1024" s="184"/>
      <c r="K1024" s="184"/>
      <c r="L1024" s="184"/>
      <c r="M1024" s="184"/>
      <c r="N1024" s="184"/>
      <c r="O1024" s="184"/>
      <c r="P1024" s="184"/>
      <c r="Q1024" s="184"/>
      <c r="R1024" s="184"/>
      <c r="S1024" s="184"/>
      <c r="T1024" s="145"/>
      <c r="U1024" s="151"/>
      <c r="V1024" s="145"/>
      <c r="W1024" s="145"/>
      <c r="X1024" s="145"/>
      <c r="Y1024" s="145"/>
      <c r="Z1024" s="145"/>
      <c r="AA1024" s="145"/>
      <c r="AB1024" s="145"/>
      <c r="AC1024" s="145"/>
      <c r="AD1024" s="145"/>
      <c r="AE1024" s="145"/>
      <c r="AF1024" s="145"/>
      <c r="AG1024" s="144"/>
      <c r="AH1024" s="144"/>
      <c r="AI1024" s="144"/>
      <c r="AJ1024" s="144"/>
      <c r="AK1024" s="144"/>
    </row>
    <row r="1025" ht="22.5" customHeight="1">
      <c r="A1025" s="183"/>
      <c r="B1025" s="183"/>
      <c r="C1025" s="183"/>
      <c r="D1025" s="183"/>
      <c r="E1025" s="183"/>
      <c r="F1025" s="183"/>
      <c r="G1025" s="183"/>
      <c r="H1025" s="183"/>
      <c r="I1025" s="183"/>
      <c r="J1025" s="183"/>
      <c r="K1025" s="183"/>
      <c r="L1025" s="183"/>
      <c r="M1025" s="183"/>
      <c r="N1025" s="183"/>
      <c r="O1025" s="183"/>
      <c r="P1025" s="183"/>
      <c r="Q1025" s="183"/>
      <c r="R1025" s="183"/>
      <c r="S1025" s="183"/>
      <c r="T1025" s="152"/>
      <c r="U1025" s="155"/>
      <c r="V1025" s="152"/>
      <c r="W1025" s="152"/>
      <c r="X1025" s="152"/>
      <c r="Y1025" s="152"/>
      <c r="Z1025" s="152"/>
      <c r="AA1025" s="152"/>
      <c r="AB1025" s="152"/>
      <c r="AC1025" s="152"/>
      <c r="AD1025" s="152"/>
      <c r="AE1025" s="152"/>
      <c r="AF1025" s="152"/>
      <c r="AG1025" s="144"/>
      <c r="AH1025" s="144"/>
      <c r="AI1025" s="144"/>
      <c r="AJ1025" s="144"/>
      <c r="AK1025" s="144"/>
    </row>
    <row r="1026" ht="22.5" customHeight="1">
      <c r="A1026" s="184"/>
      <c r="B1026" s="184"/>
      <c r="C1026" s="184"/>
      <c r="D1026" s="184"/>
      <c r="E1026" s="184"/>
      <c r="F1026" s="184"/>
      <c r="G1026" s="184"/>
      <c r="H1026" s="184"/>
      <c r="I1026" s="184"/>
      <c r="J1026" s="184"/>
      <c r="K1026" s="184"/>
      <c r="L1026" s="184"/>
      <c r="M1026" s="184"/>
      <c r="N1026" s="184"/>
      <c r="O1026" s="184"/>
      <c r="P1026" s="184"/>
      <c r="Q1026" s="184"/>
      <c r="R1026" s="184"/>
      <c r="S1026" s="184"/>
      <c r="T1026" s="145"/>
      <c r="U1026" s="151"/>
      <c r="V1026" s="145"/>
      <c r="W1026" s="145"/>
      <c r="X1026" s="145"/>
      <c r="Y1026" s="145"/>
      <c r="Z1026" s="145"/>
      <c r="AA1026" s="145"/>
      <c r="AB1026" s="145"/>
      <c r="AC1026" s="145"/>
      <c r="AD1026" s="145"/>
      <c r="AE1026" s="145"/>
      <c r="AF1026" s="145"/>
      <c r="AG1026" s="144"/>
      <c r="AH1026" s="144"/>
      <c r="AI1026" s="144"/>
      <c r="AJ1026" s="144"/>
      <c r="AK1026" s="144"/>
    </row>
    <row r="1027" ht="22.5" customHeight="1">
      <c r="A1027" s="183"/>
      <c r="B1027" s="183"/>
      <c r="C1027" s="183"/>
      <c r="D1027" s="183"/>
      <c r="E1027" s="183"/>
      <c r="F1027" s="183"/>
      <c r="G1027" s="183"/>
      <c r="H1027" s="183"/>
      <c r="I1027" s="183"/>
      <c r="J1027" s="183"/>
      <c r="K1027" s="183"/>
      <c r="L1027" s="183"/>
      <c r="M1027" s="183"/>
      <c r="N1027" s="183"/>
      <c r="O1027" s="183"/>
      <c r="P1027" s="183"/>
      <c r="Q1027" s="183"/>
      <c r="R1027" s="183"/>
      <c r="S1027" s="183"/>
      <c r="T1027" s="152"/>
      <c r="U1027" s="155"/>
      <c r="V1027" s="152"/>
      <c r="W1027" s="152"/>
      <c r="X1027" s="152"/>
      <c r="Y1027" s="152"/>
      <c r="Z1027" s="152"/>
      <c r="AA1027" s="152"/>
      <c r="AB1027" s="152"/>
      <c r="AC1027" s="152"/>
      <c r="AD1027" s="152"/>
      <c r="AE1027" s="152"/>
      <c r="AF1027" s="152"/>
      <c r="AG1027" s="144"/>
      <c r="AH1027" s="144"/>
      <c r="AI1027" s="144"/>
      <c r="AJ1027" s="144"/>
      <c r="AK1027" s="144"/>
    </row>
  </sheetData>
  <dataValidations>
    <dataValidation type="custom" allowBlank="1" showDropDown="1" sqref="U2:U1027">
      <formula1>AND(ISNUMBER(U2),(NOT(OR(NOT(ISERROR(DATEVALUE(U2))), AND(ISNUMBER(U2), LEFT(CELL("format", U2))="D")))))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s>
  <sheetData>
    <row r="1">
      <c r="A1" s="1" t="s">
        <v>0</v>
      </c>
      <c r="B1" s="1" t="s">
        <v>1</v>
      </c>
      <c r="C1" s="1" t="s">
        <v>2</v>
      </c>
      <c r="D1" s="1" t="s">
        <v>3</v>
      </c>
      <c r="E1" s="1" t="s">
        <v>4</v>
      </c>
      <c r="F1" s="1" t="s">
        <v>5</v>
      </c>
      <c r="G1" s="185" t="s">
        <v>6</v>
      </c>
      <c r="H1" s="1" t="s">
        <v>7</v>
      </c>
      <c r="I1" s="1" t="s">
        <v>8</v>
      </c>
      <c r="J1" s="1" t="s">
        <v>11</v>
      </c>
      <c r="K1" s="1" t="s">
        <v>12</v>
      </c>
      <c r="L1" s="5" t="s">
        <v>41</v>
      </c>
      <c r="M1" s="6" t="s">
        <v>10</v>
      </c>
      <c r="N1" s="5" t="s">
        <v>42</v>
      </c>
      <c r="O1" s="1" t="s">
        <v>43</v>
      </c>
      <c r="P1" s="1" t="s">
        <v>44</v>
      </c>
      <c r="Q1" s="1" t="s">
        <v>45</v>
      </c>
      <c r="R1" s="1" t="s">
        <v>46</v>
      </c>
      <c r="S1" s="1" t="s">
        <v>47</v>
      </c>
      <c r="T1" s="5" t="s">
        <v>48</v>
      </c>
      <c r="U1" s="186"/>
      <c r="V1" s="186"/>
      <c r="W1" s="186"/>
      <c r="X1" s="186"/>
      <c r="Y1" s="186"/>
      <c r="Z1" s="186"/>
      <c r="AA1" s="186"/>
    </row>
    <row r="2">
      <c r="A2" s="96" t="s">
        <v>2975</v>
      </c>
      <c r="B2" s="187" t="s">
        <v>2976</v>
      </c>
      <c r="C2" s="188" t="s">
        <v>3018</v>
      </c>
      <c r="D2" s="188" t="s">
        <v>52</v>
      </c>
      <c r="E2" s="188" t="s">
        <v>53</v>
      </c>
      <c r="F2" s="189" t="s">
        <v>1306</v>
      </c>
      <c r="G2" s="189">
        <v>1400.0</v>
      </c>
      <c r="H2" s="186"/>
      <c r="I2" s="186" t="s">
        <v>1199</v>
      </c>
      <c r="J2" s="190" t="s">
        <v>3019</v>
      </c>
      <c r="K2" s="191" t="s">
        <v>3020</v>
      </c>
      <c r="L2" s="191" t="s">
        <v>3021</v>
      </c>
      <c r="M2" s="98" t="s">
        <v>3022</v>
      </c>
      <c r="N2" s="191" t="s">
        <v>3023</v>
      </c>
      <c r="O2" s="191" t="s">
        <v>3024</v>
      </c>
      <c r="P2" s="192" t="s">
        <v>3025</v>
      </c>
      <c r="Q2" s="192" t="s">
        <v>3026</v>
      </c>
      <c r="R2" s="193" t="s">
        <v>3027</v>
      </c>
      <c r="S2" s="193" t="s">
        <v>3028</v>
      </c>
      <c r="T2" s="192" t="s">
        <v>3029</v>
      </c>
      <c r="U2" s="186"/>
      <c r="V2" s="186"/>
      <c r="W2" s="186"/>
      <c r="X2" s="186"/>
      <c r="Y2" s="186"/>
      <c r="Z2" s="186"/>
      <c r="AA2" s="186"/>
    </row>
    <row r="3">
      <c r="A3" s="25" t="s">
        <v>2957</v>
      </c>
      <c r="B3" s="194" t="s">
        <v>2958</v>
      </c>
      <c r="C3" s="195" t="s">
        <v>3030</v>
      </c>
      <c r="D3" s="195" t="s">
        <v>52</v>
      </c>
      <c r="E3" s="195" t="s">
        <v>69</v>
      </c>
      <c r="F3" s="194" t="s">
        <v>2959</v>
      </c>
      <c r="G3" s="194">
        <v>435.0</v>
      </c>
      <c r="H3" s="186"/>
      <c r="I3" s="186" t="s">
        <v>55</v>
      </c>
      <c r="J3" s="190" t="s">
        <v>3031</v>
      </c>
      <c r="K3" s="191" t="s">
        <v>3032</v>
      </c>
      <c r="L3" s="191" t="s">
        <v>3033</v>
      </c>
      <c r="M3" s="98" t="s">
        <v>16</v>
      </c>
      <c r="N3" s="191" t="s">
        <v>3034</v>
      </c>
      <c r="O3" s="191" t="s">
        <v>3035</v>
      </c>
      <c r="P3" s="192" t="s">
        <v>3036</v>
      </c>
      <c r="Q3" s="192" t="s">
        <v>3026</v>
      </c>
      <c r="R3" s="196" t="s">
        <v>3037</v>
      </c>
      <c r="S3" s="196" t="s">
        <v>3038</v>
      </c>
      <c r="T3" s="192" t="s">
        <v>3039</v>
      </c>
      <c r="U3" s="186"/>
      <c r="V3" s="186"/>
      <c r="W3" s="186"/>
      <c r="X3" s="186"/>
      <c r="Y3" s="186"/>
      <c r="Z3" s="186"/>
      <c r="AA3" s="186"/>
    </row>
    <row r="4">
      <c r="A4" s="25" t="s">
        <v>2960</v>
      </c>
      <c r="B4" s="187" t="s">
        <v>2961</v>
      </c>
      <c r="C4" s="188" t="s">
        <v>3040</v>
      </c>
      <c r="D4" s="188" t="s">
        <v>52</v>
      </c>
      <c r="E4" s="188" t="s">
        <v>3041</v>
      </c>
      <c r="F4" s="187" t="s">
        <v>2962</v>
      </c>
      <c r="G4" s="187">
        <v>2199.0</v>
      </c>
      <c r="H4" s="186"/>
      <c r="I4" s="186" t="s">
        <v>1199</v>
      </c>
      <c r="J4" s="190" t="s">
        <v>3042</v>
      </c>
      <c r="K4" s="191" t="s">
        <v>3043</v>
      </c>
      <c r="L4" s="191" t="s">
        <v>3044</v>
      </c>
      <c r="M4" s="98" t="s">
        <v>3016</v>
      </c>
      <c r="N4" s="191" t="s">
        <v>3045</v>
      </c>
      <c r="O4" s="191" t="s">
        <v>3046</v>
      </c>
      <c r="P4" s="192" t="s">
        <v>3047</v>
      </c>
      <c r="Q4" s="192" t="s">
        <v>3026</v>
      </c>
      <c r="R4" s="193" t="s">
        <v>3048</v>
      </c>
      <c r="S4" s="193" t="s">
        <v>3049</v>
      </c>
      <c r="T4" s="192" t="s">
        <v>3050</v>
      </c>
      <c r="U4" s="186"/>
      <c r="V4" s="186"/>
      <c r="W4" s="186"/>
      <c r="X4" s="186"/>
      <c r="Y4" s="186"/>
      <c r="Z4" s="186"/>
      <c r="AA4" s="186"/>
    </row>
    <row r="5">
      <c r="A5" s="25" t="s">
        <v>2969</v>
      </c>
      <c r="B5" s="194" t="s">
        <v>2970</v>
      </c>
      <c r="C5" s="195" t="s">
        <v>2279</v>
      </c>
      <c r="D5" s="195" t="s">
        <v>52</v>
      </c>
      <c r="E5" s="195" t="s">
        <v>3041</v>
      </c>
      <c r="F5" s="194" t="s">
        <v>2971</v>
      </c>
      <c r="G5" s="194">
        <v>850.0</v>
      </c>
      <c r="H5" s="186"/>
      <c r="I5" s="186" t="s">
        <v>1199</v>
      </c>
      <c r="J5" s="190" t="s">
        <v>3051</v>
      </c>
      <c r="K5" s="191" t="s">
        <v>3052</v>
      </c>
      <c r="L5" s="191" t="s">
        <v>3053</v>
      </c>
      <c r="M5" s="98" t="s">
        <v>3054</v>
      </c>
      <c r="N5" s="191" t="s">
        <v>3055</v>
      </c>
      <c r="O5" s="191" t="s">
        <v>3056</v>
      </c>
      <c r="P5" s="192" t="s">
        <v>3057</v>
      </c>
      <c r="Q5" s="192" t="s">
        <v>3026</v>
      </c>
      <c r="R5" s="196" t="s">
        <v>3058</v>
      </c>
      <c r="S5" s="196" t="s">
        <v>3059</v>
      </c>
      <c r="T5" s="192" t="s">
        <v>3060</v>
      </c>
      <c r="U5" s="186"/>
      <c r="V5" s="186"/>
      <c r="W5" s="186"/>
      <c r="X5" s="186"/>
      <c r="Y5" s="186"/>
      <c r="Z5" s="186"/>
      <c r="AA5" s="186"/>
    </row>
    <row r="6">
      <c r="A6" s="25" t="s">
        <v>2972</v>
      </c>
      <c r="B6" s="187" t="s">
        <v>2973</v>
      </c>
      <c r="C6" s="188" t="s">
        <v>3061</v>
      </c>
      <c r="D6" s="188" t="s">
        <v>52</v>
      </c>
      <c r="E6" s="188" t="s">
        <v>252</v>
      </c>
      <c r="F6" s="187" t="s">
        <v>2963</v>
      </c>
      <c r="G6" s="187">
        <v>1950.0</v>
      </c>
      <c r="H6" s="186"/>
      <c r="I6" s="186" t="s">
        <v>1199</v>
      </c>
      <c r="J6" s="190" t="s">
        <v>3062</v>
      </c>
      <c r="K6" s="191" t="s">
        <v>3063</v>
      </c>
      <c r="L6" s="191" t="s">
        <v>3064</v>
      </c>
      <c r="M6" s="98" t="s">
        <v>3065</v>
      </c>
      <c r="N6" s="191" t="s">
        <v>3066</v>
      </c>
      <c r="O6" s="191" t="s">
        <v>3067</v>
      </c>
      <c r="P6" s="192" t="s">
        <v>3068</v>
      </c>
      <c r="Q6" s="192" t="s">
        <v>3026</v>
      </c>
      <c r="R6" s="193" t="s">
        <v>3069</v>
      </c>
      <c r="S6" s="193" t="s">
        <v>3070</v>
      </c>
      <c r="T6" s="192" t="s">
        <v>3071</v>
      </c>
      <c r="U6" s="186"/>
      <c r="V6" s="186"/>
      <c r="W6" s="186"/>
      <c r="X6" s="186"/>
      <c r="Y6" s="186"/>
      <c r="Z6" s="186"/>
      <c r="AA6" s="186"/>
    </row>
    <row r="7">
      <c r="A7" s="25" t="s">
        <v>2977</v>
      </c>
      <c r="B7" s="197" t="s">
        <v>2978</v>
      </c>
      <c r="C7" s="195" t="s">
        <v>2471</v>
      </c>
      <c r="D7" s="195" t="s">
        <v>52</v>
      </c>
      <c r="E7" s="195" t="s">
        <v>3041</v>
      </c>
      <c r="F7" s="198" t="s">
        <v>2979</v>
      </c>
      <c r="G7" s="199">
        <v>1550.0</v>
      </c>
      <c r="H7" s="186"/>
      <c r="I7" s="186" t="s">
        <v>1199</v>
      </c>
      <c r="J7" s="190" t="s">
        <v>3072</v>
      </c>
      <c r="K7" s="191" t="s">
        <v>3073</v>
      </c>
      <c r="L7" s="191" t="s">
        <v>3074</v>
      </c>
      <c r="M7" s="98" t="s">
        <v>3075</v>
      </c>
      <c r="N7" s="191" t="s">
        <v>3076</v>
      </c>
      <c r="O7" s="191" t="s">
        <v>3077</v>
      </c>
      <c r="P7" s="192" t="s">
        <v>3078</v>
      </c>
      <c r="Q7" s="192" t="s">
        <v>3026</v>
      </c>
      <c r="R7" s="196" t="s">
        <v>3079</v>
      </c>
      <c r="S7" s="196" t="s">
        <v>3080</v>
      </c>
      <c r="T7" s="192" t="s">
        <v>3081</v>
      </c>
      <c r="U7" s="186"/>
      <c r="V7" s="186"/>
      <c r="W7" s="186"/>
      <c r="X7" s="186"/>
      <c r="Y7" s="186"/>
      <c r="Z7" s="186"/>
      <c r="AA7" s="186"/>
    </row>
    <row r="8">
      <c r="A8" s="25" t="s">
        <v>2980</v>
      </c>
      <c r="B8" s="187" t="s">
        <v>2981</v>
      </c>
      <c r="C8" s="188" t="s">
        <v>3082</v>
      </c>
      <c r="D8" s="188" t="s">
        <v>52</v>
      </c>
      <c r="E8" s="188" t="s">
        <v>252</v>
      </c>
      <c r="F8" s="187" t="s">
        <v>2963</v>
      </c>
      <c r="G8" s="187">
        <v>2399.0</v>
      </c>
      <c r="H8" s="186"/>
      <c r="I8" s="186" t="s">
        <v>1199</v>
      </c>
      <c r="J8" s="190" t="s">
        <v>3083</v>
      </c>
      <c r="K8" s="191" t="s">
        <v>3084</v>
      </c>
      <c r="L8" s="191" t="s">
        <v>3085</v>
      </c>
      <c r="M8" s="98" t="s">
        <v>3086</v>
      </c>
      <c r="N8" s="191" t="s">
        <v>3087</v>
      </c>
      <c r="O8" s="191" t="s">
        <v>3088</v>
      </c>
      <c r="P8" s="192" t="s">
        <v>3089</v>
      </c>
      <c r="Q8" s="192" t="s">
        <v>3026</v>
      </c>
      <c r="R8" s="193" t="s">
        <v>3090</v>
      </c>
      <c r="S8" s="193" t="s">
        <v>3091</v>
      </c>
      <c r="T8" s="192" t="s">
        <v>3092</v>
      </c>
      <c r="U8" s="186"/>
      <c r="V8" s="186"/>
      <c r="W8" s="186"/>
      <c r="X8" s="186"/>
      <c r="Y8" s="186"/>
      <c r="Z8" s="186"/>
      <c r="AA8" s="186"/>
    </row>
    <row r="9">
      <c r="A9" s="25" t="s">
        <v>2983</v>
      </c>
      <c r="B9" s="194" t="s">
        <v>3093</v>
      </c>
      <c r="C9" s="195" t="s">
        <v>3094</v>
      </c>
      <c r="D9" s="195" t="s">
        <v>52</v>
      </c>
      <c r="E9" s="195" t="s">
        <v>3041</v>
      </c>
      <c r="F9" s="200" t="s">
        <v>454</v>
      </c>
      <c r="G9" s="199">
        <v>1950.0</v>
      </c>
      <c r="H9" s="186"/>
      <c r="I9" s="186" t="s">
        <v>1199</v>
      </c>
      <c r="J9" s="190" t="s">
        <v>3095</v>
      </c>
      <c r="K9" s="191" t="s">
        <v>3096</v>
      </c>
      <c r="L9" s="191" t="s">
        <v>3097</v>
      </c>
      <c r="M9" s="98" t="s">
        <v>3098</v>
      </c>
      <c r="N9" s="191" t="s">
        <v>3099</v>
      </c>
      <c r="O9" s="191" t="s">
        <v>3100</v>
      </c>
      <c r="P9" s="192" t="s">
        <v>3101</v>
      </c>
      <c r="Q9" s="192" t="s">
        <v>3026</v>
      </c>
      <c r="R9" s="196" t="s">
        <v>3102</v>
      </c>
      <c r="S9" s="196" t="s">
        <v>3103</v>
      </c>
      <c r="T9" s="192" t="s">
        <v>3104</v>
      </c>
      <c r="U9" s="186"/>
      <c r="V9" s="186"/>
      <c r="W9" s="186"/>
      <c r="X9" s="186"/>
      <c r="Y9" s="186"/>
      <c r="Z9" s="186"/>
      <c r="AA9" s="186"/>
    </row>
    <row r="10">
      <c r="A10" s="25" t="s">
        <v>2990</v>
      </c>
      <c r="B10" s="201" t="s">
        <v>2991</v>
      </c>
      <c r="C10" s="188" t="s">
        <v>3105</v>
      </c>
      <c r="D10" s="188" t="s">
        <v>52</v>
      </c>
      <c r="E10" s="188" t="s">
        <v>69</v>
      </c>
      <c r="F10" s="187" t="s">
        <v>2992</v>
      </c>
      <c r="G10" s="187">
        <v>283.0</v>
      </c>
      <c r="H10" s="186"/>
      <c r="I10" s="186" t="s">
        <v>55</v>
      </c>
      <c r="J10" s="190" t="s">
        <v>3106</v>
      </c>
      <c r="K10" s="191" t="s">
        <v>3107</v>
      </c>
      <c r="L10" s="191" t="s">
        <v>3108</v>
      </c>
      <c r="M10" s="98" t="s">
        <v>3109</v>
      </c>
      <c r="N10" s="191" t="s">
        <v>3110</v>
      </c>
      <c r="O10" s="191" t="s">
        <v>3111</v>
      </c>
      <c r="P10" s="192" t="s">
        <v>3112</v>
      </c>
      <c r="Q10" s="192" t="s">
        <v>3026</v>
      </c>
      <c r="R10" s="193" t="s">
        <v>3113</v>
      </c>
      <c r="S10" s="193" t="s">
        <v>3114</v>
      </c>
      <c r="T10" s="192" t="s">
        <v>3115</v>
      </c>
      <c r="U10" s="186"/>
      <c r="V10" s="186"/>
      <c r="W10" s="186"/>
      <c r="X10" s="186"/>
      <c r="Y10" s="186"/>
      <c r="Z10" s="186"/>
      <c r="AA10" s="186"/>
    </row>
    <row r="11">
      <c r="A11" s="25" t="s">
        <v>2993</v>
      </c>
      <c r="B11" s="202" t="s">
        <v>2994</v>
      </c>
      <c r="C11" s="195" t="s">
        <v>2177</v>
      </c>
      <c r="D11" s="195" t="s">
        <v>52</v>
      </c>
      <c r="E11" s="195" t="s">
        <v>3041</v>
      </c>
      <c r="F11" s="200" t="s">
        <v>3116</v>
      </c>
      <c r="G11" s="200">
        <v>1950.0</v>
      </c>
      <c r="H11" s="186"/>
      <c r="I11" s="186" t="s">
        <v>1199</v>
      </c>
      <c r="J11" s="190" t="s">
        <v>1908</v>
      </c>
      <c r="K11" s="191" t="s">
        <v>3117</v>
      </c>
      <c r="L11" s="191" t="s">
        <v>3118</v>
      </c>
      <c r="M11" s="98" t="s">
        <v>3119</v>
      </c>
      <c r="N11" s="191" t="s">
        <v>3120</v>
      </c>
      <c r="O11" s="191" t="s">
        <v>3121</v>
      </c>
      <c r="P11" s="192" t="s">
        <v>3122</v>
      </c>
      <c r="Q11" s="192" t="s">
        <v>3026</v>
      </c>
      <c r="R11" s="196" t="s">
        <v>3123</v>
      </c>
      <c r="S11" s="196" t="s">
        <v>3124</v>
      </c>
      <c r="T11" s="192" t="s">
        <v>3125</v>
      </c>
      <c r="U11" s="186"/>
      <c r="V11" s="186"/>
      <c r="W11" s="186"/>
      <c r="X11" s="186"/>
      <c r="Y11" s="186"/>
      <c r="Z11" s="186"/>
      <c r="AA11" s="186"/>
    </row>
    <row r="12">
      <c r="A12" s="25" t="s">
        <v>2998</v>
      </c>
      <c r="B12" s="201" t="s">
        <v>2999</v>
      </c>
      <c r="C12" s="188" t="s">
        <v>3018</v>
      </c>
      <c r="D12" s="188" t="s">
        <v>52</v>
      </c>
      <c r="E12" s="188" t="s">
        <v>3041</v>
      </c>
      <c r="F12" s="189" t="s">
        <v>2966</v>
      </c>
      <c r="G12" s="187">
        <v>1550.0</v>
      </c>
      <c r="H12" s="186"/>
      <c r="I12" s="186" t="s">
        <v>1199</v>
      </c>
      <c r="J12" s="190" t="s">
        <v>1908</v>
      </c>
      <c r="K12" s="191" t="s">
        <v>3126</v>
      </c>
      <c r="L12" s="191" t="s">
        <v>3127</v>
      </c>
      <c r="M12" s="98" t="s">
        <v>3119</v>
      </c>
      <c r="N12" s="191" t="s">
        <v>3128</v>
      </c>
      <c r="O12" s="191" t="s">
        <v>3129</v>
      </c>
      <c r="P12" s="192" t="s">
        <v>3130</v>
      </c>
      <c r="Q12" s="192" t="s">
        <v>3026</v>
      </c>
      <c r="R12" s="193" t="s">
        <v>3131</v>
      </c>
      <c r="S12" s="193" t="s">
        <v>3132</v>
      </c>
      <c r="T12" s="192" t="s">
        <v>3133</v>
      </c>
      <c r="U12" s="186"/>
      <c r="V12" s="186"/>
      <c r="W12" s="186"/>
      <c r="X12" s="186"/>
      <c r="Y12" s="186"/>
      <c r="Z12" s="186"/>
      <c r="AA12" s="186"/>
    </row>
    <row r="13">
      <c r="A13" s="25" t="s">
        <v>3009</v>
      </c>
      <c r="B13" s="202" t="s">
        <v>3010</v>
      </c>
      <c r="C13" s="195" t="s">
        <v>3061</v>
      </c>
      <c r="D13" s="195" t="s">
        <v>52</v>
      </c>
      <c r="E13" s="195" t="s">
        <v>3041</v>
      </c>
      <c r="F13" s="194" t="s">
        <v>2979</v>
      </c>
      <c r="G13" s="194">
        <v>2250.0</v>
      </c>
      <c r="H13" s="186"/>
      <c r="I13" s="186" t="s">
        <v>1199</v>
      </c>
      <c r="J13" s="186" t="s">
        <v>3134</v>
      </c>
      <c r="K13" s="186" t="s">
        <v>3135</v>
      </c>
      <c r="L13" s="186" t="s">
        <v>3136</v>
      </c>
      <c r="M13" s="98" t="s">
        <v>3137</v>
      </c>
      <c r="N13" s="186" t="s">
        <v>3138</v>
      </c>
      <c r="O13" s="186" t="s">
        <v>3121</v>
      </c>
      <c r="P13" s="186" t="s">
        <v>3139</v>
      </c>
      <c r="Q13" s="186" t="s">
        <v>3026</v>
      </c>
      <c r="R13" s="186" t="s">
        <v>3140</v>
      </c>
      <c r="S13" s="186" t="s">
        <v>3141</v>
      </c>
      <c r="T13" s="203" t="s">
        <v>3142</v>
      </c>
      <c r="U13" s="186"/>
      <c r="V13" s="186"/>
      <c r="W13" s="186"/>
      <c r="X13" s="186"/>
      <c r="Y13" s="186"/>
      <c r="Z13" s="186"/>
      <c r="AA13" s="186"/>
    </row>
    <row r="14">
      <c r="A14" s="25" t="s">
        <v>3012</v>
      </c>
      <c r="B14" s="204" t="s">
        <v>3013</v>
      </c>
      <c r="C14" s="196" t="s">
        <v>3143</v>
      </c>
      <c r="D14" s="188" t="s">
        <v>52</v>
      </c>
      <c r="E14" s="188" t="s">
        <v>69</v>
      </c>
      <c r="F14" s="205" t="s">
        <v>70</v>
      </c>
      <c r="G14" s="205">
        <v>1150.0</v>
      </c>
      <c r="H14" s="186"/>
      <c r="I14" s="186" t="s">
        <v>2289</v>
      </c>
      <c r="J14" s="186" t="s">
        <v>3144</v>
      </c>
      <c r="K14" s="186" t="s">
        <v>3145</v>
      </c>
      <c r="L14" s="186" t="s">
        <v>3146</v>
      </c>
      <c r="M14" s="98" t="s">
        <v>3098</v>
      </c>
      <c r="N14" s="186" t="s">
        <v>3147</v>
      </c>
      <c r="O14" s="186" t="s">
        <v>3148</v>
      </c>
      <c r="P14" s="186" t="s">
        <v>3130</v>
      </c>
      <c r="Q14" s="186" t="s">
        <v>3026</v>
      </c>
      <c r="R14" s="186" t="s">
        <v>3149</v>
      </c>
      <c r="S14" s="186" t="s">
        <v>3150</v>
      </c>
      <c r="T14" s="203" t="s">
        <v>3151</v>
      </c>
      <c r="U14" s="186"/>
      <c r="V14" s="186"/>
      <c r="W14" s="186"/>
      <c r="X14" s="186"/>
      <c r="Y14" s="186"/>
      <c r="Z14" s="186"/>
      <c r="AA14" s="186"/>
    </row>
    <row r="15">
      <c r="A15" s="25" t="s">
        <v>3002</v>
      </c>
      <c r="B15" s="206" t="s">
        <v>3003</v>
      </c>
      <c r="C15" s="193" t="s">
        <v>3152</v>
      </c>
      <c r="D15" s="195" t="s">
        <v>52</v>
      </c>
      <c r="E15" s="195" t="s">
        <v>69</v>
      </c>
      <c r="F15" s="205" t="s">
        <v>70</v>
      </c>
      <c r="G15" s="205">
        <v>250.0</v>
      </c>
      <c r="H15" s="186"/>
      <c r="I15" s="186" t="s">
        <v>55</v>
      </c>
      <c r="J15" s="186" t="s">
        <v>104</v>
      </c>
      <c r="K15" s="186" t="s">
        <v>3153</v>
      </c>
      <c r="L15" s="186" t="s">
        <v>3154</v>
      </c>
      <c r="M15" s="98" t="s">
        <v>3155</v>
      </c>
      <c r="N15" s="186" t="s">
        <v>3156</v>
      </c>
      <c r="O15" s="186" t="s">
        <v>3148</v>
      </c>
      <c r="P15" s="186" t="s">
        <v>3130</v>
      </c>
      <c r="Q15" s="186" t="s">
        <v>3026</v>
      </c>
      <c r="R15" s="186" t="s">
        <v>3157</v>
      </c>
      <c r="S15" s="186" t="s">
        <v>3158</v>
      </c>
      <c r="T15" s="203" t="s">
        <v>3159</v>
      </c>
      <c r="U15" s="186"/>
      <c r="V15" s="186"/>
      <c r="W15" s="186"/>
      <c r="X15" s="186"/>
      <c r="Y15" s="186"/>
      <c r="Z15" s="186"/>
      <c r="AA15" s="186"/>
    </row>
    <row r="16">
      <c r="A16" s="25" t="s">
        <v>3014</v>
      </c>
      <c r="B16" s="205" t="s">
        <v>3015</v>
      </c>
      <c r="C16" s="196" t="s">
        <v>1776</v>
      </c>
      <c r="D16" s="188" t="s">
        <v>52</v>
      </c>
      <c r="E16" s="188" t="s">
        <v>3041</v>
      </c>
      <c r="F16" s="207" t="s">
        <v>349</v>
      </c>
      <c r="G16" s="208">
        <v>525.0</v>
      </c>
      <c r="H16" s="186"/>
      <c r="I16" s="186" t="s">
        <v>55</v>
      </c>
      <c r="J16" s="186" t="s">
        <v>1307</v>
      </c>
      <c r="K16" s="186" t="s">
        <v>3160</v>
      </c>
      <c r="L16" s="186" t="s">
        <v>3161</v>
      </c>
      <c r="M16" s="98" t="s">
        <v>3162</v>
      </c>
      <c r="N16" s="186" t="s">
        <v>3163</v>
      </c>
      <c r="O16" s="186" t="s">
        <v>3100</v>
      </c>
      <c r="P16" s="186" t="s">
        <v>3164</v>
      </c>
      <c r="Q16" s="186" t="s">
        <v>3026</v>
      </c>
      <c r="R16" s="186" t="s">
        <v>3165</v>
      </c>
      <c r="S16" s="186" t="s">
        <v>3166</v>
      </c>
      <c r="T16" s="203" t="s">
        <v>3167</v>
      </c>
      <c r="U16" s="186"/>
      <c r="V16" s="186"/>
      <c r="W16" s="186"/>
      <c r="X16" s="186"/>
      <c r="Y16" s="186"/>
      <c r="Z16" s="186"/>
      <c r="AA16" s="186"/>
    </row>
    <row r="17">
      <c r="A17" s="25" t="s">
        <v>3004</v>
      </c>
      <c r="B17" s="209" t="s">
        <v>3005</v>
      </c>
      <c r="C17" s="193" t="s">
        <v>2455</v>
      </c>
      <c r="D17" s="195" t="s">
        <v>52</v>
      </c>
      <c r="E17" s="195" t="s">
        <v>3041</v>
      </c>
      <c r="F17" s="205" t="s">
        <v>1306</v>
      </c>
      <c r="G17" s="205">
        <v>1570.0</v>
      </c>
      <c r="H17" s="186"/>
      <c r="I17" s="186" t="s">
        <v>1199</v>
      </c>
      <c r="J17" s="186" t="s">
        <v>3168</v>
      </c>
      <c r="K17" s="186" t="s">
        <v>589</v>
      </c>
      <c r="L17" s="186" t="s">
        <v>3169</v>
      </c>
      <c r="M17" s="98" t="s">
        <v>3170</v>
      </c>
      <c r="N17" s="186" t="s">
        <v>3171</v>
      </c>
      <c r="O17" s="186" t="s">
        <v>3100</v>
      </c>
      <c r="P17" s="186" t="s">
        <v>3172</v>
      </c>
      <c r="Q17" s="186" t="s">
        <v>3026</v>
      </c>
      <c r="R17" s="186" t="s">
        <v>3173</v>
      </c>
      <c r="S17" s="186" t="s">
        <v>3174</v>
      </c>
      <c r="T17" s="192" t="s">
        <v>3175</v>
      </c>
      <c r="U17" s="186"/>
      <c r="V17" s="186"/>
      <c r="W17" s="186"/>
      <c r="X17" s="186"/>
      <c r="Y17" s="186"/>
      <c r="Z17" s="186"/>
      <c r="AA17" s="186"/>
    </row>
    <row r="18">
      <c r="A18" s="96" t="s">
        <v>3006</v>
      </c>
      <c r="B18" s="210" t="s">
        <v>3007</v>
      </c>
      <c r="C18" s="196" t="s">
        <v>2455</v>
      </c>
      <c r="D18" s="188" t="s">
        <v>52</v>
      </c>
      <c r="E18" s="211" t="s">
        <v>53</v>
      </c>
      <c r="F18" s="212" t="s">
        <v>1306</v>
      </c>
      <c r="G18" s="212">
        <v>1130.0</v>
      </c>
      <c r="H18" s="186"/>
      <c r="I18" s="213" t="s">
        <v>1199</v>
      </c>
      <c r="J18" s="98" t="s">
        <v>3176</v>
      </c>
      <c r="K18" s="98" t="s">
        <v>3177</v>
      </c>
      <c r="L18" s="98" t="s">
        <v>3178</v>
      </c>
      <c r="M18" s="98" t="s">
        <v>3179</v>
      </c>
      <c r="N18" s="98" t="s">
        <v>3180</v>
      </c>
      <c r="O18" s="98" t="s">
        <v>3181</v>
      </c>
      <c r="P18" s="98" t="s">
        <v>3182</v>
      </c>
      <c r="Q18" s="98" t="s">
        <v>3183</v>
      </c>
      <c r="R18" s="98" t="s">
        <v>3184</v>
      </c>
      <c r="S18" s="98" t="s">
        <v>3185</v>
      </c>
      <c r="T18" s="192" t="s">
        <v>3186</v>
      </c>
      <c r="U18" s="186"/>
      <c r="V18" s="186"/>
      <c r="W18" s="186"/>
      <c r="X18" s="186"/>
      <c r="Y18" s="186"/>
      <c r="Z18" s="186"/>
      <c r="AA18" s="186"/>
    </row>
    <row r="19">
      <c r="A19" s="25" t="s">
        <v>2987</v>
      </c>
      <c r="B19" s="214" t="s">
        <v>2988</v>
      </c>
      <c r="C19" s="215" t="s">
        <v>3187</v>
      </c>
      <c r="D19" s="215" t="s">
        <v>52</v>
      </c>
      <c r="E19" s="215" t="s">
        <v>252</v>
      </c>
      <c r="F19" s="216" t="s">
        <v>2963</v>
      </c>
      <c r="G19" s="216">
        <v>1410.0</v>
      </c>
      <c r="H19" s="186"/>
      <c r="I19" s="213" t="s">
        <v>1199</v>
      </c>
      <c r="J19" s="98" t="s">
        <v>1557</v>
      </c>
      <c r="K19" s="98" t="s">
        <v>3188</v>
      </c>
      <c r="L19" s="98" t="s">
        <v>3189</v>
      </c>
      <c r="M19" s="98" t="s">
        <v>3190</v>
      </c>
      <c r="N19" s="98" t="s">
        <v>3191</v>
      </c>
      <c r="O19" s="98" t="s">
        <v>3192</v>
      </c>
      <c r="P19" s="98" t="s">
        <v>3193</v>
      </c>
      <c r="Q19" s="98" t="s">
        <v>3194</v>
      </c>
      <c r="R19" s="98" t="s">
        <v>3195</v>
      </c>
      <c r="S19" s="98" t="s">
        <v>3196</v>
      </c>
      <c r="T19" s="203" t="s">
        <v>3197</v>
      </c>
      <c r="U19" s="186"/>
      <c r="V19" s="186"/>
      <c r="W19" s="186"/>
      <c r="X19" s="186"/>
      <c r="Y19" s="186"/>
      <c r="Z19" s="186"/>
      <c r="AA19" s="186"/>
    </row>
    <row r="20">
      <c r="A20" s="25" t="s">
        <v>3198</v>
      </c>
      <c r="B20" s="217" t="s">
        <v>3199</v>
      </c>
      <c r="C20" s="211" t="s">
        <v>3143</v>
      </c>
      <c r="D20" s="211" t="s">
        <v>3200</v>
      </c>
      <c r="E20" s="211" t="s">
        <v>3201</v>
      </c>
      <c r="F20" s="212" t="s">
        <v>2992</v>
      </c>
      <c r="G20" s="212">
        <v>750.0</v>
      </c>
      <c r="H20" s="186"/>
      <c r="I20" s="213" t="s">
        <v>2289</v>
      </c>
      <c r="J20" s="98" t="s">
        <v>3202</v>
      </c>
      <c r="K20" s="98" t="s">
        <v>3203</v>
      </c>
      <c r="L20" s="98" t="s">
        <v>3204</v>
      </c>
      <c r="M20" s="218" t="s">
        <v>3205</v>
      </c>
      <c r="N20" s="98" t="s">
        <v>3206</v>
      </c>
      <c r="O20" s="98" t="s">
        <v>3207</v>
      </c>
      <c r="P20" s="98" t="s">
        <v>3208</v>
      </c>
      <c r="Q20" s="98" t="s">
        <v>3209</v>
      </c>
      <c r="R20" s="98" t="s">
        <v>3210</v>
      </c>
      <c r="S20" s="98" t="s">
        <v>3211</v>
      </c>
      <c r="T20" s="192" t="s">
        <v>3212</v>
      </c>
      <c r="U20" s="186"/>
      <c r="V20" s="186"/>
      <c r="W20" s="186"/>
      <c r="X20" s="186"/>
      <c r="Y20" s="186"/>
      <c r="Z20" s="186"/>
      <c r="AA20" s="186"/>
    </row>
    <row r="21">
      <c r="A21" s="25" t="s">
        <v>3213</v>
      </c>
      <c r="B21" s="219" t="s">
        <v>3214</v>
      </c>
      <c r="C21" s="215" t="s">
        <v>1888</v>
      </c>
      <c r="D21" s="215" t="s">
        <v>3200</v>
      </c>
      <c r="E21" s="215" t="s">
        <v>3201</v>
      </c>
      <c r="F21" s="216" t="s">
        <v>3215</v>
      </c>
      <c r="G21" s="216">
        <v>700.0</v>
      </c>
      <c r="H21" s="186"/>
      <c r="I21" s="213" t="s">
        <v>2157</v>
      </c>
      <c r="J21" s="98" t="s">
        <v>1118</v>
      </c>
      <c r="K21" s="98" t="s">
        <v>3216</v>
      </c>
      <c r="L21" s="98" t="s">
        <v>3217</v>
      </c>
      <c r="M21" s="218" t="s">
        <v>3205</v>
      </c>
      <c r="N21" s="98" t="s">
        <v>3218</v>
      </c>
      <c r="O21" s="98" t="s">
        <v>3219</v>
      </c>
      <c r="P21" s="98" t="s">
        <v>3220</v>
      </c>
      <c r="Q21" s="98" t="s">
        <v>3221</v>
      </c>
      <c r="R21" s="98" t="s">
        <v>3222</v>
      </c>
      <c r="S21" s="98" t="s">
        <v>3223</v>
      </c>
      <c r="T21" s="192" t="s">
        <v>3224</v>
      </c>
      <c r="U21" s="186"/>
      <c r="V21" s="186"/>
      <c r="W21" s="186"/>
      <c r="X21" s="186"/>
      <c r="Y21" s="186"/>
      <c r="Z21" s="186"/>
      <c r="AA21" s="186"/>
    </row>
    <row r="22">
      <c r="A22" s="25" t="s">
        <v>3225</v>
      </c>
      <c r="B22" s="217" t="s">
        <v>3226</v>
      </c>
      <c r="C22" s="211" t="s">
        <v>3227</v>
      </c>
      <c r="D22" s="211" t="s">
        <v>3200</v>
      </c>
      <c r="E22" s="211" t="s">
        <v>3201</v>
      </c>
      <c r="F22" s="212" t="s">
        <v>3228</v>
      </c>
      <c r="G22" s="212">
        <v>600.0</v>
      </c>
      <c r="H22" s="186"/>
      <c r="I22" s="213" t="s">
        <v>1199</v>
      </c>
      <c r="J22" s="98" t="s">
        <v>1595</v>
      </c>
      <c r="K22" s="98" t="s">
        <v>3229</v>
      </c>
      <c r="L22" s="98" t="s">
        <v>3230</v>
      </c>
      <c r="M22" s="218" t="s">
        <v>3205</v>
      </c>
      <c r="N22" s="98" t="s">
        <v>3231</v>
      </c>
      <c r="O22" s="98" t="s">
        <v>3232</v>
      </c>
      <c r="P22" s="98" t="s">
        <v>3233</v>
      </c>
      <c r="Q22" s="98" t="s">
        <v>3234</v>
      </c>
      <c r="R22" s="98" t="s">
        <v>3235</v>
      </c>
      <c r="S22" s="98" t="s">
        <v>3236</v>
      </c>
      <c r="T22" s="192" t="s">
        <v>3237</v>
      </c>
      <c r="U22" s="186"/>
      <c r="V22" s="186"/>
      <c r="W22" s="186"/>
      <c r="X22" s="186"/>
      <c r="Y22" s="186"/>
      <c r="Z22" s="186"/>
      <c r="AA22" s="186"/>
    </row>
    <row r="23">
      <c r="A23" s="25" t="s">
        <v>3238</v>
      </c>
      <c r="B23" s="219" t="s">
        <v>3239</v>
      </c>
      <c r="C23" s="215" t="s">
        <v>3240</v>
      </c>
      <c r="D23" s="215" t="s">
        <v>99</v>
      </c>
      <c r="E23" s="215" t="s">
        <v>3241</v>
      </c>
      <c r="F23" s="216" t="s">
        <v>1930</v>
      </c>
      <c r="G23" s="216">
        <v>1090.0</v>
      </c>
      <c r="H23" s="186"/>
      <c r="I23" s="186" t="s">
        <v>55</v>
      </c>
      <c r="J23" s="98" t="s">
        <v>3242</v>
      </c>
      <c r="K23" s="98" t="s">
        <v>3243</v>
      </c>
      <c r="L23" s="98" t="s">
        <v>3244</v>
      </c>
      <c r="M23" s="44" t="s">
        <v>57</v>
      </c>
      <c r="N23" s="98" t="s">
        <v>3245</v>
      </c>
      <c r="O23" s="98" t="s">
        <v>3246</v>
      </c>
      <c r="P23" s="98" t="s">
        <v>3247</v>
      </c>
      <c r="Q23" s="98" t="s">
        <v>3248</v>
      </c>
      <c r="R23" s="98" t="s">
        <v>3249</v>
      </c>
      <c r="S23" s="98" t="s">
        <v>3250</v>
      </c>
      <c r="T23" s="192" t="s">
        <v>3251</v>
      </c>
      <c r="U23" s="186"/>
      <c r="V23" s="186"/>
      <c r="W23" s="186"/>
      <c r="X23" s="186"/>
      <c r="Y23" s="186"/>
      <c r="Z23" s="186"/>
      <c r="AA23" s="186"/>
    </row>
    <row r="24">
      <c r="A24" s="25" t="s">
        <v>3252</v>
      </c>
      <c r="B24" s="211" t="s">
        <v>3253</v>
      </c>
      <c r="C24" s="211" t="s">
        <v>2165</v>
      </c>
      <c r="D24" s="211" t="s">
        <v>99</v>
      </c>
      <c r="E24" s="211" t="s">
        <v>3241</v>
      </c>
      <c r="F24" s="212" t="s">
        <v>3254</v>
      </c>
      <c r="G24" s="212">
        <v>2185.0</v>
      </c>
      <c r="H24" s="186"/>
      <c r="I24" s="98" t="s">
        <v>2157</v>
      </c>
      <c r="J24" s="98" t="s">
        <v>3255</v>
      </c>
      <c r="K24" s="98" t="s">
        <v>3256</v>
      </c>
      <c r="L24" s="98" t="s">
        <v>3257</v>
      </c>
      <c r="M24" s="44" t="s">
        <v>57</v>
      </c>
      <c r="N24" s="98" t="s">
        <v>3258</v>
      </c>
      <c r="O24" s="98" t="s">
        <v>3259</v>
      </c>
      <c r="P24" s="98" t="s">
        <v>3260</v>
      </c>
      <c r="Q24" s="98" t="s">
        <v>3261</v>
      </c>
      <c r="R24" s="98" t="s">
        <v>3262</v>
      </c>
      <c r="S24" s="98" t="s">
        <v>3263</v>
      </c>
      <c r="T24" s="192" t="s">
        <v>3264</v>
      </c>
      <c r="U24" s="186"/>
      <c r="V24" s="186"/>
      <c r="W24" s="186"/>
      <c r="X24" s="186"/>
      <c r="Y24" s="186"/>
      <c r="Z24" s="186"/>
      <c r="AA24" s="186"/>
    </row>
    <row r="25">
      <c r="A25" s="25" t="s">
        <v>3265</v>
      </c>
      <c r="B25" s="215" t="s">
        <v>3266</v>
      </c>
      <c r="C25" s="114" t="s">
        <v>1961</v>
      </c>
      <c r="D25" s="215" t="s">
        <v>99</v>
      </c>
      <c r="E25" s="215" t="s">
        <v>3267</v>
      </c>
      <c r="F25" s="216" t="s">
        <v>3268</v>
      </c>
      <c r="G25" s="216">
        <v>966.0</v>
      </c>
      <c r="H25" s="186"/>
      <c r="I25" s="213" t="s">
        <v>55</v>
      </c>
      <c r="J25" s="98" t="s">
        <v>3269</v>
      </c>
      <c r="K25" s="98" t="s">
        <v>3270</v>
      </c>
      <c r="L25" s="98" t="s">
        <v>3271</v>
      </c>
      <c r="M25" s="30" t="s">
        <v>323</v>
      </c>
      <c r="N25" s="98" t="s">
        <v>3272</v>
      </c>
      <c r="O25" s="98" t="s">
        <v>3273</v>
      </c>
      <c r="P25" s="98" t="s">
        <v>3274</v>
      </c>
      <c r="Q25" s="98" t="s">
        <v>3275</v>
      </c>
      <c r="R25" s="94" t="s">
        <v>3276</v>
      </c>
      <c r="S25" s="98" t="s">
        <v>3277</v>
      </c>
      <c r="T25" s="192" t="s">
        <v>3278</v>
      </c>
      <c r="U25" s="186"/>
      <c r="V25" s="186"/>
      <c r="W25" s="186"/>
      <c r="X25" s="186"/>
      <c r="Y25" s="186"/>
      <c r="Z25" s="186"/>
      <c r="AA25" s="186"/>
    </row>
    <row r="26">
      <c r="A26" s="25" t="s">
        <v>3279</v>
      </c>
      <c r="B26" s="211" t="s">
        <v>3280</v>
      </c>
      <c r="C26" s="211" t="s">
        <v>3281</v>
      </c>
      <c r="D26" s="211" t="s">
        <v>99</v>
      </c>
      <c r="E26" s="211" t="s">
        <v>3241</v>
      </c>
      <c r="F26" s="212" t="s">
        <v>54</v>
      </c>
      <c r="G26" s="212">
        <v>438.0</v>
      </c>
      <c r="H26" s="186"/>
      <c r="I26" s="213" t="s">
        <v>55</v>
      </c>
      <c r="J26" s="98" t="s">
        <v>3282</v>
      </c>
      <c r="K26" s="98" t="s">
        <v>3283</v>
      </c>
      <c r="L26" s="98" t="s">
        <v>3284</v>
      </c>
      <c r="M26" s="98" t="s">
        <v>3285</v>
      </c>
      <c r="N26" s="98" t="s">
        <v>3286</v>
      </c>
      <c r="O26" s="98" t="s">
        <v>3287</v>
      </c>
      <c r="P26" s="98" t="s">
        <v>3288</v>
      </c>
      <c r="Q26" s="98" t="s">
        <v>3289</v>
      </c>
      <c r="R26" s="98" t="s">
        <v>3290</v>
      </c>
      <c r="S26" s="98" t="s">
        <v>3291</v>
      </c>
      <c r="T26" s="192" t="s">
        <v>3292</v>
      </c>
      <c r="U26" s="186"/>
      <c r="V26" s="186"/>
      <c r="W26" s="186"/>
      <c r="X26" s="186"/>
      <c r="Y26" s="186"/>
      <c r="Z26" s="186"/>
      <c r="AA26" s="186"/>
    </row>
    <row r="27">
      <c r="A27" s="25" t="s">
        <v>3293</v>
      </c>
      <c r="B27" s="215" t="s">
        <v>3294</v>
      </c>
      <c r="C27" s="215" t="s">
        <v>3295</v>
      </c>
      <c r="D27" s="215" t="s">
        <v>99</v>
      </c>
      <c r="E27" s="215" t="s">
        <v>3241</v>
      </c>
      <c r="F27" s="216" t="s">
        <v>54</v>
      </c>
      <c r="G27" s="216">
        <v>244.0</v>
      </c>
      <c r="H27" s="186"/>
      <c r="I27" s="213" t="s">
        <v>55</v>
      </c>
      <c r="J27" s="98" t="s">
        <v>3296</v>
      </c>
      <c r="K27" s="98" t="s">
        <v>3297</v>
      </c>
      <c r="L27" s="98" t="s">
        <v>3298</v>
      </c>
      <c r="M27" s="98" t="s">
        <v>3285</v>
      </c>
      <c r="N27" s="98" t="s">
        <v>3299</v>
      </c>
      <c r="O27" s="98" t="s">
        <v>3300</v>
      </c>
      <c r="P27" s="98" t="s">
        <v>3301</v>
      </c>
      <c r="Q27" s="98"/>
      <c r="R27" s="98" t="s">
        <v>3302</v>
      </c>
      <c r="S27" s="98" t="s">
        <v>3303</v>
      </c>
      <c r="T27" s="107" t="s">
        <v>3304</v>
      </c>
      <c r="U27" s="186"/>
      <c r="V27" s="186"/>
      <c r="W27" s="186"/>
      <c r="X27" s="186"/>
      <c r="Y27" s="186"/>
      <c r="Z27" s="186"/>
      <c r="AA27" s="186"/>
    </row>
    <row r="28">
      <c r="A28" s="25" t="s">
        <v>3305</v>
      </c>
      <c r="B28" s="211" t="s">
        <v>3306</v>
      </c>
      <c r="C28" s="211" t="s">
        <v>3307</v>
      </c>
      <c r="D28" s="211" t="s">
        <v>99</v>
      </c>
      <c r="E28" s="211" t="s">
        <v>3267</v>
      </c>
      <c r="F28" s="212" t="s">
        <v>3308</v>
      </c>
      <c r="G28" s="212">
        <v>280.0</v>
      </c>
      <c r="H28" s="186"/>
      <c r="I28" s="98" t="s">
        <v>55</v>
      </c>
      <c r="J28" s="98" t="s">
        <v>3309</v>
      </c>
      <c r="K28" s="98" t="s">
        <v>3310</v>
      </c>
      <c r="L28" s="98" t="s">
        <v>3311</v>
      </c>
      <c r="M28" s="98" t="s">
        <v>3285</v>
      </c>
      <c r="N28" s="98" t="s">
        <v>3312</v>
      </c>
      <c r="O28" s="98" t="s">
        <v>3313</v>
      </c>
      <c r="P28" s="98" t="s">
        <v>3314</v>
      </c>
      <c r="Q28" s="98"/>
      <c r="R28" s="98" t="s">
        <v>3315</v>
      </c>
      <c r="S28" s="98" t="s">
        <v>3316</v>
      </c>
      <c r="T28" s="107" t="s">
        <v>3317</v>
      </c>
      <c r="U28" s="186"/>
      <c r="V28" s="186"/>
      <c r="W28" s="186"/>
      <c r="X28" s="186"/>
      <c r="Y28" s="186"/>
      <c r="Z28" s="186"/>
      <c r="AA28" s="186"/>
    </row>
    <row r="29">
      <c r="A29" s="25" t="s">
        <v>3318</v>
      </c>
      <c r="B29" s="215" t="s">
        <v>3319</v>
      </c>
      <c r="C29" s="215" t="s">
        <v>3320</v>
      </c>
      <c r="D29" s="215" t="s">
        <v>99</v>
      </c>
      <c r="E29" s="215" t="s">
        <v>3267</v>
      </c>
      <c r="F29" s="216" t="s">
        <v>3321</v>
      </c>
      <c r="G29" s="216">
        <v>250.0</v>
      </c>
      <c r="H29" s="55"/>
      <c r="I29" s="98" t="s">
        <v>55</v>
      </c>
      <c r="J29" s="98" t="s">
        <v>3322</v>
      </c>
      <c r="K29" s="98" t="s">
        <v>3323</v>
      </c>
      <c r="L29" s="98" t="s">
        <v>3324</v>
      </c>
      <c r="M29" s="98" t="s">
        <v>3285</v>
      </c>
      <c r="N29" s="98" t="s">
        <v>3325</v>
      </c>
      <c r="O29" s="98" t="s">
        <v>3326</v>
      </c>
      <c r="P29" s="98" t="s">
        <v>3327</v>
      </c>
      <c r="Q29" s="98"/>
      <c r="R29" s="98" t="s">
        <v>3328</v>
      </c>
      <c r="S29" s="98" t="s">
        <v>3329</v>
      </c>
      <c r="T29" s="98" t="s">
        <v>3330</v>
      </c>
      <c r="U29" s="186"/>
      <c r="V29" s="186"/>
      <c r="W29" s="186"/>
      <c r="X29" s="186"/>
      <c r="Y29" s="186"/>
      <c r="Z29" s="186"/>
      <c r="AA29" s="186"/>
    </row>
    <row r="30">
      <c r="A30" s="25" t="s">
        <v>3331</v>
      </c>
      <c r="B30" s="211" t="s">
        <v>3332</v>
      </c>
      <c r="C30" s="211" t="s">
        <v>3333</v>
      </c>
      <c r="D30" s="211" t="s">
        <v>99</v>
      </c>
      <c r="E30" s="211" t="s">
        <v>3267</v>
      </c>
      <c r="F30" s="212" t="s">
        <v>3334</v>
      </c>
      <c r="G30" s="212">
        <v>164.0</v>
      </c>
      <c r="I30" s="98" t="s">
        <v>55</v>
      </c>
      <c r="J30" s="98" t="s">
        <v>3322</v>
      </c>
      <c r="K30" s="98" t="s">
        <v>3335</v>
      </c>
      <c r="L30" s="98" t="s">
        <v>3336</v>
      </c>
      <c r="M30" s="98" t="s">
        <v>3285</v>
      </c>
      <c r="N30" s="98" t="s">
        <v>3337</v>
      </c>
      <c r="O30" s="98" t="s">
        <v>3338</v>
      </c>
      <c r="P30" s="98" t="s">
        <v>3339</v>
      </c>
      <c r="Q30" s="98"/>
      <c r="R30" s="98" t="s">
        <v>3340</v>
      </c>
      <c r="S30" s="98" t="s">
        <v>3341</v>
      </c>
      <c r="T30" s="107" t="s">
        <v>3342</v>
      </c>
      <c r="U30" s="186"/>
      <c r="V30" s="186"/>
      <c r="W30" s="186"/>
      <c r="X30" s="186"/>
      <c r="Y30" s="186"/>
      <c r="Z30" s="186"/>
      <c r="AA30" s="186"/>
    </row>
    <row r="31">
      <c r="A31" s="25" t="s">
        <v>3343</v>
      </c>
      <c r="B31" s="215" t="s">
        <v>3344</v>
      </c>
      <c r="C31" s="215" t="s">
        <v>3345</v>
      </c>
      <c r="D31" s="215" t="s">
        <v>99</v>
      </c>
      <c r="E31" s="215" t="s">
        <v>3346</v>
      </c>
      <c r="F31" s="216" t="s">
        <v>3347</v>
      </c>
      <c r="G31" s="216">
        <v>349.0</v>
      </c>
      <c r="I31" s="98" t="s">
        <v>55</v>
      </c>
      <c r="J31" s="98" t="s">
        <v>3348</v>
      </c>
      <c r="K31" s="98" t="s">
        <v>3349</v>
      </c>
      <c r="L31" s="98" t="s">
        <v>3350</v>
      </c>
      <c r="M31" s="98" t="s">
        <v>3351</v>
      </c>
      <c r="N31" s="98" t="s">
        <v>3352</v>
      </c>
      <c r="O31" s="98" t="s">
        <v>3353</v>
      </c>
      <c r="P31" s="98" t="s">
        <v>3354</v>
      </c>
      <c r="Q31" s="98" t="s">
        <v>3355</v>
      </c>
      <c r="R31" s="98" t="s">
        <v>3356</v>
      </c>
      <c r="S31" s="98" t="s">
        <v>3357</v>
      </c>
      <c r="T31" s="213" t="s">
        <v>3358</v>
      </c>
      <c r="U31" s="186"/>
      <c r="V31" s="186"/>
      <c r="W31" s="186"/>
      <c r="X31" s="186"/>
      <c r="Y31" s="186"/>
      <c r="Z31" s="186"/>
      <c r="AA31" s="186"/>
    </row>
    <row r="32">
      <c r="A32" s="25" t="s">
        <v>3359</v>
      </c>
      <c r="B32" s="211" t="s">
        <v>3360</v>
      </c>
      <c r="C32" s="211" t="s">
        <v>2206</v>
      </c>
      <c r="D32" s="211" t="s">
        <v>99</v>
      </c>
      <c r="E32" s="211" t="s">
        <v>3346</v>
      </c>
      <c r="F32" s="213" t="s">
        <v>3347</v>
      </c>
      <c r="G32" s="98">
        <v>349.0</v>
      </c>
      <c r="I32" s="98" t="s">
        <v>55</v>
      </c>
      <c r="J32" s="98" t="s">
        <v>2113</v>
      </c>
      <c r="K32" s="98" t="s">
        <v>3361</v>
      </c>
      <c r="L32" s="98" t="s">
        <v>3362</v>
      </c>
      <c r="M32" s="98" t="s">
        <v>3351</v>
      </c>
      <c r="N32" s="98" t="s">
        <v>3363</v>
      </c>
      <c r="O32" s="98" t="s">
        <v>3364</v>
      </c>
      <c r="P32" s="98" t="s">
        <v>3365</v>
      </c>
      <c r="Q32" s="98" t="s">
        <v>3366</v>
      </c>
      <c r="R32" s="98" t="s">
        <v>3367</v>
      </c>
      <c r="S32" s="98" t="s">
        <v>3368</v>
      </c>
      <c r="T32" s="220" t="s">
        <v>3369</v>
      </c>
      <c r="U32" s="186"/>
      <c r="V32" s="186"/>
      <c r="W32" s="186"/>
      <c r="X32" s="186"/>
      <c r="Y32" s="186"/>
      <c r="Z32" s="186"/>
      <c r="AA32" s="186"/>
    </row>
    <row r="33">
      <c r="A33" s="25" t="s">
        <v>3000</v>
      </c>
      <c r="B33" s="215" t="s">
        <v>3001</v>
      </c>
      <c r="C33" s="215" t="s">
        <v>1397</v>
      </c>
      <c r="D33" s="215" t="s">
        <v>52</v>
      </c>
      <c r="E33" s="215" t="s">
        <v>252</v>
      </c>
      <c r="F33" s="98" t="s">
        <v>2979</v>
      </c>
      <c r="G33" s="213">
        <v>1400.0</v>
      </c>
      <c r="I33" s="98" t="s">
        <v>3370</v>
      </c>
      <c r="J33" s="221" t="s">
        <v>3371</v>
      </c>
      <c r="L33" s="221" t="s">
        <v>3372</v>
      </c>
      <c r="N33" s="221" t="s">
        <v>3373</v>
      </c>
      <c r="O33" s="98" t="s">
        <v>3374</v>
      </c>
      <c r="P33" s="98" t="s">
        <v>3375</v>
      </c>
      <c r="Q33" s="98" t="s">
        <v>3376</v>
      </c>
      <c r="R33" s="98" t="s">
        <v>3377</v>
      </c>
      <c r="S33" s="98" t="s">
        <v>3378</v>
      </c>
      <c r="T33" s="222" t="s">
        <v>3379</v>
      </c>
      <c r="U33" s="186"/>
      <c r="V33" s="186"/>
      <c r="W33" s="186"/>
      <c r="X33" s="186"/>
      <c r="Y33" s="186"/>
      <c r="Z33" s="186"/>
      <c r="AA33" s="186"/>
    </row>
    <row r="34">
      <c r="A34" s="186"/>
      <c r="B34" s="196"/>
      <c r="C34" s="196"/>
      <c r="D34" s="196"/>
      <c r="E34" s="223"/>
      <c r="F34" s="55"/>
      <c r="G34" s="55"/>
      <c r="H34" s="55"/>
      <c r="I34" s="55"/>
      <c r="J34" s="55"/>
      <c r="T34" s="192"/>
      <c r="U34" s="186"/>
      <c r="V34" s="186"/>
      <c r="W34" s="186"/>
      <c r="X34" s="186"/>
      <c r="Y34" s="186"/>
      <c r="Z34" s="186"/>
      <c r="AA34" s="186"/>
    </row>
    <row r="35">
      <c r="A35" s="186"/>
      <c r="B35" s="193"/>
      <c r="C35" s="193"/>
      <c r="D35" s="193"/>
      <c r="T35" s="192"/>
      <c r="U35" s="186"/>
      <c r="V35" s="186"/>
      <c r="W35" s="186"/>
      <c r="X35" s="186"/>
      <c r="Y35" s="186"/>
      <c r="Z35" s="186"/>
      <c r="AA35" s="186"/>
    </row>
    <row r="36">
      <c r="A36" s="186"/>
      <c r="B36" s="196"/>
      <c r="C36" s="196"/>
      <c r="D36" s="196"/>
      <c r="J36" s="55"/>
      <c r="K36" s="55"/>
      <c r="L36" s="55"/>
      <c r="M36" s="55"/>
      <c r="N36" s="55"/>
      <c r="O36" s="55"/>
      <c r="P36" s="55"/>
      <c r="Q36" s="55"/>
      <c r="R36" s="55"/>
      <c r="S36" s="55"/>
      <c r="T36" s="224"/>
      <c r="U36" s="186"/>
      <c r="V36" s="186"/>
      <c r="W36" s="186"/>
      <c r="X36" s="186"/>
      <c r="Y36" s="186"/>
      <c r="Z36" s="186"/>
      <c r="AA36" s="186"/>
    </row>
    <row r="37">
      <c r="A37" s="186"/>
      <c r="B37" s="193"/>
      <c r="C37" s="193"/>
      <c r="D37" s="193"/>
      <c r="T37" s="224"/>
      <c r="U37" s="186"/>
      <c r="V37" s="186"/>
      <c r="W37" s="186"/>
      <c r="X37" s="186"/>
      <c r="Y37" s="186"/>
      <c r="Z37" s="186"/>
      <c r="AA37" s="186"/>
    </row>
    <row r="38">
      <c r="A38" s="186"/>
      <c r="B38" s="196"/>
      <c r="C38" s="196"/>
      <c r="D38" s="196"/>
      <c r="F38" s="55"/>
      <c r="G38" s="55"/>
      <c r="H38" s="55"/>
      <c r="I38" s="55"/>
      <c r="T38" s="224"/>
      <c r="U38" s="186"/>
      <c r="V38" s="186"/>
      <c r="W38" s="186"/>
      <c r="X38" s="186"/>
      <c r="Y38" s="186"/>
      <c r="Z38" s="186"/>
      <c r="AA38" s="186"/>
    </row>
    <row r="39">
      <c r="A39" s="186"/>
      <c r="B39" s="193"/>
      <c r="C39" s="193"/>
      <c r="D39" s="193"/>
      <c r="Y39" s="186"/>
      <c r="Z39" s="186"/>
      <c r="AA39" s="186"/>
    </row>
    <row r="40">
      <c r="A40" s="186"/>
      <c r="B40" s="196"/>
      <c r="C40" s="196"/>
      <c r="D40" s="196"/>
      <c r="E40" s="196"/>
      <c r="P40" s="186"/>
      <c r="Q40" s="186"/>
      <c r="R40" s="186"/>
      <c r="S40" s="186"/>
      <c r="T40" s="186"/>
      <c r="U40" s="186"/>
      <c r="V40" s="186"/>
      <c r="W40" s="186"/>
      <c r="X40" s="186"/>
      <c r="Y40" s="186"/>
      <c r="Z40" s="186"/>
      <c r="AA40" s="186"/>
    </row>
    <row r="41">
      <c r="A41" s="186"/>
      <c r="B41" s="193"/>
      <c r="C41" s="193"/>
      <c r="D41" s="193"/>
      <c r="E41" s="193"/>
      <c r="X41" s="186"/>
      <c r="Y41" s="186"/>
      <c r="Z41" s="186"/>
      <c r="AA41" s="186"/>
    </row>
    <row r="42">
      <c r="A42" s="186"/>
      <c r="B42" s="196"/>
      <c r="C42" s="196"/>
      <c r="D42" s="196"/>
      <c r="E42" s="196"/>
      <c r="F42" s="186"/>
      <c r="G42" s="186"/>
      <c r="H42" s="186"/>
      <c r="I42" s="186"/>
      <c r="J42" s="186"/>
      <c r="K42" s="186"/>
      <c r="N42" s="186"/>
      <c r="O42" s="186"/>
      <c r="P42" s="186"/>
      <c r="Q42" s="186"/>
      <c r="R42" s="186"/>
      <c r="S42" s="186"/>
      <c r="T42" s="186"/>
      <c r="U42" s="186"/>
      <c r="V42" s="186"/>
      <c r="W42" s="186"/>
      <c r="X42" s="186"/>
      <c r="Y42" s="186"/>
      <c r="Z42" s="186"/>
      <c r="AA42" s="186"/>
    </row>
    <row r="43">
      <c r="A43" s="186"/>
      <c r="B43" s="193"/>
      <c r="C43" s="193"/>
      <c r="D43" s="193"/>
      <c r="E43" s="193"/>
      <c r="F43" s="186"/>
      <c r="G43" s="186"/>
      <c r="H43" s="186"/>
      <c r="I43" s="186"/>
      <c r="J43" s="186"/>
      <c r="K43" s="186"/>
      <c r="N43" s="186"/>
      <c r="O43" s="186"/>
      <c r="P43" s="186"/>
      <c r="Q43" s="186"/>
      <c r="R43" s="186"/>
      <c r="S43" s="186"/>
      <c r="T43" s="186"/>
      <c r="U43" s="186"/>
      <c r="V43" s="186"/>
      <c r="W43" s="186"/>
      <c r="X43" s="186"/>
      <c r="Y43" s="186"/>
      <c r="Z43" s="186"/>
      <c r="AA43" s="186"/>
    </row>
    <row r="44">
      <c r="A44" s="186"/>
      <c r="B44" s="196"/>
      <c r="C44" s="196"/>
      <c r="D44" s="196"/>
      <c r="E44" s="196"/>
      <c r="F44" s="186"/>
      <c r="G44" s="186"/>
      <c r="H44" s="186"/>
      <c r="I44" s="186"/>
      <c r="J44" s="186"/>
      <c r="K44" s="186"/>
      <c r="N44" s="186"/>
      <c r="O44" s="186"/>
      <c r="P44" s="186"/>
      <c r="Q44" s="186"/>
      <c r="R44" s="186"/>
      <c r="S44" s="186"/>
      <c r="T44" s="186"/>
      <c r="U44" s="186"/>
      <c r="V44" s="186"/>
      <c r="W44" s="186"/>
      <c r="X44" s="186"/>
      <c r="Y44" s="186"/>
      <c r="Z44" s="186"/>
      <c r="AA44" s="186"/>
    </row>
    <row r="45">
      <c r="A45" s="186"/>
      <c r="B45" s="193"/>
      <c r="C45" s="193"/>
      <c r="D45" s="193"/>
      <c r="E45" s="193"/>
      <c r="F45" s="186"/>
      <c r="G45" s="186"/>
      <c r="H45" s="186"/>
      <c r="I45" s="186"/>
      <c r="J45" s="186"/>
      <c r="K45" s="186"/>
      <c r="N45" s="186"/>
      <c r="O45" s="186"/>
      <c r="P45" s="55"/>
      <c r="Q45" s="55"/>
      <c r="R45" s="55"/>
      <c r="S45" s="55"/>
      <c r="T45" s="55"/>
      <c r="U45" s="55"/>
      <c r="V45" s="55"/>
      <c r="W45" s="55"/>
      <c r="X45" s="186"/>
      <c r="Y45" s="186"/>
      <c r="Z45" s="186"/>
      <c r="AA45" s="186"/>
    </row>
    <row r="46">
      <c r="A46" s="186"/>
      <c r="B46" s="196"/>
      <c r="C46" s="196"/>
      <c r="D46" s="196"/>
      <c r="E46" s="196"/>
      <c r="F46" s="186"/>
      <c r="G46" s="186"/>
      <c r="H46" s="186"/>
      <c r="I46" s="186"/>
      <c r="J46" s="186"/>
      <c r="K46" s="186"/>
      <c r="N46" s="186"/>
      <c r="O46" s="186"/>
      <c r="X46" s="186"/>
      <c r="Y46" s="186"/>
      <c r="Z46" s="186"/>
      <c r="AA46" s="186"/>
    </row>
    <row r="47">
      <c r="A47" s="186"/>
      <c r="B47" s="193"/>
      <c r="C47" s="193"/>
      <c r="D47" s="193"/>
      <c r="E47" s="193"/>
      <c r="F47" s="186"/>
      <c r="G47" s="186"/>
      <c r="H47" s="186"/>
      <c r="I47" s="186"/>
      <c r="J47" s="186"/>
      <c r="K47" s="186"/>
      <c r="N47" s="186"/>
      <c r="O47" s="186"/>
      <c r="P47" s="186"/>
      <c r="Q47" s="186"/>
      <c r="R47" s="186"/>
      <c r="S47" s="186"/>
      <c r="T47" s="186"/>
      <c r="U47" s="186"/>
      <c r="V47" s="186"/>
      <c r="W47" s="186"/>
      <c r="X47" s="186"/>
      <c r="Y47" s="186"/>
      <c r="Z47" s="186"/>
      <c r="AA47" s="186"/>
    </row>
    <row r="48">
      <c r="A48" s="186"/>
      <c r="B48" s="196"/>
      <c r="C48" s="196"/>
      <c r="D48" s="196"/>
      <c r="E48" s="196"/>
      <c r="F48" s="186"/>
      <c r="G48" s="186"/>
      <c r="H48" s="186"/>
      <c r="I48" s="186"/>
      <c r="J48" s="186"/>
      <c r="K48" s="186"/>
      <c r="N48" s="186"/>
      <c r="O48" s="186"/>
      <c r="P48" s="186"/>
      <c r="Q48" s="186"/>
      <c r="R48" s="186"/>
      <c r="S48" s="186"/>
      <c r="T48" s="186"/>
      <c r="U48" s="186"/>
      <c r="V48" s="186"/>
      <c r="W48" s="186"/>
      <c r="X48" s="186"/>
      <c r="Y48" s="186"/>
      <c r="Z48" s="186"/>
      <c r="AA48" s="186"/>
    </row>
    <row r="49">
      <c r="A49" s="186"/>
      <c r="B49" s="193"/>
      <c r="C49" s="193"/>
      <c r="D49" s="193"/>
      <c r="E49" s="193"/>
      <c r="F49" s="186"/>
      <c r="G49" s="186"/>
      <c r="H49" s="186"/>
      <c r="I49" s="186"/>
      <c r="J49" s="186"/>
      <c r="K49" s="186"/>
      <c r="N49" s="186"/>
      <c r="O49" s="186"/>
      <c r="P49" s="186"/>
      <c r="Q49" s="186"/>
      <c r="R49" s="186"/>
      <c r="S49" s="186"/>
      <c r="T49" s="186"/>
      <c r="U49" s="186"/>
      <c r="V49" s="186"/>
      <c r="W49" s="186"/>
      <c r="X49" s="186"/>
      <c r="Y49" s="186"/>
      <c r="Z49" s="186"/>
      <c r="AA49" s="186"/>
    </row>
    <row r="50">
      <c r="A50" s="186"/>
      <c r="B50" s="196"/>
      <c r="C50" s="196"/>
      <c r="D50" s="196"/>
      <c r="E50" s="196"/>
      <c r="F50" s="186"/>
      <c r="G50" s="186"/>
      <c r="H50" s="186"/>
      <c r="I50" s="186"/>
      <c r="J50" s="186"/>
      <c r="K50" s="186"/>
      <c r="N50" s="186"/>
      <c r="O50" s="186"/>
      <c r="P50" s="186"/>
      <c r="Q50" s="186"/>
      <c r="R50" s="186"/>
      <c r="S50" s="186"/>
      <c r="T50" s="186"/>
      <c r="U50" s="186"/>
      <c r="V50" s="186"/>
      <c r="W50" s="186"/>
      <c r="X50" s="186"/>
      <c r="Y50" s="186"/>
      <c r="Z50" s="186"/>
      <c r="AA50" s="186"/>
    </row>
    <row r="51">
      <c r="A51" s="186"/>
      <c r="B51" s="193"/>
      <c r="C51" s="193"/>
      <c r="D51" s="193"/>
      <c r="E51" s="193"/>
      <c r="F51" s="186"/>
      <c r="G51" s="186"/>
      <c r="H51" s="186"/>
      <c r="I51" s="186"/>
      <c r="J51" s="186"/>
      <c r="K51" s="186"/>
      <c r="N51" s="186"/>
      <c r="O51" s="186"/>
      <c r="P51" s="186"/>
      <c r="Q51" s="186"/>
      <c r="R51" s="186"/>
      <c r="S51" s="186"/>
      <c r="T51" s="186"/>
      <c r="U51" s="186"/>
      <c r="V51" s="186"/>
      <c r="W51" s="186"/>
      <c r="X51" s="186"/>
      <c r="Y51" s="186"/>
      <c r="Z51" s="186"/>
      <c r="AA51" s="186"/>
    </row>
    <row r="52">
      <c r="A52" s="186"/>
      <c r="B52" s="196"/>
      <c r="C52" s="196"/>
      <c r="D52" s="196"/>
      <c r="E52" s="196"/>
      <c r="F52" s="186"/>
      <c r="G52" s="186"/>
      <c r="H52" s="186"/>
      <c r="I52" s="186"/>
      <c r="J52" s="186"/>
      <c r="K52" s="186"/>
      <c r="N52" s="186"/>
      <c r="O52" s="186"/>
      <c r="P52" s="186"/>
      <c r="Q52" s="186"/>
      <c r="R52" s="186"/>
      <c r="S52" s="186"/>
      <c r="T52" s="186"/>
      <c r="U52" s="186"/>
      <c r="V52" s="186"/>
      <c r="W52" s="186"/>
      <c r="X52" s="186"/>
      <c r="Y52" s="186"/>
      <c r="Z52" s="186"/>
      <c r="AA52" s="186"/>
    </row>
    <row r="53">
      <c r="A53" s="186"/>
      <c r="B53" s="193"/>
      <c r="C53" s="193"/>
      <c r="D53" s="193"/>
      <c r="E53" s="193"/>
      <c r="F53" s="186"/>
      <c r="G53" s="186"/>
      <c r="H53" s="186"/>
      <c r="I53" s="186"/>
      <c r="J53" s="186"/>
      <c r="K53" s="186"/>
      <c r="N53" s="186"/>
      <c r="O53" s="186"/>
      <c r="P53" s="186"/>
      <c r="Q53" s="186"/>
      <c r="R53" s="186"/>
      <c r="S53" s="186"/>
      <c r="T53" s="186"/>
      <c r="U53" s="186"/>
      <c r="V53" s="186"/>
      <c r="W53" s="186"/>
      <c r="X53" s="186"/>
      <c r="Y53" s="186"/>
      <c r="Z53" s="186"/>
      <c r="AA53" s="186"/>
    </row>
    <row r="54">
      <c r="A54" s="186"/>
      <c r="B54" s="196"/>
      <c r="C54" s="196"/>
      <c r="D54" s="196"/>
      <c r="E54" s="196"/>
      <c r="F54" s="186"/>
      <c r="G54" s="186"/>
      <c r="H54" s="186"/>
      <c r="I54" s="186"/>
      <c r="J54" s="186"/>
      <c r="K54" s="186"/>
      <c r="N54" s="186"/>
      <c r="O54" s="186"/>
      <c r="P54" s="186"/>
      <c r="Q54" s="186"/>
      <c r="R54" s="186"/>
      <c r="S54" s="186"/>
      <c r="T54" s="186"/>
      <c r="U54" s="186"/>
      <c r="V54" s="186"/>
      <c r="W54" s="186"/>
      <c r="X54" s="186"/>
      <c r="Y54" s="186"/>
      <c r="Z54" s="186"/>
      <c r="AA54" s="186"/>
    </row>
    <row r="55">
      <c r="A55" s="186"/>
      <c r="B55" s="193"/>
      <c r="C55" s="193"/>
      <c r="D55" s="193"/>
      <c r="E55" s="193"/>
      <c r="F55" s="186"/>
      <c r="G55" s="186"/>
      <c r="H55" s="186"/>
      <c r="I55" s="186"/>
      <c r="J55" s="186"/>
      <c r="K55" s="186"/>
      <c r="N55" s="186"/>
      <c r="O55" s="186"/>
      <c r="P55" s="186"/>
      <c r="Q55" s="186"/>
      <c r="R55" s="186"/>
      <c r="S55" s="186"/>
      <c r="T55" s="186"/>
      <c r="U55" s="186"/>
      <c r="V55" s="186"/>
      <c r="W55" s="186"/>
      <c r="X55" s="186"/>
      <c r="Y55" s="186"/>
      <c r="Z55" s="186"/>
      <c r="AA55" s="186"/>
    </row>
    <row r="56">
      <c r="A56" s="186"/>
      <c r="B56" s="196"/>
      <c r="C56" s="196"/>
      <c r="D56" s="196"/>
      <c r="E56" s="196"/>
      <c r="F56" s="186"/>
      <c r="G56" s="186"/>
      <c r="H56" s="186"/>
      <c r="I56" s="186"/>
      <c r="J56" s="186"/>
      <c r="K56" s="186"/>
      <c r="N56" s="186"/>
      <c r="O56" s="186"/>
      <c r="P56" s="186"/>
      <c r="Q56" s="186"/>
      <c r="R56" s="186"/>
      <c r="S56" s="186"/>
      <c r="T56" s="186"/>
      <c r="U56" s="186"/>
      <c r="V56" s="186"/>
      <c r="W56" s="186"/>
      <c r="X56" s="186"/>
      <c r="Y56" s="186"/>
      <c r="Z56" s="186"/>
      <c r="AA56" s="186"/>
    </row>
    <row r="57">
      <c r="A57" s="186"/>
      <c r="B57" s="193"/>
      <c r="C57" s="193"/>
      <c r="D57" s="193"/>
      <c r="E57" s="193"/>
      <c r="F57" s="186"/>
      <c r="G57" s="186"/>
      <c r="H57" s="186"/>
      <c r="I57" s="186"/>
      <c r="J57" s="186"/>
      <c r="K57" s="186"/>
      <c r="N57" s="186"/>
      <c r="O57" s="186"/>
      <c r="P57" s="186"/>
      <c r="Q57" s="186"/>
      <c r="R57" s="186"/>
      <c r="S57" s="186"/>
      <c r="T57" s="186"/>
      <c r="U57" s="186"/>
      <c r="V57" s="186"/>
      <c r="W57" s="186"/>
      <c r="X57" s="186"/>
      <c r="Y57" s="186"/>
      <c r="Z57" s="186"/>
      <c r="AA57" s="186"/>
    </row>
    <row r="58">
      <c r="A58" s="186"/>
      <c r="B58" s="196"/>
      <c r="C58" s="196"/>
      <c r="D58" s="196"/>
      <c r="E58" s="196"/>
      <c r="F58" s="186"/>
      <c r="G58" s="186"/>
      <c r="H58" s="186"/>
      <c r="I58" s="186"/>
      <c r="J58" s="186"/>
      <c r="K58" s="186"/>
      <c r="N58" s="186"/>
      <c r="O58" s="186"/>
      <c r="P58" s="186"/>
      <c r="Q58" s="186"/>
      <c r="R58" s="186"/>
      <c r="S58" s="186"/>
      <c r="T58" s="186"/>
      <c r="U58" s="186"/>
      <c r="V58" s="186"/>
      <c r="W58" s="186"/>
      <c r="X58" s="186"/>
      <c r="Y58" s="186"/>
      <c r="Z58" s="186"/>
      <c r="AA58" s="186"/>
    </row>
    <row r="59">
      <c r="A59" s="186"/>
      <c r="B59" s="193"/>
      <c r="C59" s="193"/>
      <c r="D59" s="193"/>
      <c r="E59" s="193"/>
      <c r="F59" s="186"/>
      <c r="G59" s="186"/>
      <c r="H59" s="186"/>
      <c r="I59" s="186"/>
      <c r="J59" s="186"/>
      <c r="K59" s="186"/>
      <c r="N59" s="186"/>
      <c r="O59" s="186"/>
      <c r="P59" s="186"/>
      <c r="Q59" s="186"/>
      <c r="R59" s="186"/>
      <c r="S59" s="186"/>
      <c r="T59" s="186"/>
      <c r="U59" s="186"/>
      <c r="V59" s="186"/>
      <c r="W59" s="186"/>
      <c r="X59" s="186"/>
      <c r="Y59" s="186"/>
      <c r="Z59" s="186"/>
      <c r="AA59" s="186"/>
    </row>
    <row r="60">
      <c r="A60" s="186"/>
      <c r="B60" s="196"/>
      <c r="C60" s="196"/>
      <c r="D60" s="196"/>
      <c r="E60" s="196"/>
      <c r="F60" s="186"/>
      <c r="G60" s="186"/>
      <c r="H60" s="186"/>
      <c r="I60" s="186"/>
      <c r="J60" s="186"/>
      <c r="K60" s="186"/>
      <c r="L60" s="98" t="s">
        <v>3380</v>
      </c>
      <c r="N60" s="186"/>
      <c r="O60" s="186"/>
      <c r="P60" s="186"/>
      <c r="Q60" s="186"/>
      <c r="R60" s="186"/>
      <c r="S60" s="186"/>
      <c r="T60" s="186"/>
      <c r="U60" s="186"/>
      <c r="V60" s="186"/>
      <c r="W60" s="186"/>
      <c r="X60" s="186"/>
      <c r="Y60" s="186"/>
      <c r="Z60" s="186"/>
      <c r="AA60" s="186"/>
    </row>
    <row r="61">
      <c r="A61" s="186"/>
      <c r="B61" s="193"/>
      <c r="C61" s="193"/>
      <c r="D61" s="193"/>
      <c r="E61" s="193"/>
      <c r="F61" s="186"/>
      <c r="G61" s="186"/>
      <c r="H61" s="186"/>
      <c r="I61" s="186"/>
      <c r="J61" s="186"/>
      <c r="K61" s="186"/>
      <c r="L61" s="98" t="s">
        <v>3381</v>
      </c>
      <c r="N61" s="186"/>
      <c r="O61" s="186"/>
      <c r="P61" s="186"/>
      <c r="Q61" s="186"/>
      <c r="R61" s="186"/>
      <c r="S61" s="186"/>
      <c r="T61" s="186"/>
      <c r="U61" s="186"/>
      <c r="V61" s="186"/>
      <c r="W61" s="186"/>
      <c r="X61" s="186"/>
      <c r="Y61" s="186"/>
      <c r="Z61" s="186"/>
      <c r="AA61" s="186"/>
    </row>
    <row r="62">
      <c r="A62" s="186"/>
      <c r="B62" s="196"/>
      <c r="C62" s="196"/>
      <c r="D62" s="196"/>
      <c r="E62" s="196"/>
      <c r="F62" s="186"/>
      <c r="G62" s="186"/>
      <c r="H62" s="186"/>
      <c r="I62" s="186"/>
      <c r="J62" s="186"/>
      <c r="K62" s="186"/>
      <c r="L62" s="98" t="s">
        <v>3382</v>
      </c>
      <c r="N62" s="186"/>
      <c r="O62" s="186"/>
      <c r="P62" s="186"/>
      <c r="Q62" s="186"/>
      <c r="R62" s="186"/>
      <c r="S62" s="186"/>
      <c r="T62" s="186"/>
      <c r="U62" s="186"/>
      <c r="V62" s="186"/>
      <c r="W62" s="186"/>
      <c r="X62" s="186"/>
      <c r="Y62" s="186"/>
      <c r="Z62" s="186"/>
      <c r="AA62" s="186"/>
    </row>
    <row r="63">
      <c r="A63" s="186"/>
      <c r="B63" s="193"/>
      <c r="C63" s="193"/>
      <c r="D63" s="193"/>
      <c r="E63" s="193"/>
      <c r="F63" s="186"/>
      <c r="G63" s="186"/>
      <c r="H63" s="186"/>
      <c r="I63" s="186"/>
      <c r="J63" s="186"/>
      <c r="K63" s="186"/>
      <c r="L63" s="98" t="s">
        <v>3280</v>
      </c>
      <c r="N63" s="186"/>
      <c r="O63" s="186"/>
      <c r="P63" s="186"/>
      <c r="Q63" s="186"/>
      <c r="R63" s="186"/>
      <c r="S63" s="186"/>
      <c r="T63" s="186"/>
      <c r="U63" s="186"/>
      <c r="V63" s="186"/>
      <c r="W63" s="186"/>
      <c r="X63" s="186"/>
      <c r="Y63" s="186"/>
      <c r="Z63" s="186"/>
      <c r="AA63" s="186"/>
    </row>
    <row r="64">
      <c r="A64" s="186"/>
      <c r="B64" s="196"/>
      <c r="C64" s="196"/>
      <c r="D64" s="196"/>
      <c r="E64" s="196"/>
      <c r="F64" s="186"/>
      <c r="G64" s="186"/>
      <c r="H64" s="186"/>
      <c r="I64" s="186"/>
      <c r="J64" s="186"/>
      <c r="K64" s="186"/>
      <c r="L64" s="98" t="s">
        <v>3383</v>
      </c>
      <c r="N64" s="186"/>
      <c r="O64" s="186"/>
      <c r="P64" s="186"/>
      <c r="Q64" s="186"/>
      <c r="R64" s="186"/>
      <c r="S64" s="186"/>
      <c r="T64" s="186"/>
      <c r="U64" s="186"/>
      <c r="V64" s="186"/>
      <c r="W64" s="186"/>
      <c r="X64" s="186"/>
      <c r="Y64" s="186"/>
      <c r="Z64" s="186"/>
      <c r="AA64" s="186"/>
    </row>
    <row r="65">
      <c r="A65" s="186"/>
      <c r="B65" s="193"/>
      <c r="C65" s="193"/>
      <c r="D65" s="193"/>
      <c r="E65" s="193"/>
      <c r="F65" s="186"/>
      <c r="G65" s="186"/>
      <c r="H65" s="186"/>
      <c r="I65" s="186"/>
      <c r="J65" s="186"/>
      <c r="K65" s="186"/>
      <c r="L65" s="98" t="s">
        <v>3306</v>
      </c>
      <c r="N65" s="186"/>
      <c r="O65" s="186"/>
      <c r="P65" s="186"/>
      <c r="Q65" s="186"/>
      <c r="R65" s="186"/>
      <c r="S65" s="186"/>
      <c r="T65" s="186"/>
      <c r="U65" s="186"/>
      <c r="V65" s="186"/>
      <c r="W65" s="186"/>
      <c r="X65" s="186"/>
      <c r="Y65" s="186"/>
      <c r="Z65" s="186"/>
      <c r="AA65" s="186"/>
    </row>
    <row r="66">
      <c r="A66" s="186"/>
      <c r="B66" s="196"/>
      <c r="C66" s="196"/>
      <c r="D66" s="196"/>
      <c r="E66" s="196"/>
      <c r="F66" s="186"/>
      <c r="G66" s="186"/>
      <c r="H66" s="186"/>
      <c r="I66" s="186"/>
      <c r="J66" s="186"/>
      <c r="K66" s="186"/>
      <c r="L66" s="98" t="s">
        <v>3384</v>
      </c>
      <c r="N66" s="186"/>
      <c r="O66" s="186"/>
      <c r="P66" s="186"/>
      <c r="Q66" s="186"/>
      <c r="R66" s="186"/>
      <c r="S66" s="186"/>
      <c r="T66" s="186"/>
      <c r="U66" s="186"/>
      <c r="V66" s="186"/>
      <c r="W66" s="186"/>
      <c r="X66" s="186"/>
      <c r="Y66" s="186"/>
      <c r="Z66" s="186"/>
      <c r="AA66" s="186"/>
    </row>
    <row r="67">
      <c r="A67" s="186"/>
      <c r="B67" s="193"/>
      <c r="C67" s="193"/>
      <c r="D67" s="193"/>
      <c r="E67" s="193"/>
      <c r="F67" s="186"/>
      <c r="G67" s="186"/>
      <c r="H67" s="186"/>
      <c r="I67" s="186"/>
      <c r="J67" s="186"/>
      <c r="K67" s="186"/>
      <c r="L67" s="98" t="s">
        <v>3385</v>
      </c>
      <c r="N67" s="186"/>
      <c r="O67" s="186"/>
      <c r="P67" s="186"/>
      <c r="Q67" s="186"/>
      <c r="R67" s="186"/>
      <c r="S67" s="186"/>
      <c r="T67" s="186"/>
      <c r="U67" s="186"/>
      <c r="V67" s="186"/>
      <c r="W67" s="186"/>
      <c r="X67" s="186"/>
      <c r="Y67" s="186"/>
      <c r="Z67" s="186"/>
      <c r="AA67" s="186"/>
    </row>
    <row r="68">
      <c r="A68" s="186"/>
      <c r="B68" s="196"/>
      <c r="C68" s="196"/>
      <c r="D68" s="196"/>
      <c r="E68" s="196"/>
      <c r="F68" s="186"/>
      <c r="G68" s="186"/>
      <c r="H68" s="186"/>
      <c r="I68" s="186"/>
      <c r="J68" s="186"/>
      <c r="K68" s="186"/>
      <c r="L68" s="186"/>
      <c r="M68" s="186"/>
      <c r="N68" s="186"/>
      <c r="O68" s="186"/>
      <c r="P68" s="186"/>
      <c r="Q68" s="186"/>
      <c r="R68" s="186"/>
      <c r="S68" s="186"/>
      <c r="T68" s="186"/>
      <c r="U68" s="186"/>
      <c r="V68" s="186"/>
      <c r="W68" s="186"/>
      <c r="X68" s="186"/>
      <c r="Y68" s="186"/>
      <c r="Z68" s="186"/>
      <c r="AA68" s="186"/>
    </row>
    <row r="69">
      <c r="A69" s="186"/>
      <c r="B69" s="193"/>
      <c r="C69" s="193"/>
      <c r="D69" s="193"/>
      <c r="E69" s="193"/>
      <c r="F69" s="186"/>
      <c r="G69" s="186"/>
      <c r="H69" s="186"/>
      <c r="I69" s="186"/>
      <c r="J69" s="186"/>
      <c r="K69" s="186"/>
      <c r="L69" s="186"/>
      <c r="M69" s="186"/>
      <c r="N69" s="186"/>
      <c r="O69" s="186"/>
      <c r="P69" s="186"/>
      <c r="Q69" s="186"/>
      <c r="R69" s="186"/>
      <c r="S69" s="186"/>
      <c r="T69" s="186"/>
      <c r="U69" s="186"/>
      <c r="V69" s="186"/>
      <c r="W69" s="186"/>
      <c r="X69" s="186"/>
      <c r="Y69" s="186"/>
      <c r="Z69" s="186"/>
      <c r="AA69" s="186"/>
    </row>
    <row r="70">
      <c r="A70" s="186"/>
      <c r="B70" s="196"/>
      <c r="C70" s="196"/>
      <c r="D70" s="196"/>
      <c r="E70" s="196"/>
      <c r="F70" s="186"/>
      <c r="G70" s="186"/>
      <c r="H70" s="186"/>
      <c r="I70" s="186"/>
      <c r="J70" s="186"/>
      <c r="K70" s="186"/>
      <c r="L70" s="186"/>
      <c r="M70" s="186"/>
      <c r="N70" s="186"/>
      <c r="O70" s="186"/>
      <c r="P70" s="186"/>
      <c r="Q70" s="186"/>
      <c r="R70" s="186"/>
      <c r="S70" s="186"/>
      <c r="T70" s="186"/>
      <c r="U70" s="186"/>
      <c r="V70" s="186"/>
      <c r="W70" s="186"/>
      <c r="X70" s="186"/>
      <c r="Y70" s="186"/>
      <c r="Z70" s="186"/>
      <c r="AA70" s="186"/>
    </row>
    <row r="71">
      <c r="A71" s="186"/>
      <c r="B71" s="193"/>
      <c r="C71" s="193"/>
      <c r="D71" s="193"/>
      <c r="E71" s="193"/>
      <c r="F71" s="186"/>
      <c r="G71" s="186"/>
      <c r="H71" s="186"/>
      <c r="I71" s="186"/>
      <c r="J71" s="186"/>
      <c r="K71" s="186"/>
      <c r="L71" s="186"/>
      <c r="M71" s="186"/>
      <c r="N71" s="186"/>
      <c r="O71" s="186"/>
      <c r="P71" s="186"/>
      <c r="Q71" s="186"/>
      <c r="R71" s="186"/>
      <c r="S71" s="186"/>
      <c r="T71" s="186"/>
      <c r="U71" s="186"/>
      <c r="V71" s="186"/>
      <c r="W71" s="186"/>
      <c r="X71" s="186"/>
      <c r="Y71" s="186"/>
      <c r="Z71" s="186"/>
      <c r="AA71" s="186"/>
    </row>
    <row r="72">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row>
    <row r="73">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row>
    <row r="74">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row>
    <row r="75">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row>
    <row r="76">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row>
    <row r="77">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row>
    <row r="78">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row>
    <row r="79">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row>
    <row r="80">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c r="AA80" s="186"/>
    </row>
    <row r="8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row>
    <row r="82">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c r="AA82" s="186"/>
    </row>
    <row r="83">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row>
    <row r="84">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row>
    <row r="85">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row>
    <row r="86">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c r="AA86" s="186"/>
    </row>
    <row r="87">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c r="AA87" s="186"/>
    </row>
    <row r="88">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c r="AA88" s="186"/>
    </row>
    <row r="89">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row>
    <row r="90">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c r="AA90" s="186"/>
    </row>
    <row r="9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c r="AA91" s="186"/>
    </row>
    <row r="92">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c r="AA92" s="186"/>
    </row>
    <row r="93">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row>
    <row r="94">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c r="AA94" s="186"/>
    </row>
    <row r="95">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c r="AA95" s="186"/>
    </row>
    <row r="96">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row>
    <row r="97">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A97" s="186"/>
    </row>
    <row r="98">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c r="AA98" s="186"/>
    </row>
    <row r="99">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row>
    <row r="100">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c r="AA100" s="186"/>
    </row>
    <row r="10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c r="AA101" s="186"/>
    </row>
    <row r="102">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c r="AA102" s="186"/>
    </row>
    <row r="103">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c r="AA103" s="186"/>
    </row>
    <row r="104">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row>
    <row r="105">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c r="AA105" s="186"/>
    </row>
    <row r="106">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row>
    <row r="107">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row>
    <row r="108">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row>
    <row r="109">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c r="AA109" s="186"/>
    </row>
    <row r="110">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c r="AA110" s="186"/>
    </row>
    <row r="11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row>
    <row r="112">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row>
    <row r="113">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row>
    <row r="114">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row>
    <row r="115">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row>
    <row r="116">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row>
    <row r="117">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row>
    <row r="118">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row>
    <row r="119">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row>
    <row r="120">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row>
    <row r="12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row>
    <row r="122">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row>
    <row r="123">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row>
    <row r="124">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row>
    <row r="125">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row>
    <row r="126">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row>
    <row r="127">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row>
    <row r="128">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row>
    <row r="129">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row>
    <row r="130">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row>
    <row r="13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row>
    <row r="132">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row>
    <row r="133">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row>
    <row r="134">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row>
    <row r="135">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row>
    <row r="136">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row>
    <row r="137">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row>
    <row r="138">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row>
    <row r="139">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row>
    <row r="140">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row>
    <row r="14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row>
    <row r="142">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row>
    <row r="143">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row>
    <row r="144">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row>
    <row r="145">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row>
    <row r="146">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row>
    <row r="147">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row>
    <row r="148">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row>
    <row r="149">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row>
    <row r="150">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row>
    <row r="15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row>
    <row r="152">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row>
    <row r="153">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row>
    <row r="154">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row>
    <row r="155">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row>
    <row r="156">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row>
    <row r="157">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row>
    <row r="158">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row>
    <row r="159">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row>
    <row r="160">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row>
    <row r="16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row>
    <row r="162">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row>
    <row r="163">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row>
    <row r="164">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row>
    <row r="165">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row>
    <row r="166">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row>
    <row r="167">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row>
    <row r="168">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row>
    <row r="169">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row>
    <row r="170">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row>
    <row r="17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row>
    <row r="172">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row>
    <row r="173">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row>
    <row r="174">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row>
    <row r="175">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row>
    <row r="176">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row>
    <row r="177">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row>
    <row r="178">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row>
    <row r="179">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row>
    <row r="180">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row>
    <row r="18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row>
    <row r="182">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row>
    <row r="183">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row>
    <row r="184">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row>
    <row r="185">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row>
    <row r="186">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row>
    <row r="187">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row>
    <row r="188">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row>
    <row r="189">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row>
    <row r="190">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row>
    <row r="19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row>
    <row r="192">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row>
    <row r="193">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row>
    <row r="194">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row>
    <row r="195">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row>
    <row r="196">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row>
    <row r="197">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row>
    <row r="198">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row>
    <row r="199">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row>
    <row r="200">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row>
    <row r="20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row>
    <row r="202">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row>
    <row r="203">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row>
    <row r="204">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row>
    <row r="205">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row>
    <row r="206">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row>
    <row r="207">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row>
    <row r="208">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row>
    <row r="209">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row>
    <row r="210">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row>
    <row r="21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row>
    <row r="212">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row>
    <row r="213">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row>
    <row r="214">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row>
    <row r="215">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row>
    <row r="216">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row>
    <row r="217">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row>
    <row r="218">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row>
    <row r="219">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row>
    <row r="220">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row>
    <row r="22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row>
    <row r="222">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row>
    <row r="223">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row>
    <row r="224">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row>
    <row r="225">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row>
    <row r="226">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row>
    <row r="227">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row>
    <row r="228">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row>
    <row r="229">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row>
    <row r="230">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row>
    <row r="23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row>
    <row r="232">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row>
    <row r="233">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row>
    <row r="234">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row>
    <row r="235">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c r="AA235" s="186"/>
    </row>
    <row r="236">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c r="AA236" s="186"/>
    </row>
    <row r="237">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c r="AA237" s="186"/>
    </row>
    <row r="238">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c r="AA238" s="186"/>
    </row>
    <row r="239">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c r="AA239" s="186"/>
    </row>
    <row r="240">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row>
    <row r="24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row>
    <row r="242">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c r="AA242" s="186"/>
    </row>
    <row r="243">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c r="AA243" s="186"/>
    </row>
    <row r="244">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row>
    <row r="245">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row>
    <row r="246">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row>
    <row r="247">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row>
    <row r="248">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row>
    <row r="249">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row>
    <row r="250">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row>
    <row r="25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c r="AA251" s="186"/>
    </row>
    <row r="252">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c r="AA252" s="186"/>
    </row>
    <row r="253">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c r="AA253" s="186"/>
    </row>
    <row r="254">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c r="AA254" s="186"/>
    </row>
    <row r="255">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row>
    <row r="256">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c r="AA256" s="186"/>
    </row>
    <row r="257">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c r="AA257" s="186"/>
    </row>
    <row r="258">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c r="AA258" s="186"/>
    </row>
    <row r="259">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c r="AA259" s="186"/>
    </row>
    <row r="260">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c r="AA260" s="186"/>
    </row>
    <row r="26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row>
    <row r="262">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c r="AA262" s="186"/>
    </row>
    <row r="263">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row>
    <row r="264">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row>
    <row r="265">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c r="AA265" s="186"/>
    </row>
    <row r="266">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c r="AA266" s="186"/>
    </row>
    <row r="267">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row>
    <row r="268">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c r="AA268" s="186"/>
    </row>
    <row r="269">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c r="AA269" s="186"/>
    </row>
    <row r="270">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c r="AA270" s="186"/>
    </row>
    <row r="27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c r="AA271" s="186"/>
    </row>
    <row r="272">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c r="AA272" s="186"/>
    </row>
    <row r="273">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row>
    <row r="274">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c r="AA274" s="186"/>
    </row>
    <row r="275">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c r="AA275" s="186"/>
    </row>
    <row r="276">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c r="AA276" s="186"/>
    </row>
    <row r="277">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c r="AA277" s="186"/>
    </row>
    <row r="278">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c r="AA278" s="186"/>
    </row>
    <row r="279">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row>
    <row r="280">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c r="AA280" s="186"/>
    </row>
    <row r="28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c r="AA281" s="186"/>
    </row>
    <row r="282">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row>
    <row r="283">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row>
    <row r="284">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row>
    <row r="285">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row>
    <row r="286">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row>
    <row r="287">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row>
    <row r="288">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row>
    <row r="289">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c r="AA289" s="186"/>
    </row>
    <row r="290">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c r="AA290" s="186"/>
    </row>
    <row r="29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c r="AA291" s="186"/>
    </row>
    <row r="292">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c r="AA292" s="186"/>
    </row>
    <row r="293">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c r="AA293" s="186"/>
    </row>
    <row r="294">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c r="AA294" s="186"/>
    </row>
    <row r="295">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c r="AA295" s="186"/>
    </row>
    <row r="296">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c r="AA296" s="186"/>
    </row>
    <row r="297">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c r="AA297" s="186"/>
    </row>
    <row r="298">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c r="AA298" s="186"/>
    </row>
    <row r="299">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c r="AA299" s="186"/>
    </row>
    <row r="300">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c r="AA300" s="186"/>
    </row>
    <row r="30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c r="AA301" s="186"/>
    </row>
    <row r="302">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c r="AA302" s="186"/>
    </row>
    <row r="303">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c r="AA303" s="186"/>
    </row>
    <row r="304">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c r="AA304" s="186"/>
    </row>
    <row r="305">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c r="AA305" s="186"/>
    </row>
    <row r="306">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c r="AA306" s="186"/>
    </row>
    <row r="307">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c r="AA307" s="186"/>
    </row>
    <row r="308">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c r="AA308" s="186"/>
    </row>
    <row r="309">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c r="AA309" s="186"/>
    </row>
    <row r="310">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c r="AA310" s="186"/>
    </row>
    <row r="31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c r="AA311" s="186"/>
    </row>
    <row r="312">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c r="AA312" s="186"/>
    </row>
    <row r="313">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c r="AA313" s="186"/>
    </row>
    <row r="314">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c r="AA314" s="186"/>
    </row>
    <row r="315">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c r="AA315" s="186"/>
    </row>
    <row r="316">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c r="AA316" s="186"/>
    </row>
    <row r="317">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c r="AA317" s="186"/>
    </row>
    <row r="318">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c r="AA318" s="186"/>
    </row>
    <row r="319">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c r="AA319" s="186"/>
    </row>
    <row r="320">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c r="AA320" s="186"/>
    </row>
    <row r="32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c r="AA321" s="186"/>
    </row>
    <row r="322">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c r="AA322" s="186"/>
    </row>
    <row r="323">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c r="AA323" s="186"/>
    </row>
    <row r="324">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c r="AA324" s="186"/>
    </row>
    <row r="325">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c r="AA325" s="186"/>
    </row>
    <row r="326">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c r="AA326" s="186"/>
    </row>
    <row r="327">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c r="AA327" s="186"/>
    </row>
    <row r="328">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c r="AA328" s="186"/>
    </row>
    <row r="329">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c r="AA329" s="186"/>
    </row>
    <row r="330">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c r="AA330" s="186"/>
    </row>
    <row r="33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c r="AA331" s="186"/>
    </row>
    <row r="332">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c r="AA332" s="186"/>
    </row>
    <row r="333">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c r="AA333" s="186"/>
    </row>
    <row r="334">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c r="AA334" s="186"/>
    </row>
    <row r="335">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c r="AA335" s="186"/>
    </row>
    <row r="336">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c r="AA336" s="186"/>
    </row>
    <row r="337">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c r="AA337" s="186"/>
    </row>
    <row r="338">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c r="AA338" s="186"/>
    </row>
    <row r="339">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c r="AA339" s="186"/>
    </row>
    <row r="340">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c r="AA340" s="186"/>
    </row>
    <row r="34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c r="AA341" s="186"/>
    </row>
    <row r="342">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c r="AA342" s="186"/>
    </row>
    <row r="343">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c r="AA343" s="186"/>
    </row>
    <row r="344">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c r="AA344" s="186"/>
    </row>
    <row r="345">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c r="AA345" s="186"/>
    </row>
    <row r="346">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c r="AA346" s="186"/>
    </row>
    <row r="347">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c r="AA347" s="186"/>
    </row>
    <row r="348">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c r="AA348" s="186"/>
    </row>
    <row r="349">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c r="AA349" s="186"/>
    </row>
    <row r="350">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c r="AA350" s="186"/>
    </row>
    <row r="35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c r="AA351" s="186"/>
    </row>
    <row r="352">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c r="AA352" s="186"/>
    </row>
    <row r="353">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c r="AA353" s="186"/>
    </row>
    <row r="354">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c r="AA354" s="186"/>
    </row>
    <row r="355">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c r="AA355" s="186"/>
    </row>
    <row r="356">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c r="AA356" s="186"/>
    </row>
    <row r="357">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c r="AA357" s="186"/>
    </row>
    <row r="358">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c r="AA358" s="186"/>
    </row>
    <row r="359">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c r="AA359" s="186"/>
    </row>
    <row r="360">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c r="AA360" s="186"/>
    </row>
    <row r="36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c r="AA361" s="186"/>
    </row>
    <row r="362">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c r="AA362" s="186"/>
    </row>
    <row r="363">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c r="AA363" s="186"/>
    </row>
    <row r="364">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c r="AA364" s="186"/>
    </row>
    <row r="365">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c r="AA365" s="186"/>
    </row>
    <row r="366">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c r="AA366" s="186"/>
    </row>
    <row r="367">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c r="AA367" s="186"/>
    </row>
    <row r="368">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c r="AA368" s="186"/>
    </row>
    <row r="369">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c r="AA369" s="186"/>
    </row>
    <row r="370">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c r="AA370" s="186"/>
    </row>
    <row r="37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c r="AA371" s="186"/>
    </row>
    <row r="372">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c r="AA372" s="186"/>
    </row>
    <row r="373">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c r="AA373" s="186"/>
    </row>
    <row r="374">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c r="AA374" s="186"/>
    </row>
    <row r="375">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c r="AA375" s="186"/>
    </row>
    <row r="376">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c r="AA376" s="186"/>
    </row>
    <row r="377">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c r="AA377" s="186"/>
    </row>
    <row r="378">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c r="AA378" s="186"/>
    </row>
    <row r="379">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c r="AA379" s="186"/>
    </row>
    <row r="380">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c r="AA380" s="186"/>
    </row>
    <row r="38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c r="AA381" s="186"/>
    </row>
    <row r="382">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c r="AA382" s="186"/>
    </row>
    <row r="383">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c r="AA383" s="186"/>
    </row>
    <row r="384">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c r="AA384" s="186"/>
    </row>
    <row r="385">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c r="AA385" s="186"/>
    </row>
    <row r="386">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c r="AA386" s="186"/>
    </row>
    <row r="387">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c r="AA387" s="186"/>
    </row>
    <row r="388">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c r="AA388" s="186"/>
    </row>
    <row r="389">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c r="AA389" s="186"/>
    </row>
    <row r="390">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c r="AA390" s="186"/>
    </row>
    <row r="39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c r="AA391" s="186"/>
    </row>
    <row r="392">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c r="AA392" s="186"/>
    </row>
    <row r="393">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c r="AA393" s="186"/>
    </row>
    <row r="394">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c r="AA394" s="186"/>
    </row>
    <row r="395">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c r="AA395" s="186"/>
    </row>
    <row r="396">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c r="AA396" s="186"/>
    </row>
    <row r="397">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c r="AA397" s="186"/>
    </row>
    <row r="398">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c r="AA398" s="186"/>
    </row>
    <row r="399">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c r="AA399" s="186"/>
    </row>
    <row r="400">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c r="AA400" s="186"/>
    </row>
    <row r="40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c r="AA401" s="186"/>
    </row>
    <row r="402">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c r="AA402" s="186"/>
    </row>
    <row r="403">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c r="AA403" s="186"/>
    </row>
    <row r="404">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c r="AA404" s="186"/>
    </row>
    <row r="405">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c r="AA405" s="186"/>
    </row>
    <row r="406">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c r="AA406" s="186"/>
    </row>
    <row r="407">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c r="AA407" s="186"/>
    </row>
    <row r="408">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c r="AA408" s="186"/>
    </row>
    <row r="409">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c r="AA409" s="186"/>
    </row>
    <row r="410">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c r="AA410" s="186"/>
    </row>
    <row r="41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c r="AA411" s="186"/>
    </row>
    <row r="412">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c r="AA412" s="186"/>
    </row>
    <row r="413">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c r="AA413" s="186"/>
    </row>
    <row r="414">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c r="AA414" s="186"/>
    </row>
    <row r="415">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c r="AA415" s="186"/>
    </row>
    <row r="416">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c r="AA416" s="186"/>
    </row>
    <row r="417">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c r="AA417" s="186"/>
    </row>
    <row r="418">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c r="AA418" s="186"/>
    </row>
    <row r="419">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c r="AA419" s="186"/>
    </row>
    <row r="420">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c r="AA420" s="186"/>
    </row>
    <row r="42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c r="AA421" s="186"/>
    </row>
    <row r="422">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row>
    <row r="423">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c r="AA423" s="186"/>
    </row>
    <row r="424">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c r="AA424" s="186"/>
    </row>
    <row r="425">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c r="AA425" s="186"/>
    </row>
    <row r="426">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c r="AA426" s="186"/>
    </row>
    <row r="427">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c r="AA427" s="186"/>
    </row>
    <row r="428">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c r="AA428" s="186"/>
    </row>
    <row r="429">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c r="AA429" s="186"/>
    </row>
    <row r="430">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c r="AA430" s="186"/>
    </row>
    <row r="43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row>
    <row r="432">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row>
    <row r="433">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c r="AA433" s="186"/>
    </row>
    <row r="434">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c r="AA434" s="186"/>
    </row>
    <row r="435">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row>
    <row r="436">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row>
    <row r="437">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c r="AA437" s="186"/>
    </row>
    <row r="438">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c r="AA438" s="186"/>
    </row>
    <row r="439">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c r="AA439" s="186"/>
    </row>
    <row r="440">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c r="AA440" s="186"/>
    </row>
    <row r="44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c r="AA441" s="186"/>
    </row>
    <row r="442">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c r="AA442" s="186"/>
    </row>
    <row r="443">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c r="AA443" s="186"/>
    </row>
    <row r="444">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c r="AA444" s="186"/>
    </row>
    <row r="445">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c r="AA445" s="186"/>
    </row>
    <row r="446">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c r="AA446" s="186"/>
    </row>
    <row r="447">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c r="AA447" s="186"/>
    </row>
    <row r="448">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c r="AA448" s="186"/>
    </row>
    <row r="449">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c r="AA449" s="186"/>
    </row>
    <row r="450">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c r="AA450" s="186"/>
    </row>
    <row r="45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c r="AA451" s="186"/>
    </row>
    <row r="452">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c r="AA452" s="186"/>
    </row>
    <row r="453">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c r="AA453" s="186"/>
    </row>
    <row r="454">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c r="AA454" s="186"/>
    </row>
    <row r="455">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row>
    <row r="456">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row>
    <row r="457">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row>
    <row r="458">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row>
    <row r="459">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c r="AA459" s="186"/>
    </row>
    <row r="460">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c r="AA460" s="186"/>
    </row>
    <row r="46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c r="AA461" s="186"/>
    </row>
    <row r="462">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c r="AA462" s="186"/>
    </row>
    <row r="463">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c r="AA463" s="186"/>
    </row>
    <row r="464">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c r="AA464" s="186"/>
    </row>
    <row r="465">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c r="AA465" s="186"/>
    </row>
    <row r="466">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c r="AA466" s="186"/>
    </row>
    <row r="467">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c r="AA467" s="186"/>
    </row>
    <row r="468">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c r="AA468" s="186"/>
    </row>
    <row r="469">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c r="AA469" s="186"/>
    </row>
    <row r="470">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c r="AA470" s="186"/>
    </row>
    <row r="47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c r="AA471" s="186"/>
    </row>
    <row r="472">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c r="AA472" s="186"/>
    </row>
    <row r="473">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c r="AA473" s="186"/>
    </row>
    <row r="474">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c r="AA474" s="186"/>
    </row>
    <row r="475">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c r="AA475" s="186"/>
    </row>
    <row r="476">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c r="AA476" s="186"/>
    </row>
    <row r="477">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c r="AA477" s="186"/>
    </row>
    <row r="478">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c r="AA478" s="186"/>
    </row>
    <row r="479">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c r="AA479" s="186"/>
    </row>
    <row r="480">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c r="AA480" s="186"/>
    </row>
    <row r="48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c r="AA481" s="186"/>
    </row>
    <row r="482">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c r="AA482" s="186"/>
    </row>
    <row r="483">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c r="AA483" s="186"/>
    </row>
    <row r="484">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c r="AA484" s="186"/>
    </row>
    <row r="485">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c r="AA485" s="186"/>
    </row>
    <row r="486">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c r="AA486" s="186"/>
    </row>
    <row r="487">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c r="AA487" s="186"/>
    </row>
    <row r="488">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c r="AA488" s="186"/>
    </row>
    <row r="489">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c r="AA489" s="186"/>
    </row>
    <row r="490">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c r="AA490" s="186"/>
    </row>
    <row r="49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c r="AA491" s="186"/>
    </row>
    <row r="492">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c r="AA492" s="186"/>
    </row>
    <row r="493">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c r="AA493" s="186"/>
    </row>
    <row r="494">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c r="AA494" s="186"/>
    </row>
    <row r="495">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c r="AA495" s="186"/>
    </row>
    <row r="496">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c r="AA496" s="186"/>
    </row>
    <row r="497">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c r="AA497" s="186"/>
    </row>
    <row r="498">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c r="AA498" s="186"/>
    </row>
    <row r="499">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c r="AA499" s="186"/>
    </row>
    <row r="500">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c r="AA500" s="186"/>
    </row>
    <row r="50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c r="AA501" s="186"/>
    </row>
    <row r="502">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c r="AA502" s="186"/>
    </row>
    <row r="503">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c r="AA503" s="186"/>
    </row>
    <row r="504">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c r="AA504" s="186"/>
    </row>
    <row r="505">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c r="AA505" s="186"/>
    </row>
    <row r="506">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c r="AA506" s="186"/>
    </row>
    <row r="507">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c r="AA507" s="186"/>
    </row>
    <row r="508">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c r="AA508" s="186"/>
    </row>
    <row r="509">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c r="AA509" s="186"/>
    </row>
    <row r="510">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c r="AA510" s="186"/>
    </row>
    <row r="51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c r="AA511" s="186"/>
    </row>
    <row r="512">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c r="AA512" s="186"/>
    </row>
    <row r="513">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c r="AA513" s="186"/>
    </row>
    <row r="514">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c r="AA514" s="186"/>
    </row>
    <row r="515">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c r="AA515" s="186"/>
    </row>
    <row r="516">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c r="AA516" s="186"/>
    </row>
    <row r="517">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c r="AA517" s="186"/>
    </row>
    <row r="518">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c r="AA518" s="186"/>
    </row>
    <row r="519">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c r="AA519" s="186"/>
    </row>
    <row r="520">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c r="AA520" s="186"/>
    </row>
    <row r="52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c r="AA521" s="186"/>
    </row>
    <row r="522">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c r="AA522" s="186"/>
    </row>
    <row r="523">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c r="AA523" s="186"/>
    </row>
    <row r="524">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c r="AA524" s="186"/>
    </row>
    <row r="525">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c r="AA525" s="186"/>
    </row>
    <row r="526">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c r="AA526" s="186"/>
    </row>
    <row r="527">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c r="AA527" s="186"/>
    </row>
    <row r="528">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c r="AA528" s="186"/>
    </row>
    <row r="529">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c r="AA529" s="186"/>
    </row>
    <row r="530">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c r="AA530" s="186"/>
    </row>
    <row r="53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c r="AA531" s="186"/>
    </row>
    <row r="532">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c r="AA532" s="186"/>
    </row>
    <row r="533">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c r="AA533" s="186"/>
    </row>
    <row r="534">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c r="AA534" s="186"/>
    </row>
    <row r="535">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c r="AA535" s="186"/>
    </row>
    <row r="536">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c r="AA536" s="186"/>
    </row>
    <row r="537">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c r="AA537" s="186"/>
    </row>
    <row r="538">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c r="AA538" s="186"/>
    </row>
    <row r="539">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c r="AA539" s="186"/>
    </row>
    <row r="540">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c r="AA540" s="186"/>
    </row>
    <row r="54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c r="AA541" s="186"/>
    </row>
    <row r="542">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c r="AA542" s="186"/>
    </row>
    <row r="543">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c r="AA543" s="186"/>
    </row>
    <row r="544">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c r="AA544" s="186"/>
    </row>
    <row r="545">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c r="AA545" s="186"/>
    </row>
    <row r="546">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c r="AA546" s="186"/>
    </row>
    <row r="547">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c r="AA547" s="186"/>
    </row>
    <row r="548">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c r="AA548" s="186"/>
    </row>
    <row r="549">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c r="AA549" s="186"/>
    </row>
    <row r="550">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c r="AA550" s="186"/>
    </row>
    <row r="55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c r="AA551" s="186"/>
    </row>
    <row r="552">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c r="AA552" s="186"/>
    </row>
    <row r="553">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c r="AA553" s="186"/>
    </row>
    <row r="554">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c r="AA554" s="186"/>
    </row>
    <row r="555">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c r="AA555" s="186"/>
    </row>
    <row r="556">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c r="AA556" s="186"/>
    </row>
    <row r="557">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c r="AA557" s="186"/>
    </row>
    <row r="558">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c r="AA558" s="186"/>
    </row>
    <row r="559">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c r="AA559" s="186"/>
    </row>
    <row r="560">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c r="AA560" s="186"/>
    </row>
    <row r="56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c r="AA561" s="186"/>
    </row>
    <row r="562">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c r="AA562" s="186"/>
    </row>
    <row r="563">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c r="AA563" s="186"/>
    </row>
    <row r="564">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c r="AA564" s="186"/>
    </row>
    <row r="565">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c r="AA565" s="186"/>
    </row>
    <row r="566">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c r="AA566" s="186"/>
    </row>
    <row r="567">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c r="AA567" s="186"/>
    </row>
    <row r="568">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c r="AA568" s="186"/>
    </row>
    <row r="569">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c r="AA569" s="186"/>
    </row>
    <row r="570">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c r="AA570" s="186"/>
    </row>
    <row r="57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c r="AA571" s="186"/>
    </row>
    <row r="572">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c r="AA572" s="186"/>
    </row>
    <row r="573">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c r="AA573" s="186"/>
    </row>
    <row r="574">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c r="AA574" s="186"/>
    </row>
    <row r="575">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c r="AA575" s="186"/>
    </row>
    <row r="576">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c r="AA576" s="186"/>
    </row>
    <row r="577">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c r="AA577" s="186"/>
    </row>
    <row r="578">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c r="AA578" s="186"/>
    </row>
    <row r="579">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c r="AA579" s="186"/>
    </row>
    <row r="580">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c r="AA580" s="186"/>
    </row>
    <row r="58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c r="AA581" s="186"/>
    </row>
    <row r="582">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c r="AA582" s="186"/>
    </row>
    <row r="583">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c r="AA583" s="186"/>
    </row>
    <row r="584">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c r="AA584" s="186"/>
    </row>
    <row r="585">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c r="AA585" s="186"/>
    </row>
    <row r="586">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c r="AA586" s="186"/>
    </row>
    <row r="587">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c r="AA587" s="186"/>
    </row>
    <row r="588">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c r="AA588" s="186"/>
    </row>
    <row r="589">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c r="AA589" s="186"/>
    </row>
    <row r="590">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c r="AA590" s="186"/>
    </row>
    <row r="59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c r="AA591" s="186"/>
    </row>
    <row r="592">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c r="AA592" s="186"/>
    </row>
    <row r="593">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c r="AA593" s="186"/>
    </row>
    <row r="594">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c r="AA594" s="186"/>
    </row>
    <row r="595">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c r="AA595" s="186"/>
    </row>
    <row r="596">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c r="AA596" s="186"/>
    </row>
    <row r="597">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c r="AA597" s="186"/>
    </row>
    <row r="598">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c r="AA598" s="186"/>
    </row>
    <row r="599">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c r="AA599" s="186"/>
    </row>
    <row r="600">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c r="AA600" s="186"/>
    </row>
    <row r="60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c r="AA601" s="186"/>
    </row>
    <row r="602">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c r="AA602" s="186"/>
    </row>
    <row r="603">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c r="AA603" s="186"/>
    </row>
    <row r="604">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c r="AA604" s="186"/>
    </row>
    <row r="605">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c r="AA605" s="186"/>
    </row>
    <row r="606">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c r="AA606" s="186"/>
    </row>
    <row r="607">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c r="AA607" s="186"/>
    </row>
    <row r="608">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c r="AA608" s="186"/>
    </row>
    <row r="609">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c r="AA609" s="186"/>
    </row>
    <row r="610">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c r="AA610" s="186"/>
    </row>
    <row r="61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c r="AA611" s="186"/>
    </row>
    <row r="612">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c r="AA612" s="186"/>
    </row>
    <row r="613">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c r="AA613" s="186"/>
    </row>
    <row r="614">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c r="AA614" s="186"/>
    </row>
    <row r="615">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c r="AA615" s="186"/>
    </row>
    <row r="616">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c r="AA616" s="186"/>
    </row>
    <row r="617">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c r="AA617" s="186"/>
    </row>
    <row r="618">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c r="AA618" s="186"/>
    </row>
    <row r="619">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c r="AA619" s="186"/>
    </row>
    <row r="620">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c r="AA620" s="186"/>
    </row>
    <row r="62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c r="AA621" s="186"/>
    </row>
    <row r="622">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c r="AA622" s="186"/>
    </row>
    <row r="623">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c r="AA623" s="186"/>
    </row>
    <row r="624">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c r="AA624" s="186"/>
    </row>
    <row r="625">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c r="AA625" s="186"/>
    </row>
    <row r="626">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c r="AA626" s="186"/>
    </row>
    <row r="627">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c r="AA627" s="186"/>
    </row>
    <row r="628">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c r="AA628" s="186"/>
    </row>
    <row r="629">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c r="AA629" s="186"/>
    </row>
    <row r="630">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c r="AA630" s="186"/>
    </row>
    <row r="63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c r="AA631" s="186"/>
    </row>
    <row r="632">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c r="AA632" s="186"/>
    </row>
    <row r="633">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c r="AA633" s="186"/>
    </row>
    <row r="634">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c r="AA634" s="186"/>
    </row>
    <row r="635">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c r="AA635" s="186"/>
    </row>
    <row r="636">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c r="AA636" s="186"/>
    </row>
    <row r="637">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c r="AA637" s="186"/>
    </row>
    <row r="638">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c r="AA638" s="186"/>
    </row>
    <row r="639">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c r="AA639" s="186"/>
    </row>
    <row r="640">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c r="AA640" s="186"/>
    </row>
    <row r="64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c r="AA641" s="186"/>
    </row>
    <row r="642">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c r="AA642" s="186"/>
    </row>
    <row r="643">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c r="AA643" s="186"/>
    </row>
    <row r="644">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c r="AA644" s="186"/>
    </row>
    <row r="645">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c r="AA645" s="186"/>
    </row>
    <row r="646">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c r="AA646" s="186"/>
    </row>
    <row r="647">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c r="AA647" s="186"/>
    </row>
    <row r="648">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c r="AA648" s="186"/>
    </row>
    <row r="649">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c r="AA649" s="186"/>
    </row>
    <row r="650">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c r="AA650" s="186"/>
    </row>
    <row r="65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c r="AA651" s="186"/>
    </row>
    <row r="652">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c r="AA652" s="186"/>
    </row>
    <row r="653">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c r="AA653" s="186"/>
    </row>
    <row r="654">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c r="AA654" s="186"/>
    </row>
    <row r="655">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c r="AA655" s="186"/>
    </row>
    <row r="656">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c r="AA656" s="186"/>
    </row>
    <row r="657">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c r="AA657" s="186"/>
    </row>
    <row r="658">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c r="AA658" s="186"/>
    </row>
    <row r="659">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c r="AA659" s="186"/>
    </row>
    <row r="660">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c r="AA660" s="186"/>
    </row>
    <row r="66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c r="AA661" s="186"/>
    </row>
    <row r="662">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c r="AA662" s="186"/>
    </row>
    <row r="663">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c r="AA663" s="186"/>
    </row>
    <row r="664">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c r="AA664" s="186"/>
    </row>
    <row r="665">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c r="AA665" s="186"/>
    </row>
    <row r="666">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c r="AA666" s="186"/>
    </row>
    <row r="667">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c r="AA667" s="186"/>
    </row>
    <row r="668">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c r="AA668" s="186"/>
    </row>
    <row r="669">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c r="AA669" s="186"/>
    </row>
    <row r="670">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c r="AA670" s="186"/>
    </row>
    <row r="67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c r="AA671" s="186"/>
    </row>
    <row r="672">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c r="AA672" s="186"/>
    </row>
    <row r="673">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c r="AA673" s="186"/>
    </row>
    <row r="674">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c r="AA674" s="186"/>
    </row>
    <row r="675">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c r="AA675" s="186"/>
    </row>
    <row r="676">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c r="AA676" s="186"/>
    </row>
    <row r="677">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c r="AA677" s="186"/>
    </row>
    <row r="678">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c r="AA678" s="186"/>
    </row>
    <row r="679">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c r="AA679" s="186"/>
    </row>
    <row r="680">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c r="AA680" s="186"/>
    </row>
    <row r="68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c r="AA681" s="186"/>
    </row>
    <row r="682">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c r="AA682" s="186"/>
    </row>
    <row r="683">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c r="AA683" s="186"/>
    </row>
    <row r="684">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c r="AA684" s="186"/>
    </row>
    <row r="685">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c r="AA685" s="186"/>
    </row>
    <row r="686">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c r="AA686" s="186"/>
    </row>
    <row r="687">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c r="AA687" s="186"/>
    </row>
    <row r="688">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c r="AA688" s="186"/>
    </row>
    <row r="689">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c r="AA689" s="186"/>
    </row>
    <row r="690">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c r="AA690" s="186"/>
    </row>
    <row r="69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c r="AA691" s="186"/>
    </row>
    <row r="692">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c r="AA692" s="186"/>
    </row>
    <row r="693">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c r="AA693" s="186"/>
    </row>
    <row r="694">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c r="AA694" s="186"/>
    </row>
    <row r="695">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c r="AA695" s="186"/>
    </row>
    <row r="696">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c r="AA696" s="186"/>
    </row>
    <row r="697">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c r="AA697" s="186"/>
    </row>
    <row r="698">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c r="AA698" s="186"/>
    </row>
    <row r="699">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c r="AA699" s="186"/>
    </row>
    <row r="700">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c r="AA700" s="186"/>
    </row>
    <row r="70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c r="AA701" s="186"/>
    </row>
    <row r="702">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c r="AA702" s="186"/>
    </row>
    <row r="703">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c r="AA703" s="186"/>
    </row>
    <row r="704">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c r="AA704" s="186"/>
    </row>
    <row r="705">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c r="AA705" s="186"/>
    </row>
    <row r="706">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c r="AA706" s="186"/>
    </row>
    <row r="707">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c r="AA707" s="186"/>
    </row>
    <row r="708">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c r="AA708" s="186"/>
    </row>
    <row r="709">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c r="AA709" s="186"/>
    </row>
    <row r="710">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c r="AA710" s="186"/>
    </row>
    <row r="71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c r="AA711" s="186"/>
    </row>
    <row r="712">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c r="AA712" s="186"/>
    </row>
    <row r="713">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c r="AA713" s="186"/>
    </row>
    <row r="714">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c r="AA714" s="186"/>
    </row>
    <row r="715">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c r="AA715" s="186"/>
    </row>
    <row r="716">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c r="AA716" s="186"/>
    </row>
    <row r="717">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c r="AA717" s="186"/>
    </row>
    <row r="718">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c r="AA718" s="186"/>
    </row>
    <row r="719">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c r="AA719" s="186"/>
    </row>
    <row r="720">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c r="AA720" s="186"/>
    </row>
    <row r="72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c r="AA721" s="186"/>
    </row>
    <row r="722">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c r="AA722" s="186"/>
    </row>
    <row r="723">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c r="AA723" s="186"/>
    </row>
    <row r="724">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c r="AA724" s="186"/>
    </row>
    <row r="725">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c r="AA725" s="186"/>
    </row>
    <row r="726">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c r="AA726" s="186"/>
    </row>
    <row r="727">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c r="AA727" s="186"/>
    </row>
    <row r="728">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c r="AA728" s="186"/>
    </row>
    <row r="729">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c r="AA729" s="186"/>
    </row>
    <row r="730">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c r="AA730" s="186"/>
    </row>
    <row r="73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c r="AA731" s="186"/>
    </row>
    <row r="732">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c r="AA732" s="186"/>
    </row>
    <row r="733">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c r="AA733" s="186"/>
    </row>
    <row r="734">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c r="AA734" s="186"/>
    </row>
    <row r="735">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c r="AA735" s="186"/>
    </row>
    <row r="736">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c r="AA736" s="186"/>
    </row>
    <row r="737">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c r="AA737" s="186"/>
    </row>
    <row r="738">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c r="AA738" s="186"/>
    </row>
    <row r="739">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c r="AA739" s="186"/>
    </row>
    <row r="740">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c r="AA740" s="186"/>
    </row>
    <row r="74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c r="AA741" s="186"/>
    </row>
    <row r="742">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c r="AA742" s="186"/>
    </row>
    <row r="743">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c r="AA743" s="186"/>
    </row>
    <row r="744">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c r="AA744" s="186"/>
    </row>
    <row r="745">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c r="AA745" s="186"/>
    </row>
    <row r="746">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c r="AA746" s="186"/>
    </row>
    <row r="747">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c r="AA747" s="186"/>
    </row>
    <row r="748">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c r="AA748" s="186"/>
    </row>
    <row r="749">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c r="AA749" s="186"/>
    </row>
    <row r="750">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c r="AA750" s="186"/>
    </row>
    <row r="75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c r="AA751" s="186"/>
    </row>
    <row r="752">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c r="AA752" s="186"/>
    </row>
    <row r="753">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c r="AA753" s="186"/>
    </row>
    <row r="754">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c r="AA754" s="186"/>
    </row>
    <row r="755">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c r="AA755" s="186"/>
    </row>
    <row r="756">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c r="AA756" s="186"/>
    </row>
    <row r="757">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c r="AA757" s="186"/>
    </row>
    <row r="758">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c r="AA758" s="186"/>
    </row>
    <row r="759">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c r="AA759" s="186"/>
    </row>
    <row r="760">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c r="AA760" s="186"/>
    </row>
    <row r="76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c r="AA761" s="186"/>
    </row>
    <row r="762">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c r="AA762" s="186"/>
    </row>
    <row r="763">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c r="AA763" s="186"/>
    </row>
    <row r="764">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c r="AA764" s="186"/>
    </row>
    <row r="765">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c r="AA765" s="186"/>
    </row>
    <row r="766">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c r="AA766" s="186"/>
    </row>
    <row r="767">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c r="AA767" s="186"/>
    </row>
    <row r="768">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c r="AA768" s="186"/>
    </row>
    <row r="769">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c r="AA769" s="186"/>
    </row>
    <row r="770">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c r="AA770" s="186"/>
    </row>
    <row r="77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c r="AA771" s="186"/>
    </row>
    <row r="772">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c r="AA772" s="186"/>
    </row>
    <row r="773">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c r="AA773" s="186"/>
    </row>
    <row r="774">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c r="AA774" s="186"/>
    </row>
    <row r="775">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c r="AA775" s="186"/>
    </row>
    <row r="776">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c r="AA776" s="186"/>
    </row>
    <row r="777">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c r="AA777" s="186"/>
    </row>
    <row r="778">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c r="AA778" s="186"/>
    </row>
    <row r="779">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c r="AA779" s="186"/>
    </row>
    <row r="780">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c r="AA780" s="186"/>
    </row>
    <row r="78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c r="AA781" s="186"/>
    </row>
    <row r="782">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c r="AA782" s="186"/>
    </row>
    <row r="783">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c r="AA783" s="186"/>
    </row>
    <row r="784">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c r="AA784" s="186"/>
    </row>
    <row r="785">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c r="AA785" s="186"/>
    </row>
    <row r="786">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c r="AA786" s="186"/>
    </row>
    <row r="787">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c r="AA787" s="186"/>
    </row>
    <row r="788">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c r="AA788" s="186"/>
    </row>
    <row r="789">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c r="AA789" s="186"/>
    </row>
    <row r="790">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c r="AA790" s="186"/>
    </row>
    <row r="79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c r="AA791" s="186"/>
    </row>
    <row r="792">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c r="AA792" s="186"/>
    </row>
    <row r="793">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c r="AA793" s="186"/>
    </row>
    <row r="794">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c r="AA794" s="186"/>
    </row>
    <row r="795">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c r="AA795" s="186"/>
    </row>
    <row r="796">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c r="AA796" s="186"/>
    </row>
    <row r="797">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c r="AA797" s="186"/>
    </row>
    <row r="798">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c r="AA798" s="186"/>
    </row>
    <row r="799">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c r="AA799" s="186"/>
    </row>
    <row r="800">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c r="AA800" s="186"/>
    </row>
    <row r="80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c r="AA801" s="186"/>
    </row>
    <row r="802">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c r="AA802" s="186"/>
    </row>
    <row r="803">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c r="AA803" s="186"/>
    </row>
    <row r="804">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c r="AA804" s="186"/>
    </row>
    <row r="805">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c r="AA805" s="186"/>
    </row>
    <row r="806">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c r="AA806" s="186"/>
    </row>
    <row r="807">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c r="AA807" s="186"/>
    </row>
    <row r="808">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c r="AA808" s="186"/>
    </row>
    <row r="809">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c r="AA809" s="186"/>
    </row>
    <row r="810">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c r="AA810" s="186"/>
    </row>
    <row r="81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c r="AA811" s="186"/>
    </row>
    <row r="812">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c r="AA812" s="186"/>
    </row>
    <row r="813">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c r="AA813" s="186"/>
    </row>
    <row r="814">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c r="AA814" s="186"/>
    </row>
    <row r="815">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c r="AA815" s="186"/>
    </row>
    <row r="816">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c r="AA816" s="186"/>
    </row>
    <row r="817">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c r="AA817" s="186"/>
    </row>
    <row r="818">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c r="AA818" s="186"/>
    </row>
    <row r="819">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c r="AA819" s="186"/>
    </row>
    <row r="820">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c r="AA820" s="186"/>
    </row>
    <row r="82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c r="AA821" s="186"/>
    </row>
    <row r="822">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c r="AA822" s="186"/>
    </row>
    <row r="823">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c r="AA823" s="186"/>
    </row>
    <row r="824">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c r="AA824" s="186"/>
    </row>
    <row r="825">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c r="AA825" s="186"/>
    </row>
    <row r="826">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c r="AA826" s="186"/>
    </row>
    <row r="827">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c r="AA827" s="186"/>
    </row>
    <row r="828">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c r="AA828" s="186"/>
    </row>
    <row r="829">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c r="AA829" s="186"/>
    </row>
    <row r="830">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c r="AA830" s="186"/>
    </row>
    <row r="83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c r="AA831" s="186"/>
    </row>
    <row r="832">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c r="AA832" s="186"/>
    </row>
    <row r="833">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c r="AA833" s="186"/>
    </row>
    <row r="834">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c r="AA834" s="186"/>
    </row>
    <row r="835">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c r="AA835" s="186"/>
    </row>
    <row r="836">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c r="AA836" s="186"/>
    </row>
    <row r="837">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c r="AA837" s="186"/>
    </row>
    <row r="838">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c r="AA838" s="186"/>
    </row>
    <row r="839">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c r="AA839" s="186"/>
    </row>
    <row r="840">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c r="AA840" s="186"/>
    </row>
    <row r="84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c r="AA841" s="186"/>
    </row>
    <row r="842">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c r="AA842" s="186"/>
    </row>
    <row r="843">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c r="AA843" s="186"/>
    </row>
    <row r="844">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c r="AA844" s="186"/>
    </row>
    <row r="845">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c r="AA845" s="186"/>
    </row>
    <row r="846">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c r="AA846" s="186"/>
    </row>
    <row r="847">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c r="AA847" s="186"/>
    </row>
    <row r="848">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c r="AA848" s="186"/>
    </row>
    <row r="849">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c r="AA849" s="186"/>
    </row>
    <row r="850">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c r="AA850" s="186"/>
    </row>
    <row r="85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c r="AA851" s="186"/>
    </row>
    <row r="852">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c r="AA852" s="186"/>
    </row>
    <row r="853">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c r="AA853" s="186"/>
    </row>
    <row r="854">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c r="AA854" s="186"/>
    </row>
    <row r="855">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c r="AA855" s="186"/>
    </row>
    <row r="856">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c r="AA856" s="186"/>
    </row>
    <row r="857">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c r="AA857" s="186"/>
    </row>
    <row r="858">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c r="AA858" s="186"/>
    </row>
    <row r="859">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c r="AA859" s="186"/>
    </row>
    <row r="860">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c r="AA860" s="186"/>
    </row>
    <row r="86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c r="AA861" s="186"/>
    </row>
    <row r="862">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c r="AA862" s="186"/>
    </row>
    <row r="863">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c r="AA863" s="186"/>
    </row>
    <row r="864">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c r="AA864" s="186"/>
    </row>
    <row r="865">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c r="AA865" s="186"/>
    </row>
    <row r="866">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c r="AA866" s="186"/>
    </row>
    <row r="867">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c r="AA867" s="186"/>
    </row>
    <row r="868">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c r="AA868" s="186"/>
    </row>
    <row r="869">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c r="AA869" s="186"/>
    </row>
    <row r="870">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c r="AA870" s="186"/>
    </row>
    <row r="87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c r="AA871" s="186"/>
    </row>
    <row r="872">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c r="AA872" s="186"/>
    </row>
    <row r="873">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c r="AA873" s="186"/>
    </row>
    <row r="874">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c r="AA874" s="186"/>
    </row>
    <row r="875">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c r="AA875" s="186"/>
    </row>
    <row r="876">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c r="AA876" s="186"/>
    </row>
    <row r="877">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c r="AA877" s="186"/>
    </row>
    <row r="878">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c r="AA878" s="186"/>
    </row>
    <row r="879">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c r="AA879" s="186"/>
    </row>
    <row r="880">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c r="AA880" s="186"/>
    </row>
    <row r="88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c r="AA881" s="186"/>
    </row>
    <row r="882">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c r="AA882" s="186"/>
    </row>
    <row r="883">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c r="AA883" s="186"/>
    </row>
    <row r="884">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c r="AA884" s="186"/>
    </row>
    <row r="885">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c r="AA885" s="186"/>
    </row>
    <row r="886">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c r="AA886" s="186"/>
    </row>
    <row r="887">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c r="AA887" s="186"/>
    </row>
    <row r="888">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c r="AA888" s="186"/>
    </row>
    <row r="889">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c r="AA889" s="186"/>
    </row>
    <row r="890">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c r="AA890" s="186"/>
    </row>
    <row r="89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c r="AA891" s="186"/>
    </row>
    <row r="892">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c r="AA892" s="186"/>
    </row>
    <row r="893">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c r="AA893" s="186"/>
    </row>
    <row r="894">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c r="AA894" s="186"/>
    </row>
    <row r="895">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c r="AA895" s="186"/>
    </row>
    <row r="896">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c r="AA896" s="186"/>
    </row>
    <row r="897">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c r="AA897" s="186"/>
    </row>
    <row r="898">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c r="AA898" s="186"/>
    </row>
    <row r="899">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c r="AA899" s="186"/>
    </row>
    <row r="900">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c r="AA900" s="186"/>
    </row>
    <row r="90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c r="AA901" s="186"/>
    </row>
    <row r="902">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c r="AA902" s="186"/>
    </row>
    <row r="903">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c r="AA903" s="186"/>
    </row>
    <row r="904">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c r="AA904" s="186"/>
    </row>
    <row r="905">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c r="AA905" s="186"/>
    </row>
    <row r="906">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c r="AA906" s="186"/>
    </row>
    <row r="907">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c r="AA907" s="186"/>
    </row>
    <row r="908">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c r="AA908" s="186"/>
    </row>
    <row r="909">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c r="AA909" s="186"/>
    </row>
    <row r="910">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c r="AA910" s="186"/>
    </row>
    <row r="91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c r="AA911" s="186"/>
    </row>
    <row r="912">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c r="AA912" s="186"/>
    </row>
    <row r="913">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c r="AA913" s="186"/>
    </row>
    <row r="914">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c r="AA914" s="186"/>
    </row>
    <row r="915">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c r="AA915" s="186"/>
    </row>
    <row r="916">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c r="AA916" s="186"/>
    </row>
    <row r="917">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c r="AA917" s="186"/>
    </row>
    <row r="918">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c r="AA918" s="186"/>
    </row>
    <row r="919">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c r="AA919" s="186"/>
    </row>
    <row r="920">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c r="AA920" s="186"/>
    </row>
    <row r="92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c r="AA921" s="186"/>
    </row>
    <row r="922">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c r="AA922" s="186"/>
    </row>
    <row r="923">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c r="AA923" s="186"/>
    </row>
    <row r="924">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c r="AA924" s="186"/>
    </row>
    <row r="925">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c r="AA925" s="186"/>
    </row>
    <row r="926">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c r="AA926" s="186"/>
    </row>
    <row r="927">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c r="AA927" s="186"/>
    </row>
    <row r="928">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c r="AA928" s="186"/>
    </row>
    <row r="929">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c r="AA929" s="186"/>
    </row>
    <row r="930">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c r="AA930" s="186"/>
    </row>
    <row r="93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c r="AA931" s="186"/>
    </row>
    <row r="932">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c r="AA932" s="186"/>
    </row>
    <row r="933">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c r="AA933" s="186"/>
    </row>
    <row r="934">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c r="AA934" s="186"/>
    </row>
    <row r="935">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c r="AA935" s="186"/>
    </row>
    <row r="936">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c r="AA936" s="186"/>
    </row>
    <row r="937">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c r="AA937" s="186"/>
    </row>
    <row r="938">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c r="AA938" s="186"/>
    </row>
    <row r="939">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c r="AA939" s="186"/>
    </row>
    <row r="940">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c r="AA940" s="186"/>
    </row>
    <row r="94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c r="AA941" s="186"/>
    </row>
    <row r="942">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c r="AA942" s="186"/>
    </row>
    <row r="943">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c r="AA943" s="186"/>
    </row>
    <row r="944">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c r="AA944" s="186"/>
    </row>
    <row r="945">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c r="AA945" s="186"/>
    </row>
    <row r="946">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c r="AA946" s="186"/>
    </row>
    <row r="947">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c r="AA947" s="186"/>
    </row>
    <row r="948">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c r="AA948" s="186"/>
    </row>
    <row r="949">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c r="AA949" s="186"/>
    </row>
    <row r="950">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c r="AA950" s="186"/>
    </row>
    <row r="95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c r="AA951" s="186"/>
    </row>
    <row r="952">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c r="AA952" s="186"/>
    </row>
    <row r="953">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c r="AA953" s="186"/>
    </row>
    <row r="954">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c r="AA954" s="186"/>
    </row>
    <row r="955">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c r="AA955" s="186"/>
    </row>
    <row r="956">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c r="AA956" s="186"/>
    </row>
    <row r="957">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c r="AA957" s="186"/>
    </row>
    <row r="958">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c r="AA958" s="186"/>
    </row>
    <row r="959">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c r="AA959" s="186"/>
    </row>
    <row r="960">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c r="AA960" s="186"/>
    </row>
    <row r="96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c r="AA961" s="186"/>
    </row>
    <row r="962">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c r="AA962" s="186"/>
    </row>
    <row r="963">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c r="AA963" s="186"/>
    </row>
    <row r="964">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c r="AA964" s="186"/>
    </row>
    <row r="965">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c r="AA965" s="186"/>
    </row>
    <row r="966">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c r="AA966" s="186"/>
    </row>
    <row r="967">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c r="AA967" s="186"/>
    </row>
    <row r="968">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c r="AA968" s="186"/>
    </row>
    <row r="969">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c r="AA969" s="186"/>
    </row>
    <row r="970">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c r="AA970" s="186"/>
    </row>
    <row r="97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c r="AA971" s="186"/>
    </row>
    <row r="972">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c r="AA972" s="186"/>
    </row>
    <row r="973">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c r="AA973" s="186"/>
    </row>
    <row r="974">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c r="AA974" s="186"/>
    </row>
    <row r="975">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c r="AA975" s="186"/>
    </row>
    <row r="976">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c r="AA976" s="186"/>
    </row>
    <row r="977">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c r="AA977" s="186"/>
    </row>
    <row r="978">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c r="AA978" s="186"/>
    </row>
    <row r="979">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c r="AA979" s="186"/>
    </row>
    <row r="980">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c r="AA980" s="186"/>
    </row>
    <row r="98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c r="AA981" s="186"/>
    </row>
    <row r="982">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c r="AA982" s="186"/>
    </row>
    <row r="983">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c r="AA983" s="186"/>
    </row>
    <row r="984">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c r="AA984" s="186"/>
    </row>
    <row r="985">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c r="AA985" s="186"/>
    </row>
    <row r="986">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c r="AA986" s="186"/>
    </row>
    <row r="987">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c r="AA987" s="186"/>
    </row>
    <row r="988">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c r="AA988" s="186"/>
    </row>
    <row r="989">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c r="AA989" s="186"/>
    </row>
    <row r="990">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c r="AA990" s="186"/>
    </row>
    <row r="99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c r="AA991" s="186"/>
    </row>
    <row r="992">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c r="AA992" s="186"/>
    </row>
    <row r="993">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c r="AA993" s="186"/>
    </row>
    <row r="994">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c r="AA994" s="186"/>
    </row>
    <row r="995">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c r="AA995" s="186"/>
    </row>
    <row r="996">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c r="AA996" s="186"/>
    </row>
    <row r="997">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c r="AA997" s="186"/>
    </row>
    <row r="998">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c r="AA998" s="186"/>
    </row>
    <row r="999">
      <c r="A999" s="186"/>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c r="AA999" s="186"/>
    </row>
    <row r="1000">
      <c r="A1000" s="186"/>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c r="AA1000" s="186"/>
    </row>
  </sheetData>
  <autoFilter ref="$A$1:$AA$28"/>
  <hyperlinks>
    <hyperlink r:id="rId1" ref="T13"/>
    <hyperlink r:id="rId2" ref="T14"/>
    <hyperlink r:id="rId3" ref="T15"/>
    <hyperlink r:id="rId4" ref="T16"/>
    <hyperlink r:id="rId5" ref="T19"/>
    <hyperlink r:id="rId6" ref="R25"/>
    <hyperlink r:id="rId7" ref="T27"/>
    <hyperlink r:id="rId8" ref="T28"/>
    <hyperlink r:id="rId9" ref="T30"/>
    <hyperlink r:id="rId10" ref="T32"/>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3" max="13" width="37.38"/>
    <col customWidth="1" min="14" max="14" width="21.25"/>
    <col customWidth="1" min="15" max="15" width="36.75"/>
    <col customWidth="1" min="16" max="16" width="26.88"/>
    <col customWidth="1" min="17" max="17" width="20.13"/>
    <col customWidth="1" min="19" max="19" width="26.13"/>
  </cols>
  <sheetData>
    <row r="1">
      <c r="A1" s="4" t="s">
        <v>2925</v>
      </c>
      <c r="B1" s="1" t="s">
        <v>1</v>
      </c>
      <c r="C1" s="1" t="s">
        <v>2</v>
      </c>
      <c r="D1" s="1" t="s">
        <v>3</v>
      </c>
      <c r="E1" s="1" t="s">
        <v>4</v>
      </c>
      <c r="F1" s="1" t="s">
        <v>5</v>
      </c>
      <c r="G1" s="3" t="s">
        <v>6</v>
      </c>
      <c r="H1" s="4" t="s">
        <v>7</v>
      </c>
      <c r="I1" s="4" t="s">
        <v>8</v>
      </c>
      <c r="J1" s="1" t="s">
        <v>10</v>
      </c>
      <c r="K1" s="1" t="s">
        <v>11</v>
      </c>
      <c r="L1" s="1" t="s">
        <v>12</v>
      </c>
      <c r="M1" s="1" t="s">
        <v>41</v>
      </c>
      <c r="N1" s="5" t="s">
        <v>42</v>
      </c>
      <c r="O1" s="1" t="s">
        <v>43</v>
      </c>
      <c r="P1" s="1" t="s">
        <v>44</v>
      </c>
      <c r="Q1" s="1" t="s">
        <v>45</v>
      </c>
      <c r="R1" s="1" t="s">
        <v>46</v>
      </c>
      <c r="S1" s="1" t="s">
        <v>47</v>
      </c>
      <c r="T1" s="5" t="s">
        <v>48</v>
      </c>
    </row>
    <row r="2">
      <c r="A2" s="9" t="s">
        <v>3386</v>
      </c>
      <c r="B2" s="225" t="s">
        <v>3387</v>
      </c>
      <c r="C2" s="226" t="s">
        <v>2177</v>
      </c>
      <c r="D2" s="25" t="s">
        <v>3388</v>
      </c>
      <c r="E2" s="227" t="s">
        <v>3389</v>
      </c>
      <c r="F2" s="25" t="s">
        <v>693</v>
      </c>
      <c r="G2" s="228">
        <v>2050.0</v>
      </c>
      <c r="H2" s="229">
        <v>1947.5</v>
      </c>
      <c r="I2" s="25" t="s">
        <v>1199</v>
      </c>
      <c r="J2" s="218" t="s">
        <v>3390</v>
      </c>
      <c r="K2" s="225" t="s">
        <v>2726</v>
      </c>
      <c r="L2" s="226" t="s">
        <v>3391</v>
      </c>
      <c r="M2" s="230" t="s">
        <v>3392</v>
      </c>
      <c r="N2" s="231" t="s">
        <v>3393</v>
      </c>
      <c r="O2" s="231" t="s">
        <v>3394</v>
      </c>
      <c r="P2" s="231" t="s">
        <v>3395</v>
      </c>
      <c r="Q2" s="231" t="s">
        <v>3396</v>
      </c>
      <c r="R2" s="231" t="s">
        <v>3397</v>
      </c>
      <c r="S2" s="231" t="s">
        <v>3398</v>
      </c>
      <c r="T2" s="231" t="s">
        <v>3399</v>
      </c>
    </row>
    <row r="3">
      <c r="A3" s="9" t="s">
        <v>3400</v>
      </c>
      <c r="B3" s="225" t="s">
        <v>3401</v>
      </c>
      <c r="C3" s="226" t="s">
        <v>2455</v>
      </c>
      <c r="D3" s="25" t="s">
        <v>3388</v>
      </c>
      <c r="E3" s="227" t="s">
        <v>3389</v>
      </c>
      <c r="F3" s="25" t="s">
        <v>70</v>
      </c>
      <c r="G3" s="228">
        <v>1490.0</v>
      </c>
      <c r="H3" s="229">
        <v>1415.5</v>
      </c>
      <c r="I3" s="25" t="s">
        <v>1199</v>
      </c>
      <c r="J3" s="218" t="s">
        <v>3402</v>
      </c>
      <c r="K3" s="225" t="s">
        <v>3403</v>
      </c>
      <c r="L3" s="226" t="s">
        <v>3404</v>
      </c>
      <c r="M3" s="230" t="s">
        <v>3405</v>
      </c>
      <c r="N3" s="231" t="s">
        <v>3406</v>
      </c>
      <c r="O3" s="231" t="s">
        <v>3407</v>
      </c>
      <c r="P3" s="231" t="s">
        <v>3408</v>
      </c>
      <c r="Q3" s="231" t="s">
        <v>3409</v>
      </c>
      <c r="R3" s="231" t="s">
        <v>3410</v>
      </c>
      <c r="S3" s="231" t="s">
        <v>3411</v>
      </c>
      <c r="T3" s="231" t="s">
        <v>3412</v>
      </c>
    </row>
    <row r="4">
      <c r="A4" s="9" t="s">
        <v>3413</v>
      </c>
      <c r="B4" s="225" t="s">
        <v>3414</v>
      </c>
      <c r="C4" s="226" t="s">
        <v>151</v>
      </c>
      <c r="D4" s="25" t="s">
        <v>3388</v>
      </c>
      <c r="E4" s="227" t="s">
        <v>3389</v>
      </c>
      <c r="F4" s="25" t="s">
        <v>965</v>
      </c>
      <c r="G4" s="228">
        <v>599.0</v>
      </c>
      <c r="H4" s="229">
        <v>569.05</v>
      </c>
      <c r="I4" s="25" t="s">
        <v>55</v>
      </c>
      <c r="J4" s="218" t="s">
        <v>3415</v>
      </c>
      <c r="K4" s="225" t="s">
        <v>3416</v>
      </c>
      <c r="L4" s="226" t="s">
        <v>3417</v>
      </c>
      <c r="M4" s="230" t="s">
        <v>3418</v>
      </c>
      <c r="N4" s="231" t="s">
        <v>3419</v>
      </c>
      <c r="O4" s="231" t="s">
        <v>3407</v>
      </c>
      <c r="P4" s="231" t="s">
        <v>3408</v>
      </c>
      <c r="Q4" s="231" t="s">
        <v>3409</v>
      </c>
      <c r="R4" s="231" t="s">
        <v>3410</v>
      </c>
      <c r="S4" s="231" t="s">
        <v>3420</v>
      </c>
      <c r="T4" s="231" t="s">
        <v>3421</v>
      </c>
    </row>
    <row r="5">
      <c r="A5" s="9" t="s">
        <v>3422</v>
      </c>
      <c r="B5" s="225" t="s">
        <v>3423</v>
      </c>
      <c r="C5" s="226" t="s">
        <v>51</v>
      </c>
      <c r="D5" s="25" t="s">
        <v>3388</v>
      </c>
      <c r="E5" s="227" t="s">
        <v>3389</v>
      </c>
      <c r="F5" s="25" t="s">
        <v>3424</v>
      </c>
      <c r="G5" s="228">
        <v>499.0</v>
      </c>
      <c r="H5" s="229">
        <v>474.04999999999995</v>
      </c>
      <c r="I5" s="25" t="s">
        <v>55</v>
      </c>
      <c r="J5" s="218" t="s">
        <v>3425</v>
      </c>
      <c r="K5" s="225" t="s">
        <v>2633</v>
      </c>
      <c r="L5" s="226" t="s">
        <v>3426</v>
      </c>
      <c r="M5" s="230" t="s">
        <v>3427</v>
      </c>
      <c r="N5" s="231" t="s">
        <v>3428</v>
      </c>
      <c r="O5" s="231" t="s">
        <v>3394</v>
      </c>
      <c r="P5" s="231" t="s">
        <v>3395</v>
      </c>
      <c r="Q5" s="231" t="s">
        <v>3396</v>
      </c>
      <c r="R5" s="231" t="s">
        <v>3397</v>
      </c>
      <c r="S5" s="231" t="s">
        <v>3429</v>
      </c>
      <c r="T5" s="231" t="s">
        <v>3430</v>
      </c>
    </row>
    <row r="6">
      <c r="A6" s="9" t="s">
        <v>3431</v>
      </c>
      <c r="B6" s="225" t="s">
        <v>3432</v>
      </c>
      <c r="C6" s="226" t="s">
        <v>2288</v>
      </c>
      <c r="D6" s="25" t="s">
        <v>3388</v>
      </c>
      <c r="E6" s="227" t="s">
        <v>3389</v>
      </c>
      <c r="F6" s="25" t="s">
        <v>70</v>
      </c>
      <c r="G6" s="228">
        <v>900.0</v>
      </c>
      <c r="H6" s="229">
        <v>855.0</v>
      </c>
      <c r="I6" s="25" t="s">
        <v>2289</v>
      </c>
      <c r="J6" s="218" t="s">
        <v>3415</v>
      </c>
      <c r="K6" s="225" t="s">
        <v>3433</v>
      </c>
      <c r="L6" s="226" t="s">
        <v>3434</v>
      </c>
      <c r="M6" s="230" t="s">
        <v>3435</v>
      </c>
      <c r="N6" s="231" t="s">
        <v>3436</v>
      </c>
      <c r="O6" s="231" t="s">
        <v>3407</v>
      </c>
      <c r="P6" s="231" t="s">
        <v>3408</v>
      </c>
      <c r="Q6" s="231" t="s">
        <v>3409</v>
      </c>
      <c r="R6" s="231" t="s">
        <v>3410</v>
      </c>
      <c r="S6" s="231" t="s">
        <v>3437</v>
      </c>
      <c r="T6" s="231" t="s">
        <v>3438</v>
      </c>
    </row>
    <row r="7">
      <c r="A7" s="9" t="s">
        <v>3439</v>
      </c>
      <c r="B7" s="225" t="s">
        <v>3440</v>
      </c>
      <c r="C7" s="226" t="s">
        <v>3441</v>
      </c>
      <c r="D7" s="25" t="s">
        <v>3388</v>
      </c>
      <c r="E7" s="227" t="s">
        <v>3389</v>
      </c>
      <c r="F7" s="25" t="s">
        <v>1969</v>
      </c>
      <c r="G7" s="228">
        <v>475.0</v>
      </c>
      <c r="H7" s="229">
        <v>451.25</v>
      </c>
      <c r="I7" s="25" t="s">
        <v>55</v>
      </c>
      <c r="J7" s="218" t="s">
        <v>3415</v>
      </c>
      <c r="K7" s="225" t="s">
        <v>3442</v>
      </c>
      <c r="L7" s="226" t="s">
        <v>3443</v>
      </c>
      <c r="M7" s="230" t="s">
        <v>3444</v>
      </c>
      <c r="N7" s="231" t="s">
        <v>3436</v>
      </c>
      <c r="O7" s="231" t="s">
        <v>3394</v>
      </c>
      <c r="P7" s="231" t="s">
        <v>3395</v>
      </c>
      <c r="Q7" s="231" t="s">
        <v>3396</v>
      </c>
      <c r="R7" s="231" t="s">
        <v>3397</v>
      </c>
      <c r="S7" s="231" t="s">
        <v>3445</v>
      </c>
      <c r="T7" s="231" t="s">
        <v>3446</v>
      </c>
    </row>
    <row r="8">
      <c r="A8" s="9" t="s">
        <v>3447</v>
      </c>
      <c r="B8" s="225" t="s">
        <v>3448</v>
      </c>
      <c r="C8" s="226" t="s">
        <v>390</v>
      </c>
      <c r="D8" s="25" t="s">
        <v>3388</v>
      </c>
      <c r="E8" s="227" t="s">
        <v>3389</v>
      </c>
      <c r="F8" s="25" t="s">
        <v>1660</v>
      </c>
      <c r="G8" s="228">
        <v>495.0</v>
      </c>
      <c r="H8" s="229">
        <v>470.25</v>
      </c>
      <c r="I8" s="25" t="s">
        <v>55</v>
      </c>
      <c r="J8" s="218" t="s">
        <v>3425</v>
      </c>
      <c r="K8" s="225" t="s">
        <v>73</v>
      </c>
      <c r="L8" s="226" t="s">
        <v>3449</v>
      </c>
      <c r="M8" s="230" t="s">
        <v>3450</v>
      </c>
      <c r="N8" s="231" t="s">
        <v>3451</v>
      </c>
      <c r="O8" s="231" t="s">
        <v>3394</v>
      </c>
      <c r="P8" s="231" t="s">
        <v>3395</v>
      </c>
      <c r="Q8" s="231" t="s">
        <v>3396</v>
      </c>
      <c r="R8" s="231" t="s">
        <v>3397</v>
      </c>
      <c r="S8" s="231" t="s">
        <v>3452</v>
      </c>
      <c r="T8" s="231" t="s">
        <v>3453</v>
      </c>
    </row>
    <row r="9">
      <c r="A9" s="9" t="s">
        <v>3454</v>
      </c>
      <c r="B9" s="225" t="s">
        <v>3455</v>
      </c>
      <c r="C9" s="226" t="s">
        <v>151</v>
      </c>
      <c r="D9" s="25" t="s">
        <v>3388</v>
      </c>
      <c r="E9" s="227" t="s">
        <v>3389</v>
      </c>
      <c r="F9" s="25" t="s">
        <v>2992</v>
      </c>
      <c r="G9" s="228">
        <v>599.0</v>
      </c>
      <c r="H9" s="229">
        <v>569.05</v>
      </c>
      <c r="I9" s="25" t="s">
        <v>55</v>
      </c>
      <c r="J9" s="218" t="s">
        <v>3402</v>
      </c>
      <c r="K9" s="225" t="s">
        <v>2687</v>
      </c>
      <c r="L9" s="226" t="s">
        <v>3456</v>
      </c>
      <c r="M9" s="230" t="s">
        <v>3457</v>
      </c>
      <c r="N9" s="231" t="s">
        <v>3458</v>
      </c>
      <c r="O9" s="231" t="s">
        <v>3394</v>
      </c>
      <c r="P9" s="231" t="s">
        <v>3395</v>
      </c>
      <c r="Q9" s="231" t="s">
        <v>3396</v>
      </c>
      <c r="R9" s="231" t="s">
        <v>3397</v>
      </c>
      <c r="S9" s="231" t="s">
        <v>3459</v>
      </c>
      <c r="T9" s="231" t="s">
        <v>3460</v>
      </c>
    </row>
    <row r="10">
      <c r="A10" s="9" t="s">
        <v>3461</v>
      </c>
      <c r="B10" s="225" t="s">
        <v>3462</v>
      </c>
      <c r="C10" s="226" t="s">
        <v>1594</v>
      </c>
      <c r="D10" s="25" t="s">
        <v>3388</v>
      </c>
      <c r="E10" s="227" t="s">
        <v>3389</v>
      </c>
      <c r="F10" s="25" t="s">
        <v>3463</v>
      </c>
      <c r="G10" s="228">
        <v>450.0</v>
      </c>
      <c r="H10" s="229">
        <v>427.5</v>
      </c>
      <c r="I10" s="25" t="s">
        <v>55</v>
      </c>
      <c r="J10" s="218" t="s">
        <v>3425</v>
      </c>
      <c r="K10" s="225" t="s">
        <v>73</v>
      </c>
      <c r="L10" s="226" t="s">
        <v>3464</v>
      </c>
      <c r="M10" s="230" t="s">
        <v>3465</v>
      </c>
      <c r="N10" s="231" t="s">
        <v>3466</v>
      </c>
      <c r="O10" s="231" t="s">
        <v>3394</v>
      </c>
      <c r="P10" s="231" t="s">
        <v>3395</v>
      </c>
      <c r="Q10" s="231" t="s">
        <v>3396</v>
      </c>
      <c r="R10" s="231" t="s">
        <v>3397</v>
      </c>
      <c r="S10" s="231" t="s">
        <v>3467</v>
      </c>
      <c r="T10" s="231" t="s">
        <v>3468</v>
      </c>
    </row>
    <row r="11">
      <c r="A11" s="9" t="s">
        <v>3469</v>
      </c>
      <c r="B11" s="225" t="s">
        <v>3470</v>
      </c>
      <c r="C11" s="226" t="s">
        <v>299</v>
      </c>
      <c r="D11" s="25" t="s">
        <v>3388</v>
      </c>
      <c r="E11" s="227" t="s">
        <v>3389</v>
      </c>
      <c r="F11" s="25" t="s">
        <v>2959</v>
      </c>
      <c r="G11" s="228">
        <v>349.0</v>
      </c>
      <c r="H11" s="229">
        <v>331.55</v>
      </c>
      <c r="I11" s="25" t="s">
        <v>55</v>
      </c>
      <c r="J11" s="218" t="s">
        <v>3390</v>
      </c>
      <c r="K11" s="225" t="s">
        <v>203</v>
      </c>
      <c r="L11" s="226" t="s">
        <v>3471</v>
      </c>
      <c r="M11" s="230" t="s">
        <v>3472</v>
      </c>
      <c r="N11" s="231" t="s">
        <v>3473</v>
      </c>
      <c r="O11" s="231" t="s">
        <v>3474</v>
      </c>
      <c r="P11" s="231" t="s">
        <v>3475</v>
      </c>
      <c r="Q11" s="231" t="s">
        <v>3409</v>
      </c>
      <c r="R11" s="231" t="s">
        <v>3476</v>
      </c>
      <c r="S11" s="231" t="s">
        <v>3477</v>
      </c>
      <c r="T11" s="231" t="s">
        <v>3478</v>
      </c>
    </row>
    <row r="12">
      <c r="A12" s="9" t="s">
        <v>3479</v>
      </c>
      <c r="B12" s="225" t="s">
        <v>3480</v>
      </c>
      <c r="C12" s="226" t="s">
        <v>151</v>
      </c>
      <c r="D12" s="25" t="s">
        <v>3388</v>
      </c>
      <c r="E12" s="227" t="s">
        <v>3389</v>
      </c>
      <c r="F12" s="25" t="s">
        <v>2959</v>
      </c>
      <c r="G12" s="228">
        <v>399.0</v>
      </c>
      <c r="H12" s="229">
        <v>379.04999999999995</v>
      </c>
      <c r="I12" s="25" t="s">
        <v>55</v>
      </c>
      <c r="J12" s="218" t="s">
        <v>3481</v>
      </c>
      <c r="K12" s="225" t="s">
        <v>2726</v>
      </c>
      <c r="L12" s="226" t="s">
        <v>3482</v>
      </c>
      <c r="M12" s="230" t="s">
        <v>3483</v>
      </c>
      <c r="N12" s="231" t="s">
        <v>3484</v>
      </c>
      <c r="O12" s="231" t="s">
        <v>3394</v>
      </c>
      <c r="P12" s="231" t="s">
        <v>3395</v>
      </c>
      <c r="Q12" s="231" t="s">
        <v>3396</v>
      </c>
      <c r="R12" s="231" t="s">
        <v>3397</v>
      </c>
      <c r="S12" s="231" t="s">
        <v>3485</v>
      </c>
      <c r="T12" s="231" t="s">
        <v>3486</v>
      </c>
    </row>
    <row r="13">
      <c r="A13" s="25" t="s">
        <v>3487</v>
      </c>
      <c r="B13" s="225" t="s">
        <v>3488</v>
      </c>
      <c r="C13" s="226" t="s">
        <v>1709</v>
      </c>
      <c r="D13" s="25" t="s">
        <v>3200</v>
      </c>
      <c r="E13" s="98" t="s">
        <v>3201</v>
      </c>
      <c r="F13" s="25" t="s">
        <v>3489</v>
      </c>
      <c r="G13" s="228">
        <v>750.0</v>
      </c>
      <c r="H13" s="229">
        <v>712.5</v>
      </c>
      <c r="I13" s="25" t="s">
        <v>1199</v>
      </c>
      <c r="J13" s="218" t="s">
        <v>3205</v>
      </c>
      <c r="K13" s="225" t="s">
        <v>1118</v>
      </c>
      <c r="L13" s="226" t="s">
        <v>3490</v>
      </c>
      <c r="M13" s="230" t="s">
        <v>3491</v>
      </c>
      <c r="N13" s="231" t="s">
        <v>3492</v>
      </c>
      <c r="O13" s="231" t="s">
        <v>3493</v>
      </c>
      <c r="P13" s="231" t="s">
        <v>3494</v>
      </c>
      <c r="Q13" s="231" t="s">
        <v>3495</v>
      </c>
      <c r="R13" s="231" t="s">
        <v>3496</v>
      </c>
      <c r="S13" s="231" t="s">
        <v>3497</v>
      </c>
      <c r="T13" s="231" t="s">
        <v>3498</v>
      </c>
    </row>
    <row r="14">
      <c r="A14" s="25" t="s">
        <v>3499</v>
      </c>
      <c r="B14" s="225" t="s">
        <v>3500</v>
      </c>
      <c r="C14" s="226" t="s">
        <v>1709</v>
      </c>
      <c r="D14" s="25" t="s">
        <v>3200</v>
      </c>
      <c r="E14" s="98" t="s">
        <v>3201</v>
      </c>
      <c r="F14" s="25" t="s">
        <v>3489</v>
      </c>
      <c r="G14" s="228">
        <v>750.0</v>
      </c>
      <c r="H14" s="229">
        <v>712.5</v>
      </c>
      <c r="I14" s="25" t="s">
        <v>1199</v>
      </c>
      <c r="J14" s="218" t="s">
        <v>3205</v>
      </c>
      <c r="K14" s="225" t="s">
        <v>1118</v>
      </c>
      <c r="L14" s="226" t="s">
        <v>3501</v>
      </c>
      <c r="M14" s="230" t="s">
        <v>3502</v>
      </c>
      <c r="N14" s="231" t="s">
        <v>3503</v>
      </c>
      <c r="O14" s="231" t="s">
        <v>3493</v>
      </c>
      <c r="P14" s="231" t="s">
        <v>3494</v>
      </c>
      <c r="Q14" s="231" t="s">
        <v>3495</v>
      </c>
      <c r="R14" s="231" t="s">
        <v>3496</v>
      </c>
      <c r="S14" s="231" t="s">
        <v>3504</v>
      </c>
      <c r="T14" s="231" t="s">
        <v>3505</v>
      </c>
    </row>
    <row r="15">
      <c r="A15" s="25" t="s">
        <v>3506</v>
      </c>
      <c r="B15" s="225" t="s">
        <v>3507</v>
      </c>
      <c r="C15" s="226" t="s">
        <v>1709</v>
      </c>
      <c r="D15" s="25" t="s">
        <v>3200</v>
      </c>
      <c r="E15" s="98" t="s">
        <v>3201</v>
      </c>
      <c r="F15" s="25" t="s">
        <v>3489</v>
      </c>
      <c r="G15" s="228">
        <v>750.0</v>
      </c>
      <c r="H15" s="229">
        <v>712.5</v>
      </c>
      <c r="I15" s="25" t="s">
        <v>1199</v>
      </c>
      <c r="J15" s="218" t="s">
        <v>3205</v>
      </c>
      <c r="K15" s="225" t="s">
        <v>1118</v>
      </c>
      <c r="L15" s="226" t="s">
        <v>3508</v>
      </c>
      <c r="M15" s="230" t="s">
        <v>3509</v>
      </c>
      <c r="N15" s="231" t="s">
        <v>3510</v>
      </c>
      <c r="O15" s="231" t="s">
        <v>3493</v>
      </c>
      <c r="P15" s="231" t="s">
        <v>3494</v>
      </c>
      <c r="Q15" s="231" t="s">
        <v>3495</v>
      </c>
      <c r="R15" s="231" t="s">
        <v>3496</v>
      </c>
      <c r="S15" s="231" t="s">
        <v>3511</v>
      </c>
      <c r="T15" s="231" t="s">
        <v>3512</v>
      </c>
    </row>
    <row r="16">
      <c r="A16" s="25" t="s">
        <v>3513</v>
      </c>
      <c r="B16" s="225" t="s">
        <v>3514</v>
      </c>
      <c r="C16" s="226" t="s">
        <v>2483</v>
      </c>
      <c r="D16" s="25" t="s">
        <v>3200</v>
      </c>
      <c r="E16" s="98" t="s">
        <v>3201</v>
      </c>
      <c r="F16" s="25" t="s">
        <v>3515</v>
      </c>
      <c r="G16" s="228">
        <v>399.0</v>
      </c>
      <c r="H16" s="229">
        <v>379.04999999999995</v>
      </c>
      <c r="I16" s="25" t="s">
        <v>55</v>
      </c>
      <c r="J16" s="218" t="s">
        <v>3205</v>
      </c>
      <c r="K16" s="225" t="s">
        <v>1595</v>
      </c>
      <c r="L16" s="226" t="s">
        <v>3516</v>
      </c>
      <c r="M16" s="230" t="s">
        <v>3517</v>
      </c>
      <c r="N16" s="231" t="s">
        <v>3518</v>
      </c>
      <c r="O16" s="231" t="s">
        <v>3493</v>
      </c>
      <c r="P16" s="231" t="s">
        <v>3494</v>
      </c>
      <c r="Q16" s="231" t="s">
        <v>3495</v>
      </c>
      <c r="R16" s="231" t="s">
        <v>3496</v>
      </c>
      <c r="S16" s="231" t="s">
        <v>3519</v>
      </c>
      <c r="T16" s="231" t="s">
        <v>3520</v>
      </c>
    </row>
    <row r="17">
      <c r="A17" s="25" t="s">
        <v>3521</v>
      </c>
      <c r="B17" s="225" t="s">
        <v>3522</v>
      </c>
      <c r="C17" s="226" t="s">
        <v>51</v>
      </c>
      <c r="D17" s="25" t="s">
        <v>3200</v>
      </c>
      <c r="E17" s="98" t="s">
        <v>3201</v>
      </c>
      <c r="F17" s="25" t="s">
        <v>3523</v>
      </c>
      <c r="G17" s="228">
        <v>399.0</v>
      </c>
      <c r="H17" s="229">
        <v>379.04999999999995</v>
      </c>
      <c r="I17" s="25" t="s">
        <v>55</v>
      </c>
      <c r="J17" s="218" t="s">
        <v>3524</v>
      </c>
      <c r="K17" s="225" t="s">
        <v>3525</v>
      </c>
      <c r="L17" s="226" t="s">
        <v>2215</v>
      </c>
      <c r="M17" s="230" t="s">
        <v>3526</v>
      </c>
      <c r="N17" s="231" t="s">
        <v>3527</v>
      </c>
      <c r="O17" s="231" t="s">
        <v>3407</v>
      </c>
      <c r="P17" s="231" t="s">
        <v>3408</v>
      </c>
      <c r="Q17" s="231" t="s">
        <v>3409</v>
      </c>
      <c r="R17" s="231" t="s">
        <v>3410</v>
      </c>
      <c r="S17" s="231" t="s">
        <v>3528</v>
      </c>
      <c r="T17" s="231" t="s">
        <v>3529</v>
      </c>
    </row>
    <row r="18">
      <c r="A18" s="25" t="s">
        <v>3530</v>
      </c>
      <c r="B18" s="225" t="s">
        <v>3531</v>
      </c>
      <c r="C18" s="226" t="s">
        <v>151</v>
      </c>
      <c r="D18" s="25" t="s">
        <v>3200</v>
      </c>
      <c r="E18" s="98" t="s">
        <v>3201</v>
      </c>
      <c r="F18" s="25" t="s">
        <v>3532</v>
      </c>
      <c r="G18" s="228">
        <v>329.0</v>
      </c>
      <c r="H18" s="229">
        <v>312.55</v>
      </c>
      <c r="I18" s="25" t="s">
        <v>55</v>
      </c>
      <c r="J18" s="218" t="s">
        <v>3524</v>
      </c>
      <c r="K18" s="225" t="s">
        <v>736</v>
      </c>
      <c r="L18" s="226" t="s">
        <v>3533</v>
      </c>
      <c r="M18" s="230" t="s">
        <v>3534</v>
      </c>
      <c r="N18" s="231" t="s">
        <v>3535</v>
      </c>
      <c r="O18" s="231" t="s">
        <v>3536</v>
      </c>
      <c r="P18" s="231" t="s">
        <v>3537</v>
      </c>
      <c r="Q18" s="231" t="s">
        <v>3409</v>
      </c>
      <c r="R18" s="231" t="s">
        <v>3538</v>
      </c>
      <c r="S18" s="231" t="s">
        <v>3539</v>
      </c>
      <c r="T18" s="231" t="s">
        <v>3540</v>
      </c>
    </row>
    <row r="19">
      <c r="A19" s="25" t="s">
        <v>3541</v>
      </c>
      <c r="B19" s="225" t="s">
        <v>3542</v>
      </c>
      <c r="C19" s="226" t="s">
        <v>2206</v>
      </c>
      <c r="D19" s="25" t="s">
        <v>3200</v>
      </c>
      <c r="E19" s="98" t="s">
        <v>3543</v>
      </c>
      <c r="F19" s="25" t="s">
        <v>3544</v>
      </c>
      <c r="G19" s="228">
        <v>445.0</v>
      </c>
      <c r="H19" s="229">
        <v>422.75</v>
      </c>
      <c r="I19" s="25" t="s">
        <v>55</v>
      </c>
      <c r="J19" s="218" t="s">
        <v>3205</v>
      </c>
      <c r="K19" s="225" t="s">
        <v>88</v>
      </c>
      <c r="L19" s="226" t="s">
        <v>3545</v>
      </c>
      <c r="M19" s="230" t="s">
        <v>3546</v>
      </c>
      <c r="N19" s="231" t="s">
        <v>3547</v>
      </c>
      <c r="O19" s="231" t="s">
        <v>3548</v>
      </c>
      <c r="P19" s="231" t="s">
        <v>3549</v>
      </c>
      <c r="Q19" s="231" t="s">
        <v>3550</v>
      </c>
      <c r="R19" s="231" t="s">
        <v>3551</v>
      </c>
      <c r="S19" s="231" t="s">
        <v>3552</v>
      </c>
      <c r="T19" s="231" t="s">
        <v>3553</v>
      </c>
    </row>
    <row r="20">
      <c r="A20" s="25" t="s">
        <v>3554</v>
      </c>
      <c r="B20" s="225" t="s">
        <v>3555</v>
      </c>
      <c r="C20" s="226" t="s">
        <v>1709</v>
      </c>
      <c r="D20" s="25" t="s">
        <v>3200</v>
      </c>
      <c r="E20" s="98" t="s">
        <v>3543</v>
      </c>
      <c r="F20" s="25" t="s">
        <v>3228</v>
      </c>
      <c r="G20" s="228">
        <v>600.0</v>
      </c>
      <c r="H20" s="229">
        <v>570.0</v>
      </c>
      <c r="I20" s="25" t="s">
        <v>1199</v>
      </c>
      <c r="J20" s="218" t="s">
        <v>3205</v>
      </c>
      <c r="K20" s="225" t="s">
        <v>1118</v>
      </c>
      <c r="L20" s="226" t="s">
        <v>3556</v>
      </c>
      <c r="M20" s="230" t="s">
        <v>3557</v>
      </c>
      <c r="N20" s="231" t="s">
        <v>3558</v>
      </c>
      <c r="O20" s="231" t="s">
        <v>3548</v>
      </c>
      <c r="P20" s="231" t="s">
        <v>3549</v>
      </c>
      <c r="Q20" s="231" t="s">
        <v>3550</v>
      </c>
      <c r="R20" s="231" t="s">
        <v>3551</v>
      </c>
      <c r="S20" s="231" t="s">
        <v>3559</v>
      </c>
      <c r="T20" s="231" t="s">
        <v>3560</v>
      </c>
    </row>
    <row r="21">
      <c r="A21" s="25" t="s">
        <v>3561</v>
      </c>
      <c r="B21" s="225" t="s">
        <v>3562</v>
      </c>
      <c r="C21" s="226" t="s">
        <v>1709</v>
      </c>
      <c r="D21" s="25" t="s">
        <v>3200</v>
      </c>
      <c r="E21" s="98" t="s">
        <v>3543</v>
      </c>
      <c r="F21" s="25" t="s">
        <v>3228</v>
      </c>
      <c r="G21" s="228">
        <v>600.0</v>
      </c>
      <c r="H21" s="229">
        <v>570.0</v>
      </c>
      <c r="I21" s="25" t="s">
        <v>1199</v>
      </c>
      <c r="J21" s="218" t="s">
        <v>3205</v>
      </c>
      <c r="K21" s="225" t="s">
        <v>1118</v>
      </c>
      <c r="L21" s="226" t="s">
        <v>3563</v>
      </c>
      <c r="M21" s="230" t="s">
        <v>3564</v>
      </c>
      <c r="N21" s="231" t="s">
        <v>3565</v>
      </c>
      <c r="O21" s="231" t="s">
        <v>3548</v>
      </c>
      <c r="P21" s="231" t="s">
        <v>3549</v>
      </c>
      <c r="Q21" s="231" t="s">
        <v>3550</v>
      </c>
      <c r="R21" s="231" t="s">
        <v>3551</v>
      </c>
      <c r="S21" s="231" t="s">
        <v>3566</v>
      </c>
      <c r="T21" s="231" t="s">
        <v>3567</v>
      </c>
    </row>
    <row r="22">
      <c r="A22" s="25" t="s">
        <v>3568</v>
      </c>
      <c r="B22" s="225" t="s">
        <v>3569</v>
      </c>
      <c r="C22" s="226" t="s">
        <v>1709</v>
      </c>
      <c r="D22" s="25" t="s">
        <v>3200</v>
      </c>
      <c r="E22" s="98" t="s">
        <v>3543</v>
      </c>
      <c r="F22" s="25" t="s">
        <v>3228</v>
      </c>
      <c r="G22" s="228">
        <v>600.0</v>
      </c>
      <c r="H22" s="229">
        <v>570.0</v>
      </c>
      <c r="I22" s="25" t="s">
        <v>1199</v>
      </c>
      <c r="J22" s="218" t="s">
        <v>3205</v>
      </c>
      <c r="K22" s="225" t="s">
        <v>1118</v>
      </c>
      <c r="L22" s="226" t="s">
        <v>3570</v>
      </c>
      <c r="M22" s="230" t="s">
        <v>3571</v>
      </c>
      <c r="N22" s="231" t="s">
        <v>3572</v>
      </c>
      <c r="O22" s="231" t="s">
        <v>3548</v>
      </c>
      <c r="P22" s="231" t="s">
        <v>3549</v>
      </c>
      <c r="Q22" s="231" t="s">
        <v>3550</v>
      </c>
      <c r="R22" s="231" t="s">
        <v>3551</v>
      </c>
      <c r="S22" s="231" t="s">
        <v>3573</v>
      </c>
      <c r="T22" s="231" t="s">
        <v>3574</v>
      </c>
    </row>
    <row r="23">
      <c r="A23" s="25" t="s">
        <v>3575</v>
      </c>
      <c r="B23" s="225" t="s">
        <v>3576</v>
      </c>
      <c r="C23" s="226" t="s">
        <v>1709</v>
      </c>
      <c r="D23" s="25" t="s">
        <v>3200</v>
      </c>
      <c r="E23" s="98" t="s">
        <v>3543</v>
      </c>
      <c r="F23" s="98" t="s">
        <v>994</v>
      </c>
      <c r="G23" s="98">
        <v>1420.0</v>
      </c>
      <c r="H23" s="229">
        <v>1349.0</v>
      </c>
      <c r="I23" s="98" t="s">
        <v>1199</v>
      </c>
      <c r="J23" s="218" t="s">
        <v>3205</v>
      </c>
      <c r="K23" s="218" t="s">
        <v>1118</v>
      </c>
      <c r="L23" s="98" t="s">
        <v>3577</v>
      </c>
      <c r="M23" s="230" t="s">
        <v>3578</v>
      </c>
      <c r="N23" s="231" t="s">
        <v>3565</v>
      </c>
      <c r="O23" s="231" t="s">
        <v>3548</v>
      </c>
      <c r="P23" s="231" t="s">
        <v>3549</v>
      </c>
      <c r="Q23" s="231" t="s">
        <v>3550</v>
      </c>
      <c r="R23" s="231" t="s">
        <v>3551</v>
      </c>
      <c r="S23" s="231" t="s">
        <v>3579</v>
      </c>
      <c r="T23" s="231" t="s">
        <v>3580</v>
      </c>
    </row>
    <row r="24">
      <c r="A24" s="25" t="s">
        <v>3581</v>
      </c>
      <c r="B24" s="225" t="s">
        <v>3582</v>
      </c>
      <c r="C24" s="226" t="s">
        <v>200</v>
      </c>
      <c r="D24" s="25" t="s">
        <v>3200</v>
      </c>
      <c r="E24" s="98" t="s">
        <v>3201</v>
      </c>
      <c r="F24" s="232" t="s">
        <v>3583</v>
      </c>
      <c r="G24" s="228">
        <v>199.0</v>
      </c>
      <c r="H24" s="229">
        <v>189.04999999999998</v>
      </c>
      <c r="I24" s="25" t="s">
        <v>55</v>
      </c>
      <c r="J24" s="218" t="s">
        <v>3584</v>
      </c>
      <c r="K24" s="233" t="s">
        <v>3585</v>
      </c>
      <c r="L24" s="234"/>
      <c r="M24" s="230" t="s">
        <v>3586</v>
      </c>
      <c r="N24" s="231" t="s">
        <v>3587</v>
      </c>
      <c r="O24" s="231" t="s">
        <v>3536</v>
      </c>
      <c r="P24" s="231" t="s">
        <v>3537</v>
      </c>
      <c r="Q24" s="231" t="s">
        <v>3409</v>
      </c>
      <c r="R24" s="231" t="s">
        <v>3538</v>
      </c>
      <c r="S24" s="231" t="s">
        <v>3588</v>
      </c>
      <c r="T24" s="231" t="s">
        <v>3589</v>
      </c>
    </row>
    <row r="25">
      <c r="A25" s="25" t="s">
        <v>3590</v>
      </c>
      <c r="B25" s="225" t="s">
        <v>3591</v>
      </c>
      <c r="C25" s="226" t="s">
        <v>941</v>
      </c>
      <c r="D25" s="25" t="s">
        <v>3200</v>
      </c>
      <c r="E25" s="98" t="s">
        <v>3201</v>
      </c>
      <c r="F25" s="25" t="s">
        <v>1969</v>
      </c>
      <c r="G25" s="228">
        <v>155.0</v>
      </c>
      <c r="H25" s="229">
        <v>147.25</v>
      </c>
      <c r="I25" s="25" t="s">
        <v>55</v>
      </c>
      <c r="J25" s="218" t="s">
        <v>3524</v>
      </c>
      <c r="K25" s="235" t="s">
        <v>1118</v>
      </c>
      <c r="L25" s="234"/>
      <c r="M25" s="230" t="s">
        <v>3592</v>
      </c>
      <c r="N25" s="231" t="s">
        <v>3593</v>
      </c>
      <c r="O25" s="231" t="s">
        <v>3493</v>
      </c>
      <c r="P25" s="231" t="s">
        <v>3494</v>
      </c>
      <c r="Q25" s="231" t="s">
        <v>3495</v>
      </c>
      <c r="R25" s="231" t="s">
        <v>3496</v>
      </c>
      <c r="S25" s="231" t="s">
        <v>3594</v>
      </c>
      <c r="T25" s="231" t="s">
        <v>3595</v>
      </c>
    </row>
    <row r="26">
      <c r="A26" s="25" t="s">
        <v>3596</v>
      </c>
      <c r="B26" s="225" t="s">
        <v>3597</v>
      </c>
      <c r="C26" s="226" t="s">
        <v>3598</v>
      </c>
      <c r="D26" s="25" t="s">
        <v>3200</v>
      </c>
      <c r="E26" s="98" t="s">
        <v>3201</v>
      </c>
      <c r="F26" s="25" t="s">
        <v>3599</v>
      </c>
      <c r="G26" s="228">
        <v>299.0</v>
      </c>
      <c r="H26" s="229">
        <v>284.05</v>
      </c>
      <c r="I26" s="25" t="s">
        <v>55</v>
      </c>
      <c r="J26" s="218" t="s">
        <v>3205</v>
      </c>
      <c r="K26" s="235" t="s">
        <v>88</v>
      </c>
      <c r="L26" s="236" t="s">
        <v>3600</v>
      </c>
      <c r="M26" s="230" t="s">
        <v>3601</v>
      </c>
      <c r="N26" s="231" t="s">
        <v>3602</v>
      </c>
      <c r="O26" s="231" t="s">
        <v>3536</v>
      </c>
      <c r="P26" s="231" t="s">
        <v>3537</v>
      </c>
      <c r="Q26" s="231" t="s">
        <v>3409</v>
      </c>
      <c r="R26" s="231" t="s">
        <v>3538</v>
      </c>
      <c r="S26" s="231" t="s">
        <v>3603</v>
      </c>
      <c r="T26" s="231" t="s">
        <v>3604</v>
      </c>
    </row>
    <row r="27">
      <c r="A27" s="25" t="s">
        <v>3605</v>
      </c>
      <c r="B27" s="225" t="s">
        <v>3606</v>
      </c>
      <c r="C27" s="226" t="s">
        <v>941</v>
      </c>
      <c r="D27" s="25" t="s">
        <v>3200</v>
      </c>
      <c r="E27" s="98" t="s">
        <v>3201</v>
      </c>
      <c r="F27" s="25" t="s">
        <v>1969</v>
      </c>
      <c r="G27" s="228">
        <v>330.0</v>
      </c>
      <c r="H27" s="229">
        <v>313.5</v>
      </c>
      <c r="I27" s="25" t="s">
        <v>55</v>
      </c>
      <c r="J27" s="218" t="s">
        <v>3524</v>
      </c>
      <c r="K27" s="237" t="s">
        <v>736</v>
      </c>
      <c r="L27" s="234"/>
      <c r="M27" s="230" t="s">
        <v>3607</v>
      </c>
      <c r="N27" s="231" t="s">
        <v>3608</v>
      </c>
      <c r="O27" s="231" t="s">
        <v>3493</v>
      </c>
      <c r="P27" s="231" t="s">
        <v>3494</v>
      </c>
      <c r="Q27" s="231" t="s">
        <v>3495</v>
      </c>
      <c r="R27" s="231" t="s">
        <v>3496</v>
      </c>
      <c r="S27" s="231" t="s">
        <v>3609</v>
      </c>
      <c r="T27" s="231" t="s">
        <v>3610</v>
      </c>
    </row>
    <row r="28">
      <c r="A28" s="25" t="s">
        <v>3611</v>
      </c>
      <c r="B28" s="225" t="s">
        <v>3612</v>
      </c>
      <c r="C28" s="226" t="s">
        <v>2072</v>
      </c>
      <c r="D28" s="25" t="s">
        <v>3200</v>
      </c>
      <c r="E28" s="98" t="s">
        <v>3201</v>
      </c>
      <c r="F28" s="25" t="s">
        <v>3532</v>
      </c>
      <c r="G28" s="228">
        <v>299.0</v>
      </c>
      <c r="H28" s="229">
        <v>284.05</v>
      </c>
      <c r="I28" s="25" t="s">
        <v>55</v>
      </c>
      <c r="J28" s="218" t="s">
        <v>3205</v>
      </c>
      <c r="K28" s="235" t="s">
        <v>88</v>
      </c>
      <c r="L28" s="234"/>
      <c r="M28" s="230" t="s">
        <v>3613</v>
      </c>
      <c r="N28" s="231" t="s">
        <v>3614</v>
      </c>
      <c r="O28" s="231" t="s">
        <v>3536</v>
      </c>
      <c r="P28" s="231" t="s">
        <v>3537</v>
      </c>
      <c r="Q28" s="231" t="s">
        <v>3409</v>
      </c>
      <c r="R28" s="231" t="s">
        <v>3538</v>
      </c>
      <c r="S28" s="231" t="s">
        <v>3615</v>
      </c>
      <c r="T28" s="231" t="s">
        <v>3616</v>
      </c>
    </row>
    <row r="29">
      <c r="A29" s="25" t="s">
        <v>3617</v>
      </c>
      <c r="B29" s="225" t="s">
        <v>3618</v>
      </c>
      <c r="C29" s="226" t="s">
        <v>3619</v>
      </c>
      <c r="D29" s="25" t="s">
        <v>3200</v>
      </c>
      <c r="E29" s="98" t="s">
        <v>3201</v>
      </c>
      <c r="F29" s="25" t="s">
        <v>3599</v>
      </c>
      <c r="G29" s="228">
        <v>299.0</v>
      </c>
      <c r="H29" s="229">
        <v>284.05</v>
      </c>
      <c r="I29" s="25" t="s">
        <v>55</v>
      </c>
      <c r="J29" s="218" t="s">
        <v>3524</v>
      </c>
      <c r="K29" s="237" t="s">
        <v>736</v>
      </c>
      <c r="L29" s="236" t="s">
        <v>3620</v>
      </c>
      <c r="M29" s="230" t="s">
        <v>3621</v>
      </c>
      <c r="N29" s="231" t="s">
        <v>3622</v>
      </c>
      <c r="O29" s="231" t="s">
        <v>3536</v>
      </c>
      <c r="P29" s="231" t="s">
        <v>3537</v>
      </c>
      <c r="Q29" s="231" t="s">
        <v>3409</v>
      </c>
      <c r="R29" s="231" t="s">
        <v>3538</v>
      </c>
      <c r="S29" s="231" t="s">
        <v>3623</v>
      </c>
      <c r="T29" s="231" t="s">
        <v>3624</v>
      </c>
    </row>
    <row r="30">
      <c r="A30" s="9" t="s">
        <v>3625</v>
      </c>
      <c r="B30" s="238" t="s">
        <v>3626</v>
      </c>
      <c r="C30" s="98" t="s">
        <v>3627</v>
      </c>
      <c r="D30" s="98" t="s">
        <v>3388</v>
      </c>
      <c r="E30" s="227" t="s">
        <v>3628</v>
      </c>
      <c r="F30" s="98" t="s">
        <v>3629</v>
      </c>
      <c r="G30" s="98">
        <v>1750.0</v>
      </c>
      <c r="H30" s="229">
        <v>1662.5</v>
      </c>
      <c r="I30" s="98" t="s">
        <v>1199</v>
      </c>
      <c r="J30" s="218" t="s">
        <v>3402</v>
      </c>
      <c r="K30" s="218" t="s">
        <v>3630</v>
      </c>
      <c r="L30" s="98" t="s">
        <v>3631</v>
      </c>
      <c r="M30" s="239" t="s">
        <v>3632</v>
      </c>
      <c r="N30" s="98" t="s">
        <v>3633</v>
      </c>
      <c r="O30" s="231" t="s">
        <v>3407</v>
      </c>
      <c r="P30" s="231" t="s">
        <v>3408</v>
      </c>
      <c r="Q30" s="231" t="s">
        <v>3409</v>
      </c>
      <c r="R30" s="231" t="s">
        <v>3410</v>
      </c>
      <c r="S30" s="98" t="s">
        <v>3634</v>
      </c>
      <c r="T30" s="240" t="s">
        <v>3635</v>
      </c>
    </row>
    <row r="31">
      <c r="A31" s="9" t="s">
        <v>3636</v>
      </c>
      <c r="B31" s="238" t="s">
        <v>3637</v>
      </c>
      <c r="C31" s="98" t="s">
        <v>3638</v>
      </c>
      <c r="D31" s="98" t="s">
        <v>3388</v>
      </c>
      <c r="E31" s="227" t="s">
        <v>3628</v>
      </c>
      <c r="F31" s="98" t="s">
        <v>3639</v>
      </c>
      <c r="G31" s="98">
        <v>1740.0</v>
      </c>
      <c r="H31" s="229">
        <v>1653.0</v>
      </c>
      <c r="I31" s="98" t="s">
        <v>1199</v>
      </c>
      <c r="J31" s="218" t="s">
        <v>3415</v>
      </c>
      <c r="K31" s="218" t="s">
        <v>3416</v>
      </c>
      <c r="L31" s="98" t="s">
        <v>3640</v>
      </c>
      <c r="M31" s="239" t="s">
        <v>3641</v>
      </c>
      <c r="N31" s="98" t="s">
        <v>3642</v>
      </c>
      <c r="O31" s="231" t="s">
        <v>3407</v>
      </c>
      <c r="P31" s="231" t="s">
        <v>3408</v>
      </c>
      <c r="Q31" s="231" t="s">
        <v>3409</v>
      </c>
      <c r="R31" s="231" t="s">
        <v>3410</v>
      </c>
      <c r="S31" s="98" t="s">
        <v>3643</v>
      </c>
      <c r="T31" s="240" t="s">
        <v>3644</v>
      </c>
    </row>
    <row r="32">
      <c r="A32" s="9" t="s">
        <v>3645</v>
      </c>
      <c r="B32" s="218" t="s">
        <v>3646</v>
      </c>
      <c r="C32" s="98" t="s">
        <v>1937</v>
      </c>
      <c r="D32" s="98" t="s">
        <v>3388</v>
      </c>
      <c r="E32" s="227" t="s">
        <v>3628</v>
      </c>
      <c r="F32" s="98" t="s">
        <v>3647</v>
      </c>
      <c r="G32" s="98">
        <v>750.0</v>
      </c>
      <c r="H32" s="229">
        <v>712.5</v>
      </c>
      <c r="I32" s="98" t="s">
        <v>1199</v>
      </c>
      <c r="J32" s="218" t="s">
        <v>3648</v>
      </c>
      <c r="K32" s="218" t="s">
        <v>314</v>
      </c>
      <c r="L32" s="98" t="s">
        <v>3649</v>
      </c>
      <c r="M32" s="239" t="s">
        <v>3650</v>
      </c>
      <c r="N32" s="98" t="s">
        <v>3651</v>
      </c>
      <c r="O32" s="231" t="s">
        <v>3407</v>
      </c>
      <c r="P32" s="231" t="s">
        <v>3408</v>
      </c>
      <c r="Q32" s="231" t="s">
        <v>3409</v>
      </c>
      <c r="R32" s="231" t="s">
        <v>3410</v>
      </c>
      <c r="S32" s="98" t="s">
        <v>3652</v>
      </c>
      <c r="T32" s="240" t="s">
        <v>3653</v>
      </c>
    </row>
    <row r="33">
      <c r="A33" s="9" t="s">
        <v>3654</v>
      </c>
      <c r="B33" s="241" t="s">
        <v>3655</v>
      </c>
      <c r="C33" s="97" t="s">
        <v>1305</v>
      </c>
      <c r="D33" s="98" t="s">
        <v>3388</v>
      </c>
      <c r="E33" s="227" t="s">
        <v>3628</v>
      </c>
      <c r="F33" s="98" t="s">
        <v>1660</v>
      </c>
      <c r="G33" s="98">
        <v>1579.0</v>
      </c>
      <c r="H33" s="229">
        <v>1500.05</v>
      </c>
      <c r="I33" s="98" t="s">
        <v>1199</v>
      </c>
      <c r="J33" s="218" t="s">
        <v>3648</v>
      </c>
      <c r="K33" s="218" t="s">
        <v>3656</v>
      </c>
      <c r="L33" s="98" t="s">
        <v>3657</v>
      </c>
      <c r="M33" s="239" t="s">
        <v>3658</v>
      </c>
      <c r="N33" s="98" t="s">
        <v>3659</v>
      </c>
      <c r="O33" s="231" t="s">
        <v>3407</v>
      </c>
      <c r="P33" s="231" t="s">
        <v>3408</v>
      </c>
      <c r="Q33" s="231" t="s">
        <v>3409</v>
      </c>
      <c r="R33" s="231" t="s">
        <v>3410</v>
      </c>
      <c r="S33" s="98" t="s">
        <v>3660</v>
      </c>
      <c r="T33" s="240" t="s">
        <v>3661</v>
      </c>
    </row>
    <row r="34">
      <c r="A34" s="25" t="s">
        <v>3662</v>
      </c>
      <c r="B34" s="242" t="s">
        <v>3663</v>
      </c>
      <c r="C34" s="98" t="s">
        <v>3664</v>
      </c>
      <c r="D34" s="98" t="s">
        <v>3665</v>
      </c>
      <c r="E34" s="227" t="s">
        <v>3666</v>
      </c>
      <c r="F34" s="98" t="s">
        <v>3667</v>
      </c>
      <c r="G34" s="98">
        <v>1050.0</v>
      </c>
      <c r="H34" s="229">
        <v>997.5</v>
      </c>
      <c r="I34" s="98" t="s">
        <v>1199</v>
      </c>
      <c r="J34" s="218" t="s">
        <v>3205</v>
      </c>
      <c r="K34" s="218" t="s">
        <v>2342</v>
      </c>
      <c r="L34" s="98" t="s">
        <v>3668</v>
      </c>
      <c r="M34" s="239" t="s">
        <v>3669</v>
      </c>
      <c r="N34" s="98" t="s">
        <v>3670</v>
      </c>
      <c r="O34" s="231" t="s">
        <v>3493</v>
      </c>
      <c r="P34" s="231" t="s">
        <v>3494</v>
      </c>
      <c r="Q34" s="231" t="s">
        <v>3409</v>
      </c>
      <c r="R34" s="231" t="s">
        <v>3496</v>
      </c>
      <c r="S34" s="98" t="s">
        <v>3671</v>
      </c>
      <c r="T34" s="240" t="s">
        <v>3672</v>
      </c>
    </row>
    <row r="35">
      <c r="A35" s="25" t="s">
        <v>3673</v>
      </c>
      <c r="B35" s="242" t="s">
        <v>3674</v>
      </c>
      <c r="C35" s="98" t="s">
        <v>3664</v>
      </c>
      <c r="D35" s="98" t="s">
        <v>3665</v>
      </c>
      <c r="E35" s="227" t="s">
        <v>3666</v>
      </c>
      <c r="F35" s="98" t="s">
        <v>3667</v>
      </c>
      <c r="G35" s="98">
        <v>1050.0</v>
      </c>
      <c r="H35" s="229">
        <v>997.5</v>
      </c>
      <c r="I35" s="98" t="s">
        <v>1199</v>
      </c>
      <c r="J35" s="218" t="s">
        <v>3205</v>
      </c>
      <c r="K35" s="218" t="s">
        <v>3675</v>
      </c>
      <c r="L35" s="98" t="s">
        <v>3676</v>
      </c>
      <c r="M35" s="239" t="s">
        <v>3677</v>
      </c>
      <c r="N35" s="98" t="s">
        <v>3678</v>
      </c>
      <c r="O35" s="231" t="s">
        <v>3493</v>
      </c>
      <c r="P35" s="231" t="s">
        <v>3494</v>
      </c>
      <c r="Q35" s="231" t="s">
        <v>3409</v>
      </c>
      <c r="R35" s="231" t="s">
        <v>3496</v>
      </c>
      <c r="S35" s="98" t="s">
        <v>3679</v>
      </c>
      <c r="T35" s="240" t="s">
        <v>3680</v>
      </c>
    </row>
    <row r="36">
      <c r="A36" s="25" t="s">
        <v>3681</v>
      </c>
      <c r="B36" s="242" t="s">
        <v>3682</v>
      </c>
      <c r="C36" s="98" t="s">
        <v>3664</v>
      </c>
      <c r="D36" s="98" t="s">
        <v>3665</v>
      </c>
      <c r="E36" s="227" t="s">
        <v>3666</v>
      </c>
      <c r="F36" s="98" t="s">
        <v>3667</v>
      </c>
      <c r="G36" s="98">
        <v>1050.0</v>
      </c>
      <c r="H36" s="229">
        <v>997.5</v>
      </c>
      <c r="I36" s="98" t="s">
        <v>1199</v>
      </c>
      <c r="J36" s="218" t="s">
        <v>3205</v>
      </c>
      <c r="K36" s="218" t="s">
        <v>3683</v>
      </c>
      <c r="L36" s="98" t="s">
        <v>3684</v>
      </c>
      <c r="M36" s="239" t="s">
        <v>3685</v>
      </c>
      <c r="N36" s="98" t="s">
        <v>3686</v>
      </c>
      <c r="O36" s="231" t="s">
        <v>3493</v>
      </c>
      <c r="P36" s="231" t="s">
        <v>3494</v>
      </c>
      <c r="Q36" s="231" t="s">
        <v>3409</v>
      </c>
      <c r="R36" s="231" t="s">
        <v>3496</v>
      </c>
      <c r="S36" s="98" t="s">
        <v>3687</v>
      </c>
      <c r="T36" s="240" t="s">
        <v>3688</v>
      </c>
    </row>
    <row r="37">
      <c r="A37" s="25" t="s">
        <v>3689</v>
      </c>
      <c r="B37" s="242" t="s">
        <v>3690</v>
      </c>
      <c r="C37" s="98" t="s">
        <v>3664</v>
      </c>
      <c r="D37" s="98" t="s">
        <v>3665</v>
      </c>
      <c r="E37" s="227" t="s">
        <v>3666</v>
      </c>
      <c r="F37" s="98" t="s">
        <v>3667</v>
      </c>
      <c r="G37" s="98">
        <v>1050.0</v>
      </c>
      <c r="H37" s="229">
        <v>997.5</v>
      </c>
      <c r="I37" s="98" t="s">
        <v>1199</v>
      </c>
      <c r="J37" s="218" t="s">
        <v>3205</v>
      </c>
      <c r="K37" s="218" t="s">
        <v>3691</v>
      </c>
      <c r="L37" s="98" t="s">
        <v>3692</v>
      </c>
      <c r="M37" s="239" t="s">
        <v>3693</v>
      </c>
      <c r="N37" s="98" t="s">
        <v>3694</v>
      </c>
      <c r="O37" s="231" t="s">
        <v>3493</v>
      </c>
      <c r="P37" s="231" t="s">
        <v>3494</v>
      </c>
      <c r="Q37" s="231" t="s">
        <v>3409</v>
      </c>
      <c r="R37" s="231" t="s">
        <v>3496</v>
      </c>
      <c r="S37" s="98" t="s">
        <v>3695</v>
      </c>
      <c r="T37" s="240" t="s">
        <v>3696</v>
      </c>
    </row>
    <row r="38">
      <c r="A38" s="9" t="s">
        <v>3697</v>
      </c>
      <c r="B38" s="243" t="s">
        <v>3698</v>
      </c>
      <c r="C38" s="98" t="s">
        <v>3664</v>
      </c>
      <c r="D38" s="98" t="s">
        <v>3388</v>
      </c>
      <c r="E38" s="227" t="s">
        <v>3628</v>
      </c>
      <c r="F38" s="98" t="s">
        <v>2992</v>
      </c>
      <c r="G38" s="98">
        <v>2000.0</v>
      </c>
      <c r="H38" s="229">
        <v>1900.0</v>
      </c>
      <c r="I38" s="98" t="s">
        <v>1199</v>
      </c>
      <c r="J38" s="218" t="s">
        <v>3699</v>
      </c>
      <c r="K38" s="218" t="s">
        <v>3700</v>
      </c>
      <c r="L38" s="98" t="s">
        <v>3701</v>
      </c>
      <c r="M38" s="239" t="s">
        <v>3702</v>
      </c>
      <c r="N38" s="98" t="s">
        <v>3703</v>
      </c>
      <c r="O38" s="231" t="s">
        <v>3407</v>
      </c>
      <c r="P38" s="231" t="s">
        <v>3408</v>
      </c>
      <c r="Q38" s="231" t="s">
        <v>3409</v>
      </c>
      <c r="R38" s="231" t="s">
        <v>3410</v>
      </c>
      <c r="S38" s="98" t="s">
        <v>3704</v>
      </c>
      <c r="T38" s="240" t="s">
        <v>3705</v>
      </c>
    </row>
    <row r="39">
      <c r="A39" s="25" t="s">
        <v>3706</v>
      </c>
      <c r="B39" s="244" t="s">
        <v>3707</v>
      </c>
      <c r="C39" s="97" t="s">
        <v>1305</v>
      </c>
      <c r="D39" s="98" t="s">
        <v>3665</v>
      </c>
      <c r="E39" s="98" t="s">
        <v>3543</v>
      </c>
      <c r="F39" s="81" t="s">
        <v>3424</v>
      </c>
      <c r="G39" s="245">
        <v>1295.0</v>
      </c>
      <c r="H39" s="229">
        <v>1230.25</v>
      </c>
      <c r="I39" s="98" t="s">
        <v>1199</v>
      </c>
      <c r="J39" s="218" t="s">
        <v>3205</v>
      </c>
      <c r="K39" s="218" t="s">
        <v>314</v>
      </c>
      <c r="L39" s="98" t="s">
        <v>3708</v>
      </c>
      <c r="M39" s="239" t="s">
        <v>3709</v>
      </c>
      <c r="N39" s="98" t="s">
        <v>3710</v>
      </c>
      <c r="O39" s="98" t="s">
        <v>3711</v>
      </c>
      <c r="P39" s="98" t="s">
        <v>3712</v>
      </c>
      <c r="Q39" s="98" t="s">
        <v>3713</v>
      </c>
      <c r="R39" s="98" t="s">
        <v>3714</v>
      </c>
      <c r="S39" s="98" t="s">
        <v>3715</v>
      </c>
      <c r="T39" s="240" t="s">
        <v>3716</v>
      </c>
    </row>
    <row r="40">
      <c r="A40" s="25" t="s">
        <v>3717</v>
      </c>
      <c r="B40" s="244" t="s">
        <v>3718</v>
      </c>
      <c r="C40" s="97" t="s">
        <v>1305</v>
      </c>
      <c r="D40" s="98" t="s">
        <v>3665</v>
      </c>
      <c r="E40" s="98" t="s">
        <v>3543</v>
      </c>
      <c r="F40" s="81" t="s">
        <v>3424</v>
      </c>
      <c r="G40" s="245">
        <v>1295.0</v>
      </c>
      <c r="H40" s="229">
        <v>1230.25</v>
      </c>
      <c r="I40" s="98" t="s">
        <v>1199</v>
      </c>
      <c r="J40" s="218" t="s">
        <v>3205</v>
      </c>
      <c r="K40" s="218" t="s">
        <v>3719</v>
      </c>
      <c r="L40" s="98" t="s">
        <v>3720</v>
      </c>
      <c r="M40" s="239" t="s">
        <v>3721</v>
      </c>
      <c r="N40" s="98" t="s">
        <v>3722</v>
      </c>
      <c r="O40" s="98" t="s">
        <v>3723</v>
      </c>
      <c r="P40" s="98" t="s">
        <v>3724</v>
      </c>
      <c r="Q40" s="98" t="s">
        <v>3725</v>
      </c>
      <c r="R40" s="98" t="s">
        <v>3726</v>
      </c>
      <c r="S40" s="98" t="s">
        <v>3727</v>
      </c>
      <c r="T40" s="240" t="s">
        <v>3728</v>
      </c>
    </row>
    <row r="41" ht="33.0" customHeight="1">
      <c r="A41" s="25" t="s">
        <v>3729</v>
      </c>
      <c r="B41" s="244" t="s">
        <v>3730</v>
      </c>
      <c r="C41" s="97" t="s">
        <v>1305</v>
      </c>
      <c r="D41" s="98" t="s">
        <v>3665</v>
      </c>
      <c r="E41" s="98" t="s">
        <v>3543</v>
      </c>
      <c r="F41" s="81" t="s">
        <v>3424</v>
      </c>
      <c r="G41" s="245">
        <v>1295.0</v>
      </c>
      <c r="H41" s="229">
        <v>1230.25</v>
      </c>
      <c r="I41" s="98" t="s">
        <v>1199</v>
      </c>
      <c r="J41" s="218" t="s">
        <v>3205</v>
      </c>
      <c r="K41" s="218" t="s">
        <v>3731</v>
      </c>
      <c r="L41" s="98" t="s">
        <v>3732</v>
      </c>
      <c r="M41" s="218" t="s">
        <v>3733</v>
      </c>
      <c r="N41" s="98" t="s">
        <v>3734</v>
      </c>
      <c r="O41" s="98" t="s">
        <v>3735</v>
      </c>
      <c r="P41" s="98" t="s">
        <v>3736</v>
      </c>
      <c r="Q41" s="98" t="s">
        <v>3737</v>
      </c>
      <c r="R41" s="98" t="s">
        <v>3738</v>
      </c>
      <c r="S41" s="98" t="s">
        <v>3739</v>
      </c>
      <c r="T41" s="246" t="s">
        <v>3740</v>
      </c>
    </row>
    <row r="42" ht="21.0" customHeight="1">
      <c r="A42" s="25" t="s">
        <v>3741</v>
      </c>
      <c r="B42" s="244" t="s">
        <v>3742</v>
      </c>
      <c r="C42" s="97" t="s">
        <v>1305</v>
      </c>
      <c r="D42" s="98" t="s">
        <v>3665</v>
      </c>
      <c r="E42" s="98" t="s">
        <v>3543</v>
      </c>
      <c r="F42" s="81" t="s">
        <v>3424</v>
      </c>
      <c r="G42" s="245">
        <v>1295.0</v>
      </c>
      <c r="H42" s="229">
        <v>1230.25</v>
      </c>
      <c r="I42" s="98" t="s">
        <v>1199</v>
      </c>
      <c r="J42" s="218" t="s">
        <v>3205</v>
      </c>
      <c r="K42" s="218" t="s">
        <v>3743</v>
      </c>
      <c r="L42" s="98" t="s">
        <v>3744</v>
      </c>
      <c r="M42" s="239" t="s">
        <v>3745</v>
      </c>
      <c r="N42" s="98" t="s">
        <v>3746</v>
      </c>
      <c r="O42" s="98" t="s">
        <v>3747</v>
      </c>
      <c r="P42" s="98" t="s">
        <v>3748</v>
      </c>
      <c r="Q42" s="98" t="s">
        <v>3749</v>
      </c>
      <c r="R42" s="98" t="s">
        <v>3726</v>
      </c>
      <c r="S42" s="98" t="s">
        <v>3750</v>
      </c>
      <c r="T42" s="246" t="s">
        <v>3751</v>
      </c>
    </row>
    <row r="43">
      <c r="B43" s="247"/>
      <c r="J43" s="248"/>
      <c r="K43" s="247"/>
      <c r="M43" s="249"/>
      <c r="O43" s="226"/>
      <c r="P43" s="226"/>
      <c r="Q43" s="226"/>
      <c r="R43" s="226"/>
    </row>
    <row r="44">
      <c r="B44" s="247"/>
      <c r="J44" s="247"/>
      <c r="K44" s="247"/>
      <c r="M44" s="249"/>
      <c r="O44" s="226"/>
      <c r="P44" s="226"/>
      <c r="Q44" s="226"/>
      <c r="R44" s="226"/>
    </row>
    <row r="45">
      <c r="B45" s="247"/>
      <c r="G45" s="55"/>
      <c r="H45" s="55"/>
      <c r="I45" s="55"/>
      <c r="J45" s="248"/>
      <c r="K45" s="248"/>
      <c r="L45" s="55"/>
      <c r="M45" s="248"/>
      <c r="N45" s="55"/>
      <c r="O45" s="55"/>
      <c r="P45" s="55"/>
      <c r="Q45" s="226"/>
      <c r="R45" s="226"/>
    </row>
    <row r="46">
      <c r="B46" s="247"/>
      <c r="J46" s="247"/>
      <c r="K46" s="247"/>
      <c r="M46" s="249"/>
      <c r="Q46" s="226"/>
      <c r="R46" s="226"/>
    </row>
    <row r="47">
      <c r="B47" s="247"/>
      <c r="J47" s="247"/>
      <c r="K47" s="247"/>
      <c r="M47" s="249"/>
      <c r="Q47" s="226"/>
      <c r="R47" s="226"/>
    </row>
    <row r="48">
      <c r="B48" s="247"/>
      <c r="J48" s="247"/>
      <c r="K48" s="247"/>
      <c r="M48" s="249"/>
      <c r="Q48" s="226"/>
      <c r="R48" s="226"/>
    </row>
    <row r="49">
      <c r="B49" s="247"/>
      <c r="J49" s="247"/>
      <c r="K49" s="247"/>
      <c r="M49" s="249"/>
    </row>
    <row r="50">
      <c r="B50" s="247"/>
      <c r="J50" s="247"/>
      <c r="K50" s="247"/>
      <c r="M50" s="249"/>
    </row>
    <row r="51">
      <c r="B51" s="247"/>
      <c r="J51" s="247"/>
      <c r="K51" s="247"/>
      <c r="M51" s="249"/>
    </row>
    <row r="52">
      <c r="B52" s="247"/>
      <c r="J52" s="247"/>
      <c r="K52" s="247"/>
      <c r="M52" s="249"/>
    </row>
    <row r="53">
      <c r="B53" s="247"/>
      <c r="J53" s="247"/>
      <c r="K53" s="247"/>
      <c r="M53" s="249"/>
    </row>
    <row r="54">
      <c r="B54" s="247"/>
      <c r="J54" s="247"/>
      <c r="K54" s="247"/>
      <c r="L54" s="55"/>
      <c r="M54" s="248"/>
    </row>
    <row r="55">
      <c r="B55" s="247"/>
      <c r="J55" s="247"/>
      <c r="K55" s="247"/>
      <c r="M55" s="249"/>
    </row>
    <row r="56">
      <c r="B56" s="247"/>
      <c r="J56" s="247"/>
      <c r="K56" s="247"/>
      <c r="M56" s="249"/>
    </row>
    <row r="57">
      <c r="B57" s="247"/>
      <c r="J57" s="247"/>
      <c r="K57" s="247"/>
      <c r="M57" s="249"/>
    </row>
    <row r="58">
      <c r="B58" s="247"/>
      <c r="J58" s="247"/>
      <c r="K58" s="247"/>
      <c r="M58" s="249"/>
    </row>
    <row r="59">
      <c r="B59" s="247"/>
      <c r="J59" s="247"/>
      <c r="K59" s="247"/>
      <c r="M59" s="249"/>
    </row>
    <row r="60">
      <c r="B60" s="247"/>
      <c r="J60" s="247"/>
      <c r="K60" s="247"/>
      <c r="M60" s="249"/>
    </row>
    <row r="61">
      <c r="B61" s="247"/>
      <c r="J61" s="247"/>
      <c r="K61" s="247"/>
      <c r="M61" s="249"/>
    </row>
    <row r="62">
      <c r="B62" s="247"/>
      <c r="J62" s="247"/>
      <c r="K62" s="247"/>
      <c r="M62" s="249"/>
    </row>
    <row r="63">
      <c r="B63" s="247"/>
      <c r="J63" s="247"/>
      <c r="K63" s="247"/>
      <c r="M63" s="249"/>
    </row>
    <row r="64">
      <c r="B64" s="247"/>
      <c r="J64" s="247"/>
      <c r="K64" s="247"/>
      <c r="M64" s="249"/>
    </row>
    <row r="65">
      <c r="B65" s="247"/>
      <c r="J65" s="247"/>
      <c r="K65" s="247"/>
      <c r="M65" s="249"/>
    </row>
    <row r="66">
      <c r="B66" s="247"/>
      <c r="J66" s="247"/>
      <c r="K66" s="247"/>
      <c r="M66" s="249"/>
    </row>
    <row r="67">
      <c r="B67" s="247"/>
      <c r="J67" s="247"/>
      <c r="K67" s="247"/>
      <c r="M67" s="249"/>
    </row>
    <row r="68">
      <c r="B68" s="247"/>
      <c r="J68" s="247"/>
      <c r="K68" s="247"/>
      <c r="M68" s="249"/>
    </row>
    <row r="69">
      <c r="B69" s="247"/>
      <c r="J69" s="247"/>
      <c r="K69" s="247"/>
      <c r="M69" s="249"/>
    </row>
    <row r="70">
      <c r="B70" s="247"/>
      <c r="J70" s="247"/>
      <c r="K70" s="247"/>
      <c r="M70" s="249"/>
    </row>
    <row r="71">
      <c r="B71" s="247"/>
      <c r="J71" s="247"/>
      <c r="K71" s="247"/>
      <c r="M71" s="249"/>
    </row>
    <row r="72">
      <c r="B72" s="247"/>
      <c r="J72" s="247"/>
      <c r="K72" s="247"/>
      <c r="M72" s="249"/>
    </row>
    <row r="73">
      <c r="B73" s="247"/>
      <c r="J73" s="247"/>
      <c r="K73" s="247"/>
      <c r="M73" s="249"/>
    </row>
    <row r="74">
      <c r="B74" s="247"/>
      <c r="J74" s="247"/>
      <c r="K74" s="247"/>
      <c r="M74" s="249"/>
    </row>
    <row r="75">
      <c r="B75" s="247"/>
      <c r="J75" s="247"/>
      <c r="K75" s="247"/>
      <c r="M75" s="249"/>
    </row>
    <row r="76">
      <c r="B76" s="247"/>
      <c r="J76" s="247"/>
      <c r="K76" s="247"/>
      <c r="M76" s="249"/>
    </row>
    <row r="77">
      <c r="B77" s="247"/>
      <c r="J77" s="247"/>
      <c r="K77" s="247"/>
      <c r="M77" s="249"/>
    </row>
    <row r="78">
      <c r="B78" s="247"/>
      <c r="J78" s="247"/>
      <c r="K78" s="247"/>
      <c r="M78" s="249"/>
    </row>
    <row r="79">
      <c r="B79" s="247"/>
      <c r="J79" s="247"/>
      <c r="K79" s="247"/>
      <c r="M79" s="249"/>
    </row>
    <row r="80">
      <c r="B80" s="247"/>
      <c r="J80" s="247"/>
      <c r="K80" s="247"/>
      <c r="M80" s="249"/>
    </row>
    <row r="81">
      <c r="B81" s="247"/>
      <c r="J81" s="247"/>
      <c r="K81" s="247"/>
      <c r="M81" s="249"/>
    </row>
    <row r="82">
      <c r="B82" s="247"/>
      <c r="J82" s="247"/>
      <c r="K82" s="247"/>
      <c r="M82" s="249"/>
    </row>
    <row r="83">
      <c r="B83" s="247"/>
      <c r="J83" s="247"/>
      <c r="K83" s="247"/>
      <c r="M83" s="249"/>
    </row>
    <row r="84">
      <c r="B84" s="247"/>
      <c r="J84" s="247"/>
      <c r="K84" s="247"/>
      <c r="M84" s="249"/>
    </row>
    <row r="85">
      <c r="B85" s="247"/>
      <c r="J85" s="247"/>
      <c r="K85" s="247"/>
      <c r="M85" s="249"/>
    </row>
    <row r="86">
      <c r="B86" s="247"/>
      <c r="J86" s="247"/>
      <c r="K86" s="247"/>
      <c r="M86" s="249"/>
    </row>
    <row r="87">
      <c r="B87" s="247"/>
      <c r="J87" s="247"/>
      <c r="K87" s="247"/>
      <c r="M87" s="249"/>
    </row>
    <row r="88">
      <c r="B88" s="247"/>
      <c r="J88" s="247"/>
      <c r="K88" s="247"/>
      <c r="M88" s="249"/>
    </row>
    <row r="89">
      <c r="B89" s="247"/>
      <c r="J89" s="247"/>
      <c r="K89" s="247"/>
      <c r="M89" s="249"/>
    </row>
    <row r="90">
      <c r="B90" s="247"/>
      <c r="J90" s="247"/>
      <c r="K90" s="247"/>
      <c r="M90" s="249"/>
    </row>
    <row r="91">
      <c r="B91" s="247"/>
      <c r="J91" s="247"/>
      <c r="K91" s="247"/>
      <c r="M91" s="249"/>
    </row>
    <row r="92">
      <c r="B92" s="247"/>
      <c r="J92" s="247"/>
      <c r="K92" s="247"/>
      <c r="M92" s="249"/>
    </row>
    <row r="93">
      <c r="B93" s="247"/>
      <c r="J93" s="247"/>
      <c r="K93" s="247"/>
      <c r="M93" s="249"/>
    </row>
    <row r="94">
      <c r="B94" s="247"/>
      <c r="J94" s="247"/>
      <c r="K94" s="247"/>
      <c r="M94" s="249"/>
    </row>
    <row r="95">
      <c r="B95" s="247"/>
      <c r="J95" s="247"/>
      <c r="K95" s="247"/>
      <c r="M95" s="249"/>
    </row>
    <row r="96">
      <c r="B96" s="247"/>
      <c r="J96" s="247"/>
      <c r="K96" s="247"/>
      <c r="M96" s="249"/>
    </row>
    <row r="97">
      <c r="B97" s="247"/>
      <c r="J97" s="247"/>
      <c r="K97" s="247"/>
      <c r="M97" s="249"/>
    </row>
    <row r="98">
      <c r="B98" s="247"/>
      <c r="J98" s="247"/>
      <c r="K98" s="247"/>
      <c r="M98" s="249"/>
    </row>
    <row r="99">
      <c r="B99" s="247"/>
      <c r="J99" s="247"/>
      <c r="K99" s="247"/>
      <c r="M99" s="249"/>
    </row>
    <row r="100">
      <c r="B100" s="247"/>
      <c r="J100" s="247"/>
      <c r="K100" s="247"/>
      <c r="M100" s="249"/>
    </row>
    <row r="101">
      <c r="B101" s="247"/>
      <c r="J101" s="247"/>
      <c r="K101" s="247"/>
      <c r="M101" s="249"/>
    </row>
    <row r="102">
      <c r="B102" s="247"/>
      <c r="J102" s="247"/>
      <c r="K102" s="247"/>
      <c r="M102" s="249"/>
    </row>
    <row r="103">
      <c r="B103" s="247"/>
      <c r="J103" s="247"/>
      <c r="K103" s="247"/>
      <c r="M103" s="249"/>
    </row>
    <row r="104">
      <c r="B104" s="247"/>
      <c r="J104" s="247"/>
      <c r="K104" s="247"/>
      <c r="M104" s="249"/>
    </row>
    <row r="105">
      <c r="B105" s="247"/>
      <c r="J105" s="247"/>
      <c r="K105" s="247"/>
      <c r="M105" s="249"/>
    </row>
    <row r="106">
      <c r="B106" s="247"/>
      <c r="J106" s="247"/>
      <c r="K106" s="247"/>
      <c r="M106" s="249"/>
    </row>
    <row r="107">
      <c r="B107" s="247"/>
      <c r="J107" s="247"/>
      <c r="K107" s="247"/>
      <c r="M107" s="249"/>
    </row>
    <row r="108">
      <c r="B108" s="247"/>
      <c r="J108" s="247"/>
      <c r="K108" s="247"/>
      <c r="M108" s="249"/>
    </row>
    <row r="109">
      <c r="B109" s="247"/>
      <c r="J109" s="247"/>
      <c r="K109" s="247"/>
      <c r="M109" s="249"/>
    </row>
    <row r="110">
      <c r="B110" s="247"/>
      <c r="J110" s="247"/>
      <c r="K110" s="247"/>
      <c r="M110" s="249"/>
    </row>
    <row r="111">
      <c r="B111" s="247"/>
      <c r="J111" s="247"/>
      <c r="K111" s="247"/>
      <c r="M111" s="249"/>
    </row>
    <row r="112">
      <c r="B112" s="247"/>
      <c r="J112" s="247"/>
      <c r="K112" s="247"/>
      <c r="M112" s="249"/>
    </row>
    <row r="113">
      <c r="B113" s="247"/>
      <c r="J113" s="247"/>
      <c r="K113" s="247"/>
      <c r="M113" s="249"/>
    </row>
    <row r="114">
      <c r="B114" s="247"/>
      <c r="J114" s="247"/>
      <c r="K114" s="247"/>
      <c r="M114" s="249"/>
    </row>
    <row r="115">
      <c r="B115" s="247"/>
      <c r="J115" s="247"/>
      <c r="K115" s="247"/>
      <c r="M115" s="249"/>
    </row>
    <row r="116">
      <c r="B116" s="247"/>
      <c r="J116" s="247"/>
      <c r="K116" s="247"/>
      <c r="M116" s="249"/>
    </row>
    <row r="117">
      <c r="B117" s="247"/>
      <c r="J117" s="247"/>
      <c r="K117" s="247"/>
      <c r="M117" s="249"/>
    </row>
    <row r="118">
      <c r="B118" s="247"/>
      <c r="J118" s="247"/>
      <c r="K118" s="247"/>
      <c r="M118" s="249"/>
    </row>
    <row r="119">
      <c r="B119" s="247"/>
      <c r="J119" s="247"/>
      <c r="K119" s="247"/>
      <c r="M119" s="249"/>
    </row>
    <row r="120">
      <c r="B120" s="247"/>
      <c r="J120" s="247"/>
      <c r="K120" s="247"/>
      <c r="M120" s="249"/>
    </row>
    <row r="121">
      <c r="B121" s="247"/>
      <c r="J121" s="247"/>
      <c r="K121" s="247"/>
      <c r="M121" s="249"/>
    </row>
    <row r="122">
      <c r="B122" s="247"/>
      <c r="J122" s="247"/>
      <c r="K122" s="247"/>
      <c r="M122" s="249"/>
    </row>
    <row r="123">
      <c r="B123" s="247"/>
      <c r="J123" s="247"/>
      <c r="K123" s="247"/>
      <c r="M123" s="249"/>
    </row>
    <row r="124">
      <c r="B124" s="247"/>
      <c r="J124" s="247"/>
      <c r="K124" s="247"/>
      <c r="M124" s="249"/>
    </row>
    <row r="125">
      <c r="B125" s="247"/>
      <c r="J125" s="247"/>
      <c r="K125" s="247"/>
      <c r="M125" s="249"/>
    </row>
    <row r="126">
      <c r="B126" s="247"/>
      <c r="J126" s="247"/>
      <c r="K126" s="247"/>
      <c r="M126" s="249"/>
    </row>
    <row r="127">
      <c r="B127" s="247"/>
      <c r="J127" s="247"/>
      <c r="K127" s="247"/>
      <c r="M127" s="249"/>
    </row>
    <row r="128">
      <c r="B128" s="247"/>
      <c r="J128" s="247"/>
      <c r="K128" s="247"/>
      <c r="M128" s="249"/>
    </row>
    <row r="129">
      <c r="B129" s="247"/>
      <c r="J129" s="247"/>
      <c r="K129" s="247"/>
      <c r="M129" s="249"/>
    </row>
    <row r="130">
      <c r="B130" s="247"/>
      <c r="J130" s="247"/>
      <c r="K130" s="247"/>
      <c r="M130" s="249"/>
    </row>
    <row r="131">
      <c r="B131" s="247"/>
      <c r="J131" s="247"/>
      <c r="K131" s="247"/>
      <c r="M131" s="249"/>
    </row>
    <row r="132">
      <c r="B132" s="247"/>
      <c r="J132" s="247"/>
      <c r="K132" s="247"/>
      <c r="M132" s="249"/>
    </row>
    <row r="133">
      <c r="B133" s="247"/>
      <c r="J133" s="247"/>
      <c r="K133" s="247"/>
      <c r="M133" s="249"/>
    </row>
    <row r="134">
      <c r="B134" s="247"/>
      <c r="J134" s="247"/>
      <c r="K134" s="247"/>
      <c r="M134" s="249"/>
    </row>
    <row r="135">
      <c r="B135" s="247"/>
      <c r="J135" s="247"/>
      <c r="K135" s="247"/>
      <c r="M135" s="249"/>
    </row>
    <row r="136">
      <c r="B136" s="247"/>
      <c r="J136" s="247"/>
      <c r="K136" s="247"/>
      <c r="M136" s="249"/>
    </row>
    <row r="137">
      <c r="B137" s="247"/>
      <c r="J137" s="247"/>
      <c r="K137" s="247"/>
      <c r="M137" s="249"/>
    </row>
    <row r="138">
      <c r="B138" s="247"/>
      <c r="J138" s="247"/>
      <c r="K138" s="247"/>
      <c r="M138" s="249"/>
    </row>
    <row r="139">
      <c r="B139" s="247"/>
      <c r="J139" s="247"/>
      <c r="K139" s="247"/>
      <c r="M139" s="249"/>
    </row>
    <row r="140">
      <c r="B140" s="247"/>
      <c r="J140" s="247"/>
      <c r="K140" s="247"/>
      <c r="M140" s="249"/>
    </row>
    <row r="141">
      <c r="B141" s="247"/>
      <c r="J141" s="247"/>
      <c r="K141" s="247"/>
      <c r="M141" s="249"/>
    </row>
    <row r="142">
      <c r="B142" s="247"/>
      <c r="J142" s="247"/>
      <c r="K142" s="247"/>
      <c r="M142" s="249"/>
    </row>
    <row r="143">
      <c r="B143" s="247"/>
      <c r="J143" s="247"/>
      <c r="K143" s="247"/>
      <c r="M143" s="249"/>
    </row>
    <row r="144">
      <c r="B144" s="247"/>
      <c r="J144" s="247"/>
      <c r="K144" s="247"/>
      <c r="M144" s="249"/>
    </row>
    <row r="145">
      <c r="B145" s="247"/>
      <c r="J145" s="247"/>
      <c r="K145" s="247"/>
      <c r="M145" s="249"/>
    </row>
    <row r="146">
      <c r="B146" s="247"/>
      <c r="J146" s="247"/>
      <c r="K146" s="247"/>
      <c r="M146" s="249"/>
    </row>
    <row r="147">
      <c r="B147" s="247"/>
      <c r="J147" s="247"/>
      <c r="K147" s="247"/>
      <c r="M147" s="249"/>
    </row>
    <row r="148">
      <c r="B148" s="247"/>
      <c r="J148" s="247"/>
      <c r="K148" s="247"/>
      <c r="M148" s="249"/>
    </row>
    <row r="149">
      <c r="B149" s="247"/>
      <c r="J149" s="247"/>
      <c r="K149" s="247"/>
      <c r="M149" s="249"/>
    </row>
    <row r="150">
      <c r="B150" s="247"/>
      <c r="J150" s="247"/>
      <c r="K150" s="247"/>
      <c r="M150" s="249"/>
    </row>
    <row r="151">
      <c r="B151" s="247"/>
      <c r="J151" s="247"/>
      <c r="K151" s="247"/>
      <c r="M151" s="249"/>
    </row>
    <row r="152">
      <c r="B152" s="247"/>
      <c r="J152" s="247"/>
      <c r="K152" s="247"/>
      <c r="M152" s="249"/>
    </row>
    <row r="153">
      <c r="B153" s="247"/>
      <c r="J153" s="247"/>
      <c r="K153" s="247"/>
      <c r="M153" s="249"/>
    </row>
    <row r="154">
      <c r="B154" s="247"/>
      <c r="J154" s="247"/>
      <c r="K154" s="247"/>
      <c r="M154" s="249"/>
    </row>
    <row r="155">
      <c r="B155" s="247"/>
      <c r="J155" s="247"/>
      <c r="K155" s="247"/>
      <c r="M155" s="249"/>
    </row>
    <row r="156">
      <c r="B156" s="247"/>
      <c r="J156" s="247"/>
      <c r="K156" s="247"/>
      <c r="M156" s="249"/>
    </row>
    <row r="157">
      <c r="B157" s="247"/>
      <c r="J157" s="247"/>
      <c r="K157" s="247"/>
      <c r="M157" s="249"/>
    </row>
    <row r="158">
      <c r="B158" s="247"/>
      <c r="J158" s="247"/>
      <c r="K158" s="247"/>
      <c r="M158" s="249"/>
    </row>
    <row r="159">
      <c r="B159" s="247"/>
      <c r="J159" s="247"/>
      <c r="K159" s="247"/>
      <c r="M159" s="249"/>
    </row>
    <row r="160">
      <c r="B160" s="247"/>
      <c r="J160" s="247"/>
      <c r="K160" s="247"/>
      <c r="M160" s="249"/>
    </row>
    <row r="161">
      <c r="B161" s="247"/>
      <c r="J161" s="247"/>
      <c r="K161" s="247"/>
      <c r="M161" s="249"/>
    </row>
    <row r="162">
      <c r="B162" s="247"/>
      <c r="J162" s="247"/>
      <c r="K162" s="247"/>
      <c r="M162" s="249"/>
    </row>
    <row r="163">
      <c r="B163" s="247"/>
      <c r="J163" s="247"/>
      <c r="K163" s="247"/>
      <c r="M163" s="249"/>
    </row>
    <row r="164">
      <c r="B164" s="247"/>
      <c r="J164" s="247"/>
      <c r="K164" s="247"/>
      <c r="M164" s="249"/>
    </row>
    <row r="165">
      <c r="B165" s="247"/>
      <c r="J165" s="247"/>
      <c r="K165" s="247"/>
      <c r="M165" s="249"/>
    </row>
    <row r="166">
      <c r="B166" s="247"/>
      <c r="J166" s="247"/>
      <c r="K166" s="247"/>
      <c r="M166" s="249"/>
    </row>
    <row r="167">
      <c r="B167" s="247"/>
      <c r="J167" s="247"/>
      <c r="K167" s="247"/>
      <c r="M167" s="249"/>
    </row>
    <row r="168">
      <c r="B168" s="247"/>
      <c r="J168" s="247"/>
      <c r="K168" s="247"/>
      <c r="M168" s="249"/>
    </row>
    <row r="169">
      <c r="B169" s="247"/>
      <c r="J169" s="247"/>
      <c r="K169" s="247"/>
      <c r="M169" s="249"/>
    </row>
    <row r="170">
      <c r="B170" s="247"/>
      <c r="J170" s="247"/>
      <c r="K170" s="247"/>
      <c r="M170" s="249"/>
    </row>
    <row r="171">
      <c r="B171" s="247"/>
      <c r="J171" s="247"/>
      <c r="K171" s="247"/>
      <c r="M171" s="249"/>
    </row>
    <row r="172">
      <c r="B172" s="247"/>
      <c r="J172" s="247"/>
      <c r="K172" s="247"/>
      <c r="M172" s="249"/>
    </row>
    <row r="173">
      <c r="B173" s="247"/>
      <c r="J173" s="247"/>
      <c r="K173" s="247"/>
      <c r="M173" s="249"/>
    </row>
    <row r="174">
      <c r="B174" s="247"/>
      <c r="J174" s="247"/>
      <c r="K174" s="247"/>
      <c r="M174" s="249"/>
    </row>
    <row r="175">
      <c r="B175" s="247"/>
      <c r="J175" s="247"/>
      <c r="K175" s="247"/>
      <c r="M175" s="249"/>
    </row>
    <row r="176">
      <c r="B176" s="247"/>
      <c r="J176" s="247"/>
      <c r="K176" s="247"/>
      <c r="M176" s="249"/>
    </row>
    <row r="177">
      <c r="B177" s="247"/>
      <c r="J177" s="247"/>
      <c r="K177" s="247"/>
      <c r="M177" s="249"/>
    </row>
    <row r="178">
      <c r="B178" s="247"/>
      <c r="J178" s="247"/>
      <c r="K178" s="247"/>
      <c r="M178" s="249"/>
    </row>
    <row r="179">
      <c r="B179" s="247"/>
      <c r="J179" s="247"/>
      <c r="K179" s="247"/>
      <c r="M179" s="249"/>
    </row>
    <row r="180">
      <c r="B180" s="247"/>
      <c r="J180" s="247"/>
      <c r="K180" s="247"/>
      <c r="M180" s="249"/>
    </row>
    <row r="181">
      <c r="B181" s="247"/>
      <c r="J181" s="247"/>
      <c r="K181" s="247"/>
      <c r="M181" s="249"/>
    </row>
    <row r="182">
      <c r="B182" s="247"/>
      <c r="J182" s="247"/>
      <c r="K182" s="247"/>
      <c r="M182" s="249"/>
    </row>
    <row r="183">
      <c r="B183" s="247"/>
      <c r="J183" s="247"/>
      <c r="K183" s="247"/>
      <c r="M183" s="249"/>
    </row>
    <row r="184">
      <c r="B184" s="247"/>
      <c r="J184" s="247"/>
      <c r="K184" s="247"/>
      <c r="M184" s="249"/>
    </row>
    <row r="185">
      <c r="B185" s="247"/>
      <c r="J185" s="247"/>
      <c r="K185" s="247"/>
      <c r="M185" s="249"/>
    </row>
    <row r="186">
      <c r="B186" s="247"/>
      <c r="J186" s="247"/>
      <c r="K186" s="247"/>
      <c r="M186" s="249"/>
    </row>
    <row r="187">
      <c r="B187" s="247"/>
      <c r="J187" s="247"/>
      <c r="K187" s="247"/>
      <c r="M187" s="249"/>
    </row>
    <row r="188">
      <c r="B188" s="247"/>
      <c r="J188" s="247"/>
      <c r="K188" s="247"/>
      <c r="M188" s="249"/>
    </row>
    <row r="189">
      <c r="B189" s="247"/>
      <c r="J189" s="247"/>
      <c r="K189" s="247"/>
      <c r="M189" s="249"/>
    </row>
    <row r="190">
      <c r="B190" s="247"/>
      <c r="J190" s="247"/>
      <c r="K190" s="247"/>
      <c r="M190" s="249"/>
    </row>
    <row r="191">
      <c r="B191" s="247"/>
      <c r="J191" s="247"/>
      <c r="K191" s="247"/>
      <c r="M191" s="249"/>
    </row>
    <row r="192">
      <c r="B192" s="247"/>
      <c r="J192" s="247"/>
      <c r="K192" s="247"/>
      <c r="M192" s="249"/>
    </row>
    <row r="193">
      <c r="B193" s="247"/>
      <c r="J193" s="247"/>
      <c r="K193" s="247"/>
      <c r="M193" s="249"/>
    </row>
    <row r="194">
      <c r="B194" s="247"/>
      <c r="J194" s="247"/>
      <c r="K194" s="247"/>
      <c r="M194" s="249"/>
    </row>
    <row r="195">
      <c r="B195" s="247"/>
      <c r="J195" s="247"/>
      <c r="K195" s="247"/>
      <c r="M195" s="249"/>
    </row>
    <row r="196">
      <c r="B196" s="247"/>
      <c r="J196" s="247"/>
      <c r="K196" s="247"/>
      <c r="M196" s="249"/>
    </row>
    <row r="197">
      <c r="B197" s="247"/>
      <c r="J197" s="247"/>
      <c r="K197" s="247"/>
      <c r="M197" s="249"/>
    </row>
    <row r="198">
      <c r="B198" s="247"/>
      <c r="J198" s="247"/>
      <c r="K198" s="247"/>
      <c r="M198" s="249"/>
    </row>
    <row r="199">
      <c r="B199" s="247"/>
      <c r="J199" s="247"/>
      <c r="K199" s="247"/>
      <c r="M199" s="249"/>
    </row>
    <row r="200">
      <c r="B200" s="247"/>
      <c r="J200" s="247"/>
      <c r="K200" s="247"/>
      <c r="M200" s="249"/>
    </row>
    <row r="201">
      <c r="B201" s="247"/>
      <c r="J201" s="247"/>
      <c r="K201" s="247"/>
      <c r="M201" s="249"/>
    </row>
    <row r="202">
      <c r="B202" s="247"/>
      <c r="J202" s="247"/>
      <c r="K202" s="247"/>
      <c r="M202" s="249"/>
    </row>
    <row r="203">
      <c r="B203" s="247"/>
      <c r="J203" s="247"/>
      <c r="K203" s="247"/>
      <c r="M203" s="249"/>
    </row>
    <row r="204">
      <c r="B204" s="247"/>
      <c r="J204" s="247"/>
      <c r="K204" s="247"/>
      <c r="M204" s="249"/>
    </row>
    <row r="205">
      <c r="B205" s="247"/>
      <c r="J205" s="247"/>
      <c r="K205" s="247"/>
      <c r="M205" s="249"/>
    </row>
    <row r="206">
      <c r="B206" s="247"/>
      <c r="J206" s="247"/>
      <c r="K206" s="247"/>
      <c r="M206" s="249"/>
    </row>
    <row r="207">
      <c r="B207" s="247"/>
      <c r="J207" s="247"/>
      <c r="K207" s="247"/>
      <c r="M207" s="249"/>
    </row>
    <row r="208">
      <c r="B208" s="247"/>
      <c r="J208" s="247"/>
      <c r="K208" s="247"/>
      <c r="M208" s="249"/>
    </row>
    <row r="209">
      <c r="B209" s="247"/>
      <c r="J209" s="247"/>
      <c r="K209" s="247"/>
      <c r="M209" s="249"/>
    </row>
    <row r="210">
      <c r="B210" s="247"/>
      <c r="J210" s="247"/>
      <c r="K210" s="247"/>
      <c r="M210" s="249"/>
    </row>
    <row r="211">
      <c r="B211" s="247"/>
      <c r="J211" s="247"/>
      <c r="K211" s="247"/>
      <c r="M211" s="249"/>
    </row>
    <row r="212">
      <c r="B212" s="247"/>
      <c r="J212" s="247"/>
      <c r="K212" s="247"/>
      <c r="M212" s="249"/>
    </row>
    <row r="213">
      <c r="B213" s="247"/>
      <c r="J213" s="247"/>
      <c r="K213" s="247"/>
      <c r="M213" s="249"/>
    </row>
    <row r="214">
      <c r="B214" s="247"/>
      <c r="J214" s="247"/>
      <c r="K214" s="247"/>
      <c r="M214" s="249"/>
    </row>
    <row r="215">
      <c r="B215" s="247"/>
      <c r="J215" s="247"/>
      <c r="K215" s="247"/>
      <c r="M215" s="249"/>
    </row>
    <row r="216">
      <c r="B216" s="247"/>
      <c r="J216" s="247"/>
      <c r="K216" s="247"/>
      <c r="M216" s="249"/>
    </row>
    <row r="217">
      <c r="B217" s="247"/>
      <c r="J217" s="247"/>
      <c r="K217" s="247"/>
      <c r="M217" s="249"/>
    </row>
    <row r="218">
      <c r="B218" s="247"/>
      <c r="J218" s="247"/>
      <c r="K218" s="247"/>
      <c r="M218" s="249"/>
    </row>
    <row r="219">
      <c r="B219" s="247"/>
      <c r="J219" s="247"/>
      <c r="K219" s="247"/>
      <c r="M219" s="249"/>
    </row>
    <row r="220">
      <c r="B220" s="247"/>
      <c r="J220" s="247"/>
      <c r="K220" s="247"/>
      <c r="M220" s="249"/>
    </row>
    <row r="221">
      <c r="B221" s="247"/>
      <c r="J221" s="247"/>
      <c r="K221" s="247"/>
      <c r="M221" s="249"/>
    </row>
    <row r="222">
      <c r="B222" s="247"/>
      <c r="J222" s="247"/>
      <c r="K222" s="247"/>
      <c r="M222" s="249"/>
    </row>
    <row r="223">
      <c r="B223" s="247"/>
      <c r="J223" s="247"/>
      <c r="K223" s="247"/>
      <c r="M223" s="249"/>
    </row>
    <row r="224">
      <c r="B224" s="247"/>
      <c r="J224" s="247"/>
      <c r="K224" s="247"/>
      <c r="M224" s="249"/>
    </row>
    <row r="225">
      <c r="B225" s="247"/>
      <c r="J225" s="247"/>
      <c r="K225" s="247"/>
      <c r="M225" s="249"/>
    </row>
    <row r="226">
      <c r="B226" s="247"/>
      <c r="J226" s="247"/>
      <c r="K226" s="247"/>
      <c r="M226" s="249"/>
    </row>
    <row r="227">
      <c r="B227" s="247"/>
      <c r="J227" s="247"/>
      <c r="K227" s="247"/>
      <c r="M227" s="249"/>
    </row>
    <row r="228">
      <c r="B228" s="247"/>
      <c r="J228" s="247"/>
      <c r="K228" s="247"/>
      <c r="M228" s="249"/>
    </row>
    <row r="229">
      <c r="B229" s="247"/>
      <c r="J229" s="247"/>
      <c r="K229" s="247"/>
      <c r="M229" s="249"/>
    </row>
    <row r="230">
      <c r="B230" s="247"/>
      <c r="J230" s="247"/>
      <c r="K230" s="247"/>
      <c r="M230" s="249"/>
    </row>
    <row r="231">
      <c r="B231" s="247"/>
      <c r="J231" s="247"/>
      <c r="K231" s="247"/>
      <c r="M231" s="249"/>
    </row>
    <row r="232">
      <c r="B232" s="247"/>
      <c r="J232" s="247"/>
      <c r="K232" s="247"/>
      <c r="M232" s="249"/>
    </row>
    <row r="233">
      <c r="B233" s="247"/>
      <c r="J233" s="247"/>
      <c r="K233" s="247"/>
      <c r="M233" s="249"/>
    </row>
    <row r="234">
      <c r="B234" s="247"/>
      <c r="J234" s="247"/>
      <c r="K234" s="247"/>
      <c r="M234" s="249"/>
    </row>
    <row r="235">
      <c r="B235" s="247"/>
      <c r="J235" s="247"/>
      <c r="K235" s="247"/>
      <c r="M235" s="249"/>
    </row>
    <row r="236">
      <c r="B236" s="247"/>
      <c r="J236" s="247"/>
      <c r="K236" s="247"/>
      <c r="M236" s="249"/>
    </row>
    <row r="237">
      <c r="B237" s="247"/>
      <c r="J237" s="247"/>
      <c r="K237" s="247"/>
      <c r="M237" s="249"/>
    </row>
    <row r="238">
      <c r="B238" s="247"/>
      <c r="J238" s="247"/>
      <c r="K238" s="247"/>
      <c r="M238" s="249"/>
    </row>
    <row r="239">
      <c r="B239" s="247"/>
      <c r="J239" s="247"/>
      <c r="K239" s="247"/>
      <c r="M239" s="249"/>
    </row>
    <row r="240">
      <c r="B240" s="247"/>
      <c r="J240" s="247"/>
      <c r="K240" s="247"/>
      <c r="M240" s="249"/>
    </row>
    <row r="241">
      <c r="B241" s="247"/>
      <c r="J241" s="247"/>
      <c r="K241" s="247"/>
      <c r="M241" s="249"/>
    </row>
    <row r="242">
      <c r="B242" s="247"/>
      <c r="J242" s="247"/>
      <c r="K242" s="247"/>
      <c r="M242" s="249"/>
    </row>
    <row r="243">
      <c r="B243" s="247"/>
      <c r="J243" s="247"/>
      <c r="K243" s="247"/>
      <c r="M243" s="249"/>
    </row>
    <row r="244">
      <c r="B244" s="247"/>
      <c r="J244" s="247"/>
      <c r="K244" s="247"/>
      <c r="M244" s="249"/>
    </row>
    <row r="245">
      <c r="B245" s="247"/>
      <c r="J245" s="247"/>
      <c r="K245" s="247"/>
      <c r="M245" s="249"/>
    </row>
    <row r="246">
      <c r="B246" s="247"/>
      <c r="J246" s="247"/>
      <c r="K246" s="247"/>
      <c r="M246" s="249"/>
    </row>
    <row r="247">
      <c r="B247" s="247"/>
      <c r="J247" s="247"/>
      <c r="K247" s="247"/>
      <c r="M247" s="249"/>
    </row>
    <row r="248">
      <c r="B248" s="247"/>
      <c r="J248" s="247"/>
      <c r="K248" s="247"/>
      <c r="M248" s="249"/>
    </row>
    <row r="249">
      <c r="B249" s="247"/>
      <c r="J249" s="247"/>
      <c r="K249" s="247"/>
      <c r="M249" s="249"/>
    </row>
    <row r="250">
      <c r="B250" s="247"/>
      <c r="J250" s="247"/>
      <c r="K250" s="247"/>
      <c r="M250" s="249"/>
    </row>
    <row r="251">
      <c r="B251" s="247"/>
      <c r="J251" s="247"/>
      <c r="K251" s="247"/>
      <c r="M251" s="249"/>
    </row>
    <row r="252">
      <c r="B252" s="247"/>
      <c r="J252" s="247"/>
      <c r="K252" s="247"/>
      <c r="M252" s="249"/>
    </row>
    <row r="253">
      <c r="B253" s="247"/>
      <c r="J253" s="247"/>
      <c r="K253" s="247"/>
      <c r="M253" s="249"/>
    </row>
    <row r="254">
      <c r="B254" s="247"/>
      <c r="J254" s="247"/>
      <c r="K254" s="247"/>
      <c r="M254" s="249"/>
    </row>
    <row r="255">
      <c r="B255" s="247"/>
      <c r="J255" s="247"/>
      <c r="K255" s="247"/>
      <c r="M255" s="249"/>
    </row>
    <row r="256">
      <c r="B256" s="247"/>
      <c r="J256" s="247"/>
      <c r="K256" s="247"/>
      <c r="M256" s="249"/>
    </row>
    <row r="257">
      <c r="B257" s="247"/>
      <c r="J257" s="247"/>
      <c r="K257" s="247"/>
      <c r="M257" s="249"/>
    </row>
    <row r="258">
      <c r="B258" s="247"/>
      <c r="J258" s="247"/>
      <c r="K258" s="247"/>
      <c r="M258" s="249"/>
    </row>
    <row r="259">
      <c r="B259" s="247"/>
      <c r="J259" s="247"/>
      <c r="K259" s="247"/>
      <c r="M259" s="249"/>
    </row>
    <row r="260">
      <c r="B260" s="247"/>
      <c r="J260" s="247"/>
      <c r="K260" s="247"/>
      <c r="M260" s="249"/>
    </row>
    <row r="261">
      <c r="B261" s="247"/>
      <c r="J261" s="247"/>
      <c r="K261" s="247"/>
      <c r="M261" s="249"/>
    </row>
    <row r="262">
      <c r="B262" s="247"/>
      <c r="J262" s="247"/>
      <c r="K262" s="247"/>
      <c r="M262" s="249"/>
    </row>
    <row r="263">
      <c r="B263" s="247"/>
      <c r="J263" s="247"/>
      <c r="K263" s="247"/>
      <c r="M263" s="249"/>
    </row>
    <row r="264">
      <c r="B264" s="247"/>
      <c r="J264" s="247"/>
      <c r="K264" s="247"/>
      <c r="M264" s="249"/>
    </row>
    <row r="265">
      <c r="B265" s="247"/>
      <c r="J265" s="247"/>
      <c r="K265" s="247"/>
      <c r="M265" s="249"/>
    </row>
    <row r="266">
      <c r="B266" s="247"/>
      <c r="J266" s="247"/>
      <c r="K266" s="247"/>
      <c r="M266" s="249"/>
    </row>
    <row r="267">
      <c r="B267" s="247"/>
      <c r="J267" s="247"/>
      <c r="K267" s="247"/>
      <c r="M267" s="249"/>
    </row>
    <row r="268">
      <c r="B268" s="247"/>
      <c r="J268" s="247"/>
      <c r="K268" s="247"/>
      <c r="M268" s="249"/>
    </row>
    <row r="269">
      <c r="B269" s="247"/>
      <c r="J269" s="247"/>
      <c r="K269" s="247"/>
      <c r="M269" s="249"/>
    </row>
    <row r="270">
      <c r="B270" s="247"/>
      <c r="J270" s="247"/>
      <c r="K270" s="247"/>
      <c r="M270" s="249"/>
    </row>
    <row r="271">
      <c r="B271" s="247"/>
      <c r="J271" s="247"/>
      <c r="K271" s="247"/>
      <c r="M271" s="249"/>
    </row>
    <row r="272">
      <c r="B272" s="247"/>
      <c r="J272" s="247"/>
      <c r="K272" s="247"/>
      <c r="M272" s="249"/>
    </row>
    <row r="273">
      <c r="B273" s="247"/>
      <c r="J273" s="247"/>
      <c r="K273" s="247"/>
      <c r="M273" s="249"/>
    </row>
    <row r="274">
      <c r="B274" s="247"/>
      <c r="J274" s="247"/>
      <c r="K274" s="247"/>
      <c r="M274" s="249"/>
    </row>
    <row r="275">
      <c r="B275" s="247"/>
      <c r="J275" s="247"/>
      <c r="K275" s="247"/>
      <c r="M275" s="249"/>
    </row>
    <row r="276">
      <c r="B276" s="247"/>
      <c r="J276" s="247"/>
      <c r="K276" s="247"/>
      <c r="M276" s="249"/>
    </row>
    <row r="277">
      <c r="B277" s="247"/>
      <c r="J277" s="247"/>
      <c r="K277" s="247"/>
      <c r="M277" s="249"/>
    </row>
    <row r="278">
      <c r="B278" s="247"/>
      <c r="J278" s="247"/>
      <c r="K278" s="247"/>
      <c r="M278" s="249"/>
    </row>
    <row r="279">
      <c r="B279" s="247"/>
      <c r="J279" s="247"/>
      <c r="K279" s="247"/>
      <c r="M279" s="249"/>
    </row>
    <row r="280">
      <c r="B280" s="247"/>
      <c r="J280" s="247"/>
      <c r="K280" s="247"/>
      <c r="M280" s="249"/>
    </row>
    <row r="281">
      <c r="B281" s="247"/>
      <c r="J281" s="247"/>
      <c r="K281" s="247"/>
      <c r="M281" s="249"/>
    </row>
    <row r="282">
      <c r="B282" s="247"/>
      <c r="J282" s="247"/>
      <c r="K282" s="247"/>
      <c r="M282" s="249"/>
    </row>
    <row r="283">
      <c r="B283" s="247"/>
      <c r="J283" s="247"/>
      <c r="K283" s="247"/>
      <c r="M283" s="249"/>
    </row>
    <row r="284">
      <c r="B284" s="247"/>
      <c r="J284" s="247"/>
      <c r="K284" s="247"/>
      <c r="M284" s="249"/>
    </row>
    <row r="285">
      <c r="B285" s="247"/>
      <c r="J285" s="247"/>
      <c r="K285" s="247"/>
      <c r="M285" s="249"/>
    </row>
    <row r="286">
      <c r="B286" s="247"/>
      <c r="J286" s="247"/>
      <c r="K286" s="247"/>
      <c r="M286" s="249"/>
    </row>
    <row r="287">
      <c r="B287" s="247"/>
      <c r="J287" s="247"/>
      <c r="K287" s="247"/>
      <c r="M287" s="249"/>
    </row>
    <row r="288">
      <c r="B288" s="247"/>
      <c r="J288" s="247"/>
      <c r="K288" s="247"/>
      <c r="M288" s="249"/>
    </row>
    <row r="289">
      <c r="B289" s="247"/>
      <c r="J289" s="247"/>
      <c r="K289" s="247"/>
      <c r="M289" s="249"/>
    </row>
    <row r="290">
      <c r="B290" s="247"/>
      <c r="J290" s="247"/>
      <c r="K290" s="247"/>
      <c r="M290" s="249"/>
    </row>
    <row r="291">
      <c r="B291" s="247"/>
      <c r="J291" s="247"/>
      <c r="K291" s="247"/>
      <c r="M291" s="249"/>
    </row>
    <row r="292">
      <c r="B292" s="247"/>
      <c r="J292" s="247"/>
      <c r="K292" s="247"/>
      <c r="M292" s="249"/>
    </row>
    <row r="293">
      <c r="B293" s="247"/>
      <c r="J293" s="247"/>
      <c r="K293" s="247"/>
      <c r="M293" s="249"/>
    </row>
    <row r="294">
      <c r="B294" s="247"/>
      <c r="J294" s="247"/>
      <c r="K294" s="247"/>
      <c r="M294" s="249"/>
    </row>
    <row r="295">
      <c r="B295" s="247"/>
      <c r="J295" s="247"/>
      <c r="K295" s="247"/>
      <c r="M295" s="249"/>
    </row>
    <row r="296">
      <c r="B296" s="247"/>
      <c r="J296" s="247"/>
      <c r="K296" s="247"/>
      <c r="M296" s="249"/>
    </row>
    <row r="297">
      <c r="B297" s="247"/>
      <c r="J297" s="247"/>
      <c r="K297" s="247"/>
      <c r="M297" s="249"/>
    </row>
    <row r="298">
      <c r="B298" s="247"/>
      <c r="J298" s="247"/>
      <c r="K298" s="247"/>
      <c r="M298" s="249"/>
    </row>
    <row r="299">
      <c r="B299" s="247"/>
      <c r="J299" s="247"/>
      <c r="K299" s="247"/>
      <c r="M299" s="249"/>
    </row>
    <row r="300">
      <c r="B300" s="247"/>
      <c r="J300" s="247"/>
      <c r="K300" s="247"/>
      <c r="M300" s="249"/>
    </row>
    <row r="301">
      <c r="B301" s="247"/>
      <c r="J301" s="247"/>
      <c r="K301" s="247"/>
      <c r="M301" s="249"/>
    </row>
    <row r="302">
      <c r="B302" s="247"/>
      <c r="J302" s="247"/>
      <c r="K302" s="247"/>
      <c r="M302" s="249"/>
    </row>
    <row r="303">
      <c r="B303" s="247"/>
      <c r="J303" s="247"/>
      <c r="K303" s="247"/>
      <c r="M303" s="249"/>
    </row>
    <row r="304">
      <c r="B304" s="247"/>
      <c r="J304" s="247"/>
      <c r="K304" s="247"/>
      <c r="M304" s="249"/>
    </row>
    <row r="305">
      <c r="B305" s="247"/>
      <c r="J305" s="247"/>
      <c r="K305" s="247"/>
      <c r="M305" s="249"/>
    </row>
    <row r="306">
      <c r="B306" s="247"/>
      <c r="J306" s="247"/>
      <c r="K306" s="247"/>
      <c r="M306" s="249"/>
    </row>
    <row r="307">
      <c r="B307" s="247"/>
      <c r="J307" s="247"/>
      <c r="K307" s="247"/>
      <c r="M307" s="249"/>
    </row>
    <row r="308">
      <c r="B308" s="247"/>
      <c r="J308" s="247"/>
      <c r="K308" s="247"/>
      <c r="M308" s="249"/>
    </row>
    <row r="309">
      <c r="B309" s="247"/>
      <c r="J309" s="247"/>
      <c r="K309" s="247"/>
      <c r="M309" s="249"/>
    </row>
    <row r="310">
      <c r="B310" s="247"/>
      <c r="J310" s="247"/>
      <c r="K310" s="247"/>
      <c r="M310" s="249"/>
    </row>
    <row r="311">
      <c r="B311" s="247"/>
      <c r="J311" s="247"/>
      <c r="K311" s="247"/>
      <c r="M311" s="249"/>
    </row>
    <row r="312">
      <c r="B312" s="247"/>
      <c r="J312" s="247"/>
      <c r="K312" s="247"/>
      <c r="M312" s="249"/>
    </row>
    <row r="313">
      <c r="B313" s="247"/>
      <c r="J313" s="247"/>
      <c r="K313" s="247"/>
      <c r="M313" s="249"/>
    </row>
    <row r="314">
      <c r="B314" s="247"/>
      <c r="J314" s="247"/>
      <c r="K314" s="247"/>
      <c r="M314" s="249"/>
    </row>
    <row r="315">
      <c r="B315" s="247"/>
      <c r="J315" s="247"/>
      <c r="K315" s="247"/>
      <c r="M315" s="249"/>
    </row>
    <row r="316">
      <c r="B316" s="247"/>
      <c r="J316" s="247"/>
      <c r="K316" s="247"/>
      <c r="M316" s="249"/>
    </row>
    <row r="317">
      <c r="B317" s="247"/>
      <c r="J317" s="247"/>
      <c r="K317" s="247"/>
      <c r="M317" s="249"/>
    </row>
    <row r="318">
      <c r="B318" s="247"/>
      <c r="J318" s="247"/>
      <c r="K318" s="247"/>
      <c r="M318" s="249"/>
    </row>
    <row r="319">
      <c r="B319" s="247"/>
      <c r="J319" s="247"/>
      <c r="K319" s="247"/>
      <c r="M319" s="249"/>
    </row>
    <row r="320">
      <c r="B320" s="247"/>
      <c r="J320" s="247"/>
      <c r="K320" s="247"/>
      <c r="M320" s="249"/>
    </row>
    <row r="321">
      <c r="B321" s="247"/>
      <c r="J321" s="247"/>
      <c r="K321" s="247"/>
      <c r="M321" s="249"/>
    </row>
    <row r="322">
      <c r="B322" s="247"/>
      <c r="J322" s="247"/>
      <c r="K322" s="247"/>
      <c r="M322" s="249"/>
    </row>
    <row r="323">
      <c r="B323" s="247"/>
      <c r="J323" s="247"/>
      <c r="K323" s="247"/>
      <c r="M323" s="249"/>
    </row>
    <row r="324">
      <c r="B324" s="247"/>
      <c r="J324" s="247"/>
      <c r="K324" s="247"/>
      <c r="M324" s="249"/>
    </row>
    <row r="325">
      <c r="B325" s="247"/>
      <c r="J325" s="247"/>
      <c r="K325" s="247"/>
      <c r="M325" s="249"/>
    </row>
    <row r="326">
      <c r="B326" s="247"/>
      <c r="J326" s="247"/>
      <c r="K326" s="247"/>
      <c r="M326" s="249"/>
    </row>
    <row r="327">
      <c r="B327" s="247"/>
      <c r="J327" s="247"/>
      <c r="K327" s="247"/>
      <c r="M327" s="249"/>
    </row>
    <row r="328">
      <c r="B328" s="247"/>
      <c r="J328" s="247"/>
      <c r="K328" s="247"/>
      <c r="M328" s="249"/>
    </row>
    <row r="329">
      <c r="B329" s="247"/>
      <c r="J329" s="247"/>
      <c r="K329" s="247"/>
      <c r="M329" s="249"/>
    </row>
    <row r="330">
      <c r="B330" s="247"/>
      <c r="J330" s="247"/>
      <c r="K330" s="247"/>
      <c r="M330" s="249"/>
    </row>
    <row r="331">
      <c r="B331" s="247"/>
      <c r="J331" s="247"/>
      <c r="K331" s="247"/>
      <c r="M331" s="249"/>
    </row>
    <row r="332">
      <c r="B332" s="247"/>
      <c r="J332" s="247"/>
      <c r="K332" s="247"/>
      <c r="M332" s="249"/>
    </row>
    <row r="333">
      <c r="B333" s="247"/>
      <c r="J333" s="247"/>
      <c r="K333" s="247"/>
      <c r="M333" s="249"/>
    </row>
    <row r="334">
      <c r="B334" s="247"/>
      <c r="J334" s="247"/>
      <c r="K334" s="247"/>
      <c r="M334" s="249"/>
    </row>
    <row r="335">
      <c r="B335" s="247"/>
      <c r="J335" s="247"/>
      <c r="K335" s="247"/>
      <c r="M335" s="249"/>
    </row>
    <row r="336">
      <c r="B336" s="247"/>
      <c r="J336" s="247"/>
      <c r="K336" s="247"/>
      <c r="M336" s="249"/>
    </row>
    <row r="337">
      <c r="B337" s="247"/>
      <c r="J337" s="247"/>
      <c r="K337" s="247"/>
      <c r="M337" s="249"/>
    </row>
    <row r="338">
      <c r="B338" s="247"/>
      <c r="J338" s="247"/>
      <c r="K338" s="247"/>
      <c r="M338" s="249"/>
    </row>
    <row r="339">
      <c r="B339" s="247"/>
      <c r="J339" s="247"/>
      <c r="K339" s="247"/>
      <c r="M339" s="249"/>
    </row>
    <row r="340">
      <c r="B340" s="247"/>
      <c r="J340" s="247"/>
      <c r="K340" s="247"/>
      <c r="M340" s="249"/>
    </row>
    <row r="341">
      <c r="B341" s="247"/>
      <c r="J341" s="247"/>
      <c r="K341" s="247"/>
      <c r="M341" s="249"/>
    </row>
    <row r="342">
      <c r="B342" s="247"/>
      <c r="J342" s="247"/>
      <c r="K342" s="247"/>
      <c r="M342" s="249"/>
    </row>
    <row r="343">
      <c r="B343" s="247"/>
      <c r="J343" s="247"/>
      <c r="K343" s="247"/>
      <c r="M343" s="249"/>
    </row>
    <row r="344">
      <c r="B344" s="247"/>
      <c r="J344" s="247"/>
      <c r="K344" s="247"/>
      <c r="M344" s="249"/>
    </row>
    <row r="345">
      <c r="B345" s="247"/>
      <c r="J345" s="247"/>
      <c r="K345" s="247"/>
      <c r="M345" s="249"/>
    </row>
    <row r="346">
      <c r="B346" s="247"/>
      <c r="J346" s="247"/>
      <c r="K346" s="247"/>
      <c r="M346" s="249"/>
    </row>
    <row r="347">
      <c r="B347" s="247"/>
      <c r="J347" s="247"/>
      <c r="K347" s="247"/>
      <c r="M347" s="249"/>
    </row>
    <row r="348">
      <c r="B348" s="247"/>
      <c r="J348" s="247"/>
      <c r="K348" s="247"/>
      <c r="M348" s="249"/>
    </row>
    <row r="349">
      <c r="B349" s="247"/>
      <c r="J349" s="247"/>
      <c r="K349" s="247"/>
      <c r="M349" s="249"/>
    </row>
    <row r="350">
      <c r="B350" s="247"/>
      <c r="J350" s="247"/>
      <c r="K350" s="247"/>
      <c r="M350" s="249"/>
    </row>
    <row r="351">
      <c r="B351" s="247"/>
      <c r="J351" s="247"/>
      <c r="K351" s="247"/>
      <c r="M351" s="249"/>
    </row>
    <row r="352">
      <c r="B352" s="247"/>
      <c r="J352" s="247"/>
      <c r="K352" s="247"/>
      <c r="M352" s="249"/>
    </row>
    <row r="353">
      <c r="B353" s="247"/>
      <c r="J353" s="247"/>
      <c r="K353" s="247"/>
      <c r="M353" s="249"/>
    </row>
    <row r="354">
      <c r="B354" s="247"/>
      <c r="J354" s="247"/>
      <c r="K354" s="247"/>
      <c r="M354" s="249"/>
    </row>
    <row r="355">
      <c r="B355" s="247"/>
      <c r="J355" s="247"/>
      <c r="K355" s="247"/>
      <c r="M355" s="249"/>
    </row>
    <row r="356">
      <c r="B356" s="247"/>
      <c r="J356" s="247"/>
      <c r="K356" s="247"/>
      <c r="M356" s="249"/>
    </row>
    <row r="357">
      <c r="B357" s="247"/>
      <c r="J357" s="247"/>
      <c r="K357" s="247"/>
      <c r="M357" s="249"/>
    </row>
    <row r="358">
      <c r="B358" s="247"/>
      <c r="J358" s="247"/>
      <c r="K358" s="247"/>
      <c r="M358" s="249"/>
    </row>
    <row r="359">
      <c r="B359" s="247"/>
      <c r="J359" s="247"/>
      <c r="K359" s="247"/>
      <c r="M359" s="249"/>
    </row>
    <row r="360">
      <c r="B360" s="247"/>
      <c r="J360" s="247"/>
      <c r="K360" s="247"/>
      <c r="M360" s="249"/>
    </row>
    <row r="361">
      <c r="B361" s="247"/>
      <c r="J361" s="247"/>
      <c r="K361" s="247"/>
      <c r="M361" s="249"/>
    </row>
    <row r="362">
      <c r="B362" s="247"/>
      <c r="J362" s="247"/>
      <c r="K362" s="247"/>
      <c r="M362" s="249"/>
    </row>
    <row r="363">
      <c r="B363" s="247"/>
      <c r="J363" s="247"/>
      <c r="K363" s="247"/>
      <c r="M363" s="249"/>
    </row>
    <row r="364">
      <c r="B364" s="247"/>
      <c r="J364" s="247"/>
      <c r="K364" s="247"/>
      <c r="M364" s="249"/>
    </row>
    <row r="365">
      <c r="B365" s="247"/>
      <c r="J365" s="247"/>
      <c r="K365" s="247"/>
      <c r="M365" s="249"/>
    </row>
    <row r="366">
      <c r="B366" s="247"/>
      <c r="J366" s="247"/>
      <c r="K366" s="247"/>
      <c r="M366" s="249"/>
    </row>
    <row r="367">
      <c r="B367" s="247"/>
      <c r="J367" s="247"/>
      <c r="K367" s="247"/>
      <c r="M367" s="249"/>
    </row>
    <row r="368">
      <c r="B368" s="247"/>
      <c r="J368" s="247"/>
      <c r="K368" s="247"/>
      <c r="M368" s="249"/>
    </row>
    <row r="369">
      <c r="B369" s="247"/>
      <c r="J369" s="247"/>
      <c r="K369" s="247"/>
      <c r="M369" s="249"/>
    </row>
    <row r="370">
      <c r="B370" s="247"/>
      <c r="J370" s="247"/>
      <c r="K370" s="247"/>
      <c r="M370" s="249"/>
    </row>
    <row r="371">
      <c r="B371" s="247"/>
      <c r="J371" s="247"/>
      <c r="K371" s="247"/>
      <c r="M371" s="249"/>
    </row>
    <row r="372">
      <c r="B372" s="247"/>
      <c r="J372" s="247"/>
      <c r="K372" s="247"/>
      <c r="M372" s="249"/>
    </row>
    <row r="373">
      <c r="B373" s="247"/>
      <c r="J373" s="247"/>
      <c r="K373" s="247"/>
      <c r="M373" s="249"/>
    </row>
    <row r="374">
      <c r="B374" s="247"/>
      <c r="J374" s="247"/>
      <c r="K374" s="247"/>
      <c r="M374" s="249"/>
    </row>
    <row r="375">
      <c r="B375" s="247"/>
      <c r="J375" s="247"/>
      <c r="K375" s="247"/>
      <c r="M375" s="249"/>
    </row>
    <row r="376">
      <c r="B376" s="247"/>
      <c r="J376" s="247"/>
      <c r="K376" s="247"/>
      <c r="M376" s="249"/>
    </row>
    <row r="377">
      <c r="B377" s="247"/>
      <c r="J377" s="247"/>
      <c r="K377" s="247"/>
      <c r="M377" s="249"/>
    </row>
    <row r="378">
      <c r="B378" s="247"/>
      <c r="J378" s="247"/>
      <c r="K378" s="247"/>
      <c r="M378" s="249"/>
    </row>
    <row r="379">
      <c r="B379" s="247"/>
      <c r="J379" s="247"/>
      <c r="K379" s="247"/>
      <c r="M379" s="249"/>
    </row>
    <row r="380">
      <c r="B380" s="247"/>
      <c r="J380" s="247"/>
      <c r="K380" s="247"/>
      <c r="M380" s="249"/>
    </row>
    <row r="381">
      <c r="B381" s="247"/>
      <c r="J381" s="247"/>
      <c r="K381" s="247"/>
      <c r="M381" s="249"/>
    </row>
    <row r="382">
      <c r="B382" s="247"/>
      <c r="J382" s="247"/>
      <c r="K382" s="247"/>
      <c r="M382" s="249"/>
    </row>
    <row r="383">
      <c r="B383" s="247"/>
      <c r="J383" s="247"/>
      <c r="K383" s="247"/>
      <c r="M383" s="249"/>
    </row>
    <row r="384">
      <c r="B384" s="247"/>
      <c r="J384" s="247"/>
      <c r="K384" s="247"/>
      <c r="M384" s="249"/>
    </row>
    <row r="385">
      <c r="B385" s="247"/>
      <c r="J385" s="247"/>
      <c r="K385" s="247"/>
      <c r="M385" s="249"/>
    </row>
    <row r="386">
      <c r="B386" s="247"/>
      <c r="J386" s="247"/>
      <c r="K386" s="247"/>
      <c r="M386" s="249"/>
    </row>
    <row r="387">
      <c r="B387" s="247"/>
      <c r="J387" s="247"/>
      <c r="K387" s="247"/>
      <c r="M387" s="249"/>
    </row>
    <row r="388">
      <c r="B388" s="247"/>
      <c r="J388" s="247"/>
      <c r="K388" s="247"/>
      <c r="M388" s="249"/>
    </row>
    <row r="389">
      <c r="B389" s="247"/>
      <c r="J389" s="247"/>
      <c r="K389" s="247"/>
      <c r="M389" s="249"/>
    </row>
    <row r="390">
      <c r="B390" s="247"/>
      <c r="J390" s="247"/>
      <c r="K390" s="247"/>
      <c r="M390" s="249"/>
    </row>
    <row r="391">
      <c r="B391" s="247"/>
      <c r="J391" s="247"/>
      <c r="K391" s="247"/>
      <c r="M391" s="249"/>
    </row>
    <row r="392">
      <c r="B392" s="247"/>
      <c r="J392" s="247"/>
      <c r="K392" s="247"/>
      <c r="M392" s="249"/>
    </row>
    <row r="393">
      <c r="B393" s="247"/>
      <c r="J393" s="247"/>
      <c r="K393" s="247"/>
      <c r="M393" s="249"/>
    </row>
    <row r="394">
      <c r="B394" s="247"/>
      <c r="J394" s="247"/>
      <c r="K394" s="247"/>
      <c r="M394" s="249"/>
    </row>
    <row r="395">
      <c r="B395" s="247"/>
      <c r="J395" s="247"/>
      <c r="K395" s="247"/>
      <c r="M395" s="249"/>
    </row>
    <row r="396">
      <c r="B396" s="247"/>
      <c r="J396" s="247"/>
      <c r="K396" s="247"/>
      <c r="M396" s="249"/>
    </row>
    <row r="397">
      <c r="B397" s="247"/>
      <c r="J397" s="247"/>
      <c r="K397" s="247"/>
      <c r="M397" s="249"/>
    </row>
    <row r="398">
      <c r="B398" s="247"/>
      <c r="J398" s="247"/>
      <c r="K398" s="247"/>
      <c r="M398" s="249"/>
    </row>
    <row r="399">
      <c r="B399" s="247"/>
      <c r="J399" s="247"/>
      <c r="K399" s="247"/>
      <c r="M399" s="249"/>
    </row>
    <row r="400">
      <c r="B400" s="247"/>
      <c r="J400" s="247"/>
      <c r="K400" s="247"/>
      <c r="M400" s="249"/>
    </row>
    <row r="401">
      <c r="B401" s="247"/>
      <c r="J401" s="247"/>
      <c r="K401" s="247"/>
      <c r="M401" s="249"/>
    </row>
    <row r="402">
      <c r="B402" s="247"/>
      <c r="J402" s="247"/>
      <c r="K402" s="247"/>
      <c r="M402" s="249"/>
    </row>
    <row r="403">
      <c r="B403" s="247"/>
      <c r="J403" s="247"/>
      <c r="K403" s="247"/>
      <c r="M403" s="249"/>
    </row>
    <row r="404">
      <c r="B404" s="247"/>
      <c r="J404" s="247"/>
      <c r="K404" s="247"/>
      <c r="M404" s="249"/>
    </row>
    <row r="405">
      <c r="B405" s="247"/>
      <c r="J405" s="247"/>
      <c r="K405" s="247"/>
      <c r="M405" s="249"/>
    </row>
    <row r="406">
      <c r="B406" s="247"/>
      <c r="J406" s="247"/>
      <c r="K406" s="247"/>
      <c r="M406" s="249"/>
    </row>
    <row r="407">
      <c r="B407" s="247"/>
      <c r="J407" s="247"/>
      <c r="K407" s="247"/>
      <c r="M407" s="249"/>
    </row>
    <row r="408">
      <c r="B408" s="247"/>
      <c r="J408" s="247"/>
      <c r="K408" s="247"/>
      <c r="M408" s="249"/>
    </row>
    <row r="409">
      <c r="B409" s="247"/>
      <c r="J409" s="247"/>
      <c r="K409" s="247"/>
      <c r="M409" s="249"/>
    </row>
    <row r="410">
      <c r="B410" s="247"/>
      <c r="J410" s="247"/>
      <c r="K410" s="247"/>
      <c r="M410" s="249"/>
    </row>
    <row r="411">
      <c r="B411" s="247"/>
      <c r="J411" s="247"/>
      <c r="K411" s="247"/>
      <c r="M411" s="249"/>
    </row>
    <row r="412">
      <c r="B412" s="247"/>
      <c r="J412" s="247"/>
      <c r="K412" s="247"/>
      <c r="M412" s="249"/>
    </row>
    <row r="413">
      <c r="B413" s="247"/>
      <c r="J413" s="247"/>
      <c r="K413" s="247"/>
      <c r="M413" s="249"/>
    </row>
    <row r="414">
      <c r="B414" s="247"/>
      <c r="J414" s="247"/>
      <c r="K414" s="247"/>
      <c r="M414" s="249"/>
    </row>
    <row r="415">
      <c r="B415" s="247"/>
      <c r="J415" s="247"/>
      <c r="K415" s="247"/>
      <c r="M415" s="249"/>
    </row>
    <row r="416">
      <c r="B416" s="247"/>
      <c r="J416" s="247"/>
      <c r="K416" s="247"/>
      <c r="M416" s="249"/>
    </row>
    <row r="417">
      <c r="B417" s="247"/>
      <c r="J417" s="247"/>
      <c r="K417" s="247"/>
      <c r="M417" s="249"/>
    </row>
    <row r="418">
      <c r="B418" s="247"/>
      <c r="J418" s="247"/>
      <c r="K418" s="247"/>
      <c r="M418" s="249"/>
    </row>
    <row r="419">
      <c r="B419" s="247"/>
      <c r="J419" s="247"/>
      <c r="K419" s="247"/>
      <c r="M419" s="249"/>
    </row>
    <row r="420">
      <c r="B420" s="247"/>
      <c r="J420" s="247"/>
      <c r="K420" s="247"/>
      <c r="M420" s="249"/>
    </row>
    <row r="421">
      <c r="B421" s="247"/>
      <c r="J421" s="247"/>
      <c r="K421" s="247"/>
      <c r="M421" s="249"/>
    </row>
    <row r="422">
      <c r="B422" s="247"/>
      <c r="J422" s="247"/>
      <c r="K422" s="247"/>
      <c r="M422" s="249"/>
    </row>
    <row r="423">
      <c r="B423" s="247"/>
      <c r="J423" s="247"/>
      <c r="K423" s="247"/>
      <c r="M423" s="249"/>
    </row>
    <row r="424">
      <c r="B424" s="247"/>
      <c r="J424" s="247"/>
      <c r="K424" s="247"/>
      <c r="M424" s="249"/>
    </row>
    <row r="425">
      <c r="B425" s="247"/>
      <c r="J425" s="247"/>
      <c r="K425" s="247"/>
      <c r="M425" s="249"/>
    </row>
    <row r="426">
      <c r="B426" s="247"/>
      <c r="J426" s="247"/>
      <c r="K426" s="247"/>
      <c r="M426" s="249"/>
    </row>
    <row r="427">
      <c r="B427" s="247"/>
      <c r="J427" s="247"/>
      <c r="K427" s="247"/>
      <c r="M427" s="249"/>
    </row>
    <row r="428">
      <c r="B428" s="247"/>
      <c r="J428" s="247"/>
      <c r="K428" s="247"/>
      <c r="M428" s="249"/>
    </row>
    <row r="429">
      <c r="B429" s="247"/>
      <c r="J429" s="247"/>
      <c r="K429" s="247"/>
      <c r="M429" s="249"/>
    </row>
    <row r="430">
      <c r="B430" s="247"/>
      <c r="J430" s="247"/>
      <c r="K430" s="247"/>
      <c r="M430" s="249"/>
    </row>
    <row r="431">
      <c r="B431" s="247"/>
      <c r="J431" s="247"/>
      <c r="K431" s="247"/>
      <c r="M431" s="249"/>
    </row>
    <row r="432">
      <c r="B432" s="247"/>
      <c r="J432" s="247"/>
      <c r="K432" s="247"/>
      <c r="M432" s="249"/>
    </row>
    <row r="433">
      <c r="B433" s="247"/>
      <c r="J433" s="247"/>
      <c r="K433" s="247"/>
      <c r="M433" s="249"/>
    </row>
    <row r="434">
      <c r="B434" s="247"/>
      <c r="J434" s="247"/>
      <c r="K434" s="247"/>
      <c r="M434" s="249"/>
    </row>
    <row r="435">
      <c r="B435" s="247"/>
      <c r="J435" s="247"/>
      <c r="K435" s="247"/>
      <c r="M435" s="249"/>
    </row>
    <row r="436">
      <c r="B436" s="247"/>
      <c r="J436" s="247"/>
      <c r="K436" s="247"/>
      <c r="M436" s="249"/>
    </row>
    <row r="437">
      <c r="B437" s="247"/>
      <c r="J437" s="247"/>
      <c r="K437" s="247"/>
      <c r="M437" s="249"/>
    </row>
    <row r="438">
      <c r="B438" s="247"/>
      <c r="J438" s="247"/>
      <c r="K438" s="247"/>
      <c r="M438" s="249"/>
    </row>
    <row r="439">
      <c r="B439" s="247"/>
      <c r="J439" s="247"/>
      <c r="K439" s="247"/>
      <c r="M439" s="249"/>
    </row>
    <row r="440">
      <c r="B440" s="247"/>
      <c r="J440" s="247"/>
      <c r="K440" s="247"/>
      <c r="M440" s="249"/>
    </row>
    <row r="441">
      <c r="B441" s="247"/>
      <c r="J441" s="247"/>
      <c r="K441" s="247"/>
      <c r="M441" s="249"/>
    </row>
    <row r="442">
      <c r="B442" s="247"/>
      <c r="J442" s="247"/>
      <c r="K442" s="247"/>
      <c r="M442" s="249"/>
    </row>
    <row r="443">
      <c r="B443" s="247"/>
      <c r="J443" s="247"/>
      <c r="K443" s="247"/>
      <c r="M443" s="249"/>
    </row>
    <row r="444">
      <c r="B444" s="247"/>
      <c r="J444" s="247"/>
      <c r="K444" s="247"/>
      <c r="M444" s="249"/>
    </row>
    <row r="445">
      <c r="B445" s="247"/>
      <c r="J445" s="247"/>
      <c r="K445" s="247"/>
      <c r="M445" s="249"/>
    </row>
    <row r="446">
      <c r="B446" s="247"/>
      <c r="J446" s="247"/>
      <c r="K446" s="247"/>
      <c r="M446" s="249"/>
    </row>
    <row r="447">
      <c r="B447" s="247"/>
      <c r="J447" s="247"/>
      <c r="K447" s="247"/>
      <c r="M447" s="249"/>
    </row>
    <row r="448">
      <c r="B448" s="247"/>
      <c r="J448" s="247"/>
      <c r="K448" s="247"/>
      <c r="M448" s="249"/>
    </row>
    <row r="449">
      <c r="B449" s="247"/>
      <c r="J449" s="247"/>
      <c r="K449" s="247"/>
      <c r="M449" s="249"/>
    </row>
    <row r="450">
      <c r="B450" s="247"/>
      <c r="J450" s="247"/>
      <c r="K450" s="247"/>
      <c r="M450" s="249"/>
    </row>
    <row r="451">
      <c r="B451" s="247"/>
      <c r="J451" s="247"/>
      <c r="K451" s="247"/>
      <c r="M451" s="249"/>
    </row>
    <row r="452">
      <c r="B452" s="247"/>
      <c r="J452" s="247"/>
      <c r="K452" s="247"/>
      <c r="M452" s="249"/>
    </row>
    <row r="453">
      <c r="B453" s="247"/>
      <c r="J453" s="247"/>
      <c r="K453" s="247"/>
      <c r="M453" s="249"/>
    </row>
    <row r="454">
      <c r="B454" s="247"/>
      <c r="J454" s="247"/>
      <c r="K454" s="247"/>
      <c r="M454" s="249"/>
    </row>
    <row r="455">
      <c r="B455" s="247"/>
      <c r="J455" s="247"/>
      <c r="K455" s="247"/>
      <c r="M455" s="249"/>
    </row>
    <row r="456">
      <c r="B456" s="247"/>
      <c r="J456" s="247"/>
      <c r="K456" s="247"/>
      <c r="M456" s="249"/>
    </row>
    <row r="457">
      <c r="B457" s="247"/>
      <c r="J457" s="247"/>
      <c r="K457" s="247"/>
      <c r="M457" s="249"/>
    </row>
    <row r="458">
      <c r="B458" s="247"/>
      <c r="J458" s="247"/>
      <c r="K458" s="247"/>
      <c r="M458" s="249"/>
    </row>
    <row r="459">
      <c r="B459" s="247"/>
      <c r="J459" s="247"/>
      <c r="K459" s="247"/>
      <c r="M459" s="249"/>
    </row>
    <row r="460">
      <c r="B460" s="247"/>
      <c r="J460" s="247"/>
      <c r="K460" s="247"/>
      <c r="M460" s="249"/>
    </row>
    <row r="461">
      <c r="B461" s="247"/>
      <c r="J461" s="247"/>
      <c r="K461" s="247"/>
      <c r="M461" s="249"/>
    </row>
    <row r="462">
      <c r="B462" s="247"/>
      <c r="J462" s="247"/>
      <c r="K462" s="247"/>
      <c r="M462" s="249"/>
    </row>
    <row r="463">
      <c r="B463" s="247"/>
      <c r="J463" s="247"/>
      <c r="K463" s="247"/>
      <c r="M463" s="249"/>
    </row>
    <row r="464">
      <c r="B464" s="247"/>
      <c r="J464" s="247"/>
      <c r="K464" s="247"/>
      <c r="M464" s="249"/>
    </row>
    <row r="465">
      <c r="B465" s="247"/>
      <c r="J465" s="247"/>
      <c r="K465" s="247"/>
      <c r="M465" s="249"/>
    </row>
    <row r="466">
      <c r="B466" s="247"/>
      <c r="J466" s="247"/>
      <c r="K466" s="247"/>
      <c r="M466" s="249"/>
    </row>
    <row r="467">
      <c r="B467" s="247"/>
      <c r="J467" s="247"/>
      <c r="K467" s="247"/>
      <c r="M467" s="249"/>
    </row>
    <row r="468">
      <c r="B468" s="247"/>
      <c r="J468" s="247"/>
      <c r="K468" s="247"/>
      <c r="M468" s="249"/>
    </row>
    <row r="469">
      <c r="B469" s="247"/>
      <c r="J469" s="247"/>
      <c r="K469" s="247"/>
      <c r="M469" s="249"/>
    </row>
    <row r="470">
      <c r="B470" s="247"/>
      <c r="J470" s="247"/>
      <c r="K470" s="247"/>
      <c r="M470" s="249"/>
    </row>
    <row r="471">
      <c r="B471" s="247"/>
      <c r="J471" s="247"/>
      <c r="K471" s="247"/>
      <c r="M471" s="249"/>
    </row>
    <row r="472">
      <c r="B472" s="247"/>
      <c r="J472" s="247"/>
      <c r="K472" s="247"/>
      <c r="M472" s="249"/>
    </row>
    <row r="473">
      <c r="B473" s="247"/>
      <c r="J473" s="247"/>
      <c r="K473" s="247"/>
      <c r="M473" s="249"/>
    </row>
    <row r="474">
      <c r="B474" s="247"/>
      <c r="J474" s="247"/>
      <c r="K474" s="247"/>
      <c r="M474" s="249"/>
    </row>
    <row r="475">
      <c r="B475" s="247"/>
      <c r="J475" s="247"/>
      <c r="K475" s="247"/>
      <c r="M475" s="249"/>
    </row>
    <row r="476">
      <c r="B476" s="247"/>
      <c r="J476" s="247"/>
      <c r="K476" s="247"/>
      <c r="M476" s="249"/>
    </row>
    <row r="477">
      <c r="B477" s="247"/>
      <c r="J477" s="247"/>
      <c r="K477" s="247"/>
      <c r="M477" s="249"/>
    </row>
    <row r="478">
      <c r="B478" s="247"/>
      <c r="J478" s="247"/>
      <c r="K478" s="247"/>
      <c r="M478" s="249"/>
    </row>
    <row r="479">
      <c r="B479" s="247"/>
      <c r="J479" s="247"/>
      <c r="K479" s="247"/>
      <c r="M479" s="249"/>
    </row>
    <row r="480">
      <c r="B480" s="247"/>
      <c r="J480" s="247"/>
      <c r="K480" s="247"/>
      <c r="M480" s="249"/>
    </row>
    <row r="481">
      <c r="B481" s="247"/>
      <c r="J481" s="247"/>
      <c r="K481" s="247"/>
      <c r="M481" s="249"/>
    </row>
    <row r="482">
      <c r="B482" s="247"/>
      <c r="J482" s="247"/>
      <c r="K482" s="247"/>
      <c r="M482" s="249"/>
    </row>
    <row r="483">
      <c r="B483" s="247"/>
      <c r="J483" s="247"/>
      <c r="K483" s="247"/>
      <c r="M483" s="249"/>
    </row>
    <row r="484">
      <c r="B484" s="247"/>
      <c r="J484" s="247"/>
      <c r="K484" s="247"/>
      <c r="M484" s="249"/>
    </row>
    <row r="485">
      <c r="B485" s="247"/>
      <c r="J485" s="247"/>
      <c r="K485" s="247"/>
      <c r="M485" s="249"/>
    </row>
    <row r="486">
      <c r="B486" s="247"/>
      <c r="J486" s="247"/>
      <c r="K486" s="247"/>
      <c r="M486" s="249"/>
    </row>
    <row r="487">
      <c r="B487" s="247"/>
      <c r="J487" s="247"/>
      <c r="K487" s="247"/>
      <c r="M487" s="249"/>
    </row>
    <row r="488">
      <c r="B488" s="247"/>
      <c r="J488" s="247"/>
      <c r="K488" s="247"/>
      <c r="M488" s="249"/>
    </row>
    <row r="489">
      <c r="B489" s="247"/>
      <c r="J489" s="247"/>
      <c r="K489" s="247"/>
      <c r="M489" s="249"/>
    </row>
    <row r="490">
      <c r="B490" s="247"/>
      <c r="J490" s="247"/>
      <c r="K490" s="247"/>
      <c r="M490" s="249"/>
    </row>
    <row r="491">
      <c r="B491" s="247"/>
      <c r="J491" s="247"/>
      <c r="K491" s="247"/>
      <c r="M491" s="249"/>
    </row>
    <row r="492">
      <c r="B492" s="247"/>
      <c r="J492" s="247"/>
      <c r="K492" s="247"/>
      <c r="M492" s="249"/>
    </row>
    <row r="493">
      <c r="B493" s="247"/>
      <c r="J493" s="247"/>
      <c r="K493" s="247"/>
      <c r="M493" s="249"/>
    </row>
    <row r="494">
      <c r="B494" s="247"/>
      <c r="J494" s="247"/>
      <c r="K494" s="247"/>
      <c r="M494" s="249"/>
    </row>
    <row r="495">
      <c r="B495" s="247"/>
      <c r="J495" s="247"/>
      <c r="K495" s="247"/>
      <c r="M495" s="249"/>
    </row>
    <row r="496">
      <c r="B496" s="247"/>
      <c r="J496" s="247"/>
      <c r="K496" s="247"/>
      <c r="M496" s="249"/>
    </row>
    <row r="497">
      <c r="B497" s="247"/>
      <c r="J497" s="247"/>
      <c r="K497" s="247"/>
      <c r="M497" s="249"/>
    </row>
    <row r="498">
      <c r="B498" s="247"/>
      <c r="J498" s="247"/>
      <c r="K498" s="247"/>
      <c r="M498" s="249"/>
    </row>
    <row r="499">
      <c r="B499" s="247"/>
      <c r="J499" s="247"/>
      <c r="K499" s="247"/>
      <c r="M499" s="249"/>
    </row>
    <row r="500">
      <c r="B500" s="247"/>
      <c r="J500" s="247"/>
      <c r="K500" s="247"/>
      <c r="M500" s="249"/>
    </row>
    <row r="501">
      <c r="B501" s="247"/>
      <c r="J501" s="247"/>
      <c r="K501" s="247"/>
      <c r="M501" s="249"/>
    </row>
    <row r="502">
      <c r="B502" s="247"/>
      <c r="J502" s="247"/>
      <c r="K502" s="247"/>
      <c r="M502" s="249"/>
    </row>
    <row r="503">
      <c r="B503" s="247"/>
      <c r="J503" s="247"/>
      <c r="K503" s="247"/>
      <c r="M503" s="249"/>
    </row>
    <row r="504">
      <c r="B504" s="247"/>
      <c r="J504" s="247"/>
      <c r="K504" s="247"/>
      <c r="M504" s="249"/>
    </row>
    <row r="505">
      <c r="B505" s="247"/>
      <c r="J505" s="247"/>
      <c r="K505" s="247"/>
      <c r="M505" s="249"/>
    </row>
    <row r="506">
      <c r="B506" s="247"/>
      <c r="J506" s="247"/>
      <c r="K506" s="247"/>
      <c r="M506" s="249"/>
    </row>
    <row r="507">
      <c r="B507" s="247"/>
      <c r="J507" s="247"/>
      <c r="K507" s="247"/>
      <c r="M507" s="249"/>
    </row>
    <row r="508">
      <c r="B508" s="247"/>
      <c r="J508" s="247"/>
      <c r="K508" s="247"/>
      <c r="M508" s="249"/>
    </row>
    <row r="509">
      <c r="B509" s="247"/>
      <c r="J509" s="247"/>
      <c r="K509" s="247"/>
      <c r="M509" s="249"/>
    </row>
    <row r="510">
      <c r="B510" s="247"/>
      <c r="J510" s="247"/>
      <c r="K510" s="247"/>
      <c r="M510" s="249"/>
    </row>
    <row r="511">
      <c r="B511" s="247"/>
      <c r="J511" s="247"/>
      <c r="K511" s="247"/>
      <c r="M511" s="249"/>
    </row>
    <row r="512">
      <c r="B512" s="247"/>
      <c r="J512" s="247"/>
      <c r="K512" s="247"/>
      <c r="M512" s="249"/>
    </row>
    <row r="513">
      <c r="B513" s="247"/>
      <c r="J513" s="247"/>
      <c r="K513" s="247"/>
      <c r="M513" s="249"/>
    </row>
    <row r="514">
      <c r="B514" s="247"/>
      <c r="J514" s="247"/>
      <c r="K514" s="247"/>
      <c r="M514" s="249"/>
    </row>
    <row r="515">
      <c r="B515" s="247"/>
      <c r="J515" s="247"/>
      <c r="K515" s="247"/>
      <c r="M515" s="249"/>
    </row>
    <row r="516">
      <c r="B516" s="247"/>
      <c r="J516" s="247"/>
      <c r="K516" s="247"/>
      <c r="M516" s="249"/>
    </row>
    <row r="517">
      <c r="B517" s="247"/>
      <c r="J517" s="247"/>
      <c r="K517" s="247"/>
      <c r="M517" s="249"/>
    </row>
    <row r="518">
      <c r="B518" s="247"/>
      <c r="J518" s="247"/>
      <c r="K518" s="247"/>
      <c r="M518" s="249"/>
    </row>
    <row r="519">
      <c r="B519" s="247"/>
      <c r="J519" s="247"/>
      <c r="K519" s="247"/>
      <c r="M519" s="249"/>
    </row>
    <row r="520">
      <c r="B520" s="247"/>
      <c r="J520" s="247"/>
      <c r="K520" s="247"/>
      <c r="M520" s="249"/>
    </row>
    <row r="521">
      <c r="B521" s="247"/>
      <c r="J521" s="247"/>
      <c r="K521" s="247"/>
      <c r="M521" s="249"/>
    </row>
    <row r="522">
      <c r="B522" s="247"/>
      <c r="J522" s="247"/>
      <c r="K522" s="247"/>
      <c r="M522" s="249"/>
    </row>
    <row r="523">
      <c r="B523" s="247"/>
      <c r="J523" s="247"/>
      <c r="K523" s="247"/>
      <c r="M523" s="249"/>
    </row>
    <row r="524">
      <c r="B524" s="247"/>
      <c r="J524" s="247"/>
      <c r="K524" s="247"/>
      <c r="M524" s="249"/>
    </row>
    <row r="525">
      <c r="B525" s="247"/>
      <c r="J525" s="247"/>
      <c r="K525" s="247"/>
      <c r="M525" s="249"/>
    </row>
    <row r="526">
      <c r="B526" s="247"/>
      <c r="J526" s="247"/>
      <c r="K526" s="247"/>
      <c r="M526" s="249"/>
    </row>
    <row r="527">
      <c r="B527" s="247"/>
      <c r="J527" s="247"/>
      <c r="K527" s="247"/>
      <c r="M527" s="249"/>
    </row>
    <row r="528">
      <c r="B528" s="247"/>
      <c r="J528" s="247"/>
      <c r="K528" s="247"/>
      <c r="M528" s="249"/>
    </row>
    <row r="529">
      <c r="B529" s="247"/>
      <c r="J529" s="247"/>
      <c r="K529" s="247"/>
      <c r="M529" s="249"/>
    </row>
    <row r="530">
      <c r="B530" s="247"/>
      <c r="J530" s="247"/>
      <c r="K530" s="247"/>
      <c r="M530" s="249"/>
    </row>
    <row r="531">
      <c r="B531" s="247"/>
      <c r="J531" s="247"/>
      <c r="K531" s="247"/>
      <c r="M531" s="249"/>
    </row>
    <row r="532">
      <c r="B532" s="247"/>
      <c r="J532" s="247"/>
      <c r="K532" s="247"/>
      <c r="M532" s="249"/>
    </row>
    <row r="533">
      <c r="B533" s="247"/>
      <c r="J533" s="247"/>
      <c r="K533" s="247"/>
      <c r="M533" s="249"/>
    </row>
    <row r="534">
      <c r="B534" s="247"/>
      <c r="J534" s="247"/>
      <c r="K534" s="247"/>
      <c r="M534" s="249"/>
    </row>
    <row r="535">
      <c r="B535" s="247"/>
      <c r="J535" s="247"/>
      <c r="K535" s="247"/>
      <c r="M535" s="249"/>
    </row>
    <row r="536">
      <c r="B536" s="247"/>
      <c r="J536" s="247"/>
      <c r="K536" s="247"/>
      <c r="M536" s="249"/>
    </row>
    <row r="537">
      <c r="B537" s="247"/>
      <c r="J537" s="247"/>
      <c r="K537" s="247"/>
      <c r="M537" s="249"/>
    </row>
    <row r="538">
      <c r="B538" s="247"/>
      <c r="J538" s="247"/>
      <c r="K538" s="247"/>
      <c r="M538" s="249"/>
    </row>
    <row r="539">
      <c r="B539" s="247"/>
      <c r="J539" s="247"/>
      <c r="K539" s="247"/>
      <c r="M539" s="249"/>
    </row>
    <row r="540">
      <c r="B540" s="247"/>
      <c r="J540" s="247"/>
      <c r="K540" s="247"/>
      <c r="M540" s="249"/>
    </row>
    <row r="541">
      <c r="B541" s="247"/>
      <c r="J541" s="247"/>
      <c r="K541" s="247"/>
      <c r="M541" s="249"/>
    </row>
    <row r="542">
      <c r="B542" s="247"/>
      <c r="J542" s="247"/>
      <c r="K542" s="247"/>
      <c r="M542" s="249"/>
    </row>
    <row r="543">
      <c r="B543" s="247"/>
      <c r="J543" s="247"/>
      <c r="K543" s="247"/>
      <c r="M543" s="249"/>
    </row>
    <row r="544">
      <c r="B544" s="247"/>
      <c r="J544" s="247"/>
      <c r="K544" s="247"/>
      <c r="M544" s="249"/>
    </row>
    <row r="545">
      <c r="B545" s="247"/>
      <c r="J545" s="247"/>
      <c r="K545" s="247"/>
      <c r="M545" s="249"/>
    </row>
    <row r="546">
      <c r="B546" s="247"/>
      <c r="J546" s="247"/>
      <c r="K546" s="247"/>
      <c r="M546" s="249"/>
    </row>
    <row r="547">
      <c r="B547" s="247"/>
      <c r="J547" s="247"/>
      <c r="K547" s="247"/>
      <c r="M547" s="249"/>
    </row>
    <row r="548">
      <c r="B548" s="247"/>
      <c r="J548" s="247"/>
      <c r="K548" s="247"/>
      <c r="M548" s="249"/>
    </row>
    <row r="549">
      <c r="B549" s="247"/>
      <c r="J549" s="247"/>
      <c r="K549" s="247"/>
      <c r="M549" s="249"/>
    </row>
    <row r="550">
      <c r="B550" s="247"/>
      <c r="J550" s="247"/>
      <c r="K550" s="247"/>
      <c r="M550" s="249"/>
    </row>
    <row r="551">
      <c r="B551" s="247"/>
      <c r="J551" s="247"/>
      <c r="K551" s="247"/>
      <c r="M551" s="249"/>
    </row>
    <row r="552">
      <c r="B552" s="247"/>
      <c r="J552" s="247"/>
      <c r="K552" s="247"/>
      <c r="M552" s="249"/>
    </row>
    <row r="553">
      <c r="B553" s="247"/>
      <c r="J553" s="247"/>
      <c r="K553" s="247"/>
      <c r="M553" s="249"/>
    </row>
    <row r="554">
      <c r="B554" s="247"/>
      <c r="J554" s="247"/>
      <c r="K554" s="247"/>
      <c r="M554" s="249"/>
    </row>
    <row r="555">
      <c r="B555" s="247"/>
      <c r="J555" s="247"/>
      <c r="K555" s="247"/>
      <c r="M555" s="249"/>
    </row>
    <row r="556">
      <c r="B556" s="247"/>
      <c r="J556" s="247"/>
      <c r="K556" s="247"/>
      <c r="M556" s="249"/>
    </row>
    <row r="557">
      <c r="B557" s="247"/>
      <c r="J557" s="247"/>
      <c r="K557" s="247"/>
      <c r="M557" s="249"/>
    </row>
    <row r="558">
      <c r="B558" s="247"/>
      <c r="J558" s="247"/>
      <c r="K558" s="247"/>
      <c r="M558" s="249"/>
    </row>
    <row r="559">
      <c r="B559" s="247"/>
      <c r="J559" s="247"/>
      <c r="K559" s="247"/>
      <c r="M559" s="249"/>
    </row>
    <row r="560">
      <c r="B560" s="247"/>
      <c r="J560" s="247"/>
      <c r="K560" s="247"/>
      <c r="M560" s="249"/>
    </row>
    <row r="561">
      <c r="B561" s="247"/>
      <c r="J561" s="247"/>
      <c r="K561" s="247"/>
      <c r="M561" s="249"/>
    </row>
    <row r="562">
      <c r="B562" s="247"/>
      <c r="J562" s="247"/>
      <c r="K562" s="247"/>
      <c r="M562" s="249"/>
    </row>
    <row r="563">
      <c r="B563" s="247"/>
      <c r="J563" s="247"/>
      <c r="K563" s="247"/>
      <c r="M563" s="249"/>
    </row>
    <row r="564">
      <c r="B564" s="247"/>
      <c r="J564" s="247"/>
      <c r="K564" s="247"/>
      <c r="M564" s="249"/>
    </row>
    <row r="565">
      <c r="B565" s="247"/>
      <c r="J565" s="247"/>
      <c r="K565" s="247"/>
      <c r="M565" s="249"/>
    </row>
    <row r="566">
      <c r="B566" s="247"/>
      <c r="J566" s="247"/>
      <c r="K566" s="247"/>
      <c r="M566" s="249"/>
    </row>
    <row r="567">
      <c r="B567" s="247"/>
      <c r="J567" s="247"/>
      <c r="K567" s="247"/>
      <c r="M567" s="249"/>
    </row>
    <row r="568">
      <c r="B568" s="247"/>
      <c r="J568" s="247"/>
      <c r="K568" s="247"/>
      <c r="M568" s="249"/>
    </row>
    <row r="569">
      <c r="B569" s="247"/>
      <c r="J569" s="247"/>
      <c r="K569" s="247"/>
      <c r="M569" s="249"/>
    </row>
    <row r="570">
      <c r="B570" s="247"/>
      <c r="J570" s="247"/>
      <c r="K570" s="247"/>
      <c r="M570" s="249"/>
    </row>
    <row r="571">
      <c r="B571" s="247"/>
      <c r="J571" s="247"/>
      <c r="K571" s="247"/>
      <c r="M571" s="249"/>
    </row>
    <row r="572">
      <c r="B572" s="247"/>
      <c r="J572" s="247"/>
      <c r="K572" s="247"/>
      <c r="M572" s="249"/>
    </row>
    <row r="573">
      <c r="B573" s="247"/>
      <c r="J573" s="247"/>
      <c r="K573" s="247"/>
      <c r="M573" s="249"/>
    </row>
    <row r="574">
      <c r="B574" s="247"/>
      <c r="J574" s="247"/>
      <c r="K574" s="247"/>
      <c r="M574" s="249"/>
    </row>
    <row r="575">
      <c r="B575" s="247"/>
      <c r="J575" s="247"/>
      <c r="K575" s="247"/>
      <c r="M575" s="249"/>
    </row>
    <row r="576">
      <c r="B576" s="247"/>
      <c r="J576" s="247"/>
      <c r="K576" s="247"/>
      <c r="M576" s="249"/>
    </row>
    <row r="577">
      <c r="B577" s="247"/>
      <c r="J577" s="247"/>
      <c r="K577" s="247"/>
      <c r="M577" s="249"/>
    </row>
    <row r="578">
      <c r="B578" s="247"/>
      <c r="J578" s="247"/>
      <c r="K578" s="247"/>
      <c r="M578" s="249"/>
    </row>
    <row r="579">
      <c r="B579" s="247"/>
      <c r="J579" s="247"/>
      <c r="K579" s="247"/>
      <c r="M579" s="249"/>
    </row>
    <row r="580">
      <c r="B580" s="247"/>
      <c r="J580" s="247"/>
      <c r="K580" s="247"/>
      <c r="M580" s="249"/>
    </row>
    <row r="581">
      <c r="B581" s="247"/>
      <c r="J581" s="247"/>
      <c r="K581" s="247"/>
      <c r="M581" s="249"/>
    </row>
    <row r="582">
      <c r="B582" s="247"/>
      <c r="J582" s="247"/>
      <c r="K582" s="247"/>
      <c r="M582" s="249"/>
    </row>
    <row r="583">
      <c r="B583" s="247"/>
      <c r="J583" s="247"/>
      <c r="K583" s="247"/>
      <c r="M583" s="249"/>
    </row>
    <row r="584">
      <c r="B584" s="247"/>
      <c r="J584" s="247"/>
      <c r="K584" s="247"/>
      <c r="M584" s="249"/>
    </row>
    <row r="585">
      <c r="B585" s="247"/>
      <c r="J585" s="247"/>
      <c r="K585" s="247"/>
      <c r="M585" s="249"/>
    </row>
    <row r="586">
      <c r="B586" s="247"/>
      <c r="J586" s="247"/>
      <c r="K586" s="247"/>
      <c r="M586" s="249"/>
    </row>
    <row r="587">
      <c r="B587" s="247"/>
      <c r="J587" s="247"/>
      <c r="K587" s="247"/>
      <c r="M587" s="249"/>
    </row>
    <row r="588">
      <c r="B588" s="247"/>
      <c r="J588" s="247"/>
      <c r="K588" s="247"/>
      <c r="M588" s="249"/>
    </row>
    <row r="589">
      <c r="B589" s="247"/>
      <c r="J589" s="247"/>
      <c r="K589" s="247"/>
      <c r="M589" s="249"/>
    </row>
    <row r="590">
      <c r="B590" s="247"/>
      <c r="J590" s="247"/>
      <c r="K590" s="247"/>
      <c r="M590" s="249"/>
    </row>
    <row r="591">
      <c r="B591" s="247"/>
      <c r="J591" s="247"/>
      <c r="K591" s="247"/>
      <c r="M591" s="249"/>
    </row>
    <row r="592">
      <c r="B592" s="247"/>
      <c r="J592" s="247"/>
      <c r="K592" s="247"/>
      <c r="M592" s="249"/>
    </row>
    <row r="593">
      <c r="B593" s="247"/>
      <c r="J593" s="247"/>
      <c r="K593" s="247"/>
      <c r="M593" s="249"/>
    </row>
    <row r="594">
      <c r="B594" s="247"/>
      <c r="J594" s="247"/>
      <c r="K594" s="247"/>
      <c r="M594" s="249"/>
    </row>
    <row r="595">
      <c r="B595" s="247"/>
      <c r="J595" s="247"/>
      <c r="K595" s="247"/>
      <c r="M595" s="249"/>
    </row>
    <row r="596">
      <c r="B596" s="247"/>
      <c r="J596" s="247"/>
      <c r="K596" s="247"/>
      <c r="M596" s="249"/>
    </row>
    <row r="597">
      <c r="B597" s="247"/>
      <c r="J597" s="247"/>
      <c r="K597" s="247"/>
      <c r="M597" s="249"/>
    </row>
    <row r="598">
      <c r="B598" s="247"/>
      <c r="J598" s="247"/>
      <c r="K598" s="247"/>
      <c r="M598" s="249"/>
    </row>
    <row r="599">
      <c r="B599" s="247"/>
      <c r="J599" s="247"/>
      <c r="K599" s="247"/>
      <c r="M599" s="249"/>
    </row>
    <row r="600">
      <c r="B600" s="247"/>
      <c r="J600" s="247"/>
      <c r="K600" s="247"/>
      <c r="M600" s="249"/>
    </row>
    <row r="601">
      <c r="B601" s="247"/>
      <c r="J601" s="247"/>
      <c r="K601" s="247"/>
      <c r="M601" s="249"/>
    </row>
    <row r="602">
      <c r="B602" s="247"/>
      <c r="J602" s="247"/>
      <c r="K602" s="247"/>
      <c r="M602" s="249"/>
    </row>
    <row r="603">
      <c r="B603" s="247"/>
      <c r="J603" s="247"/>
      <c r="K603" s="247"/>
      <c r="M603" s="249"/>
    </row>
    <row r="604">
      <c r="B604" s="247"/>
      <c r="J604" s="247"/>
      <c r="K604" s="247"/>
      <c r="M604" s="249"/>
    </row>
    <row r="605">
      <c r="B605" s="247"/>
      <c r="J605" s="247"/>
      <c r="K605" s="247"/>
      <c r="M605" s="249"/>
    </row>
    <row r="606">
      <c r="B606" s="247"/>
      <c r="J606" s="247"/>
      <c r="K606" s="247"/>
      <c r="M606" s="249"/>
    </row>
    <row r="607">
      <c r="B607" s="247"/>
      <c r="J607" s="247"/>
      <c r="K607" s="247"/>
      <c r="M607" s="249"/>
    </row>
    <row r="608">
      <c r="B608" s="247"/>
      <c r="J608" s="247"/>
      <c r="K608" s="247"/>
      <c r="M608" s="249"/>
    </row>
    <row r="609">
      <c r="B609" s="247"/>
      <c r="J609" s="247"/>
      <c r="K609" s="247"/>
      <c r="M609" s="249"/>
    </row>
    <row r="610">
      <c r="B610" s="247"/>
      <c r="J610" s="247"/>
      <c r="K610" s="247"/>
      <c r="M610" s="249"/>
    </row>
    <row r="611">
      <c r="B611" s="247"/>
      <c r="J611" s="247"/>
      <c r="K611" s="247"/>
      <c r="M611" s="249"/>
    </row>
    <row r="612">
      <c r="B612" s="247"/>
      <c r="J612" s="247"/>
      <c r="K612" s="247"/>
      <c r="M612" s="249"/>
    </row>
    <row r="613">
      <c r="B613" s="247"/>
      <c r="J613" s="247"/>
      <c r="K613" s="247"/>
      <c r="M613" s="249"/>
    </row>
    <row r="614">
      <c r="B614" s="247"/>
      <c r="J614" s="247"/>
      <c r="K614" s="247"/>
      <c r="M614" s="249"/>
    </row>
    <row r="615">
      <c r="B615" s="247"/>
      <c r="J615" s="247"/>
      <c r="K615" s="247"/>
      <c r="M615" s="249"/>
    </row>
    <row r="616">
      <c r="B616" s="247"/>
      <c r="J616" s="247"/>
      <c r="K616" s="247"/>
      <c r="M616" s="249"/>
    </row>
    <row r="617">
      <c r="B617" s="247"/>
      <c r="J617" s="247"/>
      <c r="K617" s="247"/>
      <c r="M617" s="249"/>
    </row>
    <row r="618">
      <c r="B618" s="247"/>
      <c r="J618" s="247"/>
      <c r="K618" s="247"/>
      <c r="M618" s="249"/>
    </row>
    <row r="619">
      <c r="B619" s="247"/>
      <c r="J619" s="247"/>
      <c r="K619" s="247"/>
      <c r="M619" s="249"/>
    </row>
    <row r="620">
      <c r="B620" s="247"/>
      <c r="J620" s="247"/>
      <c r="K620" s="247"/>
      <c r="M620" s="249"/>
    </row>
    <row r="621">
      <c r="B621" s="247"/>
      <c r="J621" s="247"/>
      <c r="K621" s="247"/>
      <c r="M621" s="249"/>
    </row>
    <row r="622">
      <c r="B622" s="247"/>
      <c r="J622" s="247"/>
      <c r="K622" s="247"/>
      <c r="M622" s="249"/>
    </row>
    <row r="623">
      <c r="B623" s="247"/>
      <c r="J623" s="247"/>
      <c r="K623" s="247"/>
      <c r="M623" s="249"/>
    </row>
    <row r="624">
      <c r="B624" s="247"/>
      <c r="J624" s="247"/>
      <c r="K624" s="247"/>
      <c r="M624" s="249"/>
    </row>
    <row r="625">
      <c r="B625" s="247"/>
      <c r="J625" s="247"/>
      <c r="K625" s="247"/>
      <c r="M625" s="249"/>
    </row>
    <row r="626">
      <c r="B626" s="247"/>
      <c r="J626" s="247"/>
      <c r="K626" s="247"/>
      <c r="M626" s="249"/>
    </row>
    <row r="627">
      <c r="B627" s="247"/>
      <c r="J627" s="247"/>
      <c r="K627" s="247"/>
      <c r="M627" s="249"/>
    </row>
    <row r="628">
      <c r="B628" s="247"/>
      <c r="J628" s="247"/>
      <c r="K628" s="247"/>
      <c r="M628" s="249"/>
    </row>
    <row r="629">
      <c r="B629" s="247"/>
      <c r="J629" s="247"/>
      <c r="K629" s="247"/>
      <c r="M629" s="249"/>
    </row>
    <row r="630">
      <c r="B630" s="247"/>
      <c r="J630" s="247"/>
      <c r="K630" s="247"/>
      <c r="M630" s="249"/>
    </row>
    <row r="631">
      <c r="B631" s="247"/>
      <c r="J631" s="247"/>
      <c r="K631" s="247"/>
      <c r="M631" s="249"/>
    </row>
    <row r="632">
      <c r="B632" s="247"/>
      <c r="J632" s="247"/>
      <c r="K632" s="247"/>
      <c r="M632" s="249"/>
    </row>
    <row r="633">
      <c r="B633" s="247"/>
      <c r="J633" s="247"/>
      <c r="K633" s="247"/>
      <c r="M633" s="249"/>
    </row>
    <row r="634">
      <c r="B634" s="247"/>
      <c r="J634" s="247"/>
      <c r="K634" s="247"/>
      <c r="M634" s="249"/>
    </row>
    <row r="635">
      <c r="B635" s="247"/>
      <c r="J635" s="247"/>
      <c r="K635" s="247"/>
      <c r="M635" s="249"/>
    </row>
    <row r="636">
      <c r="B636" s="247"/>
      <c r="J636" s="247"/>
      <c r="K636" s="247"/>
      <c r="M636" s="249"/>
    </row>
    <row r="637">
      <c r="B637" s="247"/>
      <c r="J637" s="247"/>
      <c r="K637" s="247"/>
      <c r="M637" s="249"/>
    </row>
    <row r="638">
      <c r="B638" s="247"/>
      <c r="J638" s="247"/>
      <c r="K638" s="247"/>
      <c r="M638" s="249"/>
    </row>
    <row r="639">
      <c r="B639" s="247"/>
      <c r="J639" s="247"/>
      <c r="K639" s="247"/>
      <c r="M639" s="249"/>
    </row>
    <row r="640">
      <c r="B640" s="247"/>
      <c r="J640" s="247"/>
      <c r="K640" s="247"/>
      <c r="M640" s="249"/>
    </row>
    <row r="641">
      <c r="B641" s="247"/>
      <c r="J641" s="247"/>
      <c r="K641" s="247"/>
      <c r="M641" s="249"/>
    </row>
    <row r="642">
      <c r="B642" s="247"/>
      <c r="J642" s="247"/>
      <c r="K642" s="247"/>
      <c r="M642" s="249"/>
    </row>
    <row r="643">
      <c r="B643" s="247"/>
      <c r="J643" s="247"/>
      <c r="K643" s="247"/>
      <c r="M643" s="249"/>
    </row>
    <row r="644">
      <c r="B644" s="247"/>
      <c r="J644" s="247"/>
      <c r="K644" s="247"/>
      <c r="M644" s="249"/>
    </row>
    <row r="645">
      <c r="B645" s="247"/>
      <c r="J645" s="247"/>
      <c r="K645" s="247"/>
      <c r="M645" s="249"/>
    </row>
    <row r="646">
      <c r="B646" s="247"/>
      <c r="J646" s="247"/>
      <c r="K646" s="247"/>
      <c r="M646" s="249"/>
    </row>
    <row r="647">
      <c r="B647" s="247"/>
      <c r="J647" s="247"/>
      <c r="K647" s="247"/>
      <c r="M647" s="249"/>
    </row>
    <row r="648">
      <c r="B648" s="247"/>
      <c r="J648" s="247"/>
      <c r="K648" s="247"/>
      <c r="M648" s="249"/>
    </row>
    <row r="649">
      <c r="B649" s="247"/>
      <c r="J649" s="247"/>
      <c r="K649" s="247"/>
      <c r="M649" s="249"/>
    </row>
    <row r="650">
      <c r="B650" s="247"/>
      <c r="J650" s="247"/>
      <c r="K650" s="247"/>
      <c r="M650" s="249"/>
    </row>
    <row r="651">
      <c r="B651" s="247"/>
      <c r="J651" s="247"/>
      <c r="K651" s="247"/>
      <c r="M651" s="249"/>
    </row>
    <row r="652">
      <c r="B652" s="247"/>
      <c r="J652" s="247"/>
      <c r="K652" s="247"/>
      <c r="M652" s="249"/>
    </row>
    <row r="653">
      <c r="B653" s="247"/>
      <c r="J653" s="247"/>
      <c r="K653" s="247"/>
      <c r="M653" s="249"/>
    </row>
    <row r="654">
      <c r="B654" s="247"/>
      <c r="J654" s="247"/>
      <c r="K654" s="247"/>
      <c r="M654" s="249"/>
    </row>
    <row r="655">
      <c r="B655" s="247"/>
      <c r="J655" s="247"/>
      <c r="K655" s="247"/>
      <c r="M655" s="249"/>
    </row>
    <row r="656">
      <c r="B656" s="247"/>
      <c r="J656" s="247"/>
      <c r="K656" s="247"/>
      <c r="M656" s="249"/>
    </row>
    <row r="657">
      <c r="B657" s="247"/>
      <c r="J657" s="247"/>
      <c r="K657" s="247"/>
      <c r="M657" s="249"/>
    </row>
    <row r="658">
      <c r="B658" s="247"/>
      <c r="J658" s="247"/>
      <c r="K658" s="247"/>
      <c r="M658" s="249"/>
    </row>
    <row r="659">
      <c r="B659" s="247"/>
      <c r="J659" s="247"/>
      <c r="K659" s="247"/>
      <c r="M659" s="249"/>
    </row>
    <row r="660">
      <c r="B660" s="247"/>
      <c r="J660" s="247"/>
      <c r="K660" s="247"/>
      <c r="M660" s="249"/>
    </row>
    <row r="661">
      <c r="B661" s="247"/>
      <c r="J661" s="247"/>
      <c r="K661" s="247"/>
      <c r="M661" s="249"/>
    </row>
    <row r="662">
      <c r="B662" s="247"/>
      <c r="J662" s="247"/>
      <c r="K662" s="247"/>
      <c r="M662" s="249"/>
    </row>
    <row r="663">
      <c r="B663" s="247"/>
      <c r="J663" s="247"/>
      <c r="K663" s="247"/>
      <c r="M663" s="249"/>
    </row>
    <row r="664">
      <c r="B664" s="247"/>
      <c r="J664" s="247"/>
      <c r="K664" s="247"/>
      <c r="M664" s="249"/>
    </row>
    <row r="665">
      <c r="B665" s="247"/>
      <c r="J665" s="247"/>
      <c r="K665" s="247"/>
      <c r="M665" s="249"/>
    </row>
    <row r="666">
      <c r="B666" s="247"/>
      <c r="J666" s="247"/>
      <c r="K666" s="247"/>
      <c r="M666" s="249"/>
    </row>
    <row r="667">
      <c r="B667" s="247"/>
      <c r="J667" s="247"/>
      <c r="K667" s="247"/>
      <c r="M667" s="249"/>
    </row>
    <row r="668">
      <c r="B668" s="247"/>
      <c r="J668" s="247"/>
      <c r="K668" s="247"/>
      <c r="M668" s="249"/>
    </row>
    <row r="669">
      <c r="B669" s="247"/>
      <c r="J669" s="247"/>
      <c r="K669" s="247"/>
      <c r="M669" s="249"/>
    </row>
    <row r="670">
      <c r="B670" s="247"/>
      <c r="J670" s="247"/>
      <c r="K670" s="247"/>
      <c r="M670" s="249"/>
    </row>
    <row r="671">
      <c r="B671" s="247"/>
      <c r="J671" s="247"/>
      <c r="K671" s="247"/>
      <c r="M671" s="249"/>
    </row>
    <row r="672">
      <c r="B672" s="247"/>
      <c r="J672" s="247"/>
      <c r="K672" s="247"/>
      <c r="M672" s="249"/>
    </row>
    <row r="673">
      <c r="B673" s="247"/>
      <c r="J673" s="247"/>
      <c r="K673" s="247"/>
      <c r="M673" s="249"/>
    </row>
    <row r="674">
      <c r="B674" s="247"/>
      <c r="J674" s="247"/>
      <c r="K674" s="247"/>
      <c r="M674" s="249"/>
    </row>
    <row r="675">
      <c r="B675" s="247"/>
      <c r="J675" s="247"/>
      <c r="K675" s="247"/>
      <c r="M675" s="249"/>
    </row>
    <row r="676">
      <c r="B676" s="247"/>
      <c r="J676" s="247"/>
      <c r="K676" s="247"/>
      <c r="M676" s="249"/>
    </row>
    <row r="677">
      <c r="B677" s="247"/>
      <c r="J677" s="247"/>
      <c r="K677" s="247"/>
      <c r="M677" s="249"/>
    </row>
    <row r="678">
      <c r="B678" s="247"/>
      <c r="J678" s="247"/>
      <c r="K678" s="247"/>
      <c r="M678" s="249"/>
    </row>
    <row r="679">
      <c r="B679" s="247"/>
      <c r="J679" s="247"/>
      <c r="K679" s="247"/>
      <c r="M679" s="249"/>
    </row>
    <row r="680">
      <c r="B680" s="247"/>
      <c r="J680" s="247"/>
      <c r="K680" s="247"/>
      <c r="M680" s="249"/>
    </row>
    <row r="681">
      <c r="B681" s="247"/>
      <c r="J681" s="247"/>
      <c r="K681" s="247"/>
      <c r="M681" s="249"/>
    </row>
    <row r="682">
      <c r="B682" s="247"/>
      <c r="J682" s="247"/>
      <c r="K682" s="247"/>
      <c r="M682" s="249"/>
    </row>
    <row r="683">
      <c r="B683" s="247"/>
      <c r="J683" s="247"/>
      <c r="K683" s="247"/>
      <c r="M683" s="249"/>
    </row>
    <row r="684">
      <c r="B684" s="247"/>
      <c r="J684" s="247"/>
      <c r="K684" s="247"/>
      <c r="M684" s="249"/>
    </row>
    <row r="685">
      <c r="B685" s="247"/>
      <c r="J685" s="247"/>
      <c r="K685" s="247"/>
      <c r="M685" s="249"/>
    </row>
    <row r="686">
      <c r="B686" s="247"/>
      <c r="J686" s="247"/>
      <c r="K686" s="247"/>
      <c r="M686" s="249"/>
    </row>
    <row r="687">
      <c r="B687" s="247"/>
      <c r="J687" s="247"/>
      <c r="K687" s="247"/>
      <c r="M687" s="249"/>
    </row>
    <row r="688">
      <c r="B688" s="247"/>
      <c r="J688" s="247"/>
      <c r="K688" s="247"/>
      <c r="M688" s="249"/>
    </row>
    <row r="689">
      <c r="B689" s="247"/>
      <c r="J689" s="247"/>
      <c r="K689" s="247"/>
      <c r="M689" s="249"/>
    </row>
    <row r="690">
      <c r="B690" s="247"/>
      <c r="J690" s="247"/>
      <c r="K690" s="247"/>
      <c r="M690" s="249"/>
    </row>
    <row r="691">
      <c r="B691" s="247"/>
      <c r="J691" s="247"/>
      <c r="K691" s="247"/>
      <c r="M691" s="249"/>
    </row>
    <row r="692">
      <c r="B692" s="247"/>
      <c r="J692" s="247"/>
      <c r="K692" s="247"/>
      <c r="M692" s="249"/>
    </row>
    <row r="693">
      <c r="B693" s="247"/>
      <c r="J693" s="247"/>
      <c r="K693" s="247"/>
      <c r="M693" s="249"/>
    </row>
    <row r="694">
      <c r="B694" s="247"/>
      <c r="J694" s="247"/>
      <c r="K694" s="247"/>
      <c r="M694" s="249"/>
    </row>
    <row r="695">
      <c r="B695" s="247"/>
      <c r="J695" s="247"/>
      <c r="K695" s="247"/>
      <c r="M695" s="249"/>
    </row>
    <row r="696">
      <c r="B696" s="247"/>
      <c r="J696" s="247"/>
      <c r="K696" s="247"/>
      <c r="M696" s="249"/>
    </row>
    <row r="697">
      <c r="B697" s="247"/>
      <c r="J697" s="247"/>
      <c r="K697" s="247"/>
      <c r="M697" s="249"/>
    </row>
    <row r="698">
      <c r="B698" s="247"/>
      <c r="J698" s="247"/>
      <c r="K698" s="247"/>
      <c r="M698" s="249"/>
    </row>
    <row r="699">
      <c r="B699" s="247"/>
      <c r="J699" s="247"/>
      <c r="K699" s="247"/>
      <c r="M699" s="249"/>
    </row>
    <row r="700">
      <c r="B700" s="247"/>
      <c r="J700" s="247"/>
      <c r="K700" s="247"/>
      <c r="M700" s="249"/>
    </row>
    <row r="701">
      <c r="B701" s="247"/>
      <c r="J701" s="247"/>
      <c r="K701" s="247"/>
      <c r="M701" s="249"/>
    </row>
    <row r="702">
      <c r="B702" s="247"/>
      <c r="J702" s="247"/>
      <c r="K702" s="247"/>
      <c r="M702" s="249"/>
    </row>
    <row r="703">
      <c r="B703" s="247"/>
      <c r="J703" s="247"/>
      <c r="K703" s="247"/>
      <c r="M703" s="249"/>
    </row>
    <row r="704">
      <c r="B704" s="247"/>
      <c r="J704" s="247"/>
      <c r="K704" s="247"/>
      <c r="M704" s="249"/>
    </row>
    <row r="705">
      <c r="B705" s="247"/>
      <c r="J705" s="247"/>
      <c r="K705" s="247"/>
      <c r="M705" s="249"/>
    </row>
    <row r="706">
      <c r="B706" s="247"/>
      <c r="J706" s="247"/>
      <c r="K706" s="247"/>
      <c r="M706" s="249"/>
    </row>
    <row r="707">
      <c r="B707" s="247"/>
      <c r="J707" s="247"/>
      <c r="K707" s="247"/>
      <c r="M707" s="249"/>
    </row>
    <row r="708">
      <c r="B708" s="247"/>
      <c r="J708" s="247"/>
      <c r="K708" s="247"/>
      <c r="M708" s="249"/>
    </row>
    <row r="709">
      <c r="B709" s="247"/>
      <c r="J709" s="247"/>
      <c r="K709" s="247"/>
      <c r="M709" s="249"/>
    </row>
    <row r="710">
      <c r="B710" s="247"/>
      <c r="J710" s="247"/>
      <c r="K710" s="247"/>
      <c r="M710" s="249"/>
    </row>
    <row r="711">
      <c r="B711" s="247"/>
      <c r="J711" s="247"/>
      <c r="K711" s="247"/>
      <c r="M711" s="249"/>
    </row>
    <row r="712">
      <c r="B712" s="247"/>
      <c r="J712" s="247"/>
      <c r="K712" s="247"/>
      <c r="M712" s="249"/>
    </row>
    <row r="713">
      <c r="B713" s="247"/>
      <c r="J713" s="247"/>
      <c r="K713" s="247"/>
      <c r="M713" s="249"/>
    </row>
    <row r="714">
      <c r="B714" s="247"/>
      <c r="J714" s="247"/>
      <c r="K714" s="247"/>
      <c r="M714" s="249"/>
    </row>
    <row r="715">
      <c r="B715" s="247"/>
      <c r="J715" s="247"/>
      <c r="K715" s="247"/>
      <c r="M715" s="249"/>
    </row>
    <row r="716">
      <c r="B716" s="247"/>
      <c r="J716" s="247"/>
      <c r="K716" s="247"/>
      <c r="M716" s="249"/>
    </row>
    <row r="717">
      <c r="B717" s="247"/>
      <c r="J717" s="247"/>
      <c r="K717" s="247"/>
      <c r="M717" s="249"/>
    </row>
    <row r="718">
      <c r="B718" s="247"/>
      <c r="J718" s="247"/>
      <c r="K718" s="247"/>
      <c r="M718" s="249"/>
    </row>
    <row r="719">
      <c r="B719" s="247"/>
      <c r="J719" s="247"/>
      <c r="K719" s="247"/>
      <c r="M719" s="249"/>
    </row>
    <row r="720">
      <c r="B720" s="247"/>
      <c r="J720" s="247"/>
      <c r="K720" s="247"/>
      <c r="M720" s="249"/>
    </row>
    <row r="721">
      <c r="B721" s="247"/>
      <c r="J721" s="247"/>
      <c r="K721" s="247"/>
      <c r="M721" s="249"/>
    </row>
    <row r="722">
      <c r="B722" s="247"/>
      <c r="J722" s="247"/>
      <c r="K722" s="247"/>
      <c r="M722" s="249"/>
    </row>
    <row r="723">
      <c r="B723" s="247"/>
      <c r="J723" s="247"/>
      <c r="K723" s="247"/>
      <c r="M723" s="249"/>
    </row>
    <row r="724">
      <c r="B724" s="247"/>
      <c r="J724" s="247"/>
      <c r="K724" s="247"/>
      <c r="M724" s="249"/>
    </row>
    <row r="725">
      <c r="B725" s="247"/>
      <c r="J725" s="247"/>
      <c r="K725" s="247"/>
      <c r="M725" s="249"/>
    </row>
    <row r="726">
      <c r="B726" s="247"/>
      <c r="J726" s="247"/>
      <c r="K726" s="247"/>
      <c r="M726" s="249"/>
    </row>
    <row r="727">
      <c r="B727" s="247"/>
      <c r="J727" s="247"/>
      <c r="K727" s="247"/>
      <c r="M727" s="249"/>
    </row>
    <row r="728">
      <c r="B728" s="247"/>
      <c r="J728" s="247"/>
      <c r="K728" s="247"/>
      <c r="M728" s="249"/>
    </row>
    <row r="729">
      <c r="B729" s="247"/>
      <c r="J729" s="247"/>
      <c r="K729" s="247"/>
      <c r="M729" s="249"/>
    </row>
    <row r="730">
      <c r="B730" s="247"/>
      <c r="J730" s="247"/>
      <c r="K730" s="247"/>
      <c r="M730" s="249"/>
    </row>
    <row r="731">
      <c r="B731" s="247"/>
      <c r="J731" s="247"/>
      <c r="K731" s="247"/>
      <c r="M731" s="249"/>
    </row>
    <row r="732">
      <c r="B732" s="247"/>
      <c r="J732" s="247"/>
      <c r="K732" s="247"/>
      <c r="M732" s="249"/>
    </row>
    <row r="733">
      <c r="B733" s="247"/>
      <c r="J733" s="247"/>
      <c r="K733" s="247"/>
      <c r="M733" s="249"/>
    </row>
    <row r="734">
      <c r="B734" s="247"/>
      <c r="J734" s="247"/>
      <c r="K734" s="247"/>
      <c r="M734" s="249"/>
    </row>
    <row r="735">
      <c r="B735" s="247"/>
      <c r="J735" s="247"/>
      <c r="K735" s="247"/>
      <c r="M735" s="249"/>
    </row>
    <row r="736">
      <c r="B736" s="247"/>
      <c r="J736" s="247"/>
      <c r="K736" s="247"/>
      <c r="M736" s="249"/>
    </row>
    <row r="737">
      <c r="B737" s="247"/>
      <c r="J737" s="247"/>
      <c r="K737" s="247"/>
      <c r="M737" s="249"/>
    </row>
    <row r="738">
      <c r="B738" s="247"/>
      <c r="J738" s="247"/>
      <c r="K738" s="247"/>
      <c r="M738" s="249"/>
    </row>
    <row r="739">
      <c r="B739" s="247"/>
      <c r="J739" s="247"/>
      <c r="K739" s="247"/>
      <c r="M739" s="249"/>
    </row>
    <row r="740">
      <c r="B740" s="247"/>
      <c r="J740" s="247"/>
      <c r="K740" s="247"/>
      <c r="M740" s="249"/>
    </row>
    <row r="741">
      <c r="B741" s="247"/>
      <c r="J741" s="247"/>
      <c r="K741" s="247"/>
      <c r="M741" s="249"/>
    </row>
    <row r="742">
      <c r="B742" s="247"/>
      <c r="J742" s="247"/>
      <c r="K742" s="247"/>
      <c r="M742" s="249"/>
    </row>
    <row r="743">
      <c r="B743" s="247"/>
      <c r="J743" s="247"/>
      <c r="K743" s="247"/>
      <c r="M743" s="249"/>
    </row>
    <row r="744">
      <c r="B744" s="247"/>
      <c r="J744" s="247"/>
      <c r="K744" s="247"/>
      <c r="M744" s="249"/>
    </row>
    <row r="745">
      <c r="B745" s="247"/>
      <c r="J745" s="247"/>
      <c r="K745" s="247"/>
      <c r="M745" s="249"/>
    </row>
    <row r="746">
      <c r="B746" s="247"/>
      <c r="J746" s="247"/>
      <c r="K746" s="247"/>
      <c r="M746" s="249"/>
    </row>
    <row r="747">
      <c r="B747" s="247"/>
      <c r="J747" s="247"/>
      <c r="K747" s="247"/>
      <c r="M747" s="249"/>
    </row>
    <row r="748">
      <c r="B748" s="247"/>
      <c r="J748" s="247"/>
      <c r="K748" s="247"/>
      <c r="M748" s="249"/>
    </row>
    <row r="749">
      <c r="B749" s="247"/>
      <c r="J749" s="247"/>
      <c r="K749" s="247"/>
      <c r="M749" s="249"/>
    </row>
    <row r="750">
      <c r="B750" s="247"/>
      <c r="J750" s="247"/>
      <c r="K750" s="247"/>
      <c r="M750" s="249"/>
    </row>
    <row r="751">
      <c r="B751" s="247"/>
      <c r="J751" s="247"/>
      <c r="K751" s="247"/>
      <c r="M751" s="249"/>
    </row>
    <row r="752">
      <c r="B752" s="247"/>
      <c r="J752" s="247"/>
      <c r="K752" s="247"/>
      <c r="M752" s="249"/>
    </row>
    <row r="753">
      <c r="B753" s="247"/>
      <c r="J753" s="247"/>
      <c r="K753" s="247"/>
      <c r="M753" s="249"/>
    </row>
    <row r="754">
      <c r="B754" s="247"/>
      <c r="J754" s="247"/>
      <c r="K754" s="247"/>
      <c r="M754" s="249"/>
    </row>
    <row r="755">
      <c r="B755" s="247"/>
      <c r="J755" s="247"/>
      <c r="K755" s="247"/>
      <c r="M755" s="249"/>
    </row>
    <row r="756">
      <c r="B756" s="247"/>
      <c r="J756" s="247"/>
      <c r="K756" s="247"/>
      <c r="M756" s="249"/>
    </row>
    <row r="757">
      <c r="B757" s="247"/>
      <c r="J757" s="247"/>
      <c r="K757" s="247"/>
      <c r="M757" s="249"/>
    </row>
    <row r="758">
      <c r="B758" s="247"/>
      <c r="J758" s="247"/>
      <c r="K758" s="247"/>
      <c r="M758" s="249"/>
    </row>
    <row r="759">
      <c r="B759" s="247"/>
      <c r="J759" s="247"/>
      <c r="K759" s="247"/>
      <c r="M759" s="249"/>
    </row>
    <row r="760">
      <c r="B760" s="247"/>
      <c r="J760" s="247"/>
      <c r="K760" s="247"/>
      <c r="M760" s="249"/>
    </row>
    <row r="761">
      <c r="B761" s="247"/>
      <c r="J761" s="247"/>
      <c r="K761" s="247"/>
      <c r="M761" s="249"/>
    </row>
    <row r="762">
      <c r="B762" s="247"/>
      <c r="J762" s="247"/>
      <c r="K762" s="247"/>
      <c r="M762" s="249"/>
    </row>
    <row r="763">
      <c r="B763" s="247"/>
      <c r="J763" s="247"/>
      <c r="K763" s="247"/>
      <c r="M763" s="249"/>
    </row>
    <row r="764">
      <c r="B764" s="247"/>
      <c r="J764" s="247"/>
      <c r="K764" s="247"/>
      <c r="M764" s="249"/>
    </row>
    <row r="765">
      <c r="B765" s="247"/>
      <c r="J765" s="247"/>
      <c r="K765" s="247"/>
      <c r="M765" s="249"/>
    </row>
    <row r="766">
      <c r="B766" s="247"/>
      <c r="J766" s="247"/>
      <c r="K766" s="247"/>
      <c r="M766" s="249"/>
    </row>
    <row r="767">
      <c r="B767" s="247"/>
      <c r="J767" s="247"/>
      <c r="K767" s="247"/>
      <c r="M767" s="249"/>
    </row>
    <row r="768">
      <c r="B768" s="247"/>
      <c r="J768" s="247"/>
      <c r="K768" s="247"/>
      <c r="M768" s="249"/>
    </row>
    <row r="769">
      <c r="B769" s="247"/>
      <c r="J769" s="247"/>
      <c r="K769" s="247"/>
      <c r="M769" s="249"/>
    </row>
    <row r="770">
      <c r="B770" s="247"/>
      <c r="J770" s="247"/>
      <c r="K770" s="247"/>
      <c r="M770" s="249"/>
    </row>
    <row r="771">
      <c r="B771" s="247"/>
      <c r="J771" s="247"/>
      <c r="K771" s="247"/>
      <c r="M771" s="249"/>
    </row>
    <row r="772">
      <c r="B772" s="247"/>
      <c r="J772" s="247"/>
      <c r="K772" s="247"/>
      <c r="M772" s="249"/>
    </row>
    <row r="773">
      <c r="B773" s="247"/>
      <c r="J773" s="247"/>
      <c r="K773" s="247"/>
      <c r="M773" s="249"/>
    </row>
    <row r="774">
      <c r="B774" s="247"/>
      <c r="J774" s="247"/>
      <c r="K774" s="247"/>
      <c r="M774" s="249"/>
    </row>
    <row r="775">
      <c r="B775" s="247"/>
      <c r="J775" s="247"/>
      <c r="K775" s="247"/>
      <c r="M775" s="249"/>
    </row>
    <row r="776">
      <c r="B776" s="247"/>
      <c r="J776" s="247"/>
      <c r="K776" s="247"/>
      <c r="M776" s="249"/>
    </row>
    <row r="777">
      <c r="B777" s="247"/>
      <c r="J777" s="247"/>
      <c r="K777" s="247"/>
      <c r="M777" s="249"/>
    </row>
    <row r="778">
      <c r="B778" s="247"/>
      <c r="J778" s="247"/>
      <c r="K778" s="247"/>
      <c r="M778" s="249"/>
    </row>
    <row r="779">
      <c r="B779" s="247"/>
      <c r="J779" s="247"/>
      <c r="K779" s="247"/>
      <c r="M779" s="249"/>
    </row>
    <row r="780">
      <c r="B780" s="247"/>
      <c r="J780" s="247"/>
      <c r="K780" s="247"/>
      <c r="M780" s="249"/>
    </row>
    <row r="781">
      <c r="B781" s="247"/>
      <c r="J781" s="247"/>
      <c r="K781" s="247"/>
      <c r="M781" s="249"/>
    </row>
    <row r="782">
      <c r="B782" s="247"/>
      <c r="J782" s="247"/>
      <c r="K782" s="247"/>
      <c r="M782" s="249"/>
    </row>
    <row r="783">
      <c r="B783" s="247"/>
      <c r="J783" s="247"/>
      <c r="K783" s="247"/>
      <c r="M783" s="249"/>
    </row>
    <row r="784">
      <c r="B784" s="247"/>
      <c r="J784" s="247"/>
      <c r="K784" s="247"/>
      <c r="M784" s="249"/>
    </row>
    <row r="785">
      <c r="B785" s="247"/>
      <c r="J785" s="247"/>
      <c r="K785" s="247"/>
      <c r="M785" s="249"/>
    </row>
    <row r="786">
      <c r="B786" s="247"/>
      <c r="J786" s="247"/>
      <c r="K786" s="247"/>
      <c r="M786" s="249"/>
    </row>
    <row r="787">
      <c r="B787" s="247"/>
      <c r="J787" s="247"/>
      <c r="K787" s="247"/>
      <c r="M787" s="249"/>
    </row>
    <row r="788">
      <c r="B788" s="247"/>
      <c r="J788" s="247"/>
      <c r="K788" s="247"/>
      <c r="M788" s="249"/>
    </row>
    <row r="789">
      <c r="B789" s="247"/>
      <c r="J789" s="247"/>
      <c r="K789" s="247"/>
      <c r="M789" s="249"/>
    </row>
    <row r="790">
      <c r="B790" s="247"/>
      <c r="J790" s="247"/>
      <c r="K790" s="247"/>
      <c r="M790" s="249"/>
    </row>
    <row r="791">
      <c r="B791" s="247"/>
      <c r="J791" s="247"/>
      <c r="K791" s="247"/>
      <c r="M791" s="249"/>
    </row>
    <row r="792">
      <c r="B792" s="247"/>
      <c r="J792" s="247"/>
      <c r="K792" s="247"/>
      <c r="M792" s="249"/>
    </row>
    <row r="793">
      <c r="B793" s="247"/>
      <c r="J793" s="247"/>
      <c r="K793" s="247"/>
      <c r="M793" s="249"/>
    </row>
    <row r="794">
      <c r="B794" s="247"/>
      <c r="J794" s="247"/>
      <c r="K794" s="247"/>
      <c r="M794" s="249"/>
    </row>
    <row r="795">
      <c r="B795" s="247"/>
      <c r="J795" s="247"/>
      <c r="K795" s="247"/>
      <c r="M795" s="249"/>
    </row>
    <row r="796">
      <c r="B796" s="247"/>
      <c r="J796" s="247"/>
      <c r="K796" s="247"/>
      <c r="M796" s="249"/>
    </row>
    <row r="797">
      <c r="B797" s="247"/>
      <c r="J797" s="247"/>
      <c r="K797" s="247"/>
      <c r="M797" s="249"/>
    </row>
    <row r="798">
      <c r="B798" s="247"/>
      <c r="J798" s="247"/>
      <c r="K798" s="247"/>
      <c r="M798" s="249"/>
    </row>
    <row r="799">
      <c r="B799" s="247"/>
      <c r="J799" s="247"/>
      <c r="K799" s="247"/>
      <c r="M799" s="249"/>
    </row>
    <row r="800">
      <c r="B800" s="247"/>
      <c r="J800" s="247"/>
      <c r="K800" s="247"/>
      <c r="M800" s="249"/>
    </row>
    <row r="801">
      <c r="B801" s="247"/>
      <c r="J801" s="247"/>
      <c r="K801" s="247"/>
      <c r="M801" s="249"/>
    </row>
    <row r="802">
      <c r="B802" s="247"/>
      <c r="J802" s="247"/>
      <c r="K802" s="247"/>
      <c r="M802" s="249"/>
    </row>
    <row r="803">
      <c r="B803" s="247"/>
      <c r="J803" s="247"/>
      <c r="K803" s="247"/>
      <c r="M803" s="249"/>
    </row>
    <row r="804">
      <c r="B804" s="247"/>
      <c r="J804" s="247"/>
      <c r="K804" s="247"/>
      <c r="M804" s="249"/>
    </row>
    <row r="805">
      <c r="B805" s="247"/>
      <c r="J805" s="247"/>
      <c r="K805" s="247"/>
      <c r="M805" s="249"/>
    </row>
    <row r="806">
      <c r="B806" s="247"/>
      <c r="J806" s="247"/>
      <c r="K806" s="247"/>
      <c r="M806" s="249"/>
    </row>
    <row r="807">
      <c r="B807" s="247"/>
      <c r="J807" s="247"/>
      <c r="K807" s="247"/>
      <c r="M807" s="249"/>
    </row>
    <row r="808">
      <c r="B808" s="247"/>
      <c r="J808" s="247"/>
      <c r="K808" s="247"/>
      <c r="M808" s="249"/>
    </row>
    <row r="809">
      <c r="B809" s="247"/>
      <c r="J809" s="247"/>
      <c r="K809" s="247"/>
      <c r="M809" s="249"/>
    </row>
    <row r="810">
      <c r="B810" s="247"/>
      <c r="J810" s="247"/>
      <c r="K810" s="247"/>
      <c r="M810" s="249"/>
    </row>
    <row r="811">
      <c r="B811" s="247"/>
      <c r="J811" s="247"/>
      <c r="K811" s="247"/>
      <c r="M811" s="249"/>
    </row>
    <row r="812">
      <c r="B812" s="247"/>
      <c r="J812" s="247"/>
      <c r="K812" s="247"/>
      <c r="M812" s="249"/>
    </row>
    <row r="813">
      <c r="B813" s="247"/>
      <c r="J813" s="247"/>
      <c r="K813" s="247"/>
      <c r="M813" s="249"/>
    </row>
    <row r="814">
      <c r="B814" s="247"/>
      <c r="J814" s="247"/>
      <c r="K814" s="247"/>
      <c r="M814" s="249"/>
    </row>
    <row r="815">
      <c r="B815" s="247"/>
      <c r="J815" s="247"/>
      <c r="K815" s="247"/>
      <c r="M815" s="249"/>
    </row>
    <row r="816">
      <c r="B816" s="247"/>
      <c r="J816" s="247"/>
      <c r="K816" s="247"/>
      <c r="M816" s="249"/>
    </row>
    <row r="817">
      <c r="B817" s="247"/>
      <c r="J817" s="247"/>
      <c r="K817" s="247"/>
      <c r="M817" s="249"/>
    </row>
    <row r="818">
      <c r="B818" s="247"/>
      <c r="J818" s="247"/>
      <c r="K818" s="247"/>
      <c r="M818" s="249"/>
    </row>
    <row r="819">
      <c r="B819" s="247"/>
      <c r="J819" s="247"/>
      <c r="K819" s="247"/>
      <c r="M819" s="249"/>
    </row>
    <row r="820">
      <c r="B820" s="247"/>
      <c r="J820" s="247"/>
      <c r="K820" s="247"/>
      <c r="M820" s="249"/>
    </row>
    <row r="821">
      <c r="B821" s="247"/>
      <c r="J821" s="247"/>
      <c r="K821" s="247"/>
      <c r="M821" s="249"/>
    </row>
    <row r="822">
      <c r="B822" s="247"/>
      <c r="J822" s="247"/>
      <c r="K822" s="247"/>
      <c r="M822" s="249"/>
    </row>
    <row r="823">
      <c r="B823" s="247"/>
      <c r="J823" s="247"/>
      <c r="K823" s="247"/>
      <c r="M823" s="249"/>
    </row>
    <row r="824">
      <c r="B824" s="247"/>
      <c r="J824" s="247"/>
      <c r="K824" s="247"/>
      <c r="M824" s="249"/>
    </row>
    <row r="825">
      <c r="B825" s="247"/>
      <c r="J825" s="247"/>
      <c r="K825" s="247"/>
      <c r="M825" s="249"/>
    </row>
    <row r="826">
      <c r="B826" s="247"/>
      <c r="J826" s="247"/>
      <c r="K826" s="247"/>
      <c r="M826" s="249"/>
    </row>
    <row r="827">
      <c r="B827" s="247"/>
      <c r="J827" s="247"/>
      <c r="K827" s="247"/>
      <c r="M827" s="249"/>
    </row>
    <row r="828">
      <c r="B828" s="247"/>
      <c r="J828" s="247"/>
      <c r="K828" s="247"/>
      <c r="M828" s="249"/>
    </row>
    <row r="829">
      <c r="B829" s="247"/>
      <c r="J829" s="247"/>
      <c r="K829" s="247"/>
      <c r="M829" s="249"/>
    </row>
    <row r="830">
      <c r="B830" s="247"/>
      <c r="J830" s="247"/>
      <c r="K830" s="247"/>
      <c r="M830" s="249"/>
    </row>
    <row r="831">
      <c r="B831" s="247"/>
      <c r="J831" s="247"/>
      <c r="K831" s="247"/>
      <c r="M831" s="249"/>
    </row>
    <row r="832">
      <c r="B832" s="247"/>
      <c r="J832" s="247"/>
      <c r="K832" s="247"/>
      <c r="M832" s="249"/>
    </row>
    <row r="833">
      <c r="B833" s="247"/>
      <c r="J833" s="247"/>
      <c r="K833" s="247"/>
      <c r="M833" s="249"/>
    </row>
    <row r="834">
      <c r="B834" s="247"/>
      <c r="J834" s="247"/>
      <c r="K834" s="247"/>
      <c r="M834" s="249"/>
    </row>
    <row r="835">
      <c r="B835" s="247"/>
      <c r="J835" s="247"/>
      <c r="K835" s="247"/>
      <c r="M835" s="249"/>
    </row>
    <row r="836">
      <c r="B836" s="247"/>
      <c r="J836" s="247"/>
      <c r="K836" s="247"/>
      <c r="M836" s="249"/>
    </row>
    <row r="837">
      <c r="B837" s="247"/>
      <c r="J837" s="247"/>
      <c r="K837" s="247"/>
      <c r="M837" s="249"/>
    </row>
    <row r="838">
      <c r="B838" s="247"/>
      <c r="J838" s="247"/>
      <c r="K838" s="247"/>
      <c r="M838" s="249"/>
    </row>
    <row r="839">
      <c r="B839" s="247"/>
      <c r="J839" s="247"/>
      <c r="K839" s="247"/>
      <c r="M839" s="249"/>
    </row>
    <row r="840">
      <c r="B840" s="247"/>
      <c r="J840" s="247"/>
      <c r="K840" s="247"/>
      <c r="M840" s="249"/>
    </row>
    <row r="841">
      <c r="B841" s="247"/>
      <c r="J841" s="247"/>
      <c r="K841" s="247"/>
      <c r="M841" s="249"/>
    </row>
    <row r="842">
      <c r="B842" s="247"/>
      <c r="J842" s="247"/>
      <c r="K842" s="247"/>
      <c r="M842" s="249"/>
    </row>
    <row r="843">
      <c r="B843" s="247"/>
      <c r="J843" s="247"/>
      <c r="K843" s="247"/>
      <c r="M843" s="249"/>
    </row>
    <row r="844">
      <c r="B844" s="247"/>
      <c r="J844" s="247"/>
      <c r="K844" s="247"/>
      <c r="M844" s="249"/>
    </row>
    <row r="845">
      <c r="B845" s="247"/>
      <c r="J845" s="247"/>
      <c r="K845" s="247"/>
      <c r="M845" s="249"/>
    </row>
    <row r="846">
      <c r="B846" s="247"/>
      <c r="J846" s="247"/>
      <c r="K846" s="247"/>
      <c r="M846" s="249"/>
    </row>
    <row r="847">
      <c r="B847" s="247"/>
      <c r="J847" s="247"/>
      <c r="K847" s="247"/>
      <c r="M847" s="249"/>
    </row>
    <row r="848">
      <c r="B848" s="247"/>
      <c r="J848" s="247"/>
      <c r="K848" s="247"/>
      <c r="M848" s="249"/>
    </row>
    <row r="849">
      <c r="B849" s="247"/>
      <c r="J849" s="247"/>
      <c r="K849" s="247"/>
      <c r="M849" s="249"/>
    </row>
    <row r="850">
      <c r="B850" s="247"/>
      <c r="J850" s="247"/>
      <c r="K850" s="247"/>
      <c r="M850" s="249"/>
    </row>
    <row r="851">
      <c r="B851" s="247"/>
      <c r="J851" s="247"/>
      <c r="K851" s="247"/>
      <c r="M851" s="249"/>
    </row>
    <row r="852">
      <c r="B852" s="247"/>
      <c r="J852" s="247"/>
      <c r="K852" s="247"/>
      <c r="M852" s="249"/>
    </row>
    <row r="853">
      <c r="B853" s="247"/>
      <c r="J853" s="247"/>
      <c r="K853" s="247"/>
      <c r="M853" s="249"/>
    </row>
    <row r="854">
      <c r="B854" s="247"/>
      <c r="J854" s="247"/>
      <c r="K854" s="247"/>
      <c r="M854" s="249"/>
    </row>
    <row r="855">
      <c r="B855" s="247"/>
      <c r="J855" s="247"/>
      <c r="K855" s="247"/>
      <c r="M855" s="249"/>
    </row>
    <row r="856">
      <c r="B856" s="247"/>
      <c r="J856" s="247"/>
      <c r="K856" s="247"/>
      <c r="M856" s="249"/>
    </row>
    <row r="857">
      <c r="B857" s="247"/>
      <c r="J857" s="247"/>
      <c r="K857" s="247"/>
      <c r="M857" s="249"/>
    </row>
    <row r="858">
      <c r="B858" s="247"/>
      <c r="J858" s="247"/>
      <c r="K858" s="247"/>
      <c r="M858" s="249"/>
    </row>
    <row r="859">
      <c r="B859" s="247"/>
      <c r="J859" s="247"/>
      <c r="K859" s="247"/>
      <c r="M859" s="249"/>
    </row>
    <row r="860">
      <c r="B860" s="247"/>
      <c r="J860" s="247"/>
      <c r="K860" s="247"/>
      <c r="M860" s="249"/>
    </row>
    <row r="861">
      <c r="B861" s="247"/>
      <c r="J861" s="247"/>
      <c r="K861" s="247"/>
      <c r="M861" s="249"/>
    </row>
    <row r="862">
      <c r="B862" s="247"/>
      <c r="J862" s="247"/>
      <c r="K862" s="247"/>
      <c r="M862" s="249"/>
    </row>
    <row r="863">
      <c r="B863" s="247"/>
      <c r="J863" s="247"/>
      <c r="K863" s="247"/>
      <c r="M863" s="249"/>
    </row>
    <row r="864">
      <c r="B864" s="247"/>
      <c r="J864" s="247"/>
      <c r="K864" s="247"/>
      <c r="M864" s="249"/>
    </row>
    <row r="865">
      <c r="B865" s="247"/>
      <c r="J865" s="247"/>
      <c r="K865" s="247"/>
      <c r="M865" s="249"/>
    </row>
    <row r="866">
      <c r="B866" s="247"/>
      <c r="J866" s="247"/>
      <c r="K866" s="247"/>
      <c r="M866" s="249"/>
    </row>
    <row r="867">
      <c r="B867" s="247"/>
      <c r="J867" s="247"/>
      <c r="K867" s="247"/>
      <c r="M867" s="249"/>
    </row>
    <row r="868">
      <c r="B868" s="247"/>
      <c r="J868" s="247"/>
      <c r="K868" s="247"/>
      <c r="M868" s="249"/>
    </row>
    <row r="869">
      <c r="B869" s="247"/>
      <c r="J869" s="247"/>
      <c r="K869" s="247"/>
      <c r="M869" s="249"/>
    </row>
    <row r="870">
      <c r="B870" s="247"/>
      <c r="J870" s="247"/>
      <c r="K870" s="247"/>
      <c r="M870" s="249"/>
    </row>
    <row r="871">
      <c r="B871" s="247"/>
      <c r="J871" s="247"/>
      <c r="K871" s="247"/>
      <c r="M871" s="249"/>
    </row>
    <row r="872">
      <c r="B872" s="247"/>
      <c r="J872" s="247"/>
      <c r="K872" s="247"/>
      <c r="M872" s="249"/>
    </row>
    <row r="873">
      <c r="B873" s="247"/>
      <c r="J873" s="247"/>
      <c r="K873" s="247"/>
      <c r="M873" s="249"/>
    </row>
    <row r="874">
      <c r="B874" s="247"/>
      <c r="J874" s="247"/>
      <c r="K874" s="247"/>
      <c r="M874" s="249"/>
    </row>
    <row r="875">
      <c r="B875" s="247"/>
      <c r="J875" s="247"/>
      <c r="K875" s="247"/>
      <c r="M875" s="249"/>
    </row>
    <row r="876">
      <c r="B876" s="247"/>
      <c r="J876" s="247"/>
      <c r="K876" s="247"/>
      <c r="M876" s="249"/>
    </row>
    <row r="877">
      <c r="B877" s="247"/>
      <c r="J877" s="247"/>
      <c r="K877" s="247"/>
      <c r="M877" s="249"/>
    </row>
    <row r="878">
      <c r="B878" s="247"/>
      <c r="J878" s="247"/>
      <c r="K878" s="247"/>
      <c r="M878" s="249"/>
    </row>
    <row r="879">
      <c r="B879" s="247"/>
      <c r="J879" s="247"/>
      <c r="K879" s="247"/>
      <c r="M879" s="249"/>
    </row>
    <row r="880">
      <c r="B880" s="247"/>
      <c r="J880" s="247"/>
      <c r="K880" s="247"/>
      <c r="M880" s="249"/>
    </row>
    <row r="881">
      <c r="B881" s="247"/>
      <c r="J881" s="247"/>
      <c r="K881" s="247"/>
      <c r="M881" s="249"/>
    </row>
    <row r="882">
      <c r="B882" s="247"/>
      <c r="J882" s="247"/>
      <c r="K882" s="247"/>
      <c r="M882" s="249"/>
    </row>
    <row r="883">
      <c r="B883" s="247"/>
      <c r="J883" s="247"/>
      <c r="K883" s="247"/>
      <c r="M883" s="249"/>
    </row>
    <row r="884">
      <c r="B884" s="247"/>
      <c r="J884" s="247"/>
      <c r="K884" s="247"/>
      <c r="M884" s="249"/>
    </row>
    <row r="885">
      <c r="B885" s="247"/>
      <c r="J885" s="247"/>
      <c r="K885" s="247"/>
      <c r="M885" s="249"/>
    </row>
    <row r="886">
      <c r="B886" s="247"/>
      <c r="J886" s="247"/>
      <c r="K886" s="247"/>
      <c r="M886" s="249"/>
    </row>
    <row r="887">
      <c r="B887" s="247"/>
      <c r="J887" s="247"/>
      <c r="K887" s="247"/>
      <c r="M887" s="249"/>
    </row>
    <row r="888">
      <c r="B888" s="247"/>
      <c r="J888" s="247"/>
      <c r="K888" s="247"/>
      <c r="M888" s="249"/>
    </row>
    <row r="889">
      <c r="B889" s="247"/>
      <c r="J889" s="247"/>
      <c r="K889" s="247"/>
      <c r="M889" s="249"/>
    </row>
    <row r="890">
      <c r="B890" s="247"/>
      <c r="J890" s="247"/>
      <c r="K890" s="247"/>
      <c r="M890" s="249"/>
    </row>
    <row r="891">
      <c r="B891" s="247"/>
      <c r="J891" s="247"/>
      <c r="K891" s="247"/>
      <c r="M891" s="249"/>
    </row>
    <row r="892">
      <c r="B892" s="247"/>
      <c r="J892" s="247"/>
      <c r="K892" s="247"/>
      <c r="M892" s="249"/>
    </row>
    <row r="893">
      <c r="B893" s="247"/>
      <c r="J893" s="247"/>
      <c r="K893" s="247"/>
      <c r="M893" s="249"/>
    </row>
    <row r="894">
      <c r="B894" s="247"/>
      <c r="J894" s="247"/>
      <c r="K894" s="247"/>
      <c r="M894" s="249"/>
    </row>
    <row r="895">
      <c r="B895" s="247"/>
      <c r="J895" s="247"/>
      <c r="K895" s="247"/>
      <c r="M895" s="249"/>
    </row>
    <row r="896">
      <c r="B896" s="247"/>
      <c r="J896" s="247"/>
      <c r="K896" s="247"/>
      <c r="M896" s="249"/>
    </row>
    <row r="897">
      <c r="B897" s="247"/>
      <c r="J897" s="247"/>
      <c r="K897" s="247"/>
      <c r="M897" s="249"/>
    </row>
    <row r="898">
      <c r="B898" s="247"/>
      <c r="J898" s="247"/>
      <c r="K898" s="247"/>
      <c r="M898" s="249"/>
    </row>
    <row r="899">
      <c r="B899" s="247"/>
      <c r="J899" s="247"/>
      <c r="K899" s="247"/>
      <c r="M899" s="249"/>
    </row>
    <row r="900">
      <c r="B900" s="247"/>
      <c r="J900" s="247"/>
      <c r="K900" s="247"/>
      <c r="M900" s="249"/>
    </row>
    <row r="901">
      <c r="B901" s="247"/>
      <c r="J901" s="247"/>
      <c r="K901" s="247"/>
      <c r="M901" s="249"/>
    </row>
    <row r="902">
      <c r="B902" s="247"/>
      <c r="J902" s="247"/>
      <c r="K902" s="247"/>
      <c r="M902" s="249"/>
    </row>
    <row r="903">
      <c r="B903" s="247"/>
      <c r="J903" s="247"/>
      <c r="K903" s="247"/>
      <c r="M903" s="249"/>
    </row>
    <row r="904">
      <c r="B904" s="247"/>
      <c r="J904" s="247"/>
      <c r="K904" s="247"/>
      <c r="M904" s="249"/>
    </row>
    <row r="905">
      <c r="B905" s="247"/>
      <c r="J905" s="247"/>
      <c r="K905" s="247"/>
      <c r="M905" s="249"/>
    </row>
    <row r="906">
      <c r="B906" s="247"/>
      <c r="J906" s="247"/>
      <c r="K906" s="247"/>
      <c r="M906" s="249"/>
    </row>
    <row r="907">
      <c r="B907" s="247"/>
      <c r="J907" s="247"/>
      <c r="K907" s="247"/>
      <c r="M907" s="249"/>
    </row>
    <row r="908">
      <c r="B908" s="247"/>
      <c r="J908" s="247"/>
      <c r="K908" s="247"/>
      <c r="M908" s="249"/>
    </row>
    <row r="909">
      <c r="B909" s="247"/>
      <c r="J909" s="247"/>
      <c r="K909" s="247"/>
      <c r="M909" s="249"/>
    </row>
    <row r="910">
      <c r="B910" s="247"/>
      <c r="J910" s="247"/>
      <c r="K910" s="247"/>
      <c r="M910" s="249"/>
    </row>
    <row r="911">
      <c r="B911" s="247"/>
      <c r="J911" s="247"/>
      <c r="K911" s="247"/>
      <c r="M911" s="249"/>
    </row>
    <row r="912">
      <c r="B912" s="247"/>
      <c r="J912" s="247"/>
      <c r="K912" s="247"/>
      <c r="M912" s="249"/>
    </row>
    <row r="913">
      <c r="B913" s="247"/>
      <c r="J913" s="247"/>
      <c r="K913" s="247"/>
      <c r="M913" s="249"/>
    </row>
    <row r="914">
      <c r="B914" s="247"/>
      <c r="J914" s="247"/>
      <c r="K914" s="247"/>
      <c r="M914" s="249"/>
    </row>
    <row r="915">
      <c r="B915" s="247"/>
      <c r="J915" s="247"/>
      <c r="K915" s="247"/>
      <c r="M915" s="249"/>
    </row>
    <row r="916">
      <c r="B916" s="247"/>
      <c r="J916" s="247"/>
      <c r="K916" s="247"/>
      <c r="M916" s="249"/>
    </row>
    <row r="917">
      <c r="B917" s="247"/>
      <c r="J917" s="247"/>
      <c r="K917" s="247"/>
      <c r="M917" s="249"/>
    </row>
    <row r="918">
      <c r="B918" s="247"/>
      <c r="J918" s="247"/>
      <c r="K918" s="247"/>
      <c r="M918" s="249"/>
    </row>
    <row r="919">
      <c r="B919" s="247"/>
      <c r="J919" s="247"/>
      <c r="K919" s="247"/>
      <c r="M919" s="249"/>
    </row>
    <row r="920">
      <c r="B920" s="247"/>
      <c r="J920" s="247"/>
      <c r="K920" s="247"/>
      <c r="M920" s="249"/>
    </row>
    <row r="921">
      <c r="B921" s="247"/>
      <c r="J921" s="247"/>
      <c r="K921" s="247"/>
      <c r="M921" s="249"/>
    </row>
    <row r="922">
      <c r="B922" s="247"/>
      <c r="J922" s="247"/>
      <c r="K922" s="247"/>
      <c r="M922" s="249"/>
    </row>
    <row r="923">
      <c r="B923" s="247"/>
      <c r="J923" s="247"/>
      <c r="K923" s="247"/>
      <c r="M923" s="249"/>
    </row>
    <row r="924">
      <c r="B924" s="247"/>
      <c r="J924" s="247"/>
      <c r="K924" s="247"/>
      <c r="M924" s="249"/>
    </row>
    <row r="925">
      <c r="B925" s="247"/>
      <c r="J925" s="247"/>
      <c r="K925" s="247"/>
      <c r="M925" s="249"/>
    </row>
    <row r="926">
      <c r="B926" s="247"/>
      <c r="J926" s="247"/>
      <c r="K926" s="247"/>
      <c r="M926" s="249"/>
    </row>
    <row r="927">
      <c r="B927" s="247"/>
      <c r="J927" s="247"/>
      <c r="K927" s="247"/>
      <c r="M927" s="249"/>
    </row>
    <row r="928">
      <c r="B928" s="247"/>
      <c r="J928" s="247"/>
      <c r="K928" s="247"/>
      <c r="M928" s="249"/>
    </row>
    <row r="929">
      <c r="B929" s="247"/>
      <c r="J929" s="247"/>
      <c r="K929" s="247"/>
      <c r="M929" s="249"/>
    </row>
    <row r="930">
      <c r="B930" s="247"/>
      <c r="J930" s="247"/>
      <c r="K930" s="247"/>
      <c r="M930" s="249"/>
    </row>
    <row r="931">
      <c r="B931" s="247"/>
      <c r="J931" s="247"/>
      <c r="K931" s="247"/>
      <c r="M931" s="249"/>
    </row>
    <row r="932">
      <c r="B932" s="247"/>
      <c r="J932" s="247"/>
      <c r="K932" s="247"/>
      <c r="M932" s="249"/>
    </row>
    <row r="933">
      <c r="B933" s="247"/>
      <c r="J933" s="247"/>
      <c r="K933" s="247"/>
      <c r="M933" s="249"/>
    </row>
    <row r="934">
      <c r="B934" s="247"/>
      <c r="J934" s="247"/>
      <c r="K934" s="247"/>
      <c r="M934" s="249"/>
    </row>
    <row r="935">
      <c r="B935" s="247"/>
      <c r="J935" s="247"/>
      <c r="K935" s="247"/>
      <c r="M935" s="249"/>
    </row>
    <row r="936">
      <c r="B936" s="247"/>
      <c r="J936" s="247"/>
      <c r="K936" s="247"/>
      <c r="M936" s="249"/>
    </row>
    <row r="937">
      <c r="B937" s="247"/>
      <c r="J937" s="247"/>
      <c r="K937" s="247"/>
      <c r="M937" s="249"/>
    </row>
    <row r="938">
      <c r="B938" s="247"/>
      <c r="J938" s="247"/>
      <c r="K938" s="247"/>
      <c r="M938" s="249"/>
    </row>
    <row r="939">
      <c r="B939" s="247"/>
      <c r="J939" s="247"/>
      <c r="K939" s="247"/>
      <c r="M939" s="249"/>
    </row>
    <row r="940">
      <c r="B940" s="247"/>
      <c r="J940" s="247"/>
      <c r="K940" s="247"/>
      <c r="M940" s="249"/>
    </row>
    <row r="941">
      <c r="B941" s="247"/>
      <c r="J941" s="247"/>
      <c r="K941" s="247"/>
      <c r="M941" s="249"/>
    </row>
    <row r="942">
      <c r="B942" s="247"/>
      <c r="J942" s="247"/>
      <c r="K942" s="247"/>
      <c r="M942" s="249"/>
    </row>
    <row r="943">
      <c r="B943" s="247"/>
      <c r="J943" s="247"/>
      <c r="K943" s="247"/>
      <c r="M943" s="249"/>
    </row>
    <row r="944">
      <c r="B944" s="247"/>
      <c r="J944" s="247"/>
      <c r="K944" s="247"/>
      <c r="M944" s="249"/>
    </row>
    <row r="945">
      <c r="B945" s="247"/>
      <c r="J945" s="247"/>
      <c r="K945" s="247"/>
      <c r="M945" s="249"/>
    </row>
    <row r="946">
      <c r="B946" s="247"/>
      <c r="J946" s="247"/>
      <c r="K946" s="247"/>
      <c r="M946" s="249"/>
    </row>
    <row r="947">
      <c r="B947" s="247"/>
      <c r="J947" s="247"/>
      <c r="K947" s="247"/>
      <c r="M947" s="249"/>
    </row>
    <row r="948">
      <c r="B948" s="247"/>
      <c r="J948" s="247"/>
      <c r="K948" s="247"/>
      <c r="M948" s="249"/>
    </row>
    <row r="949">
      <c r="B949" s="247"/>
      <c r="J949" s="247"/>
      <c r="K949" s="247"/>
      <c r="M949" s="249"/>
    </row>
    <row r="950">
      <c r="B950" s="247"/>
      <c r="J950" s="247"/>
      <c r="K950" s="247"/>
      <c r="M950" s="249"/>
    </row>
    <row r="951">
      <c r="B951" s="247"/>
      <c r="J951" s="247"/>
      <c r="K951" s="247"/>
      <c r="M951" s="249"/>
    </row>
    <row r="952">
      <c r="B952" s="247"/>
      <c r="J952" s="247"/>
      <c r="K952" s="247"/>
      <c r="M952" s="249"/>
    </row>
    <row r="953">
      <c r="B953" s="247"/>
      <c r="J953" s="247"/>
      <c r="K953" s="247"/>
      <c r="M953" s="249"/>
    </row>
    <row r="954">
      <c r="B954" s="247"/>
      <c r="J954" s="247"/>
      <c r="K954" s="247"/>
      <c r="M954" s="249"/>
    </row>
    <row r="955">
      <c r="B955" s="247"/>
      <c r="J955" s="247"/>
      <c r="K955" s="247"/>
      <c r="M955" s="249"/>
    </row>
    <row r="956">
      <c r="B956" s="247"/>
      <c r="J956" s="247"/>
      <c r="K956" s="247"/>
      <c r="M956" s="249"/>
    </row>
    <row r="957">
      <c r="B957" s="247"/>
      <c r="J957" s="247"/>
      <c r="K957" s="247"/>
      <c r="M957" s="249"/>
    </row>
    <row r="958">
      <c r="B958" s="247"/>
      <c r="J958" s="247"/>
      <c r="K958" s="247"/>
      <c r="M958" s="249"/>
    </row>
    <row r="959">
      <c r="B959" s="247"/>
      <c r="J959" s="247"/>
      <c r="K959" s="247"/>
      <c r="M959" s="249"/>
    </row>
    <row r="960">
      <c r="B960" s="247"/>
      <c r="J960" s="247"/>
      <c r="K960" s="247"/>
      <c r="M960" s="249"/>
    </row>
    <row r="961">
      <c r="B961" s="247"/>
      <c r="J961" s="247"/>
      <c r="K961" s="247"/>
      <c r="M961" s="249"/>
    </row>
    <row r="962">
      <c r="B962" s="247"/>
      <c r="J962" s="247"/>
      <c r="K962" s="247"/>
      <c r="M962" s="249"/>
    </row>
    <row r="963">
      <c r="B963" s="247"/>
      <c r="J963" s="247"/>
      <c r="K963" s="247"/>
      <c r="M963" s="249"/>
    </row>
    <row r="964">
      <c r="B964" s="247"/>
      <c r="J964" s="247"/>
      <c r="K964" s="247"/>
      <c r="M964" s="249"/>
    </row>
    <row r="965">
      <c r="B965" s="247"/>
      <c r="J965" s="247"/>
      <c r="K965" s="247"/>
      <c r="M965" s="249"/>
    </row>
    <row r="966">
      <c r="B966" s="247"/>
      <c r="J966" s="247"/>
      <c r="K966" s="247"/>
      <c r="M966" s="249"/>
    </row>
    <row r="967">
      <c r="B967" s="247"/>
      <c r="J967" s="247"/>
      <c r="K967" s="247"/>
      <c r="M967" s="249"/>
    </row>
    <row r="968">
      <c r="B968" s="247"/>
      <c r="J968" s="247"/>
      <c r="K968" s="247"/>
      <c r="M968" s="249"/>
    </row>
    <row r="969">
      <c r="B969" s="247"/>
      <c r="J969" s="247"/>
      <c r="K969" s="247"/>
      <c r="M969" s="249"/>
    </row>
    <row r="970">
      <c r="B970" s="247"/>
      <c r="J970" s="247"/>
      <c r="K970" s="247"/>
      <c r="M970" s="249"/>
    </row>
    <row r="971">
      <c r="B971" s="247"/>
      <c r="J971" s="247"/>
      <c r="K971" s="247"/>
      <c r="M971" s="249"/>
    </row>
    <row r="972">
      <c r="B972" s="247"/>
      <c r="J972" s="247"/>
      <c r="K972" s="247"/>
      <c r="M972" s="249"/>
    </row>
    <row r="973">
      <c r="B973" s="247"/>
      <c r="J973" s="247"/>
      <c r="K973" s="247"/>
      <c r="M973" s="249"/>
    </row>
    <row r="974">
      <c r="B974" s="247"/>
      <c r="J974" s="247"/>
      <c r="K974" s="247"/>
      <c r="M974" s="249"/>
    </row>
    <row r="975">
      <c r="B975" s="247"/>
      <c r="J975" s="247"/>
      <c r="K975" s="247"/>
      <c r="M975" s="249"/>
    </row>
    <row r="976">
      <c r="B976" s="247"/>
      <c r="J976" s="247"/>
      <c r="K976" s="247"/>
      <c r="M976" s="249"/>
    </row>
    <row r="977">
      <c r="B977" s="247"/>
      <c r="J977" s="247"/>
      <c r="K977" s="247"/>
      <c r="M977" s="249"/>
    </row>
    <row r="978">
      <c r="B978" s="247"/>
      <c r="J978" s="247"/>
      <c r="K978" s="247"/>
      <c r="M978" s="249"/>
    </row>
    <row r="979">
      <c r="B979" s="247"/>
      <c r="J979" s="247"/>
      <c r="K979" s="247"/>
      <c r="M979" s="249"/>
    </row>
    <row r="980">
      <c r="B980" s="247"/>
      <c r="J980" s="247"/>
      <c r="K980" s="247"/>
      <c r="M980" s="249"/>
    </row>
    <row r="981">
      <c r="B981" s="247"/>
      <c r="J981" s="247"/>
      <c r="K981" s="247"/>
      <c r="M981" s="249"/>
    </row>
    <row r="982">
      <c r="B982" s="247"/>
      <c r="J982" s="247"/>
      <c r="K982" s="247"/>
      <c r="M982" s="249"/>
    </row>
    <row r="983">
      <c r="B983" s="247"/>
      <c r="J983" s="247"/>
      <c r="K983" s="247"/>
      <c r="M983" s="249"/>
    </row>
    <row r="984">
      <c r="B984" s="247"/>
      <c r="J984" s="247"/>
      <c r="K984" s="247"/>
      <c r="M984" s="249"/>
    </row>
    <row r="985">
      <c r="B985" s="247"/>
      <c r="J985" s="247"/>
      <c r="K985" s="247"/>
      <c r="M985" s="249"/>
    </row>
    <row r="986">
      <c r="B986" s="247"/>
      <c r="J986" s="247"/>
      <c r="K986" s="247"/>
      <c r="M986" s="249"/>
    </row>
    <row r="987">
      <c r="B987" s="247"/>
      <c r="J987" s="247"/>
      <c r="K987" s="247"/>
      <c r="M987" s="249"/>
    </row>
    <row r="988">
      <c r="B988" s="247"/>
      <c r="J988" s="247"/>
      <c r="K988" s="247"/>
      <c r="M988" s="249"/>
    </row>
    <row r="989">
      <c r="B989" s="247"/>
      <c r="J989" s="247"/>
      <c r="K989" s="247"/>
      <c r="M989" s="249"/>
    </row>
    <row r="990">
      <c r="B990" s="247"/>
      <c r="J990" s="247"/>
      <c r="K990" s="247"/>
      <c r="M990" s="249"/>
    </row>
    <row r="991">
      <c r="B991" s="247"/>
      <c r="J991" s="247"/>
      <c r="K991" s="247"/>
      <c r="M991" s="249"/>
    </row>
    <row r="992">
      <c r="B992" s="247"/>
      <c r="J992" s="247"/>
      <c r="K992" s="247"/>
      <c r="M992" s="249"/>
    </row>
    <row r="993">
      <c r="B993" s="247"/>
      <c r="J993" s="247"/>
      <c r="K993" s="247"/>
      <c r="M993" s="249"/>
    </row>
    <row r="994">
      <c r="B994" s="247"/>
      <c r="J994" s="247"/>
      <c r="K994" s="247"/>
      <c r="M994" s="249"/>
    </row>
    <row r="995">
      <c r="B995" s="247"/>
      <c r="J995" s="247"/>
      <c r="K995" s="247"/>
      <c r="M995" s="249"/>
    </row>
  </sheetData>
  <autoFilter ref="$A$1:$Y$42"/>
  <hyperlinks>
    <hyperlink r:id="rId1" ref="T30"/>
    <hyperlink r:id="rId2" ref="T31"/>
    <hyperlink r:id="rId3" ref="T32"/>
    <hyperlink r:id="rId4" ref="T33"/>
    <hyperlink r:id="rId5" ref="T34"/>
    <hyperlink r:id="rId6" ref="T35"/>
    <hyperlink r:id="rId7" ref="T36"/>
    <hyperlink r:id="rId8" ref="T37"/>
    <hyperlink r:id="rId9" ref="T38"/>
    <hyperlink r:id="rId10" ref="T39"/>
    <hyperlink r:id="rId11" ref="T40"/>
    <hyperlink r:id="rId12" ref="T41"/>
    <hyperlink r:id="rId13" ref="T42"/>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s>
  <sheetData>
    <row r="1">
      <c r="A1" s="1" t="s">
        <v>0</v>
      </c>
      <c r="B1" s="1" t="s">
        <v>1</v>
      </c>
      <c r="C1" s="4" t="s">
        <v>3752</v>
      </c>
      <c r="D1" s="1" t="s">
        <v>2</v>
      </c>
      <c r="E1" s="1" t="s">
        <v>3</v>
      </c>
      <c r="F1" s="1" t="s">
        <v>4</v>
      </c>
      <c r="G1" s="1" t="s">
        <v>5</v>
      </c>
      <c r="H1" s="3" t="s">
        <v>6</v>
      </c>
      <c r="I1" s="4" t="s">
        <v>7</v>
      </c>
      <c r="J1" s="4" t="s">
        <v>8</v>
      </c>
      <c r="K1" s="1" t="s">
        <v>10</v>
      </c>
      <c r="L1" s="1" t="s">
        <v>11</v>
      </c>
      <c r="M1" s="250" t="s">
        <v>12</v>
      </c>
      <c r="N1" s="250" t="s">
        <v>41</v>
      </c>
      <c r="O1" s="250" t="s">
        <v>42</v>
      </c>
      <c r="P1" s="250" t="s">
        <v>43</v>
      </c>
      <c r="Q1" s="250" t="s">
        <v>44</v>
      </c>
      <c r="R1" s="250" t="s">
        <v>45</v>
      </c>
      <c r="S1" s="250" t="s">
        <v>46</v>
      </c>
      <c r="T1" s="250" t="s">
        <v>47</v>
      </c>
      <c r="U1" s="250" t="s">
        <v>48</v>
      </c>
      <c r="V1" s="247"/>
      <c r="W1" s="247"/>
      <c r="X1" s="247"/>
      <c r="Y1" s="247"/>
      <c r="Z1" s="247"/>
    </row>
    <row r="2">
      <c r="A2" s="225" t="s">
        <v>3753</v>
      </c>
      <c r="B2" s="218" t="s">
        <v>3754</v>
      </c>
      <c r="C2" s="247"/>
      <c r="D2" s="218" t="s">
        <v>1709</v>
      </c>
      <c r="E2" s="218" t="s">
        <v>3755</v>
      </c>
      <c r="F2" s="218" t="s">
        <v>3756</v>
      </c>
      <c r="G2" s="218" t="s">
        <v>3757</v>
      </c>
      <c r="H2" s="218">
        <v>1350.0</v>
      </c>
      <c r="I2" s="247"/>
      <c r="J2" s="218" t="s">
        <v>1199</v>
      </c>
      <c r="K2" s="218" t="s">
        <v>3205</v>
      </c>
      <c r="L2" s="218" t="s">
        <v>1118</v>
      </c>
      <c r="M2" s="251" t="s">
        <v>3758</v>
      </c>
      <c r="N2" s="251" t="s">
        <v>3759</v>
      </c>
      <c r="O2" s="251" t="s">
        <v>3760</v>
      </c>
      <c r="P2" s="251" t="s">
        <v>3761</v>
      </c>
      <c r="Q2" s="251" t="s">
        <v>3762</v>
      </c>
      <c r="R2" s="251" t="s">
        <v>3763</v>
      </c>
      <c r="S2" s="251" t="s">
        <v>3764</v>
      </c>
      <c r="T2" s="251" t="s">
        <v>3765</v>
      </c>
      <c r="U2" s="252" t="s">
        <v>3766</v>
      </c>
      <c r="V2" s="247"/>
      <c r="W2" s="247"/>
      <c r="X2" s="247"/>
      <c r="Y2" s="247"/>
      <c r="Z2" s="247"/>
    </row>
    <row r="3">
      <c r="A3" s="225" t="s">
        <v>3767</v>
      </c>
      <c r="B3" s="218" t="s">
        <v>3768</v>
      </c>
      <c r="C3" s="218" t="s">
        <v>3769</v>
      </c>
      <c r="D3" s="218" t="s">
        <v>3770</v>
      </c>
      <c r="E3" s="218" t="s">
        <v>3755</v>
      </c>
      <c r="F3" s="218" t="s">
        <v>3756</v>
      </c>
      <c r="G3" s="218" t="s">
        <v>3771</v>
      </c>
      <c r="H3" s="247">
        <f>750+700</f>
        <v>1450</v>
      </c>
      <c r="I3" s="247"/>
      <c r="J3" s="218" t="s">
        <v>3772</v>
      </c>
      <c r="K3" s="218" t="s">
        <v>3205</v>
      </c>
      <c r="L3" s="218" t="s">
        <v>3773</v>
      </c>
      <c r="M3" s="251" t="s">
        <v>3774</v>
      </c>
      <c r="N3" s="251" t="s">
        <v>3775</v>
      </c>
      <c r="O3" s="251" t="s">
        <v>3776</v>
      </c>
      <c r="P3" s="251" t="s">
        <v>3777</v>
      </c>
      <c r="Q3" s="251" t="s">
        <v>3778</v>
      </c>
      <c r="R3" s="251" t="s">
        <v>3779</v>
      </c>
      <c r="S3" s="251" t="s">
        <v>3780</v>
      </c>
      <c r="T3" s="251" t="s">
        <v>3781</v>
      </c>
      <c r="U3" s="253"/>
      <c r="V3" s="247"/>
      <c r="W3" s="247"/>
      <c r="X3" s="247"/>
      <c r="Y3" s="247"/>
      <c r="Z3" s="247"/>
    </row>
    <row r="4">
      <c r="A4" s="225" t="s">
        <v>3782</v>
      </c>
      <c r="B4" s="218" t="s">
        <v>3783</v>
      </c>
      <c r="C4" s="218" t="s">
        <v>3784</v>
      </c>
      <c r="D4" s="218" t="s">
        <v>3785</v>
      </c>
      <c r="E4" s="218" t="s">
        <v>3755</v>
      </c>
      <c r="F4" s="218" t="s">
        <v>3756</v>
      </c>
      <c r="G4" s="218" t="s">
        <v>3786</v>
      </c>
      <c r="H4" s="247">
        <f>600+900</f>
        <v>1500</v>
      </c>
      <c r="I4" s="247"/>
      <c r="J4" s="218" t="s">
        <v>3370</v>
      </c>
      <c r="K4" s="218" t="s">
        <v>3205</v>
      </c>
      <c r="L4" s="218" t="s">
        <v>1595</v>
      </c>
      <c r="M4" s="251" t="s">
        <v>3787</v>
      </c>
      <c r="N4" s="251" t="s">
        <v>3788</v>
      </c>
      <c r="O4" s="251" t="s">
        <v>3789</v>
      </c>
      <c r="P4" s="251" t="s">
        <v>3790</v>
      </c>
      <c r="Q4" s="251" t="s">
        <v>3791</v>
      </c>
      <c r="R4" s="251" t="s">
        <v>3792</v>
      </c>
      <c r="S4" s="251" t="s">
        <v>3793</v>
      </c>
      <c r="T4" s="251" t="s">
        <v>3794</v>
      </c>
      <c r="U4" s="253"/>
      <c r="V4" s="247"/>
      <c r="W4" s="247"/>
      <c r="X4" s="247"/>
      <c r="Y4" s="247"/>
      <c r="Z4" s="247"/>
    </row>
    <row r="5">
      <c r="A5" s="225" t="s">
        <v>3795</v>
      </c>
      <c r="B5" s="218" t="s">
        <v>3796</v>
      </c>
      <c r="C5" s="218" t="s">
        <v>3797</v>
      </c>
      <c r="D5" s="218" t="s">
        <v>3798</v>
      </c>
      <c r="E5" s="218" t="s">
        <v>3755</v>
      </c>
      <c r="F5" s="218" t="s">
        <v>3756</v>
      </c>
      <c r="G5" s="218" t="s">
        <v>3799</v>
      </c>
      <c r="H5" s="247">
        <f>445+'eyes and lips'!G37</f>
        <v>1495</v>
      </c>
      <c r="I5" s="247"/>
      <c r="J5" s="218" t="s">
        <v>3800</v>
      </c>
      <c r="K5" s="218" t="s">
        <v>3205</v>
      </c>
      <c r="L5" s="218" t="s">
        <v>1542</v>
      </c>
      <c r="M5" s="251" t="s">
        <v>3801</v>
      </c>
      <c r="N5" s="251" t="s">
        <v>3802</v>
      </c>
      <c r="O5" s="251" t="s">
        <v>3803</v>
      </c>
      <c r="P5" s="251" t="s">
        <v>3804</v>
      </c>
      <c r="Q5" s="251" t="s">
        <v>3805</v>
      </c>
      <c r="R5" s="251" t="s">
        <v>3806</v>
      </c>
      <c r="S5" s="251" t="s">
        <v>3807</v>
      </c>
      <c r="T5" s="251" t="s">
        <v>3808</v>
      </c>
      <c r="U5" s="253"/>
      <c r="V5" s="247"/>
      <c r="W5" s="247"/>
      <c r="X5" s="247"/>
      <c r="Y5" s="247"/>
      <c r="Z5" s="247"/>
    </row>
    <row r="6">
      <c r="A6" s="225" t="s">
        <v>3809</v>
      </c>
      <c r="B6" s="218" t="s">
        <v>3810</v>
      </c>
      <c r="C6" s="218" t="s">
        <v>3811</v>
      </c>
      <c r="D6" s="218" t="s">
        <v>3812</v>
      </c>
      <c r="E6" s="218" t="s">
        <v>3755</v>
      </c>
      <c r="F6" s="218" t="s">
        <v>3756</v>
      </c>
      <c r="G6" s="218" t="s">
        <v>3813</v>
      </c>
      <c r="H6" s="247">
        <f>299+1295</f>
        <v>1594</v>
      </c>
      <c r="I6" s="247"/>
      <c r="J6" s="218" t="s">
        <v>3800</v>
      </c>
      <c r="K6" s="218" t="s">
        <v>3524</v>
      </c>
      <c r="L6" s="218" t="s">
        <v>88</v>
      </c>
      <c r="M6" s="251" t="s">
        <v>3814</v>
      </c>
      <c r="N6" s="254" t="s">
        <v>3815</v>
      </c>
      <c r="O6" s="251" t="s">
        <v>3816</v>
      </c>
      <c r="P6" s="251" t="s">
        <v>3817</v>
      </c>
      <c r="Q6" s="251" t="s">
        <v>3818</v>
      </c>
      <c r="R6" s="251" t="s">
        <v>3819</v>
      </c>
      <c r="S6" s="251" t="s">
        <v>3820</v>
      </c>
      <c r="T6" s="251" t="s">
        <v>3821</v>
      </c>
      <c r="U6" s="253"/>
      <c r="V6" s="247"/>
      <c r="W6" s="247"/>
      <c r="X6" s="247"/>
      <c r="Y6" s="247"/>
      <c r="Z6" s="247"/>
    </row>
    <row r="7">
      <c r="A7" s="225" t="s">
        <v>3822</v>
      </c>
      <c r="B7" s="218" t="s">
        <v>3823</v>
      </c>
      <c r="C7" s="218" t="s">
        <v>3824</v>
      </c>
      <c r="D7" s="218" t="s">
        <v>3825</v>
      </c>
      <c r="E7" s="218" t="s">
        <v>3755</v>
      </c>
      <c r="F7" s="218" t="s">
        <v>3756</v>
      </c>
      <c r="G7" s="218" t="s">
        <v>3826</v>
      </c>
      <c r="H7" s="247">
        <f>299+399</f>
        <v>698</v>
      </c>
      <c r="I7" s="247"/>
      <c r="J7" s="218" t="s">
        <v>3827</v>
      </c>
      <c r="K7" s="218" t="s">
        <v>3584</v>
      </c>
      <c r="L7" s="218" t="s">
        <v>3525</v>
      </c>
      <c r="M7" s="251" t="s">
        <v>3828</v>
      </c>
      <c r="N7" s="251" t="s">
        <v>3829</v>
      </c>
      <c r="O7" s="251" t="s">
        <v>3830</v>
      </c>
      <c r="P7" s="251" t="s">
        <v>3831</v>
      </c>
      <c r="Q7" s="251" t="s">
        <v>3832</v>
      </c>
      <c r="R7" s="251" t="s">
        <v>3833</v>
      </c>
      <c r="S7" s="251" t="s">
        <v>3834</v>
      </c>
      <c r="T7" s="251" t="s">
        <v>3835</v>
      </c>
      <c r="U7" s="253"/>
      <c r="V7" s="247"/>
      <c r="W7" s="247"/>
      <c r="X7" s="247"/>
      <c r="Y7" s="247"/>
      <c r="Z7" s="247"/>
    </row>
    <row r="8">
      <c r="A8" s="225" t="s">
        <v>3836</v>
      </c>
      <c r="B8" s="218" t="s">
        <v>3837</v>
      </c>
      <c r="C8" s="218" t="s">
        <v>3838</v>
      </c>
      <c r="D8" s="218" t="s">
        <v>3839</v>
      </c>
      <c r="E8" s="218" t="s">
        <v>3755</v>
      </c>
      <c r="F8" s="218" t="s">
        <v>3756</v>
      </c>
      <c r="G8" s="218" t="s">
        <v>3840</v>
      </c>
      <c r="H8" s="247">
        <f>330+445</f>
        <v>775</v>
      </c>
      <c r="I8" s="247"/>
      <c r="J8" s="218" t="s">
        <v>3841</v>
      </c>
      <c r="K8" s="218" t="s">
        <v>3584</v>
      </c>
      <c r="L8" s="218" t="s">
        <v>736</v>
      </c>
      <c r="M8" s="251" t="s">
        <v>3842</v>
      </c>
      <c r="N8" s="251" t="s">
        <v>3843</v>
      </c>
      <c r="O8" s="251" t="s">
        <v>3844</v>
      </c>
      <c r="P8" s="251" t="s">
        <v>3845</v>
      </c>
      <c r="Q8" s="251" t="s">
        <v>3846</v>
      </c>
      <c r="R8" s="251" t="s">
        <v>3847</v>
      </c>
      <c r="S8" s="251" t="s">
        <v>3848</v>
      </c>
      <c r="T8" s="251" t="s">
        <v>3849</v>
      </c>
      <c r="U8" s="253"/>
      <c r="V8" s="247"/>
      <c r="W8" s="247"/>
      <c r="X8" s="247"/>
      <c r="Y8" s="247"/>
      <c r="Z8" s="247"/>
    </row>
    <row r="9">
      <c r="A9" s="225" t="s">
        <v>3850</v>
      </c>
      <c r="B9" s="218" t="s">
        <v>3851</v>
      </c>
      <c r="C9" s="218" t="s">
        <v>3852</v>
      </c>
      <c r="D9" s="218" t="s">
        <v>3853</v>
      </c>
      <c r="E9" s="218" t="s">
        <v>3755</v>
      </c>
      <c r="F9" s="218" t="s">
        <v>3756</v>
      </c>
      <c r="G9" s="218" t="s">
        <v>3854</v>
      </c>
      <c r="H9" s="247">
        <f>1050+399</f>
        <v>1449</v>
      </c>
      <c r="I9" s="247"/>
      <c r="J9" s="218" t="s">
        <v>3855</v>
      </c>
      <c r="K9" s="218" t="s">
        <v>3524</v>
      </c>
      <c r="L9" s="218" t="s">
        <v>3525</v>
      </c>
      <c r="M9" s="251" t="s">
        <v>3856</v>
      </c>
      <c r="N9" s="251" t="s">
        <v>3857</v>
      </c>
      <c r="O9" s="251" t="s">
        <v>3858</v>
      </c>
      <c r="P9" s="251" t="s">
        <v>3859</v>
      </c>
      <c r="Q9" s="251" t="s">
        <v>3860</v>
      </c>
      <c r="R9" s="251" t="s">
        <v>3861</v>
      </c>
      <c r="S9" s="251" t="s">
        <v>3862</v>
      </c>
      <c r="T9" s="251" t="s">
        <v>3863</v>
      </c>
      <c r="U9" s="253"/>
      <c r="V9" s="247"/>
      <c r="W9" s="247"/>
      <c r="X9" s="247"/>
      <c r="Y9" s="247"/>
      <c r="Z9" s="247"/>
    </row>
    <row r="10">
      <c r="A10" s="225" t="s">
        <v>3864</v>
      </c>
      <c r="B10" s="218" t="s">
        <v>3865</v>
      </c>
      <c r="C10" s="218" t="s">
        <v>3866</v>
      </c>
      <c r="D10" s="218" t="s">
        <v>3867</v>
      </c>
      <c r="E10" s="218" t="s">
        <v>3755</v>
      </c>
      <c r="F10" s="218" t="s">
        <v>3756</v>
      </c>
      <c r="G10" s="218" t="s">
        <v>3868</v>
      </c>
      <c r="H10" s="247">
        <f>750+1295</f>
        <v>2045</v>
      </c>
      <c r="I10" s="247"/>
      <c r="J10" s="218" t="s">
        <v>1199</v>
      </c>
      <c r="K10" s="218" t="s">
        <v>3524</v>
      </c>
      <c r="L10" s="218" t="s">
        <v>1118</v>
      </c>
      <c r="M10" s="251" t="s">
        <v>3869</v>
      </c>
      <c r="N10" s="251" t="s">
        <v>3870</v>
      </c>
      <c r="O10" s="251" t="s">
        <v>3871</v>
      </c>
      <c r="P10" s="251" t="s">
        <v>3872</v>
      </c>
      <c r="Q10" s="251" t="s">
        <v>3873</v>
      </c>
      <c r="R10" s="251" t="s">
        <v>3874</v>
      </c>
      <c r="S10" s="251" t="s">
        <v>3875</v>
      </c>
      <c r="T10" s="251" t="s">
        <v>3876</v>
      </c>
      <c r="U10" s="253"/>
      <c r="V10" s="247"/>
      <c r="W10" s="247"/>
      <c r="X10" s="247"/>
      <c r="Y10" s="247"/>
      <c r="Z10" s="247"/>
    </row>
    <row r="11">
      <c r="A11" s="247"/>
      <c r="B11" s="247"/>
      <c r="C11" s="247"/>
      <c r="D11" s="247"/>
      <c r="E11" s="247"/>
      <c r="F11" s="247"/>
      <c r="G11" s="247"/>
      <c r="H11" s="247"/>
      <c r="I11" s="247"/>
      <c r="J11" s="247"/>
      <c r="K11" s="247"/>
      <c r="L11" s="247"/>
      <c r="M11" s="253"/>
      <c r="N11" s="253"/>
      <c r="O11" s="253"/>
      <c r="P11" s="253"/>
      <c r="Q11" s="253"/>
      <c r="R11" s="253"/>
      <c r="S11" s="253"/>
      <c r="T11" s="253"/>
      <c r="U11" s="253"/>
      <c r="V11" s="247"/>
      <c r="W11" s="247"/>
      <c r="X11" s="247"/>
      <c r="Y11" s="247"/>
      <c r="Z11" s="247"/>
    </row>
    <row r="12">
      <c r="A12" s="247"/>
      <c r="B12" s="247"/>
      <c r="C12" s="247"/>
      <c r="D12" s="247"/>
      <c r="E12" s="247"/>
      <c r="F12" s="247"/>
      <c r="G12" s="247"/>
      <c r="H12" s="247"/>
      <c r="I12" s="247"/>
      <c r="J12" s="247"/>
      <c r="K12" s="247"/>
      <c r="L12" s="247"/>
      <c r="M12" s="253"/>
      <c r="N12" s="253"/>
      <c r="O12" s="253"/>
      <c r="P12" s="253"/>
      <c r="Q12" s="253"/>
      <c r="R12" s="253"/>
      <c r="S12" s="253"/>
      <c r="T12" s="253"/>
      <c r="U12" s="253"/>
      <c r="V12" s="247"/>
      <c r="W12" s="247"/>
      <c r="X12" s="247"/>
      <c r="Y12" s="247"/>
      <c r="Z12" s="247"/>
    </row>
    <row r="13">
      <c r="A13" s="247"/>
      <c r="B13" s="247"/>
      <c r="C13" s="247"/>
      <c r="D13" s="247"/>
      <c r="E13" s="247"/>
      <c r="F13" s="247"/>
      <c r="G13" s="247"/>
      <c r="H13" s="247"/>
      <c r="I13" s="247"/>
      <c r="J13" s="247"/>
      <c r="K13" s="248"/>
      <c r="L13" s="248"/>
      <c r="M13" s="255"/>
      <c r="N13" s="255"/>
      <c r="O13" s="255"/>
      <c r="P13" s="255"/>
      <c r="Q13" s="253"/>
      <c r="R13" s="253"/>
      <c r="S13" s="253"/>
      <c r="T13" s="253"/>
      <c r="U13" s="253"/>
      <c r="V13" s="247"/>
      <c r="W13" s="247"/>
      <c r="X13" s="247"/>
      <c r="Y13" s="247"/>
      <c r="Z13" s="247"/>
    </row>
    <row r="14">
      <c r="A14" s="247"/>
      <c r="B14" s="247"/>
      <c r="C14" s="247"/>
      <c r="D14" s="247"/>
      <c r="E14" s="247"/>
      <c r="F14" s="247"/>
      <c r="G14" s="247"/>
      <c r="H14" s="247"/>
      <c r="I14" s="247"/>
      <c r="J14" s="247"/>
      <c r="K14" s="247"/>
      <c r="L14" s="247"/>
      <c r="M14" s="253"/>
      <c r="N14" s="253"/>
      <c r="O14" s="253"/>
      <c r="P14" s="253"/>
      <c r="Q14" s="253"/>
      <c r="R14" s="253"/>
      <c r="S14" s="253"/>
      <c r="T14" s="253"/>
      <c r="U14" s="253"/>
      <c r="V14" s="247"/>
      <c r="W14" s="247"/>
      <c r="X14" s="247"/>
      <c r="Y14" s="247"/>
      <c r="Z14" s="247"/>
    </row>
    <row r="15">
      <c r="A15" s="247"/>
      <c r="B15" s="247"/>
      <c r="C15" s="247"/>
      <c r="D15" s="247"/>
      <c r="E15" s="247"/>
      <c r="F15" s="247"/>
      <c r="G15" s="247"/>
      <c r="H15" s="247"/>
      <c r="I15" s="247"/>
      <c r="J15" s="247"/>
      <c r="K15" s="247"/>
      <c r="L15" s="247"/>
      <c r="M15" s="253"/>
      <c r="N15" s="253"/>
      <c r="O15" s="253"/>
      <c r="P15" s="253"/>
      <c r="Q15" s="253"/>
      <c r="R15" s="253"/>
      <c r="S15" s="253"/>
      <c r="T15" s="253"/>
      <c r="U15" s="253"/>
      <c r="V15" s="247"/>
      <c r="W15" s="247"/>
      <c r="X15" s="247"/>
      <c r="Y15" s="247"/>
      <c r="Z15" s="247"/>
    </row>
    <row r="16">
      <c r="A16" s="247"/>
      <c r="B16" s="247"/>
      <c r="C16" s="247"/>
      <c r="D16" s="247"/>
      <c r="E16" s="247"/>
      <c r="F16" s="247"/>
      <c r="G16" s="247"/>
      <c r="H16" s="247"/>
      <c r="I16" s="247"/>
      <c r="J16" s="247"/>
      <c r="K16" s="247"/>
      <c r="L16" s="248"/>
      <c r="M16" s="255"/>
      <c r="N16" s="255"/>
      <c r="O16" s="255"/>
      <c r="P16" s="255"/>
      <c r="Q16" s="253"/>
      <c r="R16" s="253"/>
      <c r="S16" s="253"/>
      <c r="T16" s="253"/>
      <c r="U16" s="253"/>
      <c r="V16" s="247"/>
      <c r="W16" s="247"/>
      <c r="X16" s="247"/>
      <c r="Y16" s="247"/>
      <c r="Z16" s="247"/>
    </row>
    <row r="17">
      <c r="A17" s="247"/>
      <c r="B17" s="247"/>
      <c r="C17" s="247"/>
      <c r="D17" s="247"/>
      <c r="E17" s="247"/>
      <c r="F17" s="247"/>
      <c r="G17" s="247"/>
      <c r="H17" s="247"/>
      <c r="I17" s="247"/>
      <c r="J17" s="247"/>
      <c r="K17" s="247"/>
      <c r="L17" s="247"/>
      <c r="M17" s="253"/>
      <c r="N17" s="253"/>
      <c r="O17" s="253"/>
      <c r="P17" s="253"/>
      <c r="Q17" s="253"/>
      <c r="R17" s="253"/>
      <c r="S17" s="253"/>
      <c r="T17" s="253"/>
      <c r="U17" s="253"/>
      <c r="V17" s="247"/>
      <c r="W17" s="247"/>
      <c r="X17" s="247"/>
      <c r="Y17" s="247"/>
      <c r="Z17" s="247"/>
    </row>
    <row r="18">
      <c r="A18" s="247"/>
      <c r="B18" s="247"/>
      <c r="C18" s="247"/>
      <c r="D18" s="247"/>
      <c r="E18" s="247"/>
      <c r="F18" s="247"/>
      <c r="G18" s="247"/>
      <c r="H18" s="247"/>
      <c r="I18" s="247"/>
      <c r="J18" s="247"/>
      <c r="K18" s="247"/>
      <c r="L18" s="247"/>
      <c r="M18" s="253"/>
      <c r="N18" s="253"/>
      <c r="O18" s="253"/>
      <c r="P18" s="253"/>
      <c r="Q18" s="253"/>
      <c r="R18" s="253"/>
      <c r="S18" s="253"/>
      <c r="T18" s="253"/>
      <c r="U18" s="253"/>
      <c r="V18" s="247"/>
      <c r="W18" s="247"/>
      <c r="X18" s="247"/>
      <c r="Y18" s="247"/>
      <c r="Z18" s="247"/>
    </row>
    <row r="19">
      <c r="A19" s="247"/>
      <c r="B19" s="247"/>
      <c r="C19" s="247"/>
      <c r="D19" s="247"/>
      <c r="E19" s="247"/>
      <c r="F19" s="247"/>
      <c r="G19" s="247"/>
      <c r="H19" s="247"/>
      <c r="I19" s="247"/>
      <c r="J19" s="247"/>
      <c r="K19" s="247"/>
      <c r="L19" s="247"/>
      <c r="M19" s="253"/>
      <c r="N19" s="253"/>
      <c r="O19" s="253"/>
      <c r="P19" s="253"/>
      <c r="Q19" s="253"/>
      <c r="R19" s="253"/>
      <c r="S19" s="253"/>
      <c r="T19" s="253"/>
      <c r="U19" s="253"/>
      <c r="V19" s="247"/>
      <c r="W19" s="247"/>
      <c r="X19" s="247"/>
      <c r="Y19" s="247"/>
      <c r="Z19" s="247"/>
    </row>
    <row r="20">
      <c r="A20" s="247"/>
      <c r="B20" s="247"/>
      <c r="C20" s="247"/>
      <c r="D20" s="247"/>
      <c r="E20" s="247"/>
      <c r="F20" s="247"/>
      <c r="G20" s="247"/>
      <c r="H20" s="247"/>
      <c r="I20" s="247"/>
      <c r="J20" s="247"/>
      <c r="K20" s="247"/>
      <c r="L20" s="247"/>
      <c r="M20" s="253"/>
      <c r="N20" s="253"/>
      <c r="O20" s="253"/>
      <c r="P20" s="253"/>
      <c r="Q20" s="253"/>
      <c r="R20" s="253"/>
      <c r="S20" s="253"/>
      <c r="T20" s="253"/>
      <c r="U20" s="253"/>
      <c r="V20" s="247"/>
      <c r="W20" s="247"/>
      <c r="X20" s="247"/>
      <c r="Y20" s="247"/>
      <c r="Z20" s="247"/>
    </row>
    <row r="21">
      <c r="A21" s="247"/>
      <c r="B21" s="247"/>
      <c r="C21" s="247"/>
      <c r="D21" s="247"/>
      <c r="E21" s="247"/>
      <c r="F21" s="247"/>
      <c r="G21" s="247"/>
      <c r="H21" s="247"/>
      <c r="I21" s="247"/>
      <c r="J21" s="247"/>
      <c r="K21" s="247"/>
      <c r="L21" s="247"/>
      <c r="M21" s="253"/>
      <c r="N21" s="253"/>
      <c r="O21" s="253"/>
      <c r="P21" s="253"/>
      <c r="Q21" s="253"/>
      <c r="R21" s="253"/>
      <c r="S21" s="253"/>
      <c r="T21" s="253"/>
      <c r="U21" s="253"/>
      <c r="V21" s="247"/>
      <c r="W21" s="247"/>
      <c r="X21" s="247"/>
      <c r="Y21" s="247"/>
      <c r="Z21" s="247"/>
    </row>
    <row r="22">
      <c r="A22" s="247"/>
      <c r="B22" s="247"/>
      <c r="C22" s="247"/>
      <c r="D22" s="247"/>
      <c r="E22" s="247"/>
      <c r="F22" s="247"/>
      <c r="G22" s="247"/>
      <c r="H22" s="247"/>
      <c r="I22" s="247"/>
      <c r="J22" s="247"/>
      <c r="K22" s="247"/>
      <c r="L22" s="247"/>
      <c r="M22" s="253"/>
      <c r="N22" s="253"/>
      <c r="O22" s="253"/>
      <c r="P22" s="253"/>
      <c r="Q22" s="253"/>
      <c r="R22" s="253"/>
      <c r="S22" s="253"/>
      <c r="T22" s="253"/>
      <c r="U22" s="253"/>
      <c r="V22" s="247"/>
      <c r="W22" s="247"/>
      <c r="X22" s="247"/>
      <c r="Y22" s="247"/>
      <c r="Z22" s="247"/>
    </row>
    <row r="23">
      <c r="A23" s="247"/>
      <c r="B23" s="247"/>
      <c r="C23" s="247"/>
      <c r="D23" s="247"/>
      <c r="E23" s="247"/>
      <c r="F23" s="247"/>
      <c r="G23" s="247"/>
      <c r="H23" s="247"/>
      <c r="I23" s="247"/>
      <c r="J23" s="247"/>
      <c r="K23" s="247"/>
      <c r="L23" s="247"/>
      <c r="M23" s="253"/>
      <c r="N23" s="253"/>
      <c r="O23" s="253"/>
      <c r="P23" s="253"/>
      <c r="Q23" s="253"/>
      <c r="R23" s="253"/>
      <c r="S23" s="253"/>
      <c r="T23" s="253"/>
      <c r="U23" s="253"/>
      <c r="V23" s="247"/>
      <c r="W23" s="247"/>
      <c r="X23" s="247"/>
      <c r="Y23" s="247"/>
      <c r="Z23" s="247"/>
    </row>
    <row r="24">
      <c r="A24" s="247"/>
      <c r="B24" s="247"/>
      <c r="C24" s="247"/>
      <c r="D24" s="247"/>
      <c r="E24" s="247"/>
      <c r="F24" s="247"/>
      <c r="G24" s="247"/>
      <c r="H24" s="247"/>
      <c r="I24" s="247"/>
      <c r="J24" s="247"/>
      <c r="K24" s="247"/>
      <c r="L24" s="247"/>
      <c r="M24" s="253"/>
      <c r="N24" s="253"/>
      <c r="O24" s="253"/>
      <c r="P24" s="253"/>
      <c r="Q24" s="253"/>
      <c r="R24" s="253"/>
      <c r="S24" s="253"/>
      <c r="T24" s="253"/>
      <c r="U24" s="253"/>
      <c r="V24" s="247"/>
      <c r="W24" s="247"/>
      <c r="X24" s="247"/>
      <c r="Y24" s="247"/>
      <c r="Z24" s="247"/>
    </row>
    <row r="25">
      <c r="A25" s="247"/>
      <c r="B25" s="247"/>
      <c r="C25" s="247"/>
      <c r="D25" s="247"/>
      <c r="E25" s="247"/>
      <c r="F25" s="247"/>
      <c r="G25" s="247"/>
      <c r="H25" s="247"/>
      <c r="I25" s="247"/>
      <c r="J25" s="247"/>
      <c r="K25" s="247"/>
      <c r="L25" s="247"/>
      <c r="M25" s="253"/>
      <c r="N25" s="253"/>
      <c r="O25" s="253"/>
      <c r="P25" s="253"/>
      <c r="Q25" s="253"/>
      <c r="R25" s="253"/>
      <c r="S25" s="253"/>
      <c r="T25" s="253"/>
      <c r="U25" s="253"/>
      <c r="V25" s="247"/>
      <c r="W25" s="247"/>
      <c r="X25" s="247"/>
      <c r="Y25" s="247"/>
      <c r="Z25" s="247"/>
    </row>
    <row r="26">
      <c r="A26" s="247"/>
      <c r="B26" s="247"/>
      <c r="C26" s="247"/>
      <c r="D26" s="247"/>
      <c r="E26" s="247"/>
      <c r="F26" s="247"/>
      <c r="G26" s="247"/>
      <c r="H26" s="247"/>
      <c r="I26" s="247"/>
      <c r="J26" s="247"/>
      <c r="K26" s="247"/>
      <c r="L26" s="247"/>
      <c r="M26" s="253"/>
      <c r="N26" s="253"/>
      <c r="O26" s="253"/>
      <c r="P26" s="253"/>
      <c r="Q26" s="253"/>
      <c r="R26" s="253"/>
      <c r="S26" s="253"/>
      <c r="T26" s="253"/>
      <c r="U26" s="253"/>
      <c r="V26" s="247"/>
      <c r="W26" s="247"/>
      <c r="X26" s="247"/>
      <c r="Y26" s="247"/>
      <c r="Z26" s="247"/>
    </row>
    <row r="27">
      <c r="A27" s="247"/>
      <c r="B27" s="247"/>
      <c r="C27" s="247"/>
      <c r="D27" s="247"/>
      <c r="E27" s="247"/>
      <c r="F27" s="247"/>
      <c r="G27" s="247"/>
      <c r="H27" s="247"/>
      <c r="I27" s="247"/>
      <c r="J27" s="247"/>
      <c r="K27" s="247"/>
      <c r="L27" s="247"/>
      <c r="M27" s="253"/>
      <c r="N27" s="253"/>
      <c r="O27" s="253"/>
      <c r="P27" s="253"/>
      <c r="Q27" s="253"/>
      <c r="R27" s="253"/>
      <c r="S27" s="253"/>
      <c r="T27" s="253"/>
      <c r="U27" s="253"/>
      <c r="V27" s="247"/>
      <c r="W27" s="247"/>
      <c r="X27" s="247"/>
      <c r="Y27" s="247"/>
      <c r="Z27" s="247"/>
    </row>
    <row r="28">
      <c r="A28" s="247"/>
      <c r="B28" s="247"/>
      <c r="C28" s="247"/>
      <c r="D28" s="247"/>
      <c r="E28" s="247"/>
      <c r="F28" s="247"/>
      <c r="G28" s="247"/>
      <c r="H28" s="247"/>
      <c r="I28" s="247"/>
      <c r="J28" s="247"/>
      <c r="K28" s="247"/>
      <c r="L28" s="247"/>
      <c r="M28" s="253"/>
      <c r="N28" s="253"/>
      <c r="O28" s="253"/>
      <c r="P28" s="253"/>
      <c r="Q28" s="253"/>
      <c r="R28" s="253"/>
      <c r="S28" s="253"/>
      <c r="T28" s="253"/>
      <c r="U28" s="253"/>
      <c r="V28" s="247"/>
      <c r="W28" s="247"/>
      <c r="X28" s="247"/>
      <c r="Y28" s="247"/>
      <c r="Z28" s="247"/>
    </row>
    <row r="29">
      <c r="A29" s="247"/>
      <c r="B29" s="247"/>
      <c r="C29" s="247"/>
      <c r="D29" s="247"/>
      <c r="E29" s="247"/>
      <c r="F29" s="247"/>
      <c r="G29" s="247"/>
      <c r="H29" s="247"/>
      <c r="I29" s="247"/>
      <c r="J29" s="247"/>
      <c r="K29" s="247"/>
      <c r="L29" s="247"/>
      <c r="M29" s="253"/>
      <c r="N29" s="253"/>
      <c r="O29" s="253"/>
      <c r="P29" s="253"/>
      <c r="Q29" s="253"/>
      <c r="R29" s="253"/>
      <c r="S29" s="253"/>
      <c r="T29" s="253"/>
      <c r="U29" s="253"/>
      <c r="V29" s="247"/>
      <c r="W29" s="247"/>
      <c r="X29" s="247"/>
      <c r="Y29" s="247"/>
      <c r="Z29" s="247"/>
    </row>
    <row r="30">
      <c r="A30" s="247"/>
      <c r="B30" s="247"/>
      <c r="C30" s="247"/>
      <c r="D30" s="247"/>
      <c r="E30" s="247"/>
      <c r="F30" s="247"/>
      <c r="G30" s="247"/>
      <c r="H30" s="247"/>
      <c r="I30" s="247"/>
      <c r="J30" s="247"/>
      <c r="K30" s="247"/>
      <c r="L30" s="247"/>
      <c r="M30" s="253"/>
      <c r="N30" s="253"/>
      <c r="O30" s="253"/>
      <c r="P30" s="253"/>
      <c r="Q30" s="253"/>
      <c r="R30" s="253"/>
      <c r="S30" s="253"/>
      <c r="T30" s="253"/>
      <c r="U30" s="253"/>
      <c r="V30" s="247"/>
      <c r="W30" s="247"/>
      <c r="X30" s="247"/>
      <c r="Y30" s="247"/>
      <c r="Z30" s="247"/>
    </row>
    <row r="31">
      <c r="A31" s="247"/>
      <c r="B31" s="247"/>
      <c r="C31" s="247"/>
      <c r="D31" s="247"/>
      <c r="E31" s="247"/>
      <c r="F31" s="247"/>
      <c r="G31" s="247"/>
      <c r="H31" s="247"/>
      <c r="I31" s="247"/>
      <c r="J31" s="247"/>
      <c r="K31" s="247"/>
      <c r="L31" s="247"/>
      <c r="M31" s="253"/>
      <c r="N31" s="253"/>
      <c r="O31" s="253"/>
      <c r="P31" s="253"/>
      <c r="Q31" s="253"/>
      <c r="R31" s="253"/>
      <c r="S31" s="253"/>
      <c r="T31" s="253"/>
      <c r="U31" s="253"/>
      <c r="V31" s="247"/>
      <c r="W31" s="247"/>
      <c r="X31" s="247"/>
      <c r="Y31" s="247"/>
      <c r="Z31" s="247"/>
    </row>
    <row r="32">
      <c r="A32" s="247"/>
      <c r="B32" s="247"/>
      <c r="C32" s="247"/>
      <c r="D32" s="247"/>
      <c r="E32" s="247"/>
      <c r="F32" s="247"/>
      <c r="G32" s="247"/>
      <c r="H32" s="247"/>
      <c r="I32" s="247"/>
      <c r="J32" s="247"/>
      <c r="K32" s="247"/>
      <c r="L32" s="247"/>
      <c r="M32" s="253"/>
      <c r="N32" s="253"/>
      <c r="O32" s="253"/>
      <c r="P32" s="253"/>
      <c r="Q32" s="253"/>
      <c r="R32" s="253"/>
      <c r="S32" s="253"/>
      <c r="T32" s="253"/>
      <c r="U32" s="253"/>
      <c r="V32" s="247"/>
      <c r="W32" s="247"/>
      <c r="X32" s="247"/>
      <c r="Y32" s="247"/>
      <c r="Z32" s="247"/>
    </row>
    <row r="33">
      <c r="A33" s="247"/>
      <c r="B33" s="247"/>
      <c r="C33" s="247"/>
      <c r="D33" s="247"/>
      <c r="E33" s="247"/>
      <c r="F33" s="247"/>
      <c r="G33" s="247"/>
      <c r="H33" s="247"/>
      <c r="I33" s="247"/>
      <c r="J33" s="247"/>
      <c r="K33" s="247"/>
      <c r="L33" s="247"/>
      <c r="M33" s="253"/>
      <c r="N33" s="253"/>
      <c r="O33" s="253"/>
      <c r="P33" s="253"/>
      <c r="Q33" s="253"/>
      <c r="R33" s="253"/>
      <c r="S33" s="253"/>
      <c r="T33" s="253"/>
      <c r="U33" s="253"/>
      <c r="V33" s="247"/>
      <c r="W33" s="247"/>
      <c r="X33" s="247"/>
      <c r="Y33" s="247"/>
      <c r="Z33" s="247"/>
    </row>
    <row r="34">
      <c r="A34" s="247"/>
      <c r="B34" s="247"/>
      <c r="C34" s="247"/>
      <c r="D34" s="247"/>
      <c r="E34" s="247"/>
      <c r="F34" s="247"/>
      <c r="G34" s="247"/>
      <c r="H34" s="247"/>
      <c r="I34" s="247"/>
      <c r="J34" s="247"/>
      <c r="K34" s="247"/>
      <c r="L34" s="247"/>
      <c r="M34" s="253"/>
      <c r="N34" s="253"/>
      <c r="O34" s="253"/>
      <c r="P34" s="253"/>
      <c r="Q34" s="253"/>
      <c r="R34" s="253"/>
      <c r="S34" s="253"/>
      <c r="T34" s="253"/>
      <c r="U34" s="253"/>
      <c r="V34" s="247"/>
      <c r="W34" s="247"/>
      <c r="X34" s="247"/>
      <c r="Y34" s="247"/>
      <c r="Z34" s="247"/>
    </row>
    <row r="35">
      <c r="A35" s="247"/>
      <c r="B35" s="247"/>
      <c r="C35" s="247"/>
      <c r="D35" s="247"/>
      <c r="E35" s="247"/>
      <c r="F35" s="247"/>
      <c r="G35" s="247"/>
      <c r="H35" s="247"/>
      <c r="I35" s="247"/>
      <c r="J35" s="247"/>
      <c r="K35" s="247"/>
      <c r="L35" s="247"/>
      <c r="M35" s="253"/>
      <c r="N35" s="253"/>
      <c r="O35" s="253"/>
      <c r="P35" s="253"/>
      <c r="Q35" s="253"/>
      <c r="R35" s="253"/>
      <c r="S35" s="253"/>
      <c r="T35" s="253"/>
      <c r="U35" s="253"/>
      <c r="V35" s="247"/>
      <c r="W35" s="247"/>
      <c r="X35" s="247"/>
      <c r="Y35" s="247"/>
      <c r="Z35" s="247"/>
    </row>
    <row r="36">
      <c r="A36" s="247"/>
      <c r="B36" s="247"/>
      <c r="C36" s="247"/>
      <c r="D36" s="247"/>
      <c r="E36" s="247"/>
      <c r="F36" s="247"/>
      <c r="G36" s="247"/>
      <c r="H36" s="247"/>
      <c r="I36" s="247"/>
      <c r="J36" s="247"/>
      <c r="K36" s="247"/>
      <c r="L36" s="247"/>
      <c r="M36" s="253"/>
      <c r="N36" s="253"/>
      <c r="O36" s="253"/>
      <c r="P36" s="253"/>
      <c r="Q36" s="253"/>
      <c r="R36" s="253"/>
      <c r="S36" s="253"/>
      <c r="T36" s="253"/>
      <c r="U36" s="253"/>
      <c r="V36" s="247"/>
      <c r="W36" s="247"/>
      <c r="X36" s="247"/>
      <c r="Y36" s="247"/>
      <c r="Z36" s="247"/>
    </row>
    <row r="37">
      <c r="A37" s="247"/>
      <c r="B37" s="247"/>
      <c r="C37" s="247"/>
      <c r="D37" s="247"/>
      <c r="E37" s="247"/>
      <c r="F37" s="247"/>
      <c r="G37" s="247"/>
      <c r="H37" s="247"/>
      <c r="I37" s="247"/>
      <c r="J37" s="247"/>
      <c r="K37" s="247"/>
      <c r="L37" s="247"/>
      <c r="M37" s="253"/>
      <c r="N37" s="253"/>
      <c r="O37" s="253"/>
      <c r="P37" s="253"/>
      <c r="Q37" s="253"/>
      <c r="R37" s="253"/>
      <c r="S37" s="253"/>
      <c r="T37" s="253"/>
      <c r="U37" s="253"/>
      <c r="V37" s="247"/>
      <c r="W37" s="247"/>
      <c r="X37" s="247"/>
      <c r="Y37" s="247"/>
      <c r="Z37" s="247"/>
    </row>
    <row r="38">
      <c r="A38" s="247"/>
      <c r="B38" s="247"/>
      <c r="C38" s="247"/>
      <c r="D38" s="247"/>
      <c r="E38" s="247"/>
      <c r="F38" s="247"/>
      <c r="G38" s="247"/>
      <c r="H38" s="247"/>
      <c r="I38" s="247"/>
      <c r="J38" s="247"/>
      <c r="K38" s="247"/>
      <c r="L38" s="247"/>
      <c r="M38" s="253"/>
      <c r="N38" s="253"/>
      <c r="O38" s="253"/>
      <c r="P38" s="253"/>
      <c r="Q38" s="253"/>
      <c r="R38" s="253"/>
      <c r="S38" s="253"/>
      <c r="T38" s="253"/>
      <c r="U38" s="253"/>
      <c r="V38" s="247"/>
      <c r="W38" s="247"/>
      <c r="X38" s="247"/>
      <c r="Y38" s="247"/>
      <c r="Z38" s="247"/>
    </row>
    <row r="39">
      <c r="A39" s="247"/>
      <c r="B39" s="247"/>
      <c r="C39" s="247"/>
      <c r="D39" s="247"/>
      <c r="E39" s="247"/>
      <c r="F39" s="247"/>
      <c r="G39" s="247"/>
      <c r="H39" s="247"/>
      <c r="I39" s="247"/>
      <c r="J39" s="247"/>
      <c r="K39" s="247"/>
      <c r="L39" s="247"/>
      <c r="M39" s="253"/>
      <c r="N39" s="253"/>
      <c r="O39" s="253"/>
      <c r="P39" s="253"/>
      <c r="Q39" s="253"/>
      <c r="R39" s="253"/>
      <c r="S39" s="253"/>
      <c r="T39" s="253"/>
      <c r="U39" s="253"/>
      <c r="V39" s="247"/>
      <c r="W39" s="247"/>
      <c r="X39" s="247"/>
      <c r="Y39" s="247"/>
      <c r="Z39" s="247"/>
    </row>
    <row r="40">
      <c r="A40" s="247"/>
      <c r="B40" s="247"/>
      <c r="C40" s="247"/>
      <c r="D40" s="247"/>
      <c r="E40" s="247"/>
      <c r="F40" s="247"/>
      <c r="G40" s="247"/>
      <c r="H40" s="247"/>
      <c r="I40" s="247"/>
      <c r="J40" s="247"/>
      <c r="K40" s="247"/>
      <c r="L40" s="247"/>
      <c r="M40" s="253"/>
      <c r="N40" s="253"/>
      <c r="O40" s="253"/>
      <c r="P40" s="253"/>
      <c r="Q40" s="253"/>
      <c r="R40" s="253"/>
      <c r="S40" s="253"/>
      <c r="T40" s="253"/>
      <c r="U40" s="253"/>
      <c r="V40" s="247"/>
      <c r="W40" s="247"/>
      <c r="X40" s="247"/>
      <c r="Y40" s="247"/>
      <c r="Z40" s="247"/>
    </row>
    <row r="41">
      <c r="A41" s="247"/>
      <c r="B41" s="247"/>
      <c r="C41" s="247"/>
      <c r="D41" s="247"/>
      <c r="E41" s="247"/>
      <c r="F41" s="247"/>
      <c r="G41" s="247"/>
      <c r="H41" s="247"/>
      <c r="I41" s="247"/>
      <c r="J41" s="247"/>
      <c r="K41" s="247"/>
      <c r="L41" s="247"/>
      <c r="M41" s="253"/>
      <c r="N41" s="253"/>
      <c r="O41" s="253"/>
      <c r="P41" s="253"/>
      <c r="Q41" s="253"/>
      <c r="R41" s="253"/>
      <c r="S41" s="253"/>
      <c r="T41" s="253"/>
      <c r="U41" s="253"/>
      <c r="V41" s="247"/>
      <c r="W41" s="247"/>
      <c r="X41" s="247"/>
      <c r="Y41" s="247"/>
      <c r="Z41" s="247"/>
    </row>
    <row r="42">
      <c r="A42" s="247"/>
      <c r="B42" s="247"/>
      <c r="C42" s="247"/>
      <c r="D42" s="247"/>
      <c r="E42" s="247"/>
      <c r="F42" s="247"/>
      <c r="G42" s="247"/>
      <c r="H42" s="247"/>
      <c r="I42" s="247"/>
      <c r="J42" s="247"/>
      <c r="K42" s="247"/>
      <c r="L42" s="247"/>
      <c r="M42" s="253"/>
      <c r="N42" s="253"/>
      <c r="O42" s="253"/>
      <c r="P42" s="253"/>
      <c r="Q42" s="253"/>
      <c r="R42" s="253"/>
      <c r="S42" s="253"/>
      <c r="T42" s="253"/>
      <c r="U42" s="253"/>
      <c r="V42" s="247"/>
      <c r="W42" s="247"/>
      <c r="X42" s="247"/>
      <c r="Y42" s="247"/>
      <c r="Z42" s="247"/>
    </row>
    <row r="43">
      <c r="A43" s="247"/>
      <c r="B43" s="247"/>
      <c r="C43" s="247"/>
      <c r="D43" s="247"/>
      <c r="E43" s="247"/>
      <c r="F43" s="247"/>
      <c r="G43" s="247"/>
      <c r="H43" s="247"/>
      <c r="I43" s="247"/>
      <c r="J43" s="247"/>
      <c r="K43" s="247"/>
      <c r="L43" s="247"/>
      <c r="M43" s="253"/>
      <c r="N43" s="253"/>
      <c r="O43" s="253"/>
      <c r="P43" s="253"/>
      <c r="Q43" s="253"/>
      <c r="R43" s="253"/>
      <c r="S43" s="253"/>
      <c r="T43" s="253"/>
      <c r="U43" s="253"/>
      <c r="V43" s="247"/>
      <c r="W43" s="247"/>
      <c r="X43" s="247"/>
      <c r="Y43" s="247"/>
      <c r="Z43" s="247"/>
    </row>
    <row r="44">
      <c r="A44" s="247"/>
      <c r="B44" s="247"/>
      <c r="C44" s="247"/>
      <c r="D44" s="247"/>
      <c r="E44" s="247"/>
      <c r="F44" s="247"/>
      <c r="G44" s="247"/>
      <c r="H44" s="247"/>
      <c r="I44" s="247"/>
      <c r="J44" s="247"/>
      <c r="K44" s="247"/>
      <c r="L44" s="247"/>
      <c r="M44" s="253"/>
      <c r="N44" s="253"/>
      <c r="O44" s="253"/>
      <c r="P44" s="253"/>
      <c r="Q44" s="253"/>
      <c r="R44" s="253"/>
      <c r="S44" s="253"/>
      <c r="T44" s="253"/>
      <c r="U44" s="253"/>
      <c r="V44" s="247"/>
      <c r="W44" s="247"/>
      <c r="X44" s="247"/>
      <c r="Y44" s="247"/>
      <c r="Z44" s="247"/>
    </row>
    <row r="45">
      <c r="A45" s="247"/>
      <c r="B45" s="247"/>
      <c r="C45" s="247"/>
      <c r="D45" s="247"/>
      <c r="E45" s="247"/>
      <c r="F45" s="247"/>
      <c r="G45" s="247"/>
      <c r="H45" s="247"/>
      <c r="I45" s="247"/>
      <c r="J45" s="247"/>
      <c r="K45" s="247"/>
      <c r="L45" s="247"/>
      <c r="M45" s="253"/>
      <c r="N45" s="253"/>
      <c r="O45" s="253"/>
      <c r="P45" s="253"/>
      <c r="Q45" s="253"/>
      <c r="R45" s="253"/>
      <c r="S45" s="253"/>
      <c r="T45" s="253"/>
      <c r="U45" s="253"/>
      <c r="V45" s="247"/>
      <c r="W45" s="247"/>
      <c r="X45" s="247"/>
      <c r="Y45" s="247"/>
      <c r="Z45" s="247"/>
    </row>
    <row r="46">
      <c r="A46" s="247"/>
      <c r="B46" s="247"/>
      <c r="C46" s="247"/>
      <c r="D46" s="247"/>
      <c r="E46" s="247"/>
      <c r="F46" s="247"/>
      <c r="G46" s="247"/>
      <c r="H46" s="247"/>
      <c r="I46" s="247"/>
      <c r="J46" s="247"/>
      <c r="K46" s="247"/>
      <c r="L46" s="247"/>
      <c r="M46" s="253"/>
      <c r="N46" s="253"/>
      <c r="O46" s="253"/>
      <c r="P46" s="253"/>
      <c r="Q46" s="253"/>
      <c r="R46" s="253"/>
      <c r="S46" s="253"/>
      <c r="T46" s="253"/>
      <c r="U46" s="253"/>
      <c r="V46" s="247"/>
      <c r="W46" s="247"/>
      <c r="X46" s="247"/>
      <c r="Y46" s="247"/>
      <c r="Z46" s="247"/>
    </row>
    <row r="47">
      <c r="A47" s="247"/>
      <c r="B47" s="247"/>
      <c r="C47" s="247"/>
      <c r="D47" s="247"/>
      <c r="E47" s="247"/>
      <c r="F47" s="247"/>
      <c r="G47" s="247"/>
      <c r="H47" s="247"/>
      <c r="I47" s="247"/>
      <c r="J47" s="247"/>
      <c r="K47" s="247"/>
      <c r="L47" s="247"/>
      <c r="M47" s="253"/>
      <c r="N47" s="253"/>
      <c r="O47" s="253"/>
      <c r="P47" s="253"/>
      <c r="Q47" s="253"/>
      <c r="R47" s="253"/>
      <c r="S47" s="253"/>
      <c r="T47" s="253"/>
      <c r="U47" s="253"/>
      <c r="V47" s="247"/>
      <c r="W47" s="247"/>
      <c r="X47" s="247"/>
      <c r="Y47" s="247"/>
      <c r="Z47" s="247"/>
    </row>
    <row r="48">
      <c r="A48" s="247"/>
      <c r="B48" s="247"/>
      <c r="C48" s="247"/>
      <c r="D48" s="247"/>
      <c r="E48" s="247"/>
      <c r="F48" s="247"/>
      <c r="G48" s="247"/>
      <c r="H48" s="247"/>
      <c r="I48" s="247"/>
      <c r="J48" s="247"/>
      <c r="K48" s="247"/>
      <c r="L48" s="247"/>
      <c r="M48" s="253"/>
      <c r="N48" s="253"/>
      <c r="O48" s="253"/>
      <c r="P48" s="253"/>
      <c r="Q48" s="253"/>
      <c r="R48" s="253"/>
      <c r="S48" s="253"/>
      <c r="T48" s="253"/>
      <c r="U48" s="253"/>
      <c r="V48" s="247"/>
      <c r="W48" s="247"/>
      <c r="X48" s="247"/>
      <c r="Y48" s="247"/>
      <c r="Z48" s="247"/>
    </row>
    <row r="49">
      <c r="A49" s="247"/>
      <c r="B49" s="247"/>
      <c r="C49" s="247"/>
      <c r="D49" s="247"/>
      <c r="E49" s="247"/>
      <c r="F49" s="247"/>
      <c r="G49" s="247"/>
      <c r="H49" s="247"/>
      <c r="I49" s="247"/>
      <c r="J49" s="247"/>
      <c r="K49" s="247"/>
      <c r="L49" s="247"/>
      <c r="M49" s="253"/>
      <c r="N49" s="253"/>
      <c r="O49" s="253"/>
      <c r="P49" s="253"/>
      <c r="Q49" s="253"/>
      <c r="R49" s="253"/>
      <c r="S49" s="253"/>
      <c r="T49" s="253"/>
      <c r="U49" s="253"/>
      <c r="V49" s="247"/>
      <c r="W49" s="247"/>
      <c r="X49" s="247"/>
      <c r="Y49" s="247"/>
      <c r="Z49" s="247"/>
    </row>
    <row r="50">
      <c r="A50" s="247"/>
      <c r="B50" s="247"/>
      <c r="C50" s="247"/>
      <c r="D50" s="247"/>
      <c r="E50" s="247"/>
      <c r="F50" s="247"/>
      <c r="G50" s="247"/>
      <c r="H50" s="247"/>
      <c r="I50" s="247"/>
      <c r="J50" s="247"/>
      <c r="K50" s="247"/>
      <c r="L50" s="247"/>
      <c r="M50" s="253"/>
      <c r="N50" s="253"/>
      <c r="O50" s="253"/>
      <c r="P50" s="253"/>
      <c r="Q50" s="253"/>
      <c r="R50" s="253"/>
      <c r="S50" s="253"/>
      <c r="T50" s="253"/>
      <c r="U50" s="253"/>
      <c r="V50" s="247"/>
      <c r="W50" s="247"/>
      <c r="X50" s="247"/>
      <c r="Y50" s="247"/>
      <c r="Z50" s="247"/>
    </row>
    <row r="51">
      <c r="A51" s="247"/>
      <c r="B51" s="247"/>
      <c r="C51" s="247"/>
      <c r="D51" s="247"/>
      <c r="E51" s="247"/>
      <c r="F51" s="247"/>
      <c r="G51" s="247"/>
      <c r="H51" s="247"/>
      <c r="I51" s="247"/>
      <c r="J51" s="247"/>
      <c r="K51" s="247"/>
      <c r="L51" s="247"/>
      <c r="M51" s="253"/>
      <c r="N51" s="253"/>
      <c r="O51" s="253"/>
      <c r="P51" s="253"/>
      <c r="Q51" s="253"/>
      <c r="R51" s="253"/>
      <c r="S51" s="253"/>
      <c r="T51" s="253"/>
      <c r="U51" s="253"/>
      <c r="V51" s="247"/>
      <c r="W51" s="247"/>
      <c r="X51" s="247"/>
      <c r="Y51" s="247"/>
      <c r="Z51" s="247"/>
    </row>
    <row r="52">
      <c r="A52" s="247"/>
      <c r="B52" s="247"/>
      <c r="C52" s="247"/>
      <c r="D52" s="247"/>
      <c r="E52" s="247"/>
      <c r="F52" s="247"/>
      <c r="G52" s="247"/>
      <c r="H52" s="247"/>
      <c r="I52" s="247"/>
      <c r="J52" s="247"/>
      <c r="K52" s="247"/>
      <c r="L52" s="247"/>
      <c r="M52" s="253"/>
      <c r="N52" s="253"/>
      <c r="O52" s="253"/>
      <c r="P52" s="253"/>
      <c r="Q52" s="253"/>
      <c r="R52" s="253"/>
      <c r="S52" s="253"/>
      <c r="T52" s="253"/>
      <c r="U52" s="253"/>
      <c r="V52" s="247"/>
      <c r="W52" s="247"/>
      <c r="X52" s="247"/>
      <c r="Y52" s="247"/>
      <c r="Z52" s="247"/>
    </row>
    <row r="53">
      <c r="A53" s="247"/>
      <c r="B53" s="247"/>
      <c r="C53" s="247"/>
      <c r="D53" s="247"/>
      <c r="E53" s="247"/>
      <c r="F53" s="247"/>
      <c r="G53" s="247"/>
      <c r="H53" s="247"/>
      <c r="I53" s="247"/>
      <c r="J53" s="247"/>
      <c r="K53" s="247"/>
      <c r="L53" s="247"/>
      <c r="M53" s="253"/>
      <c r="N53" s="253"/>
      <c r="O53" s="253"/>
      <c r="P53" s="253"/>
      <c r="Q53" s="253"/>
      <c r="R53" s="253"/>
      <c r="S53" s="253"/>
      <c r="T53" s="253"/>
      <c r="U53" s="253"/>
      <c r="V53" s="247"/>
      <c r="W53" s="247"/>
      <c r="X53" s="247"/>
      <c r="Y53" s="247"/>
      <c r="Z53" s="247"/>
    </row>
    <row r="54">
      <c r="A54" s="247"/>
      <c r="B54" s="247"/>
      <c r="C54" s="247"/>
      <c r="D54" s="247"/>
      <c r="E54" s="247"/>
      <c r="F54" s="247"/>
      <c r="G54" s="247"/>
      <c r="H54" s="247"/>
      <c r="I54" s="247"/>
      <c r="J54" s="247"/>
      <c r="K54" s="247"/>
      <c r="L54" s="247"/>
      <c r="M54" s="253"/>
      <c r="N54" s="253"/>
      <c r="O54" s="253"/>
      <c r="P54" s="253"/>
      <c r="Q54" s="253"/>
      <c r="R54" s="253"/>
      <c r="S54" s="253"/>
      <c r="T54" s="253"/>
      <c r="U54" s="253"/>
      <c r="V54" s="247"/>
      <c r="W54" s="247"/>
      <c r="X54" s="247"/>
      <c r="Y54" s="247"/>
      <c r="Z54" s="247"/>
    </row>
    <row r="55">
      <c r="A55" s="247"/>
      <c r="B55" s="247"/>
      <c r="C55" s="247"/>
      <c r="D55" s="247"/>
      <c r="E55" s="247"/>
      <c r="F55" s="247"/>
      <c r="G55" s="247"/>
      <c r="H55" s="247"/>
      <c r="I55" s="247"/>
      <c r="J55" s="247"/>
      <c r="K55" s="247"/>
      <c r="L55" s="247"/>
      <c r="M55" s="253"/>
      <c r="N55" s="253"/>
      <c r="O55" s="253"/>
      <c r="P55" s="253"/>
      <c r="Q55" s="253"/>
      <c r="R55" s="253"/>
      <c r="S55" s="253"/>
      <c r="T55" s="253"/>
      <c r="U55" s="253"/>
      <c r="V55" s="247"/>
      <c r="W55" s="247"/>
      <c r="X55" s="247"/>
      <c r="Y55" s="247"/>
      <c r="Z55" s="247"/>
    </row>
    <row r="56">
      <c r="A56" s="247"/>
      <c r="B56" s="247"/>
      <c r="C56" s="247"/>
      <c r="D56" s="247"/>
      <c r="E56" s="247"/>
      <c r="F56" s="247"/>
      <c r="G56" s="247"/>
      <c r="H56" s="247"/>
      <c r="I56" s="247"/>
      <c r="J56" s="247"/>
      <c r="K56" s="247"/>
      <c r="L56" s="247"/>
      <c r="M56" s="253"/>
      <c r="N56" s="253"/>
      <c r="O56" s="253"/>
      <c r="P56" s="253"/>
      <c r="Q56" s="253"/>
      <c r="R56" s="253"/>
      <c r="S56" s="253"/>
      <c r="T56" s="253"/>
      <c r="U56" s="253"/>
      <c r="V56" s="247"/>
      <c r="W56" s="247"/>
      <c r="X56" s="247"/>
      <c r="Y56" s="247"/>
      <c r="Z56" s="247"/>
    </row>
    <row r="57">
      <c r="A57" s="247"/>
      <c r="B57" s="247"/>
      <c r="C57" s="247"/>
      <c r="D57" s="247"/>
      <c r="E57" s="247"/>
      <c r="F57" s="247"/>
      <c r="G57" s="247"/>
      <c r="H57" s="247"/>
      <c r="I57" s="247"/>
      <c r="J57" s="247"/>
      <c r="K57" s="247"/>
      <c r="L57" s="247"/>
      <c r="M57" s="253"/>
      <c r="N57" s="253"/>
      <c r="O57" s="253"/>
      <c r="P57" s="253"/>
      <c r="Q57" s="253"/>
      <c r="R57" s="253"/>
      <c r="S57" s="253"/>
      <c r="T57" s="253"/>
      <c r="U57" s="253"/>
      <c r="V57" s="247"/>
      <c r="W57" s="247"/>
      <c r="X57" s="247"/>
      <c r="Y57" s="247"/>
      <c r="Z57" s="247"/>
    </row>
    <row r="58">
      <c r="A58" s="247"/>
      <c r="B58" s="247"/>
      <c r="C58" s="247"/>
      <c r="D58" s="247"/>
      <c r="E58" s="247"/>
      <c r="F58" s="247"/>
      <c r="G58" s="247"/>
      <c r="H58" s="247"/>
      <c r="I58" s="247"/>
      <c r="J58" s="247"/>
      <c r="K58" s="247"/>
      <c r="L58" s="247"/>
      <c r="M58" s="253"/>
      <c r="N58" s="253"/>
      <c r="O58" s="253"/>
      <c r="P58" s="253"/>
      <c r="Q58" s="253"/>
      <c r="R58" s="253"/>
      <c r="S58" s="253"/>
      <c r="T58" s="253"/>
      <c r="U58" s="253"/>
      <c r="V58" s="247"/>
      <c r="W58" s="247"/>
      <c r="X58" s="247"/>
      <c r="Y58" s="247"/>
      <c r="Z58" s="247"/>
    </row>
    <row r="59">
      <c r="A59" s="247"/>
      <c r="B59" s="247"/>
      <c r="C59" s="247"/>
      <c r="D59" s="247"/>
      <c r="E59" s="247"/>
      <c r="F59" s="247"/>
      <c r="G59" s="247"/>
      <c r="H59" s="247"/>
      <c r="I59" s="247"/>
      <c r="J59" s="247"/>
      <c r="K59" s="247"/>
      <c r="L59" s="247"/>
      <c r="M59" s="253"/>
      <c r="N59" s="253"/>
      <c r="O59" s="253"/>
      <c r="P59" s="253"/>
      <c r="Q59" s="253"/>
      <c r="R59" s="253"/>
      <c r="S59" s="253"/>
      <c r="T59" s="253"/>
      <c r="U59" s="253"/>
      <c r="V59" s="247"/>
      <c r="W59" s="247"/>
      <c r="X59" s="247"/>
      <c r="Y59" s="247"/>
      <c r="Z59" s="247"/>
    </row>
    <row r="60">
      <c r="A60" s="247"/>
      <c r="B60" s="247"/>
      <c r="C60" s="247"/>
      <c r="D60" s="247"/>
      <c r="E60" s="247"/>
      <c r="F60" s="247"/>
      <c r="G60" s="247"/>
      <c r="H60" s="247"/>
      <c r="I60" s="247"/>
      <c r="J60" s="247"/>
      <c r="K60" s="247"/>
      <c r="L60" s="247"/>
      <c r="M60" s="253"/>
      <c r="N60" s="253"/>
      <c r="O60" s="253"/>
      <c r="P60" s="253"/>
      <c r="Q60" s="253"/>
      <c r="R60" s="253"/>
      <c r="S60" s="253"/>
      <c r="T60" s="253"/>
      <c r="U60" s="253"/>
      <c r="V60" s="247"/>
      <c r="W60" s="247"/>
      <c r="X60" s="247"/>
      <c r="Y60" s="247"/>
      <c r="Z60" s="247"/>
    </row>
    <row r="61">
      <c r="A61" s="247"/>
      <c r="B61" s="247"/>
      <c r="C61" s="247"/>
      <c r="D61" s="247"/>
      <c r="E61" s="247"/>
      <c r="F61" s="247"/>
      <c r="G61" s="247"/>
      <c r="H61" s="247"/>
      <c r="I61" s="247"/>
      <c r="J61" s="247"/>
      <c r="K61" s="247"/>
      <c r="L61" s="247"/>
      <c r="M61" s="253"/>
      <c r="N61" s="253"/>
      <c r="O61" s="253"/>
      <c r="P61" s="253"/>
      <c r="Q61" s="253"/>
      <c r="R61" s="253"/>
      <c r="S61" s="253"/>
      <c r="T61" s="253"/>
      <c r="U61" s="253"/>
      <c r="V61" s="247"/>
      <c r="W61" s="247"/>
      <c r="X61" s="247"/>
      <c r="Y61" s="247"/>
      <c r="Z61" s="247"/>
    </row>
    <row r="62">
      <c r="A62" s="247"/>
      <c r="B62" s="247"/>
      <c r="C62" s="247"/>
      <c r="D62" s="247"/>
      <c r="E62" s="247"/>
      <c r="F62" s="247"/>
      <c r="G62" s="247"/>
      <c r="H62" s="247"/>
      <c r="I62" s="247"/>
      <c r="J62" s="247"/>
      <c r="K62" s="247"/>
      <c r="L62" s="247"/>
      <c r="M62" s="253"/>
      <c r="N62" s="253"/>
      <c r="O62" s="253"/>
      <c r="P62" s="253"/>
      <c r="Q62" s="253"/>
      <c r="R62" s="253"/>
      <c r="S62" s="253"/>
      <c r="T62" s="253"/>
      <c r="U62" s="253"/>
      <c r="V62" s="247"/>
      <c r="W62" s="247"/>
      <c r="X62" s="247"/>
      <c r="Y62" s="247"/>
      <c r="Z62" s="247"/>
    </row>
    <row r="63">
      <c r="A63" s="247"/>
      <c r="B63" s="247"/>
      <c r="C63" s="247"/>
      <c r="D63" s="247"/>
      <c r="E63" s="247"/>
      <c r="F63" s="247"/>
      <c r="G63" s="247"/>
      <c r="H63" s="247"/>
      <c r="I63" s="247"/>
      <c r="J63" s="247"/>
      <c r="K63" s="247"/>
      <c r="L63" s="247"/>
      <c r="M63" s="253"/>
      <c r="N63" s="253"/>
      <c r="O63" s="253"/>
      <c r="P63" s="253"/>
      <c r="Q63" s="253"/>
      <c r="R63" s="253"/>
      <c r="S63" s="253"/>
      <c r="T63" s="253"/>
      <c r="U63" s="253"/>
      <c r="V63" s="247"/>
      <c r="W63" s="247"/>
      <c r="X63" s="247"/>
      <c r="Y63" s="247"/>
      <c r="Z63" s="247"/>
    </row>
    <row r="64">
      <c r="A64" s="247"/>
      <c r="B64" s="247"/>
      <c r="C64" s="247"/>
      <c r="D64" s="247"/>
      <c r="E64" s="247"/>
      <c r="F64" s="247"/>
      <c r="G64" s="247"/>
      <c r="H64" s="247"/>
      <c r="I64" s="247"/>
      <c r="J64" s="247"/>
      <c r="K64" s="247"/>
      <c r="L64" s="247"/>
      <c r="M64" s="253"/>
      <c r="N64" s="253"/>
      <c r="O64" s="253"/>
      <c r="P64" s="253"/>
      <c r="Q64" s="253"/>
      <c r="R64" s="253"/>
      <c r="S64" s="253"/>
      <c r="T64" s="253"/>
      <c r="U64" s="253"/>
      <c r="V64" s="247"/>
      <c r="W64" s="247"/>
      <c r="X64" s="247"/>
      <c r="Y64" s="247"/>
      <c r="Z64" s="247"/>
    </row>
    <row r="65">
      <c r="A65" s="247"/>
      <c r="B65" s="247"/>
      <c r="C65" s="247"/>
      <c r="D65" s="247"/>
      <c r="E65" s="247"/>
      <c r="F65" s="247"/>
      <c r="G65" s="247"/>
      <c r="H65" s="247"/>
      <c r="I65" s="247"/>
      <c r="J65" s="247"/>
      <c r="K65" s="247"/>
      <c r="L65" s="247"/>
      <c r="M65" s="253"/>
      <c r="N65" s="253"/>
      <c r="O65" s="253"/>
      <c r="P65" s="253"/>
      <c r="Q65" s="253"/>
      <c r="R65" s="253"/>
      <c r="S65" s="253"/>
      <c r="T65" s="253"/>
      <c r="U65" s="253"/>
      <c r="V65" s="247"/>
      <c r="W65" s="247"/>
      <c r="X65" s="247"/>
      <c r="Y65" s="247"/>
      <c r="Z65" s="247"/>
    </row>
    <row r="66">
      <c r="A66" s="247"/>
      <c r="B66" s="247"/>
      <c r="C66" s="247"/>
      <c r="D66" s="247"/>
      <c r="E66" s="247"/>
      <c r="F66" s="247"/>
      <c r="G66" s="247"/>
      <c r="H66" s="247"/>
      <c r="I66" s="247"/>
      <c r="J66" s="247"/>
      <c r="K66" s="247"/>
      <c r="L66" s="247"/>
      <c r="M66" s="253"/>
      <c r="N66" s="253"/>
      <c r="O66" s="253"/>
      <c r="P66" s="253"/>
      <c r="Q66" s="253"/>
      <c r="R66" s="253"/>
      <c r="S66" s="253"/>
      <c r="T66" s="253"/>
      <c r="U66" s="253"/>
      <c r="V66" s="247"/>
      <c r="W66" s="247"/>
      <c r="X66" s="247"/>
      <c r="Y66" s="247"/>
      <c r="Z66" s="247"/>
    </row>
    <row r="67">
      <c r="A67" s="247"/>
      <c r="B67" s="247"/>
      <c r="C67" s="247"/>
      <c r="D67" s="247"/>
      <c r="E67" s="247"/>
      <c r="F67" s="247"/>
      <c r="G67" s="247"/>
      <c r="H67" s="247"/>
      <c r="I67" s="247"/>
      <c r="J67" s="247"/>
      <c r="K67" s="247"/>
      <c r="L67" s="247"/>
      <c r="M67" s="253"/>
      <c r="N67" s="253"/>
      <c r="O67" s="253"/>
      <c r="P67" s="253"/>
      <c r="Q67" s="253"/>
      <c r="R67" s="253"/>
      <c r="S67" s="253"/>
      <c r="T67" s="253"/>
      <c r="U67" s="253"/>
      <c r="V67" s="247"/>
      <c r="W67" s="247"/>
      <c r="X67" s="247"/>
      <c r="Y67" s="247"/>
      <c r="Z67" s="247"/>
    </row>
    <row r="68">
      <c r="A68" s="247"/>
      <c r="B68" s="247"/>
      <c r="C68" s="247"/>
      <c r="D68" s="247"/>
      <c r="E68" s="247"/>
      <c r="F68" s="247"/>
      <c r="G68" s="247"/>
      <c r="H68" s="247"/>
      <c r="I68" s="247"/>
      <c r="J68" s="247"/>
      <c r="K68" s="247"/>
      <c r="L68" s="247"/>
      <c r="M68" s="253"/>
      <c r="N68" s="253"/>
      <c r="O68" s="253"/>
      <c r="P68" s="253"/>
      <c r="Q68" s="253"/>
      <c r="R68" s="253"/>
      <c r="S68" s="253"/>
      <c r="T68" s="253"/>
      <c r="U68" s="253"/>
      <c r="V68" s="247"/>
      <c r="W68" s="247"/>
      <c r="X68" s="247"/>
      <c r="Y68" s="247"/>
      <c r="Z68" s="247"/>
    </row>
    <row r="69">
      <c r="A69" s="247"/>
      <c r="B69" s="247"/>
      <c r="C69" s="247"/>
      <c r="D69" s="247"/>
      <c r="E69" s="247"/>
      <c r="F69" s="247"/>
      <c r="G69" s="247"/>
      <c r="H69" s="247"/>
      <c r="I69" s="247"/>
      <c r="J69" s="247"/>
      <c r="K69" s="247"/>
      <c r="L69" s="247"/>
      <c r="M69" s="253"/>
      <c r="N69" s="253"/>
      <c r="O69" s="253"/>
      <c r="P69" s="253"/>
      <c r="Q69" s="253"/>
      <c r="R69" s="253"/>
      <c r="S69" s="253"/>
      <c r="T69" s="253"/>
      <c r="U69" s="253"/>
      <c r="V69" s="247"/>
      <c r="W69" s="247"/>
      <c r="X69" s="247"/>
      <c r="Y69" s="247"/>
      <c r="Z69" s="247"/>
    </row>
    <row r="70">
      <c r="A70" s="247"/>
      <c r="B70" s="247"/>
      <c r="C70" s="247"/>
      <c r="D70" s="247"/>
      <c r="E70" s="247"/>
      <c r="F70" s="247"/>
      <c r="G70" s="247"/>
      <c r="H70" s="247"/>
      <c r="I70" s="247"/>
      <c r="J70" s="247"/>
      <c r="K70" s="247"/>
      <c r="L70" s="247"/>
      <c r="M70" s="253"/>
      <c r="N70" s="253"/>
      <c r="O70" s="253"/>
      <c r="P70" s="253"/>
      <c r="Q70" s="253"/>
      <c r="R70" s="253"/>
      <c r="S70" s="253"/>
      <c r="T70" s="253"/>
      <c r="U70" s="253"/>
      <c r="V70" s="247"/>
      <c r="W70" s="247"/>
      <c r="X70" s="247"/>
      <c r="Y70" s="247"/>
      <c r="Z70" s="247"/>
    </row>
    <row r="71">
      <c r="A71" s="247"/>
      <c r="B71" s="247"/>
      <c r="C71" s="247"/>
      <c r="D71" s="247"/>
      <c r="E71" s="247"/>
      <c r="F71" s="247"/>
      <c r="G71" s="247"/>
      <c r="H71" s="247"/>
      <c r="I71" s="247"/>
      <c r="J71" s="247"/>
      <c r="K71" s="247"/>
      <c r="L71" s="247"/>
      <c r="M71" s="253"/>
      <c r="N71" s="253"/>
      <c r="O71" s="253"/>
      <c r="P71" s="253"/>
      <c r="Q71" s="253"/>
      <c r="R71" s="253"/>
      <c r="S71" s="253"/>
      <c r="T71" s="253"/>
      <c r="U71" s="253"/>
      <c r="V71" s="247"/>
      <c r="W71" s="247"/>
      <c r="X71" s="247"/>
      <c r="Y71" s="247"/>
      <c r="Z71" s="247"/>
    </row>
    <row r="72">
      <c r="A72" s="247"/>
      <c r="B72" s="247"/>
      <c r="C72" s="247"/>
      <c r="D72" s="247"/>
      <c r="E72" s="247"/>
      <c r="F72" s="247"/>
      <c r="G72" s="247"/>
      <c r="H72" s="247"/>
      <c r="I72" s="247"/>
      <c r="J72" s="247"/>
      <c r="K72" s="247"/>
      <c r="L72" s="247"/>
      <c r="M72" s="253"/>
      <c r="N72" s="253"/>
      <c r="O72" s="253"/>
      <c r="P72" s="253"/>
      <c r="Q72" s="253"/>
      <c r="R72" s="253"/>
      <c r="S72" s="253"/>
      <c r="T72" s="253"/>
      <c r="U72" s="253"/>
      <c r="V72" s="247"/>
      <c r="W72" s="247"/>
      <c r="X72" s="247"/>
      <c r="Y72" s="247"/>
      <c r="Z72" s="247"/>
    </row>
    <row r="73">
      <c r="A73" s="247"/>
      <c r="B73" s="247"/>
      <c r="C73" s="247"/>
      <c r="D73" s="247"/>
      <c r="E73" s="247"/>
      <c r="F73" s="247"/>
      <c r="G73" s="247"/>
      <c r="H73" s="247"/>
      <c r="I73" s="247"/>
      <c r="J73" s="247"/>
      <c r="K73" s="247"/>
      <c r="L73" s="247"/>
      <c r="M73" s="253"/>
      <c r="N73" s="253"/>
      <c r="O73" s="253"/>
      <c r="P73" s="253"/>
      <c r="Q73" s="253"/>
      <c r="R73" s="253"/>
      <c r="S73" s="253"/>
      <c r="T73" s="253"/>
      <c r="U73" s="253"/>
      <c r="V73" s="247"/>
      <c r="W73" s="247"/>
      <c r="X73" s="247"/>
      <c r="Y73" s="247"/>
      <c r="Z73" s="247"/>
    </row>
    <row r="74">
      <c r="A74" s="247"/>
      <c r="B74" s="247"/>
      <c r="C74" s="247"/>
      <c r="D74" s="247"/>
      <c r="E74" s="247"/>
      <c r="F74" s="247"/>
      <c r="G74" s="247"/>
      <c r="H74" s="247"/>
      <c r="I74" s="247"/>
      <c r="J74" s="247"/>
      <c r="K74" s="247"/>
      <c r="L74" s="247"/>
      <c r="M74" s="253"/>
      <c r="N74" s="253"/>
      <c r="O74" s="253"/>
      <c r="P74" s="253"/>
      <c r="Q74" s="253"/>
      <c r="R74" s="253"/>
      <c r="S74" s="253"/>
      <c r="T74" s="253"/>
      <c r="U74" s="253"/>
      <c r="V74" s="247"/>
      <c r="W74" s="247"/>
      <c r="X74" s="247"/>
      <c r="Y74" s="247"/>
      <c r="Z74" s="247"/>
    </row>
    <row r="75">
      <c r="A75" s="247"/>
      <c r="B75" s="247"/>
      <c r="C75" s="247"/>
      <c r="D75" s="247"/>
      <c r="E75" s="247"/>
      <c r="F75" s="247"/>
      <c r="G75" s="247"/>
      <c r="H75" s="247"/>
      <c r="I75" s="247"/>
      <c r="J75" s="247"/>
      <c r="K75" s="247"/>
      <c r="L75" s="247"/>
      <c r="M75" s="253"/>
      <c r="N75" s="253"/>
      <c r="O75" s="253"/>
      <c r="P75" s="253"/>
      <c r="Q75" s="253"/>
      <c r="R75" s="253"/>
      <c r="S75" s="253"/>
      <c r="T75" s="253"/>
      <c r="U75" s="253"/>
      <c r="V75" s="247"/>
      <c r="W75" s="247"/>
      <c r="X75" s="247"/>
      <c r="Y75" s="247"/>
      <c r="Z75" s="247"/>
    </row>
    <row r="76">
      <c r="A76" s="247"/>
      <c r="B76" s="247"/>
      <c r="C76" s="247"/>
      <c r="D76" s="247"/>
      <c r="E76" s="247"/>
      <c r="F76" s="247"/>
      <c r="G76" s="247"/>
      <c r="H76" s="247"/>
      <c r="I76" s="247"/>
      <c r="J76" s="247"/>
      <c r="K76" s="247"/>
      <c r="L76" s="247"/>
      <c r="M76" s="253"/>
      <c r="N76" s="253"/>
      <c r="O76" s="253"/>
      <c r="P76" s="253"/>
      <c r="Q76" s="253"/>
      <c r="R76" s="253"/>
      <c r="S76" s="253"/>
      <c r="T76" s="253"/>
      <c r="U76" s="253"/>
      <c r="V76" s="247"/>
      <c r="W76" s="247"/>
      <c r="X76" s="247"/>
      <c r="Y76" s="247"/>
      <c r="Z76" s="247"/>
    </row>
    <row r="77">
      <c r="A77" s="247"/>
      <c r="B77" s="247"/>
      <c r="C77" s="247"/>
      <c r="D77" s="247"/>
      <c r="E77" s="247"/>
      <c r="F77" s="247"/>
      <c r="G77" s="247"/>
      <c r="H77" s="247"/>
      <c r="I77" s="247"/>
      <c r="J77" s="247"/>
      <c r="K77" s="247"/>
      <c r="L77" s="247"/>
      <c r="M77" s="253"/>
      <c r="N77" s="253"/>
      <c r="O77" s="253"/>
      <c r="P77" s="253"/>
      <c r="Q77" s="253"/>
      <c r="R77" s="253"/>
      <c r="S77" s="253"/>
      <c r="T77" s="253"/>
      <c r="U77" s="253"/>
      <c r="V77" s="247"/>
      <c r="W77" s="247"/>
      <c r="X77" s="247"/>
      <c r="Y77" s="247"/>
      <c r="Z77" s="247"/>
    </row>
    <row r="78">
      <c r="A78" s="247"/>
      <c r="B78" s="247"/>
      <c r="C78" s="247"/>
      <c r="D78" s="247"/>
      <c r="E78" s="247"/>
      <c r="F78" s="247"/>
      <c r="G78" s="247"/>
      <c r="H78" s="247"/>
      <c r="I78" s="247"/>
      <c r="J78" s="247"/>
      <c r="K78" s="247"/>
      <c r="L78" s="247"/>
      <c r="M78" s="253"/>
      <c r="N78" s="253"/>
      <c r="O78" s="253"/>
      <c r="P78" s="253"/>
      <c r="Q78" s="253"/>
      <c r="R78" s="253"/>
      <c r="S78" s="253"/>
      <c r="T78" s="253"/>
      <c r="U78" s="253"/>
      <c r="V78" s="247"/>
      <c r="W78" s="247"/>
      <c r="X78" s="247"/>
      <c r="Y78" s="247"/>
      <c r="Z78" s="247"/>
    </row>
    <row r="79">
      <c r="A79" s="247"/>
      <c r="B79" s="247"/>
      <c r="C79" s="247"/>
      <c r="D79" s="247"/>
      <c r="E79" s="247"/>
      <c r="F79" s="247"/>
      <c r="G79" s="247"/>
      <c r="H79" s="247"/>
      <c r="I79" s="247"/>
      <c r="J79" s="247"/>
      <c r="K79" s="247"/>
      <c r="L79" s="247"/>
      <c r="M79" s="253"/>
      <c r="N79" s="253"/>
      <c r="O79" s="253"/>
      <c r="P79" s="253"/>
      <c r="Q79" s="253"/>
      <c r="R79" s="253"/>
      <c r="S79" s="253"/>
      <c r="T79" s="253"/>
      <c r="U79" s="253"/>
      <c r="V79" s="247"/>
      <c r="W79" s="247"/>
      <c r="X79" s="247"/>
      <c r="Y79" s="247"/>
      <c r="Z79" s="247"/>
    </row>
    <row r="80">
      <c r="A80" s="247"/>
      <c r="B80" s="247"/>
      <c r="C80" s="247"/>
      <c r="D80" s="247"/>
      <c r="E80" s="247"/>
      <c r="F80" s="247"/>
      <c r="G80" s="247"/>
      <c r="H80" s="247"/>
      <c r="I80" s="247"/>
      <c r="J80" s="247"/>
      <c r="K80" s="247"/>
      <c r="L80" s="247"/>
      <c r="M80" s="253"/>
      <c r="N80" s="253"/>
      <c r="O80" s="253"/>
      <c r="P80" s="253"/>
      <c r="Q80" s="253"/>
      <c r="R80" s="253"/>
      <c r="S80" s="253"/>
      <c r="T80" s="253"/>
      <c r="U80" s="253"/>
      <c r="V80" s="247"/>
      <c r="W80" s="247"/>
      <c r="X80" s="247"/>
      <c r="Y80" s="247"/>
      <c r="Z80" s="247"/>
    </row>
    <row r="81">
      <c r="A81" s="247"/>
      <c r="B81" s="247"/>
      <c r="C81" s="247"/>
      <c r="D81" s="247"/>
      <c r="E81" s="247"/>
      <c r="F81" s="247"/>
      <c r="G81" s="247"/>
      <c r="H81" s="247"/>
      <c r="I81" s="247"/>
      <c r="J81" s="247"/>
      <c r="K81" s="247"/>
      <c r="L81" s="247"/>
      <c r="M81" s="253"/>
      <c r="N81" s="253"/>
      <c r="O81" s="253"/>
      <c r="P81" s="253"/>
      <c r="Q81" s="253"/>
      <c r="R81" s="253"/>
      <c r="S81" s="253"/>
      <c r="T81" s="253"/>
      <c r="U81" s="253"/>
      <c r="V81" s="247"/>
      <c r="W81" s="247"/>
      <c r="X81" s="247"/>
      <c r="Y81" s="247"/>
      <c r="Z81" s="247"/>
    </row>
    <row r="82">
      <c r="A82" s="247"/>
      <c r="B82" s="247"/>
      <c r="C82" s="247"/>
      <c r="D82" s="247"/>
      <c r="E82" s="247"/>
      <c r="F82" s="247"/>
      <c r="G82" s="247"/>
      <c r="H82" s="247"/>
      <c r="I82" s="247"/>
      <c r="J82" s="247"/>
      <c r="K82" s="247"/>
      <c r="L82" s="247"/>
      <c r="M82" s="253"/>
      <c r="N82" s="253"/>
      <c r="O82" s="253"/>
      <c r="P82" s="253"/>
      <c r="Q82" s="253"/>
      <c r="R82" s="253"/>
      <c r="S82" s="253"/>
      <c r="T82" s="253"/>
      <c r="U82" s="253"/>
      <c r="V82" s="247"/>
      <c r="W82" s="247"/>
      <c r="X82" s="247"/>
      <c r="Y82" s="247"/>
      <c r="Z82" s="247"/>
    </row>
    <row r="83">
      <c r="A83" s="247"/>
      <c r="B83" s="247"/>
      <c r="C83" s="247"/>
      <c r="D83" s="247"/>
      <c r="E83" s="247"/>
      <c r="F83" s="247"/>
      <c r="G83" s="247"/>
      <c r="H83" s="247"/>
      <c r="I83" s="247"/>
      <c r="J83" s="247"/>
      <c r="K83" s="247"/>
      <c r="L83" s="247"/>
      <c r="M83" s="253"/>
      <c r="N83" s="253"/>
      <c r="O83" s="253"/>
      <c r="P83" s="253"/>
      <c r="Q83" s="253"/>
      <c r="R83" s="253"/>
      <c r="S83" s="253"/>
      <c r="T83" s="253"/>
      <c r="U83" s="253"/>
      <c r="V83" s="247"/>
      <c r="W83" s="247"/>
      <c r="X83" s="247"/>
      <c r="Y83" s="247"/>
      <c r="Z83" s="247"/>
    </row>
    <row r="84">
      <c r="A84" s="247"/>
      <c r="B84" s="247"/>
      <c r="C84" s="247"/>
      <c r="D84" s="247"/>
      <c r="E84" s="247"/>
      <c r="F84" s="247"/>
      <c r="G84" s="247"/>
      <c r="H84" s="247"/>
      <c r="I84" s="247"/>
      <c r="J84" s="247"/>
      <c r="K84" s="247"/>
      <c r="L84" s="247"/>
      <c r="M84" s="253"/>
      <c r="N84" s="253"/>
      <c r="O84" s="253"/>
      <c r="P84" s="253"/>
      <c r="Q84" s="253"/>
      <c r="R84" s="253"/>
      <c r="S84" s="253"/>
      <c r="T84" s="253"/>
      <c r="U84" s="253"/>
      <c r="V84" s="247"/>
      <c r="W84" s="247"/>
      <c r="X84" s="247"/>
      <c r="Y84" s="247"/>
      <c r="Z84" s="247"/>
    </row>
    <row r="85">
      <c r="A85" s="247"/>
      <c r="B85" s="247"/>
      <c r="C85" s="247"/>
      <c r="D85" s="247"/>
      <c r="E85" s="247"/>
      <c r="F85" s="247"/>
      <c r="G85" s="247"/>
      <c r="H85" s="247"/>
      <c r="I85" s="247"/>
      <c r="J85" s="247"/>
      <c r="K85" s="247"/>
      <c r="L85" s="247"/>
      <c r="M85" s="253"/>
      <c r="N85" s="253"/>
      <c r="O85" s="253"/>
      <c r="P85" s="253"/>
      <c r="Q85" s="253"/>
      <c r="R85" s="253"/>
      <c r="S85" s="253"/>
      <c r="T85" s="253"/>
      <c r="U85" s="253"/>
      <c r="V85" s="247"/>
      <c r="W85" s="247"/>
      <c r="X85" s="247"/>
      <c r="Y85" s="247"/>
      <c r="Z85" s="247"/>
    </row>
    <row r="86">
      <c r="A86" s="247"/>
      <c r="B86" s="247"/>
      <c r="C86" s="247"/>
      <c r="D86" s="247"/>
      <c r="E86" s="247"/>
      <c r="F86" s="247"/>
      <c r="G86" s="247"/>
      <c r="H86" s="247"/>
      <c r="I86" s="247"/>
      <c r="J86" s="247"/>
      <c r="K86" s="247"/>
      <c r="L86" s="247"/>
      <c r="M86" s="253"/>
      <c r="N86" s="253"/>
      <c r="O86" s="253"/>
      <c r="P86" s="253"/>
      <c r="Q86" s="253"/>
      <c r="R86" s="253"/>
      <c r="S86" s="253"/>
      <c r="T86" s="253"/>
      <c r="U86" s="253"/>
      <c r="V86" s="247"/>
      <c r="W86" s="247"/>
      <c r="X86" s="247"/>
      <c r="Y86" s="247"/>
      <c r="Z86" s="247"/>
    </row>
    <row r="87">
      <c r="A87" s="247"/>
      <c r="B87" s="247"/>
      <c r="C87" s="247"/>
      <c r="D87" s="247"/>
      <c r="E87" s="247"/>
      <c r="F87" s="247"/>
      <c r="G87" s="247"/>
      <c r="H87" s="247"/>
      <c r="I87" s="247"/>
      <c r="J87" s="247"/>
      <c r="K87" s="247"/>
      <c r="L87" s="247"/>
      <c r="M87" s="253"/>
      <c r="N87" s="253"/>
      <c r="O87" s="253"/>
      <c r="P87" s="253"/>
      <c r="Q87" s="253"/>
      <c r="R87" s="253"/>
      <c r="S87" s="253"/>
      <c r="T87" s="253"/>
      <c r="U87" s="253"/>
      <c r="V87" s="247"/>
      <c r="W87" s="247"/>
      <c r="X87" s="247"/>
      <c r="Y87" s="247"/>
      <c r="Z87" s="247"/>
    </row>
    <row r="88">
      <c r="A88" s="247"/>
      <c r="B88" s="247"/>
      <c r="C88" s="247"/>
      <c r="D88" s="247"/>
      <c r="E88" s="247"/>
      <c r="F88" s="247"/>
      <c r="G88" s="247"/>
      <c r="H88" s="247"/>
      <c r="I88" s="247"/>
      <c r="J88" s="247"/>
      <c r="K88" s="247"/>
      <c r="L88" s="247"/>
      <c r="M88" s="253"/>
      <c r="N88" s="253"/>
      <c r="O88" s="253"/>
      <c r="P88" s="253"/>
      <c r="Q88" s="253"/>
      <c r="R88" s="253"/>
      <c r="S88" s="253"/>
      <c r="T88" s="253"/>
      <c r="U88" s="253"/>
      <c r="V88" s="247"/>
      <c r="W88" s="247"/>
      <c r="X88" s="247"/>
      <c r="Y88" s="247"/>
      <c r="Z88" s="247"/>
    </row>
    <row r="89">
      <c r="A89" s="247"/>
      <c r="B89" s="247"/>
      <c r="C89" s="247"/>
      <c r="D89" s="247"/>
      <c r="E89" s="247"/>
      <c r="F89" s="247"/>
      <c r="G89" s="247"/>
      <c r="H89" s="247"/>
      <c r="I89" s="247"/>
      <c r="J89" s="247"/>
      <c r="K89" s="247"/>
      <c r="L89" s="247"/>
      <c r="M89" s="253"/>
      <c r="N89" s="253"/>
      <c r="O89" s="253"/>
      <c r="P89" s="253"/>
      <c r="Q89" s="253"/>
      <c r="R89" s="253"/>
      <c r="S89" s="253"/>
      <c r="T89" s="253"/>
      <c r="U89" s="253"/>
      <c r="V89" s="247"/>
      <c r="W89" s="247"/>
      <c r="X89" s="247"/>
      <c r="Y89" s="247"/>
      <c r="Z89" s="247"/>
    </row>
    <row r="90">
      <c r="A90" s="247"/>
      <c r="B90" s="247"/>
      <c r="C90" s="247"/>
      <c r="D90" s="247"/>
      <c r="E90" s="247"/>
      <c r="F90" s="247"/>
      <c r="G90" s="247"/>
      <c r="H90" s="247"/>
      <c r="I90" s="247"/>
      <c r="J90" s="247"/>
      <c r="K90" s="247"/>
      <c r="L90" s="247"/>
      <c r="M90" s="253"/>
      <c r="N90" s="253"/>
      <c r="O90" s="253"/>
      <c r="P90" s="253"/>
      <c r="Q90" s="253"/>
      <c r="R90" s="253"/>
      <c r="S90" s="253"/>
      <c r="T90" s="253"/>
      <c r="U90" s="253"/>
      <c r="V90" s="247"/>
      <c r="W90" s="247"/>
      <c r="X90" s="247"/>
      <c r="Y90" s="247"/>
      <c r="Z90" s="247"/>
    </row>
    <row r="91">
      <c r="A91" s="247"/>
      <c r="B91" s="247"/>
      <c r="C91" s="247"/>
      <c r="D91" s="247"/>
      <c r="E91" s="247"/>
      <c r="F91" s="247"/>
      <c r="G91" s="247"/>
      <c r="H91" s="247"/>
      <c r="I91" s="247"/>
      <c r="J91" s="247"/>
      <c r="K91" s="247"/>
      <c r="L91" s="247"/>
      <c r="M91" s="253"/>
      <c r="N91" s="253"/>
      <c r="O91" s="253"/>
      <c r="P91" s="253"/>
      <c r="Q91" s="253"/>
      <c r="R91" s="253"/>
      <c r="S91" s="253"/>
      <c r="T91" s="253"/>
      <c r="U91" s="253"/>
      <c r="V91" s="247"/>
      <c r="W91" s="247"/>
      <c r="X91" s="247"/>
      <c r="Y91" s="247"/>
      <c r="Z91" s="247"/>
    </row>
    <row r="92">
      <c r="A92" s="247"/>
      <c r="B92" s="247"/>
      <c r="C92" s="247"/>
      <c r="D92" s="247"/>
      <c r="E92" s="247"/>
      <c r="F92" s="247"/>
      <c r="G92" s="247"/>
      <c r="H92" s="247"/>
      <c r="I92" s="247"/>
      <c r="J92" s="247"/>
      <c r="K92" s="247"/>
      <c r="L92" s="247"/>
      <c r="M92" s="253"/>
      <c r="N92" s="253"/>
      <c r="O92" s="253"/>
      <c r="P92" s="253"/>
      <c r="Q92" s="253"/>
      <c r="R92" s="253"/>
      <c r="S92" s="253"/>
      <c r="T92" s="253"/>
      <c r="U92" s="253"/>
      <c r="V92" s="247"/>
      <c r="W92" s="247"/>
      <c r="X92" s="247"/>
      <c r="Y92" s="247"/>
      <c r="Z92" s="247"/>
    </row>
    <row r="93">
      <c r="A93" s="247"/>
      <c r="B93" s="247"/>
      <c r="C93" s="247"/>
      <c r="D93" s="247"/>
      <c r="E93" s="247"/>
      <c r="F93" s="247"/>
      <c r="G93" s="247"/>
      <c r="H93" s="247"/>
      <c r="I93" s="247"/>
      <c r="J93" s="247"/>
      <c r="K93" s="247"/>
      <c r="L93" s="247"/>
      <c r="M93" s="253"/>
      <c r="N93" s="253"/>
      <c r="O93" s="253"/>
      <c r="P93" s="253"/>
      <c r="Q93" s="253"/>
      <c r="R93" s="253"/>
      <c r="S93" s="253"/>
      <c r="T93" s="253"/>
      <c r="U93" s="253"/>
      <c r="V93" s="247"/>
      <c r="W93" s="247"/>
      <c r="X93" s="247"/>
      <c r="Y93" s="247"/>
      <c r="Z93" s="247"/>
    </row>
    <row r="94">
      <c r="A94" s="247"/>
      <c r="B94" s="247"/>
      <c r="C94" s="247"/>
      <c r="D94" s="247"/>
      <c r="E94" s="247"/>
      <c r="F94" s="247"/>
      <c r="G94" s="247"/>
      <c r="H94" s="247"/>
      <c r="I94" s="247"/>
      <c r="J94" s="247"/>
      <c r="K94" s="247"/>
      <c r="L94" s="247"/>
      <c r="M94" s="253"/>
      <c r="N94" s="253"/>
      <c r="O94" s="253"/>
      <c r="P94" s="253"/>
      <c r="Q94" s="253"/>
      <c r="R94" s="253"/>
      <c r="S94" s="253"/>
      <c r="T94" s="253"/>
      <c r="U94" s="253"/>
      <c r="V94" s="247"/>
      <c r="W94" s="247"/>
      <c r="X94" s="247"/>
      <c r="Y94" s="247"/>
      <c r="Z94" s="247"/>
    </row>
    <row r="95">
      <c r="A95" s="247"/>
      <c r="B95" s="247"/>
      <c r="C95" s="247"/>
      <c r="D95" s="247"/>
      <c r="E95" s="247"/>
      <c r="F95" s="247"/>
      <c r="G95" s="247"/>
      <c r="H95" s="247"/>
      <c r="I95" s="247"/>
      <c r="J95" s="247"/>
      <c r="K95" s="247"/>
      <c r="L95" s="247"/>
      <c r="M95" s="253"/>
      <c r="N95" s="253"/>
      <c r="O95" s="253"/>
      <c r="P95" s="253"/>
      <c r="Q95" s="253"/>
      <c r="R95" s="253"/>
      <c r="S95" s="253"/>
      <c r="T95" s="253"/>
      <c r="U95" s="253"/>
      <c r="V95" s="247"/>
      <c r="W95" s="247"/>
      <c r="X95" s="247"/>
      <c r="Y95" s="247"/>
      <c r="Z95" s="247"/>
    </row>
    <row r="96">
      <c r="A96" s="247"/>
      <c r="B96" s="247"/>
      <c r="C96" s="247"/>
      <c r="D96" s="247"/>
      <c r="E96" s="247"/>
      <c r="F96" s="247"/>
      <c r="G96" s="247"/>
      <c r="H96" s="247"/>
      <c r="I96" s="247"/>
      <c r="J96" s="247"/>
      <c r="K96" s="247"/>
      <c r="L96" s="247"/>
      <c r="M96" s="253"/>
      <c r="N96" s="253"/>
      <c r="O96" s="253"/>
      <c r="P96" s="253"/>
      <c r="Q96" s="253"/>
      <c r="R96" s="253"/>
      <c r="S96" s="253"/>
      <c r="T96" s="253"/>
      <c r="U96" s="253"/>
      <c r="V96" s="247"/>
      <c r="W96" s="247"/>
      <c r="X96" s="247"/>
      <c r="Y96" s="247"/>
      <c r="Z96" s="247"/>
    </row>
    <row r="97">
      <c r="A97" s="247"/>
      <c r="B97" s="247"/>
      <c r="C97" s="247"/>
      <c r="D97" s="247"/>
      <c r="E97" s="247"/>
      <c r="F97" s="247"/>
      <c r="G97" s="247"/>
      <c r="H97" s="247"/>
      <c r="I97" s="247"/>
      <c r="J97" s="247"/>
      <c r="K97" s="247"/>
      <c r="L97" s="247"/>
      <c r="M97" s="253"/>
      <c r="N97" s="253"/>
      <c r="O97" s="253"/>
      <c r="P97" s="253"/>
      <c r="Q97" s="253"/>
      <c r="R97" s="253"/>
      <c r="S97" s="253"/>
      <c r="T97" s="253"/>
      <c r="U97" s="253"/>
      <c r="V97" s="247"/>
      <c r="W97" s="247"/>
      <c r="X97" s="247"/>
      <c r="Y97" s="247"/>
      <c r="Z97" s="247"/>
    </row>
    <row r="98">
      <c r="A98" s="247"/>
      <c r="B98" s="247"/>
      <c r="C98" s="247"/>
      <c r="D98" s="247"/>
      <c r="E98" s="247"/>
      <c r="F98" s="247"/>
      <c r="G98" s="247"/>
      <c r="H98" s="247"/>
      <c r="I98" s="247"/>
      <c r="J98" s="247"/>
      <c r="K98" s="247"/>
      <c r="L98" s="247"/>
      <c r="M98" s="253"/>
      <c r="N98" s="253"/>
      <c r="O98" s="253"/>
      <c r="P98" s="253"/>
      <c r="Q98" s="253"/>
      <c r="R98" s="253"/>
      <c r="S98" s="253"/>
      <c r="T98" s="253"/>
      <c r="U98" s="253"/>
      <c r="V98" s="247"/>
      <c r="W98" s="247"/>
      <c r="X98" s="247"/>
      <c r="Y98" s="247"/>
      <c r="Z98" s="247"/>
    </row>
    <row r="99">
      <c r="A99" s="247"/>
      <c r="B99" s="247"/>
      <c r="C99" s="247"/>
      <c r="D99" s="247"/>
      <c r="E99" s="247"/>
      <c r="F99" s="247"/>
      <c r="G99" s="247"/>
      <c r="H99" s="247"/>
      <c r="I99" s="247"/>
      <c r="J99" s="247"/>
      <c r="K99" s="247"/>
      <c r="L99" s="247"/>
      <c r="M99" s="253"/>
      <c r="N99" s="253"/>
      <c r="O99" s="253"/>
      <c r="P99" s="253"/>
      <c r="Q99" s="253"/>
      <c r="R99" s="253"/>
      <c r="S99" s="253"/>
      <c r="T99" s="253"/>
      <c r="U99" s="253"/>
      <c r="V99" s="247"/>
      <c r="W99" s="247"/>
      <c r="X99" s="247"/>
      <c r="Y99" s="247"/>
      <c r="Z99" s="247"/>
    </row>
    <row r="100">
      <c r="A100" s="247"/>
      <c r="B100" s="247"/>
      <c r="C100" s="247"/>
      <c r="D100" s="247"/>
      <c r="E100" s="247"/>
      <c r="F100" s="247"/>
      <c r="G100" s="247"/>
      <c r="H100" s="247"/>
      <c r="I100" s="247"/>
      <c r="J100" s="247"/>
      <c r="K100" s="247"/>
      <c r="L100" s="247"/>
      <c r="M100" s="253"/>
      <c r="N100" s="253"/>
      <c r="O100" s="253"/>
      <c r="P100" s="253"/>
      <c r="Q100" s="253"/>
      <c r="R100" s="253"/>
      <c r="S100" s="253"/>
      <c r="T100" s="253"/>
      <c r="U100" s="253"/>
      <c r="V100" s="247"/>
      <c r="W100" s="247"/>
      <c r="X100" s="247"/>
      <c r="Y100" s="247"/>
      <c r="Z100" s="247"/>
    </row>
    <row r="101">
      <c r="A101" s="247"/>
      <c r="B101" s="247"/>
      <c r="C101" s="247"/>
      <c r="D101" s="247"/>
      <c r="E101" s="247"/>
      <c r="F101" s="247"/>
      <c r="G101" s="247"/>
      <c r="H101" s="247"/>
      <c r="I101" s="247"/>
      <c r="J101" s="247"/>
      <c r="K101" s="247"/>
      <c r="L101" s="247"/>
      <c r="M101" s="253"/>
      <c r="N101" s="253"/>
      <c r="O101" s="253"/>
      <c r="P101" s="253"/>
      <c r="Q101" s="253"/>
      <c r="R101" s="253"/>
      <c r="S101" s="253"/>
      <c r="T101" s="253"/>
      <c r="U101" s="253"/>
      <c r="V101" s="247"/>
      <c r="W101" s="247"/>
      <c r="X101" s="247"/>
      <c r="Y101" s="247"/>
      <c r="Z101" s="247"/>
    </row>
    <row r="102">
      <c r="A102" s="247"/>
      <c r="B102" s="247"/>
      <c r="C102" s="247"/>
      <c r="D102" s="247"/>
      <c r="E102" s="247"/>
      <c r="F102" s="247"/>
      <c r="G102" s="247"/>
      <c r="H102" s="247"/>
      <c r="I102" s="247"/>
      <c r="J102" s="247"/>
      <c r="K102" s="247"/>
      <c r="L102" s="247"/>
      <c r="M102" s="253"/>
      <c r="N102" s="253"/>
      <c r="O102" s="253"/>
      <c r="P102" s="253"/>
      <c r="Q102" s="253"/>
      <c r="R102" s="253"/>
      <c r="S102" s="253"/>
      <c r="T102" s="253"/>
      <c r="U102" s="253"/>
      <c r="V102" s="247"/>
      <c r="W102" s="247"/>
      <c r="X102" s="247"/>
      <c r="Y102" s="247"/>
      <c r="Z102" s="247"/>
    </row>
    <row r="103">
      <c r="A103" s="247"/>
      <c r="B103" s="247"/>
      <c r="C103" s="247"/>
      <c r="D103" s="247"/>
      <c r="E103" s="247"/>
      <c r="F103" s="247"/>
      <c r="G103" s="247"/>
      <c r="H103" s="247"/>
      <c r="I103" s="247"/>
      <c r="J103" s="247"/>
      <c r="K103" s="247"/>
      <c r="L103" s="247"/>
      <c r="M103" s="253"/>
      <c r="N103" s="253"/>
      <c r="O103" s="253"/>
      <c r="P103" s="253"/>
      <c r="Q103" s="253"/>
      <c r="R103" s="253"/>
      <c r="S103" s="253"/>
      <c r="T103" s="253"/>
      <c r="U103" s="253"/>
      <c r="V103" s="247"/>
      <c r="W103" s="247"/>
      <c r="X103" s="247"/>
      <c r="Y103" s="247"/>
      <c r="Z103" s="247"/>
    </row>
    <row r="104">
      <c r="A104" s="247"/>
      <c r="B104" s="247"/>
      <c r="C104" s="247"/>
      <c r="D104" s="247"/>
      <c r="E104" s="247"/>
      <c r="F104" s="247"/>
      <c r="G104" s="247"/>
      <c r="H104" s="247"/>
      <c r="I104" s="247"/>
      <c r="J104" s="247"/>
      <c r="K104" s="247"/>
      <c r="L104" s="247"/>
      <c r="M104" s="253"/>
      <c r="N104" s="253"/>
      <c r="O104" s="253"/>
      <c r="P104" s="253"/>
      <c r="Q104" s="253"/>
      <c r="R104" s="253"/>
      <c r="S104" s="253"/>
      <c r="T104" s="253"/>
      <c r="U104" s="253"/>
      <c r="V104" s="247"/>
      <c r="W104" s="247"/>
      <c r="X104" s="247"/>
      <c r="Y104" s="247"/>
      <c r="Z104" s="247"/>
    </row>
    <row r="105">
      <c r="A105" s="247"/>
      <c r="B105" s="247"/>
      <c r="C105" s="247"/>
      <c r="D105" s="247"/>
      <c r="E105" s="247"/>
      <c r="F105" s="247"/>
      <c r="G105" s="247"/>
      <c r="H105" s="247"/>
      <c r="I105" s="247"/>
      <c r="J105" s="247"/>
      <c r="K105" s="247"/>
      <c r="L105" s="247"/>
      <c r="M105" s="253"/>
      <c r="N105" s="253"/>
      <c r="O105" s="253"/>
      <c r="P105" s="253"/>
      <c r="Q105" s="253"/>
      <c r="R105" s="253"/>
      <c r="S105" s="253"/>
      <c r="T105" s="253"/>
      <c r="U105" s="253"/>
      <c r="V105" s="247"/>
      <c r="W105" s="247"/>
      <c r="X105" s="247"/>
      <c r="Y105" s="247"/>
      <c r="Z105" s="247"/>
    </row>
    <row r="106">
      <c r="A106" s="247"/>
      <c r="B106" s="247"/>
      <c r="C106" s="247"/>
      <c r="D106" s="247"/>
      <c r="E106" s="247"/>
      <c r="F106" s="247"/>
      <c r="G106" s="247"/>
      <c r="H106" s="247"/>
      <c r="I106" s="247"/>
      <c r="J106" s="247"/>
      <c r="K106" s="247"/>
      <c r="L106" s="247"/>
      <c r="M106" s="253"/>
      <c r="N106" s="253"/>
      <c r="O106" s="253"/>
      <c r="P106" s="253"/>
      <c r="Q106" s="253"/>
      <c r="R106" s="253"/>
      <c r="S106" s="253"/>
      <c r="T106" s="253"/>
      <c r="U106" s="253"/>
      <c r="V106" s="247"/>
      <c r="W106" s="247"/>
      <c r="X106" s="247"/>
      <c r="Y106" s="247"/>
      <c r="Z106" s="247"/>
    </row>
    <row r="107">
      <c r="A107" s="247"/>
      <c r="B107" s="247"/>
      <c r="C107" s="247"/>
      <c r="D107" s="247"/>
      <c r="E107" s="247"/>
      <c r="F107" s="247"/>
      <c r="G107" s="247"/>
      <c r="H107" s="247"/>
      <c r="I107" s="247"/>
      <c r="J107" s="247"/>
      <c r="K107" s="247"/>
      <c r="L107" s="247"/>
      <c r="M107" s="253"/>
      <c r="N107" s="253"/>
      <c r="O107" s="253"/>
      <c r="P107" s="253"/>
      <c r="Q107" s="253"/>
      <c r="R107" s="253"/>
      <c r="S107" s="253"/>
      <c r="T107" s="253"/>
      <c r="U107" s="253"/>
      <c r="V107" s="247"/>
      <c r="W107" s="247"/>
      <c r="X107" s="247"/>
      <c r="Y107" s="247"/>
      <c r="Z107" s="247"/>
    </row>
    <row r="108">
      <c r="A108" s="247"/>
      <c r="B108" s="247"/>
      <c r="C108" s="247"/>
      <c r="D108" s="247"/>
      <c r="E108" s="247"/>
      <c r="F108" s="247"/>
      <c r="G108" s="247"/>
      <c r="H108" s="247"/>
      <c r="I108" s="247"/>
      <c r="J108" s="247"/>
      <c r="K108" s="247"/>
      <c r="L108" s="247"/>
      <c r="M108" s="253"/>
      <c r="N108" s="253"/>
      <c r="O108" s="253"/>
      <c r="P108" s="253"/>
      <c r="Q108" s="253"/>
      <c r="R108" s="253"/>
      <c r="S108" s="253"/>
      <c r="T108" s="253"/>
      <c r="U108" s="253"/>
      <c r="V108" s="247"/>
      <c r="W108" s="247"/>
      <c r="X108" s="247"/>
      <c r="Y108" s="247"/>
      <c r="Z108" s="247"/>
    </row>
    <row r="109">
      <c r="A109" s="247"/>
      <c r="B109" s="247"/>
      <c r="C109" s="247"/>
      <c r="D109" s="247"/>
      <c r="E109" s="247"/>
      <c r="F109" s="247"/>
      <c r="G109" s="247"/>
      <c r="H109" s="247"/>
      <c r="I109" s="247"/>
      <c r="J109" s="247"/>
      <c r="K109" s="247"/>
      <c r="L109" s="247"/>
      <c r="M109" s="253"/>
      <c r="N109" s="253"/>
      <c r="O109" s="253"/>
      <c r="P109" s="253"/>
      <c r="Q109" s="253"/>
      <c r="R109" s="253"/>
      <c r="S109" s="253"/>
      <c r="T109" s="253"/>
      <c r="U109" s="253"/>
      <c r="V109" s="247"/>
      <c r="W109" s="247"/>
      <c r="X109" s="247"/>
      <c r="Y109" s="247"/>
      <c r="Z109" s="247"/>
    </row>
    <row r="110">
      <c r="A110" s="247"/>
      <c r="B110" s="247"/>
      <c r="C110" s="247"/>
      <c r="D110" s="247"/>
      <c r="E110" s="247"/>
      <c r="F110" s="247"/>
      <c r="G110" s="247"/>
      <c r="H110" s="247"/>
      <c r="I110" s="247"/>
      <c r="J110" s="247"/>
      <c r="K110" s="247"/>
      <c r="L110" s="247"/>
      <c r="M110" s="253"/>
      <c r="N110" s="253"/>
      <c r="O110" s="253"/>
      <c r="P110" s="253"/>
      <c r="Q110" s="253"/>
      <c r="R110" s="253"/>
      <c r="S110" s="253"/>
      <c r="T110" s="253"/>
      <c r="U110" s="253"/>
      <c r="V110" s="247"/>
      <c r="W110" s="247"/>
      <c r="X110" s="247"/>
      <c r="Y110" s="247"/>
      <c r="Z110" s="247"/>
    </row>
    <row r="111">
      <c r="A111" s="247"/>
      <c r="B111" s="247"/>
      <c r="C111" s="247"/>
      <c r="D111" s="247"/>
      <c r="E111" s="247"/>
      <c r="F111" s="247"/>
      <c r="G111" s="247"/>
      <c r="H111" s="247"/>
      <c r="I111" s="247"/>
      <c r="J111" s="247"/>
      <c r="K111" s="247"/>
      <c r="L111" s="247"/>
      <c r="M111" s="253"/>
      <c r="N111" s="253"/>
      <c r="O111" s="253"/>
      <c r="P111" s="253"/>
      <c r="Q111" s="253"/>
      <c r="R111" s="253"/>
      <c r="S111" s="253"/>
      <c r="T111" s="253"/>
      <c r="U111" s="253"/>
      <c r="V111" s="247"/>
      <c r="W111" s="247"/>
      <c r="X111" s="247"/>
      <c r="Y111" s="247"/>
      <c r="Z111" s="247"/>
    </row>
    <row r="112">
      <c r="A112" s="247"/>
      <c r="B112" s="247"/>
      <c r="C112" s="247"/>
      <c r="D112" s="247"/>
      <c r="E112" s="247"/>
      <c r="F112" s="247"/>
      <c r="G112" s="247"/>
      <c r="H112" s="247"/>
      <c r="I112" s="247"/>
      <c r="J112" s="247"/>
      <c r="K112" s="247"/>
      <c r="L112" s="247"/>
      <c r="M112" s="253"/>
      <c r="N112" s="253"/>
      <c r="O112" s="253"/>
      <c r="P112" s="253"/>
      <c r="Q112" s="253"/>
      <c r="R112" s="253"/>
      <c r="S112" s="253"/>
      <c r="T112" s="253"/>
      <c r="U112" s="253"/>
      <c r="V112" s="247"/>
      <c r="W112" s="247"/>
      <c r="X112" s="247"/>
      <c r="Y112" s="247"/>
      <c r="Z112" s="247"/>
    </row>
    <row r="113">
      <c r="A113" s="247"/>
      <c r="B113" s="247"/>
      <c r="C113" s="247"/>
      <c r="D113" s="247"/>
      <c r="E113" s="247"/>
      <c r="F113" s="247"/>
      <c r="G113" s="247"/>
      <c r="H113" s="247"/>
      <c r="I113" s="247"/>
      <c r="J113" s="247"/>
      <c r="K113" s="247"/>
      <c r="L113" s="247"/>
      <c r="M113" s="253"/>
      <c r="N113" s="253"/>
      <c r="O113" s="253"/>
      <c r="P113" s="253"/>
      <c r="Q113" s="253"/>
      <c r="R113" s="253"/>
      <c r="S113" s="253"/>
      <c r="T113" s="253"/>
      <c r="U113" s="253"/>
      <c r="V113" s="247"/>
      <c r="W113" s="247"/>
      <c r="X113" s="247"/>
      <c r="Y113" s="247"/>
      <c r="Z113" s="247"/>
    </row>
    <row r="114">
      <c r="A114" s="247"/>
      <c r="B114" s="247"/>
      <c r="C114" s="247"/>
      <c r="D114" s="247"/>
      <c r="E114" s="247"/>
      <c r="F114" s="247"/>
      <c r="G114" s="247"/>
      <c r="H114" s="247"/>
      <c r="I114" s="247"/>
      <c r="J114" s="247"/>
      <c r="K114" s="247"/>
      <c r="L114" s="247"/>
      <c r="M114" s="253"/>
      <c r="N114" s="253"/>
      <c r="O114" s="253"/>
      <c r="P114" s="253"/>
      <c r="Q114" s="253"/>
      <c r="R114" s="253"/>
      <c r="S114" s="253"/>
      <c r="T114" s="253"/>
      <c r="U114" s="253"/>
      <c r="V114" s="247"/>
      <c r="W114" s="247"/>
      <c r="X114" s="247"/>
      <c r="Y114" s="247"/>
      <c r="Z114" s="247"/>
    </row>
    <row r="115">
      <c r="A115" s="247"/>
      <c r="B115" s="247"/>
      <c r="C115" s="247"/>
      <c r="D115" s="247"/>
      <c r="E115" s="247"/>
      <c r="F115" s="247"/>
      <c r="G115" s="247"/>
      <c r="H115" s="247"/>
      <c r="I115" s="247"/>
      <c r="J115" s="247"/>
      <c r="K115" s="247"/>
      <c r="L115" s="247"/>
      <c r="M115" s="253"/>
      <c r="N115" s="253"/>
      <c r="O115" s="253"/>
      <c r="P115" s="253"/>
      <c r="Q115" s="253"/>
      <c r="R115" s="253"/>
      <c r="S115" s="253"/>
      <c r="T115" s="253"/>
      <c r="U115" s="253"/>
      <c r="V115" s="247"/>
      <c r="W115" s="247"/>
      <c r="X115" s="247"/>
      <c r="Y115" s="247"/>
      <c r="Z115" s="247"/>
    </row>
    <row r="116">
      <c r="A116" s="247"/>
      <c r="B116" s="247"/>
      <c r="C116" s="247"/>
      <c r="D116" s="247"/>
      <c r="E116" s="247"/>
      <c r="F116" s="247"/>
      <c r="G116" s="247"/>
      <c r="H116" s="247"/>
      <c r="I116" s="247"/>
      <c r="J116" s="247"/>
      <c r="K116" s="247"/>
      <c r="L116" s="247"/>
      <c r="M116" s="253"/>
      <c r="N116" s="253"/>
      <c r="O116" s="253"/>
      <c r="P116" s="253"/>
      <c r="Q116" s="253"/>
      <c r="R116" s="253"/>
      <c r="S116" s="253"/>
      <c r="T116" s="253"/>
      <c r="U116" s="253"/>
      <c r="V116" s="247"/>
      <c r="W116" s="247"/>
      <c r="X116" s="247"/>
      <c r="Y116" s="247"/>
      <c r="Z116" s="247"/>
    </row>
    <row r="117">
      <c r="A117" s="247"/>
      <c r="B117" s="247"/>
      <c r="C117" s="247"/>
      <c r="D117" s="247"/>
      <c r="E117" s="247"/>
      <c r="F117" s="247"/>
      <c r="G117" s="247"/>
      <c r="H117" s="247"/>
      <c r="I117" s="247"/>
      <c r="J117" s="247"/>
      <c r="K117" s="247"/>
      <c r="L117" s="247"/>
      <c r="M117" s="253"/>
      <c r="N117" s="253"/>
      <c r="O117" s="253"/>
      <c r="P117" s="253"/>
      <c r="Q117" s="253"/>
      <c r="R117" s="253"/>
      <c r="S117" s="253"/>
      <c r="T117" s="253"/>
      <c r="U117" s="253"/>
      <c r="V117" s="247"/>
      <c r="W117" s="247"/>
      <c r="X117" s="247"/>
      <c r="Y117" s="247"/>
      <c r="Z117" s="247"/>
    </row>
    <row r="118">
      <c r="A118" s="247"/>
      <c r="B118" s="247"/>
      <c r="C118" s="247"/>
      <c r="D118" s="247"/>
      <c r="E118" s="247"/>
      <c r="F118" s="247"/>
      <c r="G118" s="247"/>
      <c r="H118" s="247"/>
      <c r="I118" s="247"/>
      <c r="J118" s="247"/>
      <c r="K118" s="247"/>
      <c r="L118" s="247"/>
      <c r="M118" s="253"/>
      <c r="N118" s="253"/>
      <c r="O118" s="253"/>
      <c r="P118" s="253"/>
      <c r="Q118" s="253"/>
      <c r="R118" s="253"/>
      <c r="S118" s="253"/>
      <c r="T118" s="253"/>
      <c r="U118" s="253"/>
      <c r="V118" s="247"/>
      <c r="W118" s="247"/>
      <c r="X118" s="247"/>
      <c r="Y118" s="247"/>
      <c r="Z118" s="247"/>
    </row>
    <row r="119">
      <c r="A119" s="247"/>
      <c r="B119" s="247"/>
      <c r="C119" s="247"/>
      <c r="D119" s="247"/>
      <c r="E119" s="247"/>
      <c r="F119" s="247"/>
      <c r="G119" s="247"/>
      <c r="H119" s="247"/>
      <c r="I119" s="247"/>
      <c r="J119" s="247"/>
      <c r="K119" s="247"/>
      <c r="L119" s="247"/>
      <c r="M119" s="253"/>
      <c r="N119" s="253"/>
      <c r="O119" s="253"/>
      <c r="P119" s="253"/>
      <c r="Q119" s="253"/>
      <c r="R119" s="253"/>
      <c r="S119" s="253"/>
      <c r="T119" s="253"/>
      <c r="U119" s="253"/>
      <c r="V119" s="247"/>
      <c r="W119" s="247"/>
      <c r="X119" s="247"/>
      <c r="Y119" s="247"/>
      <c r="Z119" s="247"/>
    </row>
    <row r="120">
      <c r="A120" s="247"/>
      <c r="B120" s="247"/>
      <c r="C120" s="247"/>
      <c r="D120" s="247"/>
      <c r="E120" s="247"/>
      <c r="F120" s="247"/>
      <c r="G120" s="247"/>
      <c r="H120" s="247"/>
      <c r="I120" s="247"/>
      <c r="J120" s="247"/>
      <c r="K120" s="247"/>
      <c r="L120" s="247"/>
      <c r="M120" s="253"/>
      <c r="N120" s="253"/>
      <c r="O120" s="253"/>
      <c r="P120" s="253"/>
      <c r="Q120" s="253"/>
      <c r="R120" s="253"/>
      <c r="S120" s="253"/>
      <c r="T120" s="253"/>
      <c r="U120" s="253"/>
      <c r="V120" s="247"/>
      <c r="W120" s="247"/>
      <c r="X120" s="247"/>
      <c r="Y120" s="247"/>
      <c r="Z120" s="247"/>
    </row>
    <row r="121">
      <c r="A121" s="247"/>
      <c r="B121" s="247"/>
      <c r="C121" s="247"/>
      <c r="D121" s="247"/>
      <c r="E121" s="247"/>
      <c r="F121" s="247"/>
      <c r="G121" s="247"/>
      <c r="H121" s="247"/>
      <c r="I121" s="247"/>
      <c r="J121" s="247"/>
      <c r="K121" s="247"/>
      <c r="L121" s="247"/>
      <c r="M121" s="253"/>
      <c r="N121" s="253"/>
      <c r="O121" s="253"/>
      <c r="P121" s="253"/>
      <c r="Q121" s="253"/>
      <c r="R121" s="253"/>
      <c r="S121" s="253"/>
      <c r="T121" s="253"/>
      <c r="U121" s="253"/>
      <c r="V121" s="247"/>
      <c r="W121" s="247"/>
      <c r="X121" s="247"/>
      <c r="Y121" s="247"/>
      <c r="Z121" s="247"/>
    </row>
    <row r="122">
      <c r="A122" s="247"/>
      <c r="B122" s="247"/>
      <c r="C122" s="247"/>
      <c r="D122" s="247"/>
      <c r="E122" s="247"/>
      <c r="F122" s="247"/>
      <c r="G122" s="247"/>
      <c r="H122" s="247"/>
      <c r="I122" s="247"/>
      <c r="J122" s="247"/>
      <c r="K122" s="247"/>
      <c r="L122" s="247"/>
      <c r="M122" s="253"/>
      <c r="N122" s="253"/>
      <c r="O122" s="253"/>
      <c r="P122" s="253"/>
      <c r="Q122" s="253"/>
      <c r="R122" s="253"/>
      <c r="S122" s="253"/>
      <c r="T122" s="253"/>
      <c r="U122" s="253"/>
      <c r="V122" s="247"/>
      <c r="W122" s="247"/>
      <c r="X122" s="247"/>
      <c r="Y122" s="247"/>
      <c r="Z122" s="247"/>
    </row>
    <row r="123">
      <c r="A123" s="247"/>
      <c r="B123" s="247"/>
      <c r="C123" s="247"/>
      <c r="D123" s="247"/>
      <c r="E123" s="247"/>
      <c r="F123" s="247"/>
      <c r="G123" s="247"/>
      <c r="H123" s="247"/>
      <c r="I123" s="247"/>
      <c r="J123" s="247"/>
      <c r="K123" s="247"/>
      <c r="L123" s="247"/>
      <c r="M123" s="253"/>
      <c r="N123" s="253"/>
      <c r="O123" s="253"/>
      <c r="P123" s="253"/>
      <c r="Q123" s="253"/>
      <c r="R123" s="253"/>
      <c r="S123" s="253"/>
      <c r="T123" s="253"/>
      <c r="U123" s="253"/>
      <c r="V123" s="247"/>
      <c r="W123" s="247"/>
      <c r="X123" s="247"/>
      <c r="Y123" s="247"/>
      <c r="Z123" s="247"/>
    </row>
    <row r="124">
      <c r="A124" s="247"/>
      <c r="B124" s="247"/>
      <c r="C124" s="247"/>
      <c r="D124" s="247"/>
      <c r="E124" s="247"/>
      <c r="F124" s="247"/>
      <c r="G124" s="247"/>
      <c r="H124" s="247"/>
      <c r="I124" s="247"/>
      <c r="J124" s="247"/>
      <c r="K124" s="247"/>
      <c r="L124" s="247"/>
      <c r="M124" s="253"/>
      <c r="N124" s="253"/>
      <c r="O124" s="253"/>
      <c r="P124" s="253"/>
      <c r="Q124" s="253"/>
      <c r="R124" s="253"/>
      <c r="S124" s="253"/>
      <c r="T124" s="253"/>
      <c r="U124" s="253"/>
      <c r="V124" s="247"/>
      <c r="W124" s="247"/>
      <c r="X124" s="247"/>
      <c r="Y124" s="247"/>
      <c r="Z124" s="247"/>
    </row>
    <row r="125">
      <c r="A125" s="247"/>
      <c r="B125" s="247"/>
      <c r="C125" s="247"/>
      <c r="D125" s="247"/>
      <c r="E125" s="247"/>
      <c r="F125" s="247"/>
      <c r="G125" s="247"/>
      <c r="H125" s="247"/>
      <c r="I125" s="247"/>
      <c r="J125" s="247"/>
      <c r="K125" s="247"/>
      <c r="L125" s="247"/>
      <c r="M125" s="253"/>
      <c r="N125" s="253"/>
      <c r="O125" s="253"/>
      <c r="P125" s="253"/>
      <c r="Q125" s="253"/>
      <c r="R125" s="253"/>
      <c r="S125" s="253"/>
      <c r="T125" s="253"/>
      <c r="U125" s="253"/>
      <c r="V125" s="247"/>
      <c r="W125" s="247"/>
      <c r="X125" s="247"/>
      <c r="Y125" s="247"/>
      <c r="Z125" s="247"/>
    </row>
    <row r="126">
      <c r="A126" s="247"/>
      <c r="B126" s="247"/>
      <c r="C126" s="247"/>
      <c r="D126" s="247"/>
      <c r="E126" s="247"/>
      <c r="F126" s="247"/>
      <c r="G126" s="247"/>
      <c r="H126" s="247"/>
      <c r="I126" s="247"/>
      <c r="J126" s="247"/>
      <c r="K126" s="247"/>
      <c r="L126" s="247"/>
      <c r="M126" s="253"/>
      <c r="N126" s="253"/>
      <c r="O126" s="253"/>
      <c r="P126" s="253"/>
      <c r="Q126" s="253"/>
      <c r="R126" s="253"/>
      <c r="S126" s="253"/>
      <c r="T126" s="253"/>
      <c r="U126" s="253"/>
      <c r="V126" s="247"/>
      <c r="W126" s="247"/>
      <c r="X126" s="247"/>
      <c r="Y126" s="247"/>
      <c r="Z126" s="247"/>
    </row>
    <row r="127">
      <c r="A127" s="247"/>
      <c r="B127" s="247"/>
      <c r="C127" s="247"/>
      <c r="D127" s="247"/>
      <c r="E127" s="247"/>
      <c r="F127" s="247"/>
      <c r="G127" s="247"/>
      <c r="H127" s="247"/>
      <c r="I127" s="247"/>
      <c r="J127" s="247"/>
      <c r="K127" s="247"/>
      <c r="L127" s="247"/>
      <c r="M127" s="253"/>
      <c r="N127" s="253"/>
      <c r="O127" s="253"/>
      <c r="P127" s="253"/>
      <c r="Q127" s="253"/>
      <c r="R127" s="253"/>
      <c r="S127" s="253"/>
      <c r="T127" s="253"/>
      <c r="U127" s="253"/>
      <c r="V127" s="247"/>
      <c r="W127" s="247"/>
      <c r="X127" s="247"/>
      <c r="Y127" s="247"/>
      <c r="Z127" s="247"/>
    </row>
    <row r="128">
      <c r="A128" s="247"/>
      <c r="B128" s="247"/>
      <c r="C128" s="247"/>
      <c r="D128" s="247"/>
      <c r="E128" s="247"/>
      <c r="F128" s="247"/>
      <c r="G128" s="247"/>
      <c r="H128" s="247"/>
      <c r="I128" s="247"/>
      <c r="J128" s="247"/>
      <c r="K128" s="247"/>
      <c r="L128" s="247"/>
      <c r="M128" s="253"/>
      <c r="N128" s="253"/>
      <c r="O128" s="253"/>
      <c r="P128" s="253"/>
      <c r="Q128" s="253"/>
      <c r="R128" s="253"/>
      <c r="S128" s="253"/>
      <c r="T128" s="253"/>
      <c r="U128" s="253"/>
      <c r="V128" s="247"/>
      <c r="W128" s="247"/>
      <c r="X128" s="247"/>
      <c r="Y128" s="247"/>
      <c r="Z128" s="247"/>
    </row>
    <row r="129">
      <c r="A129" s="247"/>
      <c r="B129" s="247"/>
      <c r="C129" s="247"/>
      <c r="D129" s="247"/>
      <c r="E129" s="247"/>
      <c r="F129" s="247"/>
      <c r="G129" s="247"/>
      <c r="H129" s="247"/>
      <c r="I129" s="247"/>
      <c r="J129" s="247"/>
      <c r="K129" s="247"/>
      <c r="L129" s="247"/>
      <c r="M129" s="253"/>
      <c r="N129" s="253"/>
      <c r="O129" s="253"/>
      <c r="P129" s="253"/>
      <c r="Q129" s="253"/>
      <c r="R129" s="253"/>
      <c r="S129" s="253"/>
      <c r="T129" s="253"/>
      <c r="U129" s="253"/>
      <c r="V129" s="247"/>
      <c r="W129" s="247"/>
      <c r="X129" s="247"/>
      <c r="Y129" s="247"/>
      <c r="Z129" s="247"/>
    </row>
    <row r="130">
      <c r="A130" s="247"/>
      <c r="B130" s="247"/>
      <c r="C130" s="247"/>
      <c r="D130" s="247"/>
      <c r="E130" s="247"/>
      <c r="F130" s="247"/>
      <c r="G130" s="247"/>
      <c r="H130" s="247"/>
      <c r="I130" s="247"/>
      <c r="J130" s="247"/>
      <c r="K130" s="247"/>
      <c r="L130" s="247"/>
      <c r="M130" s="253"/>
      <c r="N130" s="253"/>
      <c r="O130" s="253"/>
      <c r="P130" s="253"/>
      <c r="Q130" s="253"/>
      <c r="R130" s="253"/>
      <c r="S130" s="253"/>
      <c r="T130" s="253"/>
      <c r="U130" s="253"/>
      <c r="V130" s="247"/>
      <c r="W130" s="247"/>
      <c r="X130" s="247"/>
      <c r="Y130" s="247"/>
      <c r="Z130" s="247"/>
    </row>
    <row r="131">
      <c r="A131" s="247"/>
      <c r="B131" s="247"/>
      <c r="C131" s="247"/>
      <c r="D131" s="247"/>
      <c r="E131" s="247"/>
      <c r="F131" s="247"/>
      <c r="G131" s="247"/>
      <c r="H131" s="247"/>
      <c r="I131" s="247"/>
      <c r="J131" s="247"/>
      <c r="K131" s="247"/>
      <c r="L131" s="247"/>
      <c r="M131" s="253"/>
      <c r="N131" s="253"/>
      <c r="O131" s="253"/>
      <c r="P131" s="253"/>
      <c r="Q131" s="253"/>
      <c r="R131" s="253"/>
      <c r="S131" s="253"/>
      <c r="T131" s="253"/>
      <c r="U131" s="253"/>
      <c r="V131" s="247"/>
      <c r="W131" s="247"/>
      <c r="X131" s="247"/>
      <c r="Y131" s="247"/>
      <c r="Z131" s="247"/>
    </row>
    <row r="132">
      <c r="A132" s="247"/>
      <c r="B132" s="247"/>
      <c r="C132" s="247"/>
      <c r="D132" s="247"/>
      <c r="E132" s="247"/>
      <c r="F132" s="247"/>
      <c r="G132" s="247"/>
      <c r="H132" s="247"/>
      <c r="I132" s="247"/>
      <c r="J132" s="247"/>
      <c r="K132" s="247"/>
      <c r="L132" s="247"/>
      <c r="M132" s="253"/>
      <c r="N132" s="253"/>
      <c r="O132" s="253"/>
      <c r="P132" s="253"/>
      <c r="Q132" s="253"/>
      <c r="R132" s="253"/>
      <c r="S132" s="253"/>
      <c r="T132" s="253"/>
      <c r="U132" s="253"/>
      <c r="V132" s="247"/>
      <c r="W132" s="247"/>
      <c r="X132" s="247"/>
      <c r="Y132" s="247"/>
      <c r="Z132" s="247"/>
    </row>
    <row r="133">
      <c r="A133" s="247"/>
      <c r="B133" s="247"/>
      <c r="C133" s="247"/>
      <c r="D133" s="247"/>
      <c r="E133" s="247"/>
      <c r="F133" s="247"/>
      <c r="G133" s="247"/>
      <c r="H133" s="247"/>
      <c r="I133" s="247"/>
      <c r="J133" s="247"/>
      <c r="K133" s="247"/>
      <c r="L133" s="247"/>
      <c r="M133" s="253"/>
      <c r="N133" s="253"/>
      <c r="O133" s="253"/>
      <c r="P133" s="253"/>
      <c r="Q133" s="253"/>
      <c r="R133" s="253"/>
      <c r="S133" s="253"/>
      <c r="T133" s="253"/>
      <c r="U133" s="253"/>
      <c r="V133" s="247"/>
      <c r="W133" s="247"/>
      <c r="X133" s="247"/>
      <c r="Y133" s="247"/>
      <c r="Z133" s="247"/>
    </row>
    <row r="134">
      <c r="A134" s="247"/>
      <c r="B134" s="247"/>
      <c r="C134" s="247"/>
      <c r="D134" s="247"/>
      <c r="E134" s="247"/>
      <c r="F134" s="247"/>
      <c r="G134" s="247"/>
      <c r="H134" s="247"/>
      <c r="I134" s="247"/>
      <c r="J134" s="247"/>
      <c r="K134" s="247"/>
      <c r="L134" s="247"/>
      <c r="M134" s="253"/>
      <c r="N134" s="253"/>
      <c r="O134" s="253"/>
      <c r="P134" s="253"/>
      <c r="Q134" s="253"/>
      <c r="R134" s="253"/>
      <c r="S134" s="253"/>
      <c r="T134" s="253"/>
      <c r="U134" s="253"/>
      <c r="V134" s="247"/>
      <c r="W134" s="247"/>
      <c r="X134" s="247"/>
      <c r="Y134" s="247"/>
      <c r="Z134" s="247"/>
    </row>
    <row r="135">
      <c r="A135" s="247"/>
      <c r="B135" s="247"/>
      <c r="C135" s="247"/>
      <c r="D135" s="247"/>
      <c r="E135" s="247"/>
      <c r="F135" s="247"/>
      <c r="G135" s="247"/>
      <c r="H135" s="247"/>
      <c r="I135" s="247"/>
      <c r="J135" s="247"/>
      <c r="K135" s="247"/>
      <c r="L135" s="247"/>
      <c r="M135" s="253"/>
      <c r="N135" s="253"/>
      <c r="O135" s="253"/>
      <c r="P135" s="253"/>
      <c r="Q135" s="253"/>
      <c r="R135" s="253"/>
      <c r="S135" s="253"/>
      <c r="T135" s="253"/>
      <c r="U135" s="253"/>
      <c r="V135" s="247"/>
      <c r="W135" s="247"/>
      <c r="X135" s="247"/>
      <c r="Y135" s="247"/>
      <c r="Z135" s="247"/>
    </row>
    <row r="136">
      <c r="A136" s="247"/>
      <c r="B136" s="247"/>
      <c r="C136" s="247"/>
      <c r="D136" s="247"/>
      <c r="E136" s="247"/>
      <c r="F136" s="247"/>
      <c r="G136" s="247"/>
      <c r="H136" s="247"/>
      <c r="I136" s="247"/>
      <c r="J136" s="247"/>
      <c r="K136" s="247"/>
      <c r="L136" s="247"/>
      <c r="M136" s="253"/>
      <c r="N136" s="253"/>
      <c r="O136" s="253"/>
      <c r="P136" s="253"/>
      <c r="Q136" s="253"/>
      <c r="R136" s="253"/>
      <c r="S136" s="253"/>
      <c r="T136" s="253"/>
      <c r="U136" s="253"/>
      <c r="V136" s="247"/>
      <c r="W136" s="247"/>
      <c r="X136" s="247"/>
      <c r="Y136" s="247"/>
      <c r="Z136" s="247"/>
    </row>
    <row r="137">
      <c r="A137" s="247"/>
      <c r="B137" s="247"/>
      <c r="C137" s="247"/>
      <c r="D137" s="247"/>
      <c r="E137" s="247"/>
      <c r="F137" s="247"/>
      <c r="G137" s="247"/>
      <c r="H137" s="247"/>
      <c r="I137" s="247"/>
      <c r="J137" s="247"/>
      <c r="K137" s="247"/>
      <c r="L137" s="247"/>
      <c r="M137" s="253"/>
      <c r="N137" s="253"/>
      <c r="O137" s="253"/>
      <c r="P137" s="253"/>
      <c r="Q137" s="253"/>
      <c r="R137" s="253"/>
      <c r="S137" s="253"/>
      <c r="T137" s="253"/>
      <c r="U137" s="253"/>
      <c r="V137" s="247"/>
      <c r="W137" s="247"/>
      <c r="X137" s="247"/>
      <c r="Y137" s="247"/>
      <c r="Z137" s="247"/>
    </row>
    <row r="138">
      <c r="A138" s="247"/>
      <c r="B138" s="247"/>
      <c r="C138" s="247"/>
      <c r="D138" s="247"/>
      <c r="E138" s="247"/>
      <c r="F138" s="247"/>
      <c r="G138" s="247"/>
      <c r="H138" s="247"/>
      <c r="I138" s="247"/>
      <c r="J138" s="247"/>
      <c r="K138" s="247"/>
      <c r="L138" s="247"/>
      <c r="M138" s="253"/>
      <c r="N138" s="253"/>
      <c r="O138" s="253"/>
      <c r="P138" s="253"/>
      <c r="Q138" s="253"/>
      <c r="R138" s="253"/>
      <c r="S138" s="253"/>
      <c r="T138" s="253"/>
      <c r="U138" s="253"/>
      <c r="V138" s="247"/>
      <c r="W138" s="247"/>
      <c r="X138" s="247"/>
      <c r="Y138" s="247"/>
      <c r="Z138" s="247"/>
    </row>
    <row r="139">
      <c r="A139" s="247"/>
      <c r="B139" s="247"/>
      <c r="C139" s="247"/>
      <c r="D139" s="247"/>
      <c r="E139" s="247"/>
      <c r="F139" s="247"/>
      <c r="G139" s="247"/>
      <c r="H139" s="247"/>
      <c r="I139" s="247"/>
      <c r="J139" s="247"/>
      <c r="K139" s="247"/>
      <c r="L139" s="247"/>
      <c r="M139" s="253"/>
      <c r="N139" s="253"/>
      <c r="O139" s="253"/>
      <c r="P139" s="253"/>
      <c r="Q139" s="253"/>
      <c r="R139" s="253"/>
      <c r="S139" s="253"/>
      <c r="T139" s="253"/>
      <c r="U139" s="253"/>
      <c r="V139" s="247"/>
      <c r="W139" s="247"/>
      <c r="X139" s="247"/>
      <c r="Y139" s="247"/>
      <c r="Z139" s="247"/>
    </row>
    <row r="140">
      <c r="A140" s="247"/>
      <c r="B140" s="247"/>
      <c r="C140" s="247"/>
      <c r="D140" s="247"/>
      <c r="E140" s="247"/>
      <c r="F140" s="247"/>
      <c r="G140" s="247"/>
      <c r="H140" s="247"/>
      <c r="I140" s="247"/>
      <c r="J140" s="247"/>
      <c r="K140" s="247"/>
      <c r="L140" s="247"/>
      <c r="M140" s="253"/>
      <c r="N140" s="253"/>
      <c r="O140" s="253"/>
      <c r="P140" s="253"/>
      <c r="Q140" s="253"/>
      <c r="R140" s="253"/>
      <c r="S140" s="253"/>
      <c r="T140" s="253"/>
      <c r="U140" s="253"/>
      <c r="V140" s="247"/>
      <c r="W140" s="247"/>
      <c r="X140" s="247"/>
      <c r="Y140" s="247"/>
      <c r="Z140" s="247"/>
    </row>
    <row r="141">
      <c r="A141" s="247"/>
      <c r="B141" s="247"/>
      <c r="C141" s="247"/>
      <c r="D141" s="247"/>
      <c r="E141" s="247"/>
      <c r="F141" s="247"/>
      <c r="G141" s="247"/>
      <c r="H141" s="247"/>
      <c r="I141" s="247"/>
      <c r="J141" s="247"/>
      <c r="K141" s="247"/>
      <c r="L141" s="247"/>
      <c r="M141" s="253"/>
      <c r="N141" s="253"/>
      <c r="O141" s="253"/>
      <c r="P141" s="253"/>
      <c r="Q141" s="253"/>
      <c r="R141" s="253"/>
      <c r="S141" s="253"/>
      <c r="T141" s="253"/>
      <c r="U141" s="253"/>
      <c r="V141" s="247"/>
      <c r="W141" s="247"/>
      <c r="X141" s="247"/>
      <c r="Y141" s="247"/>
      <c r="Z141" s="247"/>
    </row>
    <row r="142">
      <c r="A142" s="247"/>
      <c r="B142" s="247"/>
      <c r="C142" s="247"/>
      <c r="D142" s="247"/>
      <c r="E142" s="247"/>
      <c r="F142" s="247"/>
      <c r="G142" s="247"/>
      <c r="H142" s="247"/>
      <c r="I142" s="247"/>
      <c r="J142" s="247"/>
      <c r="K142" s="247"/>
      <c r="L142" s="247"/>
      <c r="M142" s="253"/>
      <c r="N142" s="253"/>
      <c r="O142" s="253"/>
      <c r="P142" s="253"/>
      <c r="Q142" s="253"/>
      <c r="R142" s="253"/>
      <c r="S142" s="253"/>
      <c r="T142" s="253"/>
      <c r="U142" s="253"/>
      <c r="V142" s="247"/>
      <c r="W142" s="247"/>
      <c r="X142" s="247"/>
      <c r="Y142" s="247"/>
      <c r="Z142" s="247"/>
    </row>
    <row r="143">
      <c r="A143" s="247"/>
      <c r="B143" s="247"/>
      <c r="C143" s="247"/>
      <c r="D143" s="247"/>
      <c r="E143" s="247"/>
      <c r="F143" s="247"/>
      <c r="G143" s="247"/>
      <c r="H143" s="247"/>
      <c r="I143" s="247"/>
      <c r="J143" s="247"/>
      <c r="K143" s="247"/>
      <c r="L143" s="247"/>
      <c r="M143" s="253"/>
      <c r="N143" s="253"/>
      <c r="O143" s="253"/>
      <c r="P143" s="253"/>
      <c r="Q143" s="253"/>
      <c r="R143" s="253"/>
      <c r="S143" s="253"/>
      <c r="T143" s="253"/>
      <c r="U143" s="253"/>
      <c r="V143" s="247"/>
      <c r="W143" s="247"/>
      <c r="X143" s="247"/>
      <c r="Y143" s="247"/>
      <c r="Z143" s="247"/>
    </row>
    <row r="144">
      <c r="A144" s="247"/>
      <c r="B144" s="247"/>
      <c r="C144" s="247"/>
      <c r="D144" s="247"/>
      <c r="E144" s="247"/>
      <c r="F144" s="247"/>
      <c r="G144" s="247"/>
      <c r="H144" s="247"/>
      <c r="I144" s="247"/>
      <c r="J144" s="247"/>
      <c r="K144" s="247"/>
      <c r="L144" s="247"/>
      <c r="M144" s="253"/>
      <c r="N144" s="253"/>
      <c r="O144" s="253"/>
      <c r="P144" s="253"/>
      <c r="Q144" s="253"/>
      <c r="R144" s="253"/>
      <c r="S144" s="253"/>
      <c r="T144" s="253"/>
      <c r="U144" s="253"/>
      <c r="V144" s="247"/>
      <c r="W144" s="247"/>
      <c r="X144" s="247"/>
      <c r="Y144" s="247"/>
      <c r="Z144" s="247"/>
    </row>
    <row r="145">
      <c r="A145" s="247"/>
      <c r="B145" s="247"/>
      <c r="C145" s="247"/>
      <c r="D145" s="247"/>
      <c r="E145" s="247"/>
      <c r="F145" s="247"/>
      <c r="G145" s="247"/>
      <c r="H145" s="247"/>
      <c r="I145" s="247"/>
      <c r="J145" s="247"/>
      <c r="K145" s="247"/>
      <c r="L145" s="247"/>
      <c r="M145" s="253"/>
      <c r="N145" s="253"/>
      <c r="O145" s="253"/>
      <c r="P145" s="253"/>
      <c r="Q145" s="253"/>
      <c r="R145" s="253"/>
      <c r="S145" s="253"/>
      <c r="T145" s="253"/>
      <c r="U145" s="253"/>
      <c r="V145" s="247"/>
      <c r="W145" s="247"/>
      <c r="X145" s="247"/>
      <c r="Y145" s="247"/>
      <c r="Z145" s="247"/>
    </row>
    <row r="146">
      <c r="A146" s="247"/>
      <c r="B146" s="247"/>
      <c r="C146" s="247"/>
      <c r="D146" s="247"/>
      <c r="E146" s="247"/>
      <c r="F146" s="247"/>
      <c r="G146" s="247"/>
      <c r="H146" s="247"/>
      <c r="I146" s="247"/>
      <c r="J146" s="247"/>
      <c r="K146" s="247"/>
      <c r="L146" s="247"/>
      <c r="M146" s="253"/>
      <c r="N146" s="253"/>
      <c r="O146" s="253"/>
      <c r="P146" s="253"/>
      <c r="Q146" s="253"/>
      <c r="R146" s="253"/>
      <c r="S146" s="253"/>
      <c r="T146" s="253"/>
      <c r="U146" s="253"/>
      <c r="V146" s="247"/>
      <c r="W146" s="247"/>
      <c r="X146" s="247"/>
      <c r="Y146" s="247"/>
      <c r="Z146" s="247"/>
    </row>
    <row r="147">
      <c r="A147" s="247"/>
      <c r="B147" s="247"/>
      <c r="C147" s="247"/>
      <c r="D147" s="247"/>
      <c r="E147" s="247"/>
      <c r="F147" s="247"/>
      <c r="G147" s="247"/>
      <c r="H147" s="247"/>
      <c r="I147" s="247"/>
      <c r="J147" s="247"/>
      <c r="K147" s="247"/>
      <c r="L147" s="247"/>
      <c r="M147" s="253"/>
      <c r="N147" s="253"/>
      <c r="O147" s="253"/>
      <c r="P147" s="253"/>
      <c r="Q147" s="253"/>
      <c r="R147" s="253"/>
      <c r="S147" s="253"/>
      <c r="T147" s="253"/>
      <c r="U147" s="253"/>
      <c r="V147" s="247"/>
      <c r="W147" s="247"/>
      <c r="X147" s="247"/>
      <c r="Y147" s="247"/>
      <c r="Z147" s="247"/>
    </row>
    <row r="148">
      <c r="A148" s="247"/>
      <c r="B148" s="247"/>
      <c r="C148" s="247"/>
      <c r="D148" s="247"/>
      <c r="E148" s="247"/>
      <c r="F148" s="247"/>
      <c r="G148" s="247"/>
      <c r="H148" s="247"/>
      <c r="I148" s="247"/>
      <c r="J148" s="247"/>
      <c r="K148" s="247"/>
      <c r="L148" s="247"/>
      <c r="M148" s="253"/>
      <c r="N148" s="253"/>
      <c r="O148" s="253"/>
      <c r="P148" s="253"/>
      <c r="Q148" s="253"/>
      <c r="R148" s="253"/>
      <c r="S148" s="253"/>
      <c r="T148" s="253"/>
      <c r="U148" s="253"/>
      <c r="V148" s="247"/>
      <c r="W148" s="247"/>
      <c r="X148" s="247"/>
      <c r="Y148" s="247"/>
      <c r="Z148" s="247"/>
    </row>
    <row r="149">
      <c r="A149" s="247"/>
      <c r="B149" s="247"/>
      <c r="C149" s="247"/>
      <c r="D149" s="247"/>
      <c r="E149" s="247"/>
      <c r="F149" s="247"/>
      <c r="G149" s="247"/>
      <c r="H149" s="247"/>
      <c r="I149" s="247"/>
      <c r="J149" s="247"/>
      <c r="K149" s="247"/>
      <c r="L149" s="247"/>
      <c r="M149" s="253"/>
      <c r="N149" s="253"/>
      <c r="O149" s="253"/>
      <c r="P149" s="253"/>
      <c r="Q149" s="253"/>
      <c r="R149" s="253"/>
      <c r="S149" s="253"/>
      <c r="T149" s="253"/>
      <c r="U149" s="253"/>
      <c r="V149" s="247"/>
      <c r="W149" s="247"/>
      <c r="X149" s="247"/>
      <c r="Y149" s="247"/>
      <c r="Z149" s="247"/>
    </row>
    <row r="150">
      <c r="A150" s="247"/>
      <c r="B150" s="247"/>
      <c r="C150" s="247"/>
      <c r="D150" s="247"/>
      <c r="E150" s="247"/>
      <c r="F150" s="247"/>
      <c r="G150" s="247"/>
      <c r="H150" s="247"/>
      <c r="I150" s="247"/>
      <c r="J150" s="247"/>
      <c r="K150" s="247"/>
      <c r="L150" s="247"/>
      <c r="M150" s="253"/>
      <c r="N150" s="253"/>
      <c r="O150" s="253"/>
      <c r="P150" s="253"/>
      <c r="Q150" s="253"/>
      <c r="R150" s="253"/>
      <c r="S150" s="253"/>
      <c r="T150" s="253"/>
      <c r="U150" s="253"/>
      <c r="V150" s="247"/>
      <c r="W150" s="247"/>
      <c r="X150" s="247"/>
      <c r="Y150" s="247"/>
      <c r="Z150" s="247"/>
    </row>
    <row r="151">
      <c r="A151" s="247"/>
      <c r="B151" s="247"/>
      <c r="C151" s="247"/>
      <c r="D151" s="247"/>
      <c r="E151" s="247"/>
      <c r="F151" s="247"/>
      <c r="G151" s="247"/>
      <c r="H151" s="247"/>
      <c r="I151" s="247"/>
      <c r="J151" s="247"/>
      <c r="K151" s="247"/>
      <c r="L151" s="247"/>
      <c r="M151" s="253"/>
      <c r="N151" s="253"/>
      <c r="O151" s="253"/>
      <c r="P151" s="253"/>
      <c r="Q151" s="253"/>
      <c r="R151" s="253"/>
      <c r="S151" s="253"/>
      <c r="T151" s="253"/>
      <c r="U151" s="253"/>
      <c r="V151" s="247"/>
      <c r="W151" s="247"/>
      <c r="X151" s="247"/>
      <c r="Y151" s="247"/>
      <c r="Z151" s="247"/>
    </row>
    <row r="152">
      <c r="A152" s="247"/>
      <c r="B152" s="247"/>
      <c r="C152" s="247"/>
      <c r="D152" s="247"/>
      <c r="E152" s="247"/>
      <c r="F152" s="247"/>
      <c r="G152" s="247"/>
      <c r="H152" s="247"/>
      <c r="I152" s="247"/>
      <c r="J152" s="247"/>
      <c r="K152" s="247"/>
      <c r="L152" s="247"/>
      <c r="M152" s="253"/>
      <c r="N152" s="253"/>
      <c r="O152" s="253"/>
      <c r="P152" s="253"/>
      <c r="Q152" s="253"/>
      <c r="R152" s="253"/>
      <c r="S152" s="253"/>
      <c r="T152" s="253"/>
      <c r="U152" s="253"/>
      <c r="V152" s="247"/>
      <c r="W152" s="247"/>
      <c r="X152" s="247"/>
      <c r="Y152" s="247"/>
      <c r="Z152" s="247"/>
    </row>
    <row r="153">
      <c r="A153" s="247"/>
      <c r="B153" s="247"/>
      <c r="C153" s="247"/>
      <c r="D153" s="247"/>
      <c r="E153" s="247"/>
      <c r="F153" s="247"/>
      <c r="G153" s="247"/>
      <c r="H153" s="247"/>
      <c r="I153" s="247"/>
      <c r="J153" s="247"/>
      <c r="K153" s="247"/>
      <c r="L153" s="247"/>
      <c r="M153" s="253"/>
      <c r="N153" s="253"/>
      <c r="O153" s="253"/>
      <c r="P153" s="253"/>
      <c r="Q153" s="253"/>
      <c r="R153" s="253"/>
      <c r="S153" s="253"/>
      <c r="T153" s="253"/>
      <c r="U153" s="253"/>
      <c r="V153" s="247"/>
      <c r="W153" s="247"/>
      <c r="X153" s="247"/>
      <c r="Y153" s="247"/>
      <c r="Z153" s="247"/>
    </row>
    <row r="154">
      <c r="A154" s="247"/>
      <c r="B154" s="247"/>
      <c r="C154" s="247"/>
      <c r="D154" s="247"/>
      <c r="E154" s="247"/>
      <c r="F154" s="247"/>
      <c r="G154" s="247"/>
      <c r="H154" s="247"/>
      <c r="I154" s="247"/>
      <c r="J154" s="247"/>
      <c r="K154" s="247"/>
      <c r="L154" s="247"/>
      <c r="M154" s="253"/>
      <c r="N154" s="253"/>
      <c r="O154" s="253"/>
      <c r="P154" s="253"/>
      <c r="Q154" s="253"/>
      <c r="R154" s="253"/>
      <c r="S154" s="253"/>
      <c r="T154" s="253"/>
      <c r="U154" s="253"/>
      <c r="V154" s="247"/>
      <c r="W154" s="247"/>
      <c r="X154" s="247"/>
      <c r="Y154" s="247"/>
      <c r="Z154" s="247"/>
    </row>
    <row r="155">
      <c r="A155" s="247"/>
      <c r="B155" s="247"/>
      <c r="C155" s="247"/>
      <c r="D155" s="247"/>
      <c r="E155" s="247"/>
      <c r="F155" s="247"/>
      <c r="G155" s="247"/>
      <c r="H155" s="247"/>
      <c r="I155" s="247"/>
      <c r="J155" s="247"/>
      <c r="K155" s="247"/>
      <c r="L155" s="247"/>
      <c r="M155" s="253"/>
      <c r="N155" s="253"/>
      <c r="O155" s="253"/>
      <c r="P155" s="253"/>
      <c r="Q155" s="253"/>
      <c r="R155" s="253"/>
      <c r="S155" s="253"/>
      <c r="T155" s="253"/>
      <c r="U155" s="253"/>
      <c r="V155" s="247"/>
      <c r="W155" s="247"/>
      <c r="X155" s="247"/>
      <c r="Y155" s="247"/>
      <c r="Z155" s="247"/>
    </row>
    <row r="156">
      <c r="A156" s="247"/>
      <c r="B156" s="247"/>
      <c r="C156" s="247"/>
      <c r="D156" s="247"/>
      <c r="E156" s="247"/>
      <c r="F156" s="247"/>
      <c r="G156" s="247"/>
      <c r="H156" s="247"/>
      <c r="I156" s="247"/>
      <c r="J156" s="247"/>
      <c r="K156" s="247"/>
      <c r="L156" s="247"/>
      <c r="M156" s="253"/>
      <c r="N156" s="253"/>
      <c r="O156" s="253"/>
      <c r="P156" s="253"/>
      <c r="Q156" s="253"/>
      <c r="R156" s="253"/>
      <c r="S156" s="253"/>
      <c r="T156" s="253"/>
      <c r="U156" s="253"/>
      <c r="V156" s="247"/>
      <c r="W156" s="247"/>
      <c r="X156" s="247"/>
      <c r="Y156" s="247"/>
      <c r="Z156" s="247"/>
    </row>
    <row r="157">
      <c r="A157" s="247"/>
      <c r="B157" s="247"/>
      <c r="C157" s="247"/>
      <c r="D157" s="247"/>
      <c r="E157" s="247"/>
      <c r="F157" s="247"/>
      <c r="G157" s="247"/>
      <c r="H157" s="247"/>
      <c r="I157" s="247"/>
      <c r="J157" s="247"/>
      <c r="K157" s="247"/>
      <c r="L157" s="247"/>
      <c r="M157" s="253"/>
      <c r="N157" s="253"/>
      <c r="O157" s="253"/>
      <c r="P157" s="253"/>
      <c r="Q157" s="253"/>
      <c r="R157" s="253"/>
      <c r="S157" s="253"/>
      <c r="T157" s="253"/>
      <c r="U157" s="253"/>
      <c r="V157" s="247"/>
      <c r="W157" s="247"/>
      <c r="X157" s="247"/>
      <c r="Y157" s="247"/>
      <c r="Z157" s="247"/>
    </row>
    <row r="158">
      <c r="A158" s="247"/>
      <c r="B158" s="247"/>
      <c r="C158" s="247"/>
      <c r="D158" s="247"/>
      <c r="E158" s="247"/>
      <c r="F158" s="247"/>
      <c r="G158" s="247"/>
      <c r="H158" s="247"/>
      <c r="I158" s="247"/>
      <c r="J158" s="247"/>
      <c r="K158" s="247"/>
      <c r="L158" s="247"/>
      <c r="M158" s="253"/>
      <c r="N158" s="253"/>
      <c r="O158" s="253"/>
      <c r="P158" s="253"/>
      <c r="Q158" s="253"/>
      <c r="R158" s="253"/>
      <c r="S158" s="253"/>
      <c r="T158" s="253"/>
      <c r="U158" s="253"/>
      <c r="V158" s="247"/>
      <c r="W158" s="247"/>
      <c r="X158" s="247"/>
      <c r="Y158" s="247"/>
      <c r="Z158" s="247"/>
    </row>
    <row r="159">
      <c r="A159" s="247"/>
      <c r="B159" s="247"/>
      <c r="C159" s="247"/>
      <c r="D159" s="247"/>
      <c r="E159" s="247"/>
      <c r="F159" s="247"/>
      <c r="G159" s="247"/>
      <c r="H159" s="247"/>
      <c r="I159" s="247"/>
      <c r="J159" s="247"/>
      <c r="K159" s="247"/>
      <c r="L159" s="247"/>
      <c r="M159" s="253"/>
      <c r="N159" s="253"/>
      <c r="O159" s="253"/>
      <c r="P159" s="253"/>
      <c r="Q159" s="253"/>
      <c r="R159" s="253"/>
      <c r="S159" s="253"/>
      <c r="T159" s="253"/>
      <c r="U159" s="253"/>
      <c r="V159" s="247"/>
      <c r="W159" s="247"/>
      <c r="X159" s="247"/>
      <c r="Y159" s="247"/>
      <c r="Z159" s="247"/>
    </row>
    <row r="160">
      <c r="A160" s="247"/>
      <c r="B160" s="247"/>
      <c r="C160" s="247"/>
      <c r="D160" s="247"/>
      <c r="E160" s="247"/>
      <c r="F160" s="247"/>
      <c r="G160" s="247"/>
      <c r="H160" s="247"/>
      <c r="I160" s="247"/>
      <c r="J160" s="247"/>
      <c r="K160" s="247"/>
      <c r="L160" s="247"/>
      <c r="M160" s="253"/>
      <c r="N160" s="253"/>
      <c r="O160" s="253"/>
      <c r="P160" s="253"/>
      <c r="Q160" s="253"/>
      <c r="R160" s="253"/>
      <c r="S160" s="253"/>
      <c r="T160" s="253"/>
      <c r="U160" s="253"/>
      <c r="V160" s="247"/>
      <c r="W160" s="247"/>
      <c r="X160" s="247"/>
      <c r="Y160" s="247"/>
      <c r="Z160" s="247"/>
    </row>
    <row r="161">
      <c r="A161" s="247"/>
      <c r="B161" s="247"/>
      <c r="C161" s="247"/>
      <c r="D161" s="247"/>
      <c r="E161" s="247"/>
      <c r="F161" s="247"/>
      <c r="G161" s="247"/>
      <c r="H161" s="247"/>
      <c r="I161" s="247"/>
      <c r="J161" s="247"/>
      <c r="K161" s="247"/>
      <c r="L161" s="247"/>
      <c r="M161" s="253"/>
      <c r="N161" s="253"/>
      <c r="O161" s="253"/>
      <c r="P161" s="253"/>
      <c r="Q161" s="253"/>
      <c r="R161" s="253"/>
      <c r="S161" s="253"/>
      <c r="T161" s="253"/>
      <c r="U161" s="253"/>
      <c r="V161" s="247"/>
      <c r="W161" s="247"/>
      <c r="X161" s="247"/>
      <c r="Y161" s="247"/>
      <c r="Z161" s="247"/>
    </row>
    <row r="162">
      <c r="A162" s="247"/>
      <c r="B162" s="247"/>
      <c r="C162" s="247"/>
      <c r="D162" s="247"/>
      <c r="E162" s="247"/>
      <c r="F162" s="247"/>
      <c r="G162" s="247"/>
      <c r="H162" s="247"/>
      <c r="I162" s="247"/>
      <c r="J162" s="247"/>
      <c r="K162" s="247"/>
      <c r="L162" s="247"/>
      <c r="M162" s="253"/>
      <c r="N162" s="253"/>
      <c r="O162" s="253"/>
      <c r="P162" s="253"/>
      <c r="Q162" s="253"/>
      <c r="R162" s="253"/>
      <c r="S162" s="253"/>
      <c r="T162" s="253"/>
      <c r="U162" s="253"/>
      <c r="V162" s="247"/>
      <c r="W162" s="247"/>
      <c r="X162" s="247"/>
      <c r="Y162" s="247"/>
      <c r="Z162" s="247"/>
    </row>
    <row r="163">
      <c r="A163" s="247"/>
      <c r="B163" s="247"/>
      <c r="C163" s="247"/>
      <c r="D163" s="247"/>
      <c r="E163" s="247"/>
      <c r="F163" s="247"/>
      <c r="G163" s="247"/>
      <c r="H163" s="247"/>
      <c r="I163" s="247"/>
      <c r="J163" s="247"/>
      <c r="K163" s="247"/>
      <c r="L163" s="247"/>
      <c r="M163" s="253"/>
      <c r="N163" s="253"/>
      <c r="O163" s="253"/>
      <c r="P163" s="253"/>
      <c r="Q163" s="253"/>
      <c r="R163" s="253"/>
      <c r="S163" s="253"/>
      <c r="T163" s="253"/>
      <c r="U163" s="253"/>
      <c r="V163" s="247"/>
      <c r="W163" s="247"/>
      <c r="X163" s="247"/>
      <c r="Y163" s="247"/>
      <c r="Z163" s="247"/>
    </row>
    <row r="164">
      <c r="A164" s="247"/>
      <c r="B164" s="247"/>
      <c r="C164" s="247"/>
      <c r="D164" s="247"/>
      <c r="E164" s="247"/>
      <c r="F164" s="247"/>
      <c r="G164" s="247"/>
      <c r="H164" s="247"/>
      <c r="I164" s="247"/>
      <c r="J164" s="247"/>
      <c r="K164" s="247"/>
      <c r="L164" s="247"/>
      <c r="M164" s="253"/>
      <c r="N164" s="253"/>
      <c r="O164" s="253"/>
      <c r="P164" s="253"/>
      <c r="Q164" s="253"/>
      <c r="R164" s="253"/>
      <c r="S164" s="253"/>
      <c r="T164" s="253"/>
      <c r="U164" s="253"/>
      <c r="V164" s="247"/>
      <c r="W164" s="247"/>
      <c r="X164" s="247"/>
      <c r="Y164" s="247"/>
      <c r="Z164" s="247"/>
    </row>
    <row r="165">
      <c r="A165" s="247"/>
      <c r="B165" s="247"/>
      <c r="C165" s="247"/>
      <c r="D165" s="247"/>
      <c r="E165" s="247"/>
      <c r="F165" s="247"/>
      <c r="G165" s="247"/>
      <c r="H165" s="247"/>
      <c r="I165" s="247"/>
      <c r="J165" s="247"/>
      <c r="K165" s="247"/>
      <c r="L165" s="247"/>
      <c r="M165" s="253"/>
      <c r="N165" s="253"/>
      <c r="O165" s="253"/>
      <c r="P165" s="253"/>
      <c r="Q165" s="253"/>
      <c r="R165" s="253"/>
      <c r="S165" s="253"/>
      <c r="T165" s="253"/>
      <c r="U165" s="253"/>
      <c r="V165" s="247"/>
      <c r="W165" s="247"/>
      <c r="X165" s="247"/>
      <c r="Y165" s="247"/>
      <c r="Z165" s="247"/>
    </row>
    <row r="166">
      <c r="A166" s="247"/>
      <c r="B166" s="247"/>
      <c r="C166" s="247"/>
      <c r="D166" s="247"/>
      <c r="E166" s="247"/>
      <c r="F166" s="247"/>
      <c r="G166" s="247"/>
      <c r="H166" s="247"/>
      <c r="I166" s="247"/>
      <c r="J166" s="247"/>
      <c r="K166" s="247"/>
      <c r="L166" s="247"/>
      <c r="M166" s="253"/>
      <c r="N166" s="253"/>
      <c r="O166" s="253"/>
      <c r="P166" s="253"/>
      <c r="Q166" s="253"/>
      <c r="R166" s="253"/>
      <c r="S166" s="253"/>
      <c r="T166" s="253"/>
      <c r="U166" s="253"/>
      <c r="V166" s="247"/>
      <c r="W166" s="247"/>
      <c r="X166" s="247"/>
      <c r="Y166" s="247"/>
      <c r="Z166" s="247"/>
    </row>
    <row r="167">
      <c r="A167" s="247"/>
      <c r="B167" s="247"/>
      <c r="C167" s="247"/>
      <c r="D167" s="247"/>
      <c r="E167" s="247"/>
      <c r="F167" s="247"/>
      <c r="G167" s="247"/>
      <c r="H167" s="247"/>
      <c r="I167" s="247"/>
      <c r="J167" s="247"/>
      <c r="K167" s="247"/>
      <c r="L167" s="247"/>
      <c r="M167" s="253"/>
      <c r="N167" s="253"/>
      <c r="O167" s="253"/>
      <c r="P167" s="253"/>
      <c r="Q167" s="253"/>
      <c r="R167" s="253"/>
      <c r="S167" s="253"/>
      <c r="T167" s="253"/>
      <c r="U167" s="253"/>
      <c r="V167" s="247"/>
      <c r="W167" s="247"/>
      <c r="X167" s="247"/>
      <c r="Y167" s="247"/>
      <c r="Z167" s="247"/>
    </row>
    <row r="168">
      <c r="A168" s="247"/>
      <c r="B168" s="247"/>
      <c r="C168" s="247"/>
      <c r="D168" s="247"/>
      <c r="E168" s="247"/>
      <c r="F168" s="247"/>
      <c r="G168" s="247"/>
      <c r="H168" s="247"/>
      <c r="I168" s="247"/>
      <c r="J168" s="247"/>
      <c r="K168" s="247"/>
      <c r="L168" s="247"/>
      <c r="M168" s="253"/>
      <c r="N168" s="253"/>
      <c r="O168" s="253"/>
      <c r="P168" s="253"/>
      <c r="Q168" s="253"/>
      <c r="R168" s="253"/>
      <c r="S168" s="253"/>
      <c r="T168" s="253"/>
      <c r="U168" s="253"/>
      <c r="V168" s="247"/>
      <c r="W168" s="247"/>
      <c r="X168" s="247"/>
      <c r="Y168" s="247"/>
      <c r="Z168" s="247"/>
    </row>
    <row r="169">
      <c r="A169" s="247"/>
      <c r="B169" s="247"/>
      <c r="C169" s="247"/>
      <c r="D169" s="247"/>
      <c r="E169" s="247"/>
      <c r="F169" s="247"/>
      <c r="G169" s="247"/>
      <c r="H169" s="247"/>
      <c r="I169" s="247"/>
      <c r="J169" s="247"/>
      <c r="K169" s="247"/>
      <c r="L169" s="247"/>
      <c r="M169" s="253"/>
      <c r="N169" s="253"/>
      <c r="O169" s="253"/>
      <c r="P169" s="253"/>
      <c r="Q169" s="253"/>
      <c r="R169" s="253"/>
      <c r="S169" s="253"/>
      <c r="T169" s="253"/>
      <c r="U169" s="253"/>
      <c r="V169" s="247"/>
      <c r="W169" s="247"/>
      <c r="X169" s="247"/>
      <c r="Y169" s="247"/>
      <c r="Z169" s="247"/>
    </row>
    <row r="170">
      <c r="A170" s="247"/>
      <c r="B170" s="247"/>
      <c r="C170" s="247"/>
      <c r="D170" s="247"/>
      <c r="E170" s="247"/>
      <c r="F170" s="247"/>
      <c r="G170" s="247"/>
      <c r="H170" s="247"/>
      <c r="I170" s="247"/>
      <c r="J170" s="247"/>
      <c r="K170" s="247"/>
      <c r="L170" s="247"/>
      <c r="M170" s="253"/>
      <c r="N170" s="253"/>
      <c r="O170" s="253"/>
      <c r="P170" s="253"/>
      <c r="Q170" s="253"/>
      <c r="R170" s="253"/>
      <c r="S170" s="253"/>
      <c r="T170" s="253"/>
      <c r="U170" s="253"/>
      <c r="V170" s="247"/>
      <c r="W170" s="247"/>
      <c r="X170" s="247"/>
      <c r="Y170" s="247"/>
      <c r="Z170" s="247"/>
    </row>
    <row r="171">
      <c r="A171" s="247"/>
      <c r="B171" s="247"/>
      <c r="C171" s="247"/>
      <c r="D171" s="247"/>
      <c r="E171" s="247"/>
      <c r="F171" s="247"/>
      <c r="G171" s="247"/>
      <c r="H171" s="247"/>
      <c r="I171" s="247"/>
      <c r="J171" s="247"/>
      <c r="K171" s="247"/>
      <c r="L171" s="247"/>
      <c r="M171" s="253"/>
      <c r="N171" s="253"/>
      <c r="O171" s="253"/>
      <c r="P171" s="253"/>
      <c r="Q171" s="253"/>
      <c r="R171" s="253"/>
      <c r="S171" s="253"/>
      <c r="T171" s="253"/>
      <c r="U171" s="253"/>
      <c r="V171" s="247"/>
      <c r="W171" s="247"/>
      <c r="X171" s="247"/>
      <c r="Y171" s="247"/>
      <c r="Z171" s="247"/>
    </row>
    <row r="172">
      <c r="A172" s="247"/>
      <c r="B172" s="247"/>
      <c r="C172" s="247"/>
      <c r="D172" s="247"/>
      <c r="E172" s="247"/>
      <c r="F172" s="247"/>
      <c r="G172" s="247"/>
      <c r="H172" s="247"/>
      <c r="I172" s="247"/>
      <c r="J172" s="247"/>
      <c r="K172" s="247"/>
      <c r="L172" s="247"/>
      <c r="M172" s="253"/>
      <c r="N172" s="253"/>
      <c r="O172" s="253"/>
      <c r="P172" s="253"/>
      <c r="Q172" s="253"/>
      <c r="R172" s="253"/>
      <c r="S172" s="253"/>
      <c r="T172" s="253"/>
      <c r="U172" s="253"/>
      <c r="V172" s="247"/>
      <c r="W172" s="247"/>
      <c r="X172" s="247"/>
      <c r="Y172" s="247"/>
      <c r="Z172" s="247"/>
    </row>
    <row r="173">
      <c r="A173" s="247"/>
      <c r="B173" s="247"/>
      <c r="C173" s="247"/>
      <c r="D173" s="247"/>
      <c r="E173" s="247"/>
      <c r="F173" s="247"/>
      <c r="G173" s="247"/>
      <c r="H173" s="247"/>
      <c r="I173" s="247"/>
      <c r="J173" s="247"/>
      <c r="K173" s="247"/>
      <c r="L173" s="247"/>
      <c r="M173" s="253"/>
      <c r="N173" s="253"/>
      <c r="O173" s="253"/>
      <c r="P173" s="253"/>
      <c r="Q173" s="253"/>
      <c r="R173" s="253"/>
      <c r="S173" s="253"/>
      <c r="T173" s="253"/>
      <c r="U173" s="253"/>
      <c r="V173" s="247"/>
      <c r="W173" s="247"/>
      <c r="X173" s="247"/>
      <c r="Y173" s="247"/>
      <c r="Z173" s="247"/>
    </row>
    <row r="174">
      <c r="A174" s="247"/>
      <c r="B174" s="247"/>
      <c r="C174" s="247"/>
      <c r="D174" s="247"/>
      <c r="E174" s="247"/>
      <c r="F174" s="247"/>
      <c r="G174" s="247"/>
      <c r="H174" s="247"/>
      <c r="I174" s="247"/>
      <c r="J174" s="247"/>
      <c r="K174" s="247"/>
      <c r="L174" s="247"/>
      <c r="M174" s="253"/>
      <c r="N174" s="253"/>
      <c r="O174" s="253"/>
      <c r="P174" s="253"/>
      <c r="Q174" s="253"/>
      <c r="R174" s="253"/>
      <c r="S174" s="253"/>
      <c r="T174" s="253"/>
      <c r="U174" s="253"/>
      <c r="V174" s="247"/>
      <c r="W174" s="247"/>
      <c r="X174" s="247"/>
      <c r="Y174" s="247"/>
      <c r="Z174" s="247"/>
    </row>
    <row r="175">
      <c r="A175" s="247"/>
      <c r="B175" s="247"/>
      <c r="C175" s="247"/>
      <c r="D175" s="247"/>
      <c r="E175" s="247"/>
      <c r="F175" s="247"/>
      <c r="G175" s="247"/>
      <c r="H175" s="247"/>
      <c r="I175" s="247"/>
      <c r="J175" s="247"/>
      <c r="K175" s="247"/>
      <c r="L175" s="247"/>
      <c r="M175" s="253"/>
      <c r="N175" s="253"/>
      <c r="O175" s="253"/>
      <c r="P175" s="253"/>
      <c r="Q175" s="253"/>
      <c r="R175" s="253"/>
      <c r="S175" s="253"/>
      <c r="T175" s="253"/>
      <c r="U175" s="253"/>
      <c r="V175" s="247"/>
      <c r="W175" s="247"/>
      <c r="X175" s="247"/>
      <c r="Y175" s="247"/>
      <c r="Z175" s="247"/>
    </row>
    <row r="176">
      <c r="A176" s="247"/>
      <c r="B176" s="247"/>
      <c r="C176" s="247"/>
      <c r="D176" s="247"/>
      <c r="E176" s="247"/>
      <c r="F176" s="247"/>
      <c r="G176" s="247"/>
      <c r="H176" s="247"/>
      <c r="I176" s="247"/>
      <c r="J176" s="247"/>
      <c r="K176" s="247"/>
      <c r="L176" s="247"/>
      <c r="M176" s="253"/>
      <c r="N176" s="253"/>
      <c r="O176" s="253"/>
      <c r="P176" s="253"/>
      <c r="Q176" s="253"/>
      <c r="R176" s="253"/>
      <c r="S176" s="253"/>
      <c r="T176" s="253"/>
      <c r="U176" s="253"/>
      <c r="V176" s="247"/>
      <c r="W176" s="247"/>
      <c r="X176" s="247"/>
      <c r="Y176" s="247"/>
      <c r="Z176" s="247"/>
    </row>
    <row r="177">
      <c r="A177" s="247"/>
      <c r="B177" s="247"/>
      <c r="C177" s="247"/>
      <c r="D177" s="247"/>
      <c r="E177" s="247"/>
      <c r="F177" s="247"/>
      <c r="G177" s="247"/>
      <c r="H177" s="247"/>
      <c r="I177" s="247"/>
      <c r="J177" s="247"/>
      <c r="K177" s="247"/>
      <c r="L177" s="247"/>
      <c r="M177" s="253"/>
      <c r="N177" s="253"/>
      <c r="O177" s="253"/>
      <c r="P177" s="253"/>
      <c r="Q177" s="253"/>
      <c r="R177" s="253"/>
      <c r="S177" s="253"/>
      <c r="T177" s="253"/>
      <c r="U177" s="253"/>
      <c r="V177" s="247"/>
      <c r="W177" s="247"/>
      <c r="X177" s="247"/>
      <c r="Y177" s="247"/>
      <c r="Z177" s="247"/>
    </row>
    <row r="178">
      <c r="A178" s="247"/>
      <c r="B178" s="247"/>
      <c r="C178" s="247"/>
      <c r="D178" s="247"/>
      <c r="E178" s="247"/>
      <c r="F178" s="247"/>
      <c r="G178" s="247"/>
      <c r="H178" s="247"/>
      <c r="I178" s="247"/>
      <c r="J178" s="247"/>
      <c r="K178" s="247"/>
      <c r="L178" s="247"/>
      <c r="M178" s="253"/>
      <c r="N178" s="253"/>
      <c r="O178" s="253"/>
      <c r="P178" s="253"/>
      <c r="Q178" s="253"/>
      <c r="R178" s="253"/>
      <c r="S178" s="253"/>
      <c r="T178" s="253"/>
      <c r="U178" s="253"/>
      <c r="V178" s="247"/>
      <c r="W178" s="247"/>
      <c r="X178" s="247"/>
      <c r="Y178" s="247"/>
      <c r="Z178" s="247"/>
    </row>
    <row r="179">
      <c r="A179" s="247"/>
      <c r="B179" s="247"/>
      <c r="C179" s="247"/>
      <c r="D179" s="247"/>
      <c r="E179" s="247"/>
      <c r="F179" s="247"/>
      <c r="G179" s="247"/>
      <c r="H179" s="247"/>
      <c r="I179" s="247"/>
      <c r="J179" s="247"/>
      <c r="K179" s="247"/>
      <c r="L179" s="247"/>
      <c r="M179" s="253"/>
      <c r="N179" s="253"/>
      <c r="O179" s="253"/>
      <c r="P179" s="253"/>
      <c r="Q179" s="253"/>
      <c r="R179" s="253"/>
      <c r="S179" s="253"/>
      <c r="T179" s="253"/>
      <c r="U179" s="253"/>
      <c r="V179" s="247"/>
      <c r="W179" s="247"/>
      <c r="X179" s="247"/>
      <c r="Y179" s="247"/>
      <c r="Z179" s="247"/>
    </row>
    <row r="180">
      <c r="A180" s="247"/>
      <c r="B180" s="247"/>
      <c r="C180" s="247"/>
      <c r="D180" s="247"/>
      <c r="E180" s="247"/>
      <c r="F180" s="247"/>
      <c r="G180" s="247"/>
      <c r="H180" s="247"/>
      <c r="I180" s="247"/>
      <c r="J180" s="247"/>
      <c r="K180" s="247"/>
      <c r="L180" s="247"/>
      <c r="M180" s="253"/>
      <c r="N180" s="253"/>
      <c r="O180" s="253"/>
      <c r="P180" s="253"/>
      <c r="Q180" s="253"/>
      <c r="R180" s="253"/>
      <c r="S180" s="253"/>
      <c r="T180" s="253"/>
      <c r="U180" s="253"/>
      <c r="V180" s="247"/>
      <c r="W180" s="247"/>
      <c r="X180" s="247"/>
      <c r="Y180" s="247"/>
      <c r="Z180" s="247"/>
    </row>
    <row r="181">
      <c r="A181" s="247"/>
      <c r="B181" s="247"/>
      <c r="C181" s="247"/>
      <c r="D181" s="247"/>
      <c r="E181" s="247"/>
      <c r="F181" s="247"/>
      <c r="G181" s="247"/>
      <c r="H181" s="247"/>
      <c r="I181" s="247"/>
      <c r="J181" s="247"/>
      <c r="K181" s="247"/>
      <c r="L181" s="247"/>
      <c r="M181" s="253"/>
      <c r="N181" s="253"/>
      <c r="O181" s="253"/>
      <c r="P181" s="253"/>
      <c r="Q181" s="253"/>
      <c r="R181" s="253"/>
      <c r="S181" s="253"/>
      <c r="T181" s="253"/>
      <c r="U181" s="253"/>
      <c r="V181" s="247"/>
      <c r="W181" s="247"/>
      <c r="X181" s="247"/>
      <c r="Y181" s="247"/>
      <c r="Z181" s="247"/>
    </row>
    <row r="182">
      <c r="A182" s="247"/>
      <c r="B182" s="247"/>
      <c r="C182" s="247"/>
      <c r="D182" s="247"/>
      <c r="E182" s="247"/>
      <c r="F182" s="247"/>
      <c r="G182" s="247"/>
      <c r="H182" s="247"/>
      <c r="I182" s="247"/>
      <c r="J182" s="247"/>
      <c r="K182" s="247"/>
      <c r="L182" s="247"/>
      <c r="M182" s="253"/>
      <c r="N182" s="253"/>
      <c r="O182" s="253"/>
      <c r="P182" s="253"/>
      <c r="Q182" s="253"/>
      <c r="R182" s="253"/>
      <c r="S182" s="253"/>
      <c r="T182" s="253"/>
      <c r="U182" s="253"/>
      <c r="V182" s="247"/>
      <c r="W182" s="247"/>
      <c r="X182" s="247"/>
      <c r="Y182" s="247"/>
      <c r="Z182" s="247"/>
    </row>
    <row r="183">
      <c r="A183" s="247"/>
      <c r="B183" s="247"/>
      <c r="C183" s="247"/>
      <c r="D183" s="247"/>
      <c r="E183" s="247"/>
      <c r="F183" s="247"/>
      <c r="G183" s="247"/>
      <c r="H183" s="247"/>
      <c r="I183" s="247"/>
      <c r="J183" s="247"/>
      <c r="K183" s="247"/>
      <c r="L183" s="247"/>
      <c r="M183" s="253"/>
      <c r="N183" s="253"/>
      <c r="O183" s="253"/>
      <c r="P183" s="253"/>
      <c r="Q183" s="253"/>
      <c r="R183" s="253"/>
      <c r="S183" s="253"/>
      <c r="T183" s="253"/>
      <c r="U183" s="253"/>
      <c r="V183" s="247"/>
      <c r="W183" s="247"/>
      <c r="X183" s="247"/>
      <c r="Y183" s="247"/>
      <c r="Z183" s="247"/>
    </row>
    <row r="184">
      <c r="A184" s="247"/>
      <c r="B184" s="247"/>
      <c r="C184" s="247"/>
      <c r="D184" s="247"/>
      <c r="E184" s="247"/>
      <c r="F184" s="247"/>
      <c r="G184" s="247"/>
      <c r="H184" s="247"/>
      <c r="I184" s="247"/>
      <c r="J184" s="247"/>
      <c r="K184" s="247"/>
      <c r="L184" s="247"/>
      <c r="M184" s="253"/>
      <c r="N184" s="253"/>
      <c r="O184" s="253"/>
      <c r="P184" s="253"/>
      <c r="Q184" s="253"/>
      <c r="R184" s="253"/>
      <c r="S184" s="253"/>
      <c r="T184" s="253"/>
      <c r="U184" s="253"/>
      <c r="V184" s="247"/>
      <c r="W184" s="247"/>
      <c r="X184" s="247"/>
      <c r="Y184" s="247"/>
      <c r="Z184" s="247"/>
    </row>
    <row r="185">
      <c r="A185" s="247"/>
      <c r="B185" s="247"/>
      <c r="C185" s="247"/>
      <c r="D185" s="247"/>
      <c r="E185" s="247"/>
      <c r="F185" s="247"/>
      <c r="G185" s="247"/>
      <c r="H185" s="247"/>
      <c r="I185" s="247"/>
      <c r="J185" s="247"/>
      <c r="K185" s="247"/>
      <c r="L185" s="247"/>
      <c r="M185" s="253"/>
      <c r="N185" s="253"/>
      <c r="O185" s="253"/>
      <c r="P185" s="253"/>
      <c r="Q185" s="253"/>
      <c r="R185" s="253"/>
      <c r="S185" s="253"/>
      <c r="T185" s="253"/>
      <c r="U185" s="253"/>
      <c r="V185" s="247"/>
      <c r="W185" s="247"/>
      <c r="X185" s="247"/>
      <c r="Y185" s="247"/>
      <c r="Z185" s="247"/>
    </row>
    <row r="186">
      <c r="A186" s="247"/>
      <c r="B186" s="247"/>
      <c r="C186" s="247"/>
      <c r="D186" s="247"/>
      <c r="E186" s="247"/>
      <c r="F186" s="247"/>
      <c r="G186" s="247"/>
      <c r="H186" s="247"/>
      <c r="I186" s="247"/>
      <c r="J186" s="247"/>
      <c r="K186" s="247"/>
      <c r="L186" s="247"/>
      <c r="M186" s="253"/>
      <c r="N186" s="253"/>
      <c r="O186" s="253"/>
      <c r="P186" s="253"/>
      <c r="Q186" s="253"/>
      <c r="R186" s="253"/>
      <c r="S186" s="253"/>
      <c r="T186" s="253"/>
      <c r="U186" s="253"/>
      <c r="V186" s="247"/>
      <c r="W186" s="247"/>
      <c r="X186" s="247"/>
      <c r="Y186" s="247"/>
      <c r="Z186" s="247"/>
    </row>
    <row r="187">
      <c r="A187" s="247"/>
      <c r="B187" s="247"/>
      <c r="C187" s="247"/>
      <c r="D187" s="247"/>
      <c r="E187" s="247"/>
      <c r="F187" s="247"/>
      <c r="G187" s="247"/>
      <c r="H187" s="247"/>
      <c r="I187" s="247"/>
      <c r="J187" s="247"/>
      <c r="K187" s="247"/>
      <c r="L187" s="247"/>
      <c r="M187" s="253"/>
      <c r="N187" s="253"/>
      <c r="O187" s="253"/>
      <c r="P187" s="253"/>
      <c r="Q187" s="253"/>
      <c r="R187" s="253"/>
      <c r="S187" s="253"/>
      <c r="T187" s="253"/>
      <c r="U187" s="253"/>
      <c r="V187" s="247"/>
      <c r="W187" s="247"/>
      <c r="X187" s="247"/>
      <c r="Y187" s="247"/>
      <c r="Z187" s="247"/>
    </row>
    <row r="188">
      <c r="A188" s="247"/>
      <c r="B188" s="247"/>
      <c r="C188" s="247"/>
      <c r="D188" s="247"/>
      <c r="E188" s="247"/>
      <c r="F188" s="247"/>
      <c r="G188" s="247"/>
      <c r="H188" s="247"/>
      <c r="I188" s="247"/>
      <c r="J188" s="247"/>
      <c r="K188" s="247"/>
      <c r="L188" s="247"/>
      <c r="M188" s="253"/>
      <c r="N188" s="253"/>
      <c r="O188" s="253"/>
      <c r="P188" s="253"/>
      <c r="Q188" s="253"/>
      <c r="R188" s="253"/>
      <c r="S188" s="253"/>
      <c r="T188" s="253"/>
      <c r="U188" s="253"/>
      <c r="V188" s="247"/>
      <c r="W188" s="247"/>
      <c r="X188" s="247"/>
      <c r="Y188" s="247"/>
      <c r="Z188" s="247"/>
    </row>
    <row r="189">
      <c r="A189" s="247"/>
      <c r="B189" s="247"/>
      <c r="C189" s="247"/>
      <c r="D189" s="247"/>
      <c r="E189" s="247"/>
      <c r="F189" s="247"/>
      <c r="G189" s="247"/>
      <c r="H189" s="247"/>
      <c r="I189" s="247"/>
      <c r="J189" s="247"/>
      <c r="K189" s="247"/>
      <c r="L189" s="247"/>
      <c r="M189" s="253"/>
      <c r="N189" s="253"/>
      <c r="O189" s="253"/>
      <c r="P189" s="253"/>
      <c r="Q189" s="253"/>
      <c r="R189" s="253"/>
      <c r="S189" s="253"/>
      <c r="T189" s="253"/>
      <c r="U189" s="253"/>
      <c r="V189" s="247"/>
      <c r="W189" s="247"/>
      <c r="X189" s="247"/>
      <c r="Y189" s="247"/>
      <c r="Z189" s="247"/>
    </row>
    <row r="190">
      <c r="A190" s="247"/>
      <c r="B190" s="247"/>
      <c r="C190" s="247"/>
      <c r="D190" s="247"/>
      <c r="E190" s="247"/>
      <c r="F190" s="247"/>
      <c r="G190" s="247"/>
      <c r="H190" s="247"/>
      <c r="I190" s="247"/>
      <c r="J190" s="247"/>
      <c r="K190" s="247"/>
      <c r="L190" s="247"/>
      <c r="M190" s="253"/>
      <c r="N190" s="253"/>
      <c r="O190" s="253"/>
      <c r="P190" s="253"/>
      <c r="Q190" s="253"/>
      <c r="R190" s="253"/>
      <c r="S190" s="253"/>
      <c r="T190" s="253"/>
      <c r="U190" s="253"/>
      <c r="V190" s="247"/>
      <c r="W190" s="247"/>
      <c r="X190" s="247"/>
      <c r="Y190" s="247"/>
      <c r="Z190" s="247"/>
    </row>
    <row r="191">
      <c r="A191" s="247"/>
      <c r="B191" s="247"/>
      <c r="C191" s="247"/>
      <c r="D191" s="247"/>
      <c r="E191" s="247"/>
      <c r="F191" s="247"/>
      <c r="G191" s="247"/>
      <c r="H191" s="247"/>
      <c r="I191" s="247"/>
      <c r="J191" s="247"/>
      <c r="K191" s="247"/>
      <c r="L191" s="247"/>
      <c r="M191" s="253"/>
      <c r="N191" s="253"/>
      <c r="O191" s="253"/>
      <c r="P191" s="253"/>
      <c r="Q191" s="253"/>
      <c r="R191" s="253"/>
      <c r="S191" s="253"/>
      <c r="T191" s="253"/>
      <c r="U191" s="253"/>
      <c r="V191" s="247"/>
      <c r="W191" s="247"/>
      <c r="X191" s="247"/>
      <c r="Y191" s="247"/>
      <c r="Z191" s="247"/>
    </row>
    <row r="192">
      <c r="A192" s="247"/>
      <c r="B192" s="247"/>
      <c r="C192" s="247"/>
      <c r="D192" s="247"/>
      <c r="E192" s="247"/>
      <c r="F192" s="247"/>
      <c r="G192" s="247"/>
      <c r="H192" s="247"/>
      <c r="I192" s="247"/>
      <c r="J192" s="247"/>
      <c r="K192" s="247"/>
      <c r="L192" s="247"/>
      <c r="M192" s="253"/>
      <c r="N192" s="253"/>
      <c r="O192" s="253"/>
      <c r="P192" s="253"/>
      <c r="Q192" s="253"/>
      <c r="R192" s="253"/>
      <c r="S192" s="253"/>
      <c r="T192" s="253"/>
      <c r="U192" s="253"/>
      <c r="V192" s="247"/>
      <c r="W192" s="247"/>
      <c r="X192" s="247"/>
      <c r="Y192" s="247"/>
      <c r="Z192" s="247"/>
    </row>
    <row r="193">
      <c r="A193" s="247"/>
      <c r="B193" s="247"/>
      <c r="C193" s="247"/>
      <c r="D193" s="247"/>
      <c r="E193" s="247"/>
      <c r="F193" s="247"/>
      <c r="G193" s="247"/>
      <c r="H193" s="247"/>
      <c r="I193" s="247"/>
      <c r="J193" s="247"/>
      <c r="K193" s="247"/>
      <c r="L193" s="247"/>
      <c r="M193" s="253"/>
      <c r="N193" s="253"/>
      <c r="O193" s="253"/>
      <c r="P193" s="253"/>
      <c r="Q193" s="253"/>
      <c r="R193" s="253"/>
      <c r="S193" s="253"/>
      <c r="T193" s="253"/>
      <c r="U193" s="253"/>
      <c r="V193" s="247"/>
      <c r="W193" s="247"/>
      <c r="X193" s="247"/>
      <c r="Y193" s="247"/>
      <c r="Z193" s="247"/>
    </row>
    <row r="194">
      <c r="A194" s="247"/>
      <c r="B194" s="247"/>
      <c r="C194" s="247"/>
      <c r="D194" s="247"/>
      <c r="E194" s="247"/>
      <c r="F194" s="247"/>
      <c r="G194" s="247"/>
      <c r="H194" s="247"/>
      <c r="I194" s="247"/>
      <c r="J194" s="247"/>
      <c r="K194" s="247"/>
      <c r="L194" s="247"/>
      <c r="M194" s="253"/>
      <c r="N194" s="253"/>
      <c r="O194" s="253"/>
      <c r="P194" s="253"/>
      <c r="Q194" s="253"/>
      <c r="R194" s="253"/>
      <c r="S194" s="253"/>
      <c r="T194" s="253"/>
      <c r="U194" s="253"/>
      <c r="V194" s="247"/>
      <c r="W194" s="247"/>
      <c r="X194" s="247"/>
      <c r="Y194" s="247"/>
      <c r="Z194" s="247"/>
    </row>
    <row r="195">
      <c r="A195" s="247"/>
      <c r="B195" s="247"/>
      <c r="C195" s="247"/>
      <c r="D195" s="247"/>
      <c r="E195" s="247"/>
      <c r="F195" s="247"/>
      <c r="G195" s="247"/>
      <c r="H195" s="247"/>
      <c r="I195" s="247"/>
      <c r="J195" s="247"/>
      <c r="K195" s="247"/>
      <c r="L195" s="247"/>
      <c r="M195" s="253"/>
      <c r="N195" s="253"/>
      <c r="O195" s="253"/>
      <c r="P195" s="253"/>
      <c r="Q195" s="253"/>
      <c r="R195" s="253"/>
      <c r="S195" s="253"/>
      <c r="T195" s="253"/>
      <c r="U195" s="253"/>
      <c r="V195" s="247"/>
      <c r="W195" s="247"/>
      <c r="X195" s="247"/>
      <c r="Y195" s="247"/>
      <c r="Z195" s="247"/>
    </row>
    <row r="196">
      <c r="A196" s="247"/>
      <c r="B196" s="247"/>
      <c r="C196" s="247"/>
      <c r="D196" s="247"/>
      <c r="E196" s="247"/>
      <c r="F196" s="247"/>
      <c r="G196" s="247"/>
      <c r="H196" s="247"/>
      <c r="I196" s="247"/>
      <c r="J196" s="247"/>
      <c r="K196" s="247"/>
      <c r="L196" s="247"/>
      <c r="M196" s="253"/>
      <c r="N196" s="253"/>
      <c r="O196" s="253"/>
      <c r="P196" s="253"/>
      <c r="Q196" s="253"/>
      <c r="R196" s="253"/>
      <c r="S196" s="253"/>
      <c r="T196" s="253"/>
      <c r="U196" s="253"/>
      <c r="V196" s="247"/>
      <c r="W196" s="247"/>
      <c r="X196" s="247"/>
      <c r="Y196" s="247"/>
      <c r="Z196" s="247"/>
    </row>
    <row r="197">
      <c r="A197" s="247"/>
      <c r="B197" s="247"/>
      <c r="C197" s="247"/>
      <c r="D197" s="247"/>
      <c r="E197" s="247"/>
      <c r="F197" s="247"/>
      <c r="G197" s="247"/>
      <c r="H197" s="247"/>
      <c r="I197" s="247"/>
      <c r="J197" s="247"/>
      <c r="K197" s="247"/>
      <c r="L197" s="247"/>
      <c r="M197" s="253"/>
      <c r="N197" s="253"/>
      <c r="O197" s="253"/>
      <c r="P197" s="253"/>
      <c r="Q197" s="253"/>
      <c r="R197" s="253"/>
      <c r="S197" s="253"/>
      <c r="T197" s="253"/>
      <c r="U197" s="253"/>
      <c r="V197" s="247"/>
      <c r="W197" s="247"/>
      <c r="X197" s="247"/>
      <c r="Y197" s="247"/>
      <c r="Z197" s="247"/>
    </row>
    <row r="198">
      <c r="A198" s="247"/>
      <c r="B198" s="247"/>
      <c r="C198" s="247"/>
      <c r="D198" s="247"/>
      <c r="E198" s="247"/>
      <c r="F198" s="247"/>
      <c r="G198" s="247"/>
      <c r="H198" s="247"/>
      <c r="I198" s="247"/>
      <c r="J198" s="247"/>
      <c r="K198" s="247"/>
      <c r="L198" s="247"/>
      <c r="M198" s="253"/>
      <c r="N198" s="253"/>
      <c r="O198" s="253"/>
      <c r="P198" s="253"/>
      <c r="Q198" s="253"/>
      <c r="R198" s="253"/>
      <c r="S198" s="253"/>
      <c r="T198" s="253"/>
      <c r="U198" s="253"/>
      <c r="V198" s="247"/>
      <c r="W198" s="247"/>
      <c r="X198" s="247"/>
      <c r="Y198" s="247"/>
      <c r="Z198" s="247"/>
    </row>
    <row r="199">
      <c r="A199" s="247"/>
      <c r="B199" s="247"/>
      <c r="C199" s="247"/>
      <c r="D199" s="247"/>
      <c r="E199" s="247"/>
      <c r="F199" s="247"/>
      <c r="G199" s="247"/>
      <c r="H199" s="247"/>
      <c r="I199" s="247"/>
      <c r="J199" s="247"/>
      <c r="K199" s="247"/>
      <c r="L199" s="247"/>
      <c r="M199" s="253"/>
      <c r="N199" s="253"/>
      <c r="O199" s="253"/>
      <c r="P199" s="253"/>
      <c r="Q199" s="253"/>
      <c r="R199" s="253"/>
      <c r="S199" s="253"/>
      <c r="T199" s="253"/>
      <c r="U199" s="253"/>
      <c r="V199" s="247"/>
      <c r="W199" s="247"/>
      <c r="X199" s="247"/>
      <c r="Y199" s="247"/>
      <c r="Z199" s="247"/>
    </row>
    <row r="200">
      <c r="A200" s="247"/>
      <c r="B200" s="247"/>
      <c r="C200" s="247"/>
      <c r="D200" s="247"/>
      <c r="E200" s="247"/>
      <c r="F200" s="247"/>
      <c r="G200" s="247"/>
      <c r="H200" s="247"/>
      <c r="I200" s="247"/>
      <c r="J200" s="247"/>
      <c r="K200" s="247"/>
      <c r="L200" s="247"/>
      <c r="M200" s="253"/>
      <c r="N200" s="253"/>
      <c r="O200" s="253"/>
      <c r="P200" s="253"/>
      <c r="Q200" s="253"/>
      <c r="R200" s="253"/>
      <c r="S200" s="253"/>
      <c r="T200" s="253"/>
      <c r="U200" s="253"/>
      <c r="V200" s="247"/>
      <c r="W200" s="247"/>
      <c r="X200" s="247"/>
      <c r="Y200" s="247"/>
      <c r="Z200" s="247"/>
    </row>
    <row r="201">
      <c r="A201" s="247"/>
      <c r="B201" s="247"/>
      <c r="C201" s="247"/>
      <c r="D201" s="247"/>
      <c r="E201" s="247"/>
      <c r="F201" s="247"/>
      <c r="G201" s="247"/>
      <c r="H201" s="247"/>
      <c r="I201" s="247"/>
      <c r="J201" s="247"/>
      <c r="K201" s="247"/>
      <c r="L201" s="247"/>
      <c r="M201" s="253"/>
      <c r="N201" s="253"/>
      <c r="O201" s="253"/>
      <c r="P201" s="253"/>
      <c r="Q201" s="253"/>
      <c r="R201" s="253"/>
      <c r="S201" s="253"/>
      <c r="T201" s="253"/>
      <c r="U201" s="253"/>
      <c r="V201" s="247"/>
      <c r="W201" s="247"/>
      <c r="X201" s="247"/>
      <c r="Y201" s="247"/>
      <c r="Z201" s="247"/>
    </row>
    <row r="202">
      <c r="A202" s="247"/>
      <c r="B202" s="247"/>
      <c r="C202" s="247"/>
      <c r="D202" s="247"/>
      <c r="E202" s="247"/>
      <c r="F202" s="247"/>
      <c r="G202" s="247"/>
      <c r="H202" s="247"/>
      <c r="I202" s="247"/>
      <c r="J202" s="247"/>
      <c r="K202" s="247"/>
      <c r="L202" s="247"/>
      <c r="M202" s="253"/>
      <c r="N202" s="253"/>
      <c r="O202" s="253"/>
      <c r="P202" s="253"/>
      <c r="Q202" s="253"/>
      <c r="R202" s="253"/>
      <c r="S202" s="253"/>
      <c r="T202" s="253"/>
      <c r="U202" s="253"/>
      <c r="V202" s="247"/>
      <c r="W202" s="247"/>
      <c r="X202" s="247"/>
      <c r="Y202" s="247"/>
      <c r="Z202" s="247"/>
    </row>
    <row r="203">
      <c r="A203" s="247"/>
      <c r="B203" s="247"/>
      <c r="C203" s="247"/>
      <c r="D203" s="247"/>
      <c r="E203" s="247"/>
      <c r="F203" s="247"/>
      <c r="G203" s="247"/>
      <c r="H203" s="247"/>
      <c r="I203" s="247"/>
      <c r="J203" s="247"/>
      <c r="K203" s="247"/>
      <c r="L203" s="247"/>
      <c r="M203" s="253"/>
      <c r="N203" s="253"/>
      <c r="O203" s="253"/>
      <c r="P203" s="253"/>
      <c r="Q203" s="253"/>
      <c r="R203" s="253"/>
      <c r="S203" s="253"/>
      <c r="T203" s="253"/>
      <c r="U203" s="253"/>
      <c r="V203" s="247"/>
      <c r="W203" s="247"/>
      <c r="X203" s="247"/>
      <c r="Y203" s="247"/>
      <c r="Z203" s="247"/>
    </row>
    <row r="204">
      <c r="A204" s="247"/>
      <c r="B204" s="247"/>
      <c r="C204" s="247"/>
      <c r="D204" s="247"/>
      <c r="E204" s="247"/>
      <c r="F204" s="247"/>
      <c r="G204" s="247"/>
      <c r="H204" s="247"/>
      <c r="I204" s="247"/>
      <c r="J204" s="247"/>
      <c r="K204" s="247"/>
      <c r="L204" s="247"/>
      <c r="M204" s="253"/>
      <c r="N204" s="253"/>
      <c r="O204" s="253"/>
      <c r="P204" s="253"/>
      <c r="Q204" s="253"/>
      <c r="R204" s="253"/>
      <c r="S204" s="253"/>
      <c r="T204" s="253"/>
      <c r="U204" s="253"/>
      <c r="V204" s="247"/>
      <c r="W204" s="247"/>
      <c r="X204" s="247"/>
      <c r="Y204" s="247"/>
      <c r="Z204" s="247"/>
    </row>
    <row r="205">
      <c r="A205" s="247"/>
      <c r="B205" s="247"/>
      <c r="C205" s="247"/>
      <c r="D205" s="247"/>
      <c r="E205" s="247"/>
      <c r="F205" s="247"/>
      <c r="G205" s="247"/>
      <c r="H205" s="247"/>
      <c r="I205" s="247"/>
      <c r="J205" s="247"/>
      <c r="K205" s="247"/>
      <c r="L205" s="247"/>
      <c r="M205" s="253"/>
      <c r="N205" s="253"/>
      <c r="O205" s="253"/>
      <c r="P205" s="253"/>
      <c r="Q205" s="253"/>
      <c r="R205" s="253"/>
      <c r="S205" s="253"/>
      <c r="T205" s="253"/>
      <c r="U205" s="253"/>
      <c r="V205" s="247"/>
      <c r="W205" s="247"/>
      <c r="X205" s="247"/>
      <c r="Y205" s="247"/>
      <c r="Z205" s="247"/>
    </row>
    <row r="206">
      <c r="A206" s="247"/>
      <c r="B206" s="247"/>
      <c r="C206" s="247"/>
      <c r="D206" s="247"/>
      <c r="E206" s="247"/>
      <c r="F206" s="247"/>
      <c r="G206" s="247"/>
      <c r="H206" s="247"/>
      <c r="I206" s="247"/>
      <c r="J206" s="247"/>
      <c r="K206" s="247"/>
      <c r="L206" s="247"/>
      <c r="M206" s="253"/>
      <c r="N206" s="253"/>
      <c r="O206" s="253"/>
      <c r="P206" s="253"/>
      <c r="Q206" s="253"/>
      <c r="R206" s="253"/>
      <c r="S206" s="253"/>
      <c r="T206" s="253"/>
      <c r="U206" s="253"/>
      <c r="V206" s="247"/>
      <c r="W206" s="247"/>
      <c r="X206" s="247"/>
      <c r="Y206" s="247"/>
      <c r="Z206" s="247"/>
    </row>
    <row r="207">
      <c r="A207" s="247"/>
      <c r="B207" s="247"/>
      <c r="C207" s="247"/>
      <c r="D207" s="247"/>
      <c r="E207" s="247"/>
      <c r="F207" s="247"/>
      <c r="G207" s="247"/>
      <c r="H207" s="247"/>
      <c r="I207" s="247"/>
      <c r="J207" s="247"/>
      <c r="K207" s="247"/>
      <c r="L207" s="247"/>
      <c r="M207" s="253"/>
      <c r="N207" s="253"/>
      <c r="O207" s="253"/>
      <c r="P207" s="253"/>
      <c r="Q207" s="253"/>
      <c r="R207" s="253"/>
      <c r="S207" s="253"/>
      <c r="T207" s="253"/>
      <c r="U207" s="253"/>
      <c r="V207" s="247"/>
      <c r="W207" s="247"/>
      <c r="X207" s="247"/>
      <c r="Y207" s="247"/>
      <c r="Z207" s="247"/>
    </row>
    <row r="208">
      <c r="A208" s="247"/>
      <c r="B208" s="247"/>
      <c r="C208" s="247"/>
      <c r="D208" s="247"/>
      <c r="E208" s="247"/>
      <c r="F208" s="247"/>
      <c r="G208" s="247"/>
      <c r="H208" s="247"/>
      <c r="I208" s="247"/>
      <c r="J208" s="247"/>
      <c r="K208" s="247"/>
      <c r="L208" s="247"/>
      <c r="M208" s="253"/>
      <c r="N208" s="253"/>
      <c r="O208" s="253"/>
      <c r="P208" s="253"/>
      <c r="Q208" s="253"/>
      <c r="R208" s="253"/>
      <c r="S208" s="253"/>
      <c r="T208" s="253"/>
      <c r="U208" s="253"/>
      <c r="V208" s="247"/>
      <c r="W208" s="247"/>
      <c r="X208" s="247"/>
      <c r="Y208" s="247"/>
      <c r="Z208" s="247"/>
    </row>
    <row r="209">
      <c r="A209" s="247"/>
      <c r="B209" s="247"/>
      <c r="C209" s="247"/>
      <c r="D209" s="247"/>
      <c r="E209" s="247"/>
      <c r="F209" s="247"/>
      <c r="G209" s="247"/>
      <c r="H209" s="247"/>
      <c r="I209" s="247"/>
      <c r="J209" s="247"/>
      <c r="K209" s="247"/>
      <c r="L209" s="247"/>
      <c r="M209" s="253"/>
      <c r="N209" s="253"/>
      <c r="O209" s="253"/>
      <c r="P209" s="253"/>
      <c r="Q209" s="253"/>
      <c r="R209" s="253"/>
      <c r="S209" s="253"/>
      <c r="T209" s="253"/>
      <c r="U209" s="253"/>
      <c r="V209" s="247"/>
      <c r="W209" s="247"/>
      <c r="X209" s="247"/>
      <c r="Y209" s="247"/>
      <c r="Z209" s="247"/>
    </row>
    <row r="210">
      <c r="A210" s="247"/>
      <c r="B210" s="247"/>
      <c r="C210" s="247"/>
      <c r="D210" s="247"/>
      <c r="E210" s="247"/>
      <c r="F210" s="247"/>
      <c r="G210" s="247"/>
      <c r="H210" s="247"/>
      <c r="I210" s="247"/>
      <c r="J210" s="247"/>
      <c r="K210" s="247"/>
      <c r="L210" s="247"/>
      <c r="M210" s="253"/>
      <c r="N210" s="253"/>
      <c r="O210" s="253"/>
      <c r="P210" s="253"/>
      <c r="Q210" s="253"/>
      <c r="R210" s="253"/>
      <c r="S210" s="253"/>
      <c r="T210" s="253"/>
      <c r="U210" s="253"/>
      <c r="V210" s="247"/>
      <c r="W210" s="247"/>
      <c r="X210" s="247"/>
      <c r="Y210" s="247"/>
      <c r="Z210" s="247"/>
    </row>
    <row r="211">
      <c r="A211" s="247"/>
      <c r="B211" s="247"/>
      <c r="C211" s="247"/>
      <c r="D211" s="247"/>
      <c r="E211" s="247"/>
      <c r="F211" s="247"/>
      <c r="G211" s="247"/>
      <c r="H211" s="247"/>
      <c r="I211" s="247"/>
      <c r="J211" s="247"/>
      <c r="K211" s="247"/>
      <c r="L211" s="247"/>
      <c r="M211" s="253"/>
      <c r="N211" s="253"/>
      <c r="O211" s="253"/>
      <c r="P211" s="253"/>
      <c r="Q211" s="253"/>
      <c r="R211" s="253"/>
      <c r="S211" s="253"/>
      <c r="T211" s="253"/>
      <c r="U211" s="253"/>
      <c r="V211" s="247"/>
      <c r="W211" s="247"/>
      <c r="X211" s="247"/>
      <c r="Y211" s="247"/>
      <c r="Z211" s="247"/>
    </row>
    <row r="212">
      <c r="A212" s="247"/>
      <c r="B212" s="247"/>
      <c r="C212" s="247"/>
      <c r="D212" s="247"/>
      <c r="E212" s="247"/>
      <c r="F212" s="247"/>
      <c r="G212" s="247"/>
      <c r="H212" s="247"/>
      <c r="I212" s="247"/>
      <c r="J212" s="247"/>
      <c r="K212" s="247"/>
      <c r="L212" s="247"/>
      <c r="M212" s="253"/>
      <c r="N212" s="253"/>
      <c r="O212" s="253"/>
      <c r="P212" s="253"/>
      <c r="Q212" s="253"/>
      <c r="R212" s="253"/>
      <c r="S212" s="253"/>
      <c r="T212" s="253"/>
      <c r="U212" s="253"/>
      <c r="V212" s="247"/>
      <c r="W212" s="247"/>
      <c r="X212" s="247"/>
      <c r="Y212" s="247"/>
      <c r="Z212" s="247"/>
    </row>
    <row r="213">
      <c r="A213" s="247"/>
      <c r="B213" s="247"/>
      <c r="C213" s="247"/>
      <c r="D213" s="247"/>
      <c r="E213" s="247"/>
      <c r="F213" s="247"/>
      <c r="G213" s="247"/>
      <c r="H213" s="247"/>
      <c r="I213" s="247"/>
      <c r="J213" s="247"/>
      <c r="K213" s="247"/>
      <c r="L213" s="247"/>
      <c r="M213" s="253"/>
      <c r="N213" s="253"/>
      <c r="O213" s="253"/>
      <c r="P213" s="253"/>
      <c r="Q213" s="253"/>
      <c r="R213" s="253"/>
      <c r="S213" s="253"/>
      <c r="T213" s="253"/>
      <c r="U213" s="253"/>
      <c r="V213" s="247"/>
      <c r="W213" s="247"/>
      <c r="X213" s="247"/>
      <c r="Y213" s="247"/>
      <c r="Z213" s="247"/>
    </row>
    <row r="214">
      <c r="A214" s="247"/>
      <c r="B214" s="247"/>
      <c r="C214" s="247"/>
      <c r="D214" s="247"/>
      <c r="E214" s="247"/>
      <c r="F214" s="247"/>
      <c r="G214" s="247"/>
      <c r="H214" s="247"/>
      <c r="I214" s="247"/>
      <c r="J214" s="247"/>
      <c r="K214" s="247"/>
      <c r="L214" s="247"/>
      <c r="M214" s="253"/>
      <c r="N214" s="253"/>
      <c r="O214" s="253"/>
      <c r="P214" s="253"/>
      <c r="Q214" s="253"/>
      <c r="R214" s="253"/>
      <c r="S214" s="253"/>
      <c r="T214" s="253"/>
      <c r="U214" s="253"/>
      <c r="V214" s="247"/>
      <c r="W214" s="247"/>
      <c r="X214" s="247"/>
      <c r="Y214" s="247"/>
      <c r="Z214" s="247"/>
    </row>
    <row r="215">
      <c r="A215" s="247"/>
      <c r="B215" s="247"/>
      <c r="C215" s="247"/>
      <c r="D215" s="247"/>
      <c r="E215" s="247"/>
      <c r="F215" s="247"/>
      <c r="G215" s="247"/>
      <c r="H215" s="247"/>
      <c r="I215" s="247"/>
      <c r="J215" s="247"/>
      <c r="K215" s="247"/>
      <c r="L215" s="247"/>
      <c r="M215" s="253"/>
      <c r="N215" s="253"/>
      <c r="O215" s="253"/>
      <c r="P215" s="253"/>
      <c r="Q215" s="253"/>
      <c r="R215" s="253"/>
      <c r="S215" s="253"/>
      <c r="T215" s="253"/>
      <c r="U215" s="253"/>
      <c r="V215" s="247"/>
      <c r="W215" s="247"/>
      <c r="X215" s="247"/>
      <c r="Y215" s="247"/>
      <c r="Z215" s="247"/>
    </row>
    <row r="216">
      <c r="A216" s="247"/>
      <c r="B216" s="247"/>
      <c r="C216" s="247"/>
      <c r="D216" s="247"/>
      <c r="E216" s="247"/>
      <c r="F216" s="247"/>
      <c r="G216" s="247"/>
      <c r="H216" s="247"/>
      <c r="I216" s="247"/>
      <c r="J216" s="247"/>
      <c r="K216" s="247"/>
      <c r="L216" s="247"/>
      <c r="M216" s="253"/>
      <c r="N216" s="253"/>
      <c r="O216" s="253"/>
      <c r="P216" s="253"/>
      <c r="Q216" s="253"/>
      <c r="R216" s="253"/>
      <c r="S216" s="253"/>
      <c r="T216" s="253"/>
      <c r="U216" s="253"/>
      <c r="V216" s="247"/>
      <c r="W216" s="247"/>
      <c r="X216" s="247"/>
      <c r="Y216" s="247"/>
      <c r="Z216" s="247"/>
    </row>
    <row r="217">
      <c r="A217" s="247"/>
      <c r="B217" s="247"/>
      <c r="C217" s="247"/>
      <c r="D217" s="247"/>
      <c r="E217" s="247"/>
      <c r="F217" s="247"/>
      <c r="G217" s="247"/>
      <c r="H217" s="247"/>
      <c r="I217" s="247"/>
      <c r="J217" s="247"/>
      <c r="K217" s="247"/>
      <c r="L217" s="247"/>
      <c r="M217" s="253"/>
      <c r="N217" s="253"/>
      <c r="O217" s="253"/>
      <c r="P217" s="253"/>
      <c r="Q217" s="253"/>
      <c r="R217" s="253"/>
      <c r="S217" s="253"/>
      <c r="T217" s="253"/>
      <c r="U217" s="253"/>
      <c r="V217" s="247"/>
      <c r="W217" s="247"/>
      <c r="X217" s="247"/>
      <c r="Y217" s="247"/>
      <c r="Z217" s="247"/>
    </row>
    <row r="218">
      <c r="A218" s="247"/>
      <c r="B218" s="247"/>
      <c r="C218" s="247"/>
      <c r="D218" s="247"/>
      <c r="E218" s="247"/>
      <c r="F218" s="247"/>
      <c r="G218" s="247"/>
      <c r="H218" s="247"/>
      <c r="I218" s="247"/>
      <c r="J218" s="247"/>
      <c r="K218" s="247"/>
      <c r="L218" s="247"/>
      <c r="M218" s="253"/>
      <c r="N218" s="253"/>
      <c r="O218" s="253"/>
      <c r="P218" s="253"/>
      <c r="Q218" s="253"/>
      <c r="R218" s="253"/>
      <c r="S218" s="253"/>
      <c r="T218" s="253"/>
      <c r="U218" s="253"/>
      <c r="V218" s="247"/>
      <c r="W218" s="247"/>
      <c r="X218" s="247"/>
      <c r="Y218" s="247"/>
      <c r="Z218" s="247"/>
    </row>
    <row r="219">
      <c r="A219" s="247"/>
      <c r="B219" s="247"/>
      <c r="C219" s="247"/>
      <c r="D219" s="247"/>
      <c r="E219" s="247"/>
      <c r="F219" s="247"/>
      <c r="G219" s="247"/>
      <c r="H219" s="247"/>
      <c r="I219" s="247"/>
      <c r="J219" s="247"/>
      <c r="K219" s="247"/>
      <c r="L219" s="247"/>
      <c r="M219" s="253"/>
      <c r="N219" s="253"/>
      <c r="O219" s="253"/>
      <c r="P219" s="253"/>
      <c r="Q219" s="253"/>
      <c r="R219" s="253"/>
      <c r="S219" s="253"/>
      <c r="T219" s="253"/>
      <c r="U219" s="253"/>
      <c r="V219" s="247"/>
      <c r="W219" s="247"/>
      <c r="X219" s="247"/>
      <c r="Y219" s="247"/>
      <c r="Z219" s="247"/>
    </row>
    <row r="220">
      <c r="A220" s="247"/>
      <c r="B220" s="247"/>
      <c r="C220" s="247"/>
      <c r="D220" s="247"/>
      <c r="E220" s="247"/>
      <c r="F220" s="247"/>
      <c r="G220" s="247"/>
      <c r="H220" s="247"/>
      <c r="I220" s="247"/>
      <c r="J220" s="247"/>
      <c r="K220" s="247"/>
      <c r="L220" s="247"/>
      <c r="M220" s="253"/>
      <c r="N220" s="253"/>
      <c r="O220" s="253"/>
      <c r="P220" s="253"/>
      <c r="Q220" s="253"/>
      <c r="R220" s="253"/>
      <c r="S220" s="253"/>
      <c r="T220" s="253"/>
      <c r="U220" s="253"/>
      <c r="V220" s="247"/>
      <c r="W220" s="247"/>
      <c r="X220" s="247"/>
      <c r="Y220" s="247"/>
      <c r="Z220" s="247"/>
    </row>
    <row r="221">
      <c r="A221" s="247"/>
      <c r="B221" s="247"/>
      <c r="C221" s="247"/>
      <c r="D221" s="247"/>
      <c r="E221" s="247"/>
      <c r="F221" s="247"/>
      <c r="G221" s="247"/>
      <c r="H221" s="247"/>
      <c r="I221" s="247"/>
      <c r="J221" s="247"/>
      <c r="K221" s="247"/>
      <c r="L221" s="247"/>
      <c r="M221" s="253"/>
      <c r="N221" s="253"/>
      <c r="O221" s="253"/>
      <c r="P221" s="253"/>
      <c r="Q221" s="253"/>
      <c r="R221" s="253"/>
      <c r="S221" s="253"/>
      <c r="T221" s="253"/>
      <c r="U221" s="253"/>
      <c r="V221" s="247"/>
      <c r="W221" s="247"/>
      <c r="X221" s="247"/>
      <c r="Y221" s="247"/>
      <c r="Z221" s="247"/>
    </row>
    <row r="222">
      <c r="A222" s="247"/>
      <c r="B222" s="247"/>
      <c r="C222" s="247"/>
      <c r="D222" s="247"/>
      <c r="E222" s="247"/>
      <c r="F222" s="247"/>
      <c r="G222" s="247"/>
      <c r="H222" s="247"/>
      <c r="I222" s="247"/>
      <c r="J222" s="247"/>
      <c r="K222" s="247"/>
      <c r="L222" s="247"/>
      <c r="M222" s="253"/>
      <c r="N222" s="253"/>
      <c r="O222" s="253"/>
      <c r="P222" s="253"/>
      <c r="Q222" s="253"/>
      <c r="R222" s="253"/>
      <c r="S222" s="253"/>
      <c r="T222" s="253"/>
      <c r="U222" s="253"/>
      <c r="V222" s="247"/>
      <c r="W222" s="247"/>
      <c r="X222" s="247"/>
      <c r="Y222" s="247"/>
      <c r="Z222" s="247"/>
    </row>
    <row r="223">
      <c r="A223" s="247"/>
      <c r="B223" s="247"/>
      <c r="C223" s="247"/>
      <c r="D223" s="247"/>
      <c r="E223" s="247"/>
      <c r="F223" s="247"/>
      <c r="G223" s="247"/>
      <c r="H223" s="247"/>
      <c r="I223" s="247"/>
      <c r="J223" s="247"/>
      <c r="K223" s="247"/>
      <c r="L223" s="247"/>
      <c r="M223" s="253"/>
      <c r="N223" s="253"/>
      <c r="O223" s="253"/>
      <c r="P223" s="253"/>
      <c r="Q223" s="253"/>
      <c r="R223" s="253"/>
      <c r="S223" s="253"/>
      <c r="T223" s="253"/>
      <c r="U223" s="253"/>
      <c r="V223" s="247"/>
      <c r="W223" s="247"/>
      <c r="X223" s="247"/>
      <c r="Y223" s="247"/>
      <c r="Z223" s="247"/>
    </row>
    <row r="224">
      <c r="A224" s="247"/>
      <c r="B224" s="247"/>
      <c r="C224" s="247"/>
      <c r="D224" s="247"/>
      <c r="E224" s="247"/>
      <c r="F224" s="247"/>
      <c r="G224" s="247"/>
      <c r="H224" s="247"/>
      <c r="I224" s="247"/>
      <c r="J224" s="247"/>
      <c r="K224" s="247"/>
      <c r="L224" s="247"/>
      <c r="M224" s="253"/>
      <c r="N224" s="253"/>
      <c r="O224" s="253"/>
      <c r="P224" s="253"/>
      <c r="Q224" s="253"/>
      <c r="R224" s="253"/>
      <c r="S224" s="253"/>
      <c r="T224" s="253"/>
      <c r="U224" s="253"/>
      <c r="V224" s="247"/>
      <c r="W224" s="247"/>
      <c r="X224" s="247"/>
      <c r="Y224" s="247"/>
      <c r="Z224" s="247"/>
    </row>
    <row r="225">
      <c r="A225" s="247"/>
      <c r="B225" s="247"/>
      <c r="C225" s="247"/>
      <c r="D225" s="247"/>
      <c r="E225" s="247"/>
      <c r="F225" s="247"/>
      <c r="G225" s="247"/>
      <c r="H225" s="247"/>
      <c r="I225" s="247"/>
      <c r="J225" s="247"/>
      <c r="K225" s="247"/>
      <c r="L225" s="247"/>
      <c r="M225" s="253"/>
      <c r="N225" s="253"/>
      <c r="O225" s="253"/>
      <c r="P225" s="253"/>
      <c r="Q225" s="253"/>
      <c r="R225" s="253"/>
      <c r="S225" s="253"/>
      <c r="T225" s="253"/>
      <c r="U225" s="253"/>
      <c r="V225" s="247"/>
      <c r="W225" s="247"/>
      <c r="X225" s="247"/>
      <c r="Y225" s="247"/>
      <c r="Z225" s="247"/>
    </row>
    <row r="226">
      <c r="A226" s="247"/>
      <c r="B226" s="247"/>
      <c r="C226" s="247"/>
      <c r="D226" s="247"/>
      <c r="E226" s="247"/>
      <c r="F226" s="247"/>
      <c r="G226" s="247"/>
      <c r="H226" s="247"/>
      <c r="I226" s="247"/>
      <c r="J226" s="247"/>
      <c r="K226" s="247"/>
      <c r="L226" s="247"/>
      <c r="M226" s="253"/>
      <c r="N226" s="253"/>
      <c r="O226" s="253"/>
      <c r="P226" s="253"/>
      <c r="Q226" s="253"/>
      <c r="R226" s="253"/>
      <c r="S226" s="253"/>
      <c r="T226" s="253"/>
      <c r="U226" s="253"/>
      <c r="V226" s="247"/>
      <c r="W226" s="247"/>
      <c r="X226" s="247"/>
      <c r="Y226" s="247"/>
      <c r="Z226" s="247"/>
    </row>
    <row r="227">
      <c r="A227" s="247"/>
      <c r="B227" s="247"/>
      <c r="C227" s="247"/>
      <c r="D227" s="247"/>
      <c r="E227" s="247"/>
      <c r="F227" s="247"/>
      <c r="G227" s="247"/>
      <c r="H227" s="247"/>
      <c r="I227" s="247"/>
      <c r="J227" s="247"/>
      <c r="K227" s="247"/>
      <c r="L227" s="247"/>
      <c r="M227" s="253"/>
      <c r="N227" s="253"/>
      <c r="O227" s="253"/>
      <c r="P227" s="253"/>
      <c r="Q227" s="253"/>
      <c r="R227" s="253"/>
      <c r="S227" s="253"/>
      <c r="T227" s="253"/>
      <c r="U227" s="253"/>
      <c r="V227" s="247"/>
      <c r="W227" s="247"/>
      <c r="X227" s="247"/>
      <c r="Y227" s="247"/>
      <c r="Z227" s="247"/>
    </row>
    <row r="228">
      <c r="A228" s="247"/>
      <c r="B228" s="247"/>
      <c r="C228" s="247"/>
      <c r="D228" s="247"/>
      <c r="E228" s="247"/>
      <c r="F228" s="247"/>
      <c r="G228" s="247"/>
      <c r="H228" s="247"/>
      <c r="I228" s="247"/>
      <c r="J228" s="247"/>
      <c r="K228" s="247"/>
      <c r="L228" s="247"/>
      <c r="M228" s="253"/>
      <c r="N228" s="253"/>
      <c r="O228" s="253"/>
      <c r="P228" s="253"/>
      <c r="Q228" s="253"/>
      <c r="R228" s="253"/>
      <c r="S228" s="253"/>
      <c r="T228" s="253"/>
      <c r="U228" s="253"/>
      <c r="V228" s="247"/>
      <c r="W228" s="247"/>
      <c r="X228" s="247"/>
      <c r="Y228" s="247"/>
      <c r="Z228" s="247"/>
    </row>
    <row r="229">
      <c r="A229" s="247"/>
      <c r="B229" s="247"/>
      <c r="C229" s="247"/>
      <c r="D229" s="247"/>
      <c r="E229" s="247"/>
      <c r="F229" s="247"/>
      <c r="G229" s="247"/>
      <c r="H229" s="247"/>
      <c r="I229" s="247"/>
      <c r="J229" s="247"/>
      <c r="K229" s="247"/>
      <c r="L229" s="247"/>
      <c r="M229" s="253"/>
      <c r="N229" s="253"/>
      <c r="O229" s="253"/>
      <c r="P229" s="253"/>
      <c r="Q229" s="253"/>
      <c r="R229" s="253"/>
      <c r="S229" s="253"/>
      <c r="T229" s="253"/>
      <c r="U229" s="253"/>
      <c r="V229" s="247"/>
      <c r="W229" s="247"/>
      <c r="X229" s="247"/>
      <c r="Y229" s="247"/>
      <c r="Z229" s="247"/>
    </row>
    <row r="230">
      <c r="A230" s="247"/>
      <c r="B230" s="247"/>
      <c r="C230" s="247"/>
      <c r="D230" s="247"/>
      <c r="E230" s="247"/>
      <c r="F230" s="247"/>
      <c r="G230" s="247"/>
      <c r="H230" s="247"/>
      <c r="I230" s="247"/>
      <c r="J230" s="247"/>
      <c r="K230" s="247"/>
      <c r="L230" s="247"/>
      <c r="M230" s="253"/>
      <c r="N230" s="253"/>
      <c r="O230" s="253"/>
      <c r="P230" s="253"/>
      <c r="Q230" s="253"/>
      <c r="R230" s="253"/>
      <c r="S230" s="253"/>
      <c r="T230" s="253"/>
      <c r="U230" s="253"/>
      <c r="V230" s="247"/>
      <c r="W230" s="247"/>
      <c r="X230" s="247"/>
      <c r="Y230" s="247"/>
      <c r="Z230" s="247"/>
    </row>
    <row r="231">
      <c r="A231" s="247"/>
      <c r="B231" s="247"/>
      <c r="C231" s="247"/>
      <c r="D231" s="247"/>
      <c r="E231" s="247"/>
      <c r="F231" s="247"/>
      <c r="G231" s="247"/>
      <c r="H231" s="247"/>
      <c r="I231" s="247"/>
      <c r="J231" s="247"/>
      <c r="K231" s="247"/>
      <c r="L231" s="247"/>
      <c r="M231" s="253"/>
      <c r="N231" s="253"/>
      <c r="O231" s="253"/>
      <c r="P231" s="253"/>
      <c r="Q231" s="253"/>
      <c r="R231" s="253"/>
      <c r="S231" s="253"/>
      <c r="T231" s="253"/>
      <c r="U231" s="253"/>
      <c r="V231" s="247"/>
      <c r="W231" s="247"/>
      <c r="X231" s="247"/>
      <c r="Y231" s="247"/>
      <c r="Z231" s="247"/>
    </row>
    <row r="232">
      <c r="A232" s="247"/>
      <c r="B232" s="247"/>
      <c r="C232" s="247"/>
      <c r="D232" s="247"/>
      <c r="E232" s="247"/>
      <c r="F232" s="247"/>
      <c r="G232" s="247"/>
      <c r="H232" s="247"/>
      <c r="I232" s="247"/>
      <c r="J232" s="247"/>
      <c r="K232" s="247"/>
      <c r="L232" s="247"/>
      <c r="M232" s="253"/>
      <c r="N232" s="253"/>
      <c r="O232" s="253"/>
      <c r="P232" s="253"/>
      <c r="Q232" s="253"/>
      <c r="R232" s="253"/>
      <c r="S232" s="253"/>
      <c r="T232" s="253"/>
      <c r="U232" s="253"/>
      <c r="V232" s="247"/>
      <c r="W232" s="247"/>
      <c r="X232" s="247"/>
      <c r="Y232" s="247"/>
      <c r="Z232" s="247"/>
    </row>
    <row r="233">
      <c r="A233" s="247"/>
      <c r="B233" s="247"/>
      <c r="C233" s="247"/>
      <c r="D233" s="247"/>
      <c r="E233" s="247"/>
      <c r="F233" s="247"/>
      <c r="G233" s="247"/>
      <c r="H233" s="247"/>
      <c r="I233" s="247"/>
      <c r="J233" s="247"/>
      <c r="K233" s="247"/>
      <c r="L233" s="247"/>
      <c r="M233" s="253"/>
      <c r="N233" s="253"/>
      <c r="O233" s="253"/>
      <c r="P233" s="253"/>
      <c r="Q233" s="253"/>
      <c r="R233" s="253"/>
      <c r="S233" s="253"/>
      <c r="T233" s="253"/>
      <c r="U233" s="253"/>
      <c r="V233" s="247"/>
      <c r="W233" s="247"/>
      <c r="X233" s="247"/>
      <c r="Y233" s="247"/>
      <c r="Z233" s="247"/>
    </row>
    <row r="234">
      <c r="A234" s="247"/>
      <c r="B234" s="247"/>
      <c r="C234" s="247"/>
      <c r="D234" s="247"/>
      <c r="E234" s="247"/>
      <c r="F234" s="247"/>
      <c r="G234" s="247"/>
      <c r="H234" s="247"/>
      <c r="I234" s="247"/>
      <c r="J234" s="247"/>
      <c r="K234" s="247"/>
      <c r="L234" s="247"/>
      <c r="M234" s="253"/>
      <c r="N234" s="253"/>
      <c r="O234" s="253"/>
      <c r="P234" s="253"/>
      <c r="Q234" s="253"/>
      <c r="R234" s="253"/>
      <c r="S234" s="253"/>
      <c r="T234" s="253"/>
      <c r="U234" s="253"/>
      <c r="V234" s="247"/>
      <c r="W234" s="247"/>
      <c r="X234" s="247"/>
      <c r="Y234" s="247"/>
      <c r="Z234" s="247"/>
    </row>
    <row r="235">
      <c r="A235" s="247"/>
      <c r="B235" s="247"/>
      <c r="C235" s="247"/>
      <c r="D235" s="247"/>
      <c r="E235" s="247"/>
      <c r="F235" s="247"/>
      <c r="G235" s="247"/>
      <c r="H235" s="247"/>
      <c r="I235" s="247"/>
      <c r="J235" s="247"/>
      <c r="K235" s="247"/>
      <c r="L235" s="247"/>
      <c r="M235" s="253"/>
      <c r="N235" s="253"/>
      <c r="O235" s="253"/>
      <c r="P235" s="253"/>
      <c r="Q235" s="253"/>
      <c r="R235" s="253"/>
      <c r="S235" s="253"/>
      <c r="T235" s="253"/>
      <c r="U235" s="253"/>
      <c r="V235" s="247"/>
      <c r="W235" s="247"/>
      <c r="X235" s="247"/>
      <c r="Y235" s="247"/>
      <c r="Z235" s="247"/>
    </row>
    <row r="236">
      <c r="A236" s="247"/>
      <c r="B236" s="247"/>
      <c r="C236" s="247"/>
      <c r="D236" s="247"/>
      <c r="E236" s="247"/>
      <c r="F236" s="247"/>
      <c r="G236" s="247"/>
      <c r="H236" s="247"/>
      <c r="I236" s="247"/>
      <c r="J236" s="247"/>
      <c r="K236" s="247"/>
      <c r="L236" s="247"/>
      <c r="M236" s="253"/>
      <c r="N236" s="253"/>
      <c r="O236" s="253"/>
      <c r="P236" s="253"/>
      <c r="Q236" s="253"/>
      <c r="R236" s="253"/>
      <c r="S236" s="253"/>
      <c r="T236" s="253"/>
      <c r="U236" s="253"/>
      <c r="V236" s="247"/>
      <c r="W236" s="247"/>
      <c r="X236" s="247"/>
      <c r="Y236" s="247"/>
      <c r="Z236" s="247"/>
    </row>
    <row r="237">
      <c r="A237" s="247"/>
      <c r="B237" s="247"/>
      <c r="C237" s="247"/>
      <c r="D237" s="247"/>
      <c r="E237" s="247"/>
      <c r="F237" s="247"/>
      <c r="G237" s="247"/>
      <c r="H237" s="247"/>
      <c r="I237" s="247"/>
      <c r="J237" s="247"/>
      <c r="K237" s="247"/>
      <c r="L237" s="247"/>
      <c r="M237" s="253"/>
      <c r="N237" s="253"/>
      <c r="O237" s="253"/>
      <c r="P237" s="253"/>
      <c r="Q237" s="253"/>
      <c r="R237" s="253"/>
      <c r="S237" s="253"/>
      <c r="T237" s="253"/>
      <c r="U237" s="253"/>
      <c r="V237" s="247"/>
      <c r="W237" s="247"/>
      <c r="X237" s="247"/>
      <c r="Y237" s="247"/>
      <c r="Z237" s="247"/>
    </row>
    <row r="238">
      <c r="A238" s="247"/>
      <c r="B238" s="247"/>
      <c r="C238" s="247"/>
      <c r="D238" s="247"/>
      <c r="E238" s="247"/>
      <c r="F238" s="247"/>
      <c r="G238" s="247"/>
      <c r="H238" s="247"/>
      <c r="I238" s="247"/>
      <c r="J238" s="247"/>
      <c r="K238" s="247"/>
      <c r="L238" s="247"/>
      <c r="M238" s="253"/>
      <c r="N238" s="253"/>
      <c r="O238" s="253"/>
      <c r="P238" s="253"/>
      <c r="Q238" s="253"/>
      <c r="R238" s="253"/>
      <c r="S238" s="253"/>
      <c r="T238" s="253"/>
      <c r="U238" s="253"/>
      <c r="V238" s="247"/>
      <c r="W238" s="247"/>
      <c r="X238" s="247"/>
      <c r="Y238" s="247"/>
      <c r="Z238" s="247"/>
    </row>
    <row r="239">
      <c r="A239" s="247"/>
      <c r="B239" s="247"/>
      <c r="C239" s="247"/>
      <c r="D239" s="247"/>
      <c r="E239" s="247"/>
      <c r="F239" s="247"/>
      <c r="G239" s="247"/>
      <c r="H239" s="247"/>
      <c r="I239" s="247"/>
      <c r="J239" s="247"/>
      <c r="K239" s="247"/>
      <c r="L239" s="247"/>
      <c r="M239" s="253"/>
      <c r="N239" s="253"/>
      <c r="O239" s="253"/>
      <c r="P239" s="253"/>
      <c r="Q239" s="253"/>
      <c r="R239" s="253"/>
      <c r="S239" s="253"/>
      <c r="T239" s="253"/>
      <c r="U239" s="253"/>
      <c r="V239" s="247"/>
      <c r="W239" s="247"/>
      <c r="X239" s="247"/>
      <c r="Y239" s="247"/>
      <c r="Z239" s="247"/>
    </row>
    <row r="240">
      <c r="A240" s="247"/>
      <c r="B240" s="247"/>
      <c r="C240" s="247"/>
      <c r="D240" s="247"/>
      <c r="E240" s="247"/>
      <c r="F240" s="247"/>
      <c r="G240" s="247"/>
      <c r="H240" s="247"/>
      <c r="I240" s="247"/>
      <c r="J240" s="247"/>
      <c r="K240" s="247"/>
      <c r="L240" s="247"/>
      <c r="M240" s="253"/>
      <c r="N240" s="253"/>
      <c r="O240" s="253"/>
      <c r="P240" s="253"/>
      <c r="Q240" s="253"/>
      <c r="R240" s="253"/>
      <c r="S240" s="253"/>
      <c r="T240" s="253"/>
      <c r="U240" s="253"/>
      <c r="V240" s="247"/>
      <c r="W240" s="247"/>
      <c r="X240" s="247"/>
      <c r="Y240" s="247"/>
      <c r="Z240" s="247"/>
    </row>
    <row r="241">
      <c r="A241" s="247"/>
      <c r="B241" s="247"/>
      <c r="C241" s="247"/>
      <c r="D241" s="247"/>
      <c r="E241" s="247"/>
      <c r="F241" s="247"/>
      <c r="G241" s="247"/>
      <c r="H241" s="247"/>
      <c r="I241" s="247"/>
      <c r="J241" s="247"/>
      <c r="K241" s="247"/>
      <c r="L241" s="247"/>
      <c r="M241" s="253"/>
      <c r="N241" s="253"/>
      <c r="O241" s="253"/>
      <c r="P241" s="253"/>
      <c r="Q241" s="253"/>
      <c r="R241" s="253"/>
      <c r="S241" s="253"/>
      <c r="T241" s="253"/>
      <c r="U241" s="253"/>
      <c r="V241" s="247"/>
      <c r="W241" s="247"/>
      <c r="X241" s="247"/>
      <c r="Y241" s="247"/>
      <c r="Z241" s="247"/>
    </row>
    <row r="242">
      <c r="A242" s="247"/>
      <c r="B242" s="247"/>
      <c r="C242" s="247"/>
      <c r="D242" s="247"/>
      <c r="E242" s="247"/>
      <c r="F242" s="247"/>
      <c r="G242" s="247"/>
      <c r="H242" s="247"/>
      <c r="I242" s="247"/>
      <c r="J242" s="247"/>
      <c r="K242" s="247"/>
      <c r="L242" s="247"/>
      <c r="M242" s="253"/>
      <c r="N242" s="253"/>
      <c r="O242" s="253"/>
      <c r="P242" s="253"/>
      <c r="Q242" s="253"/>
      <c r="R242" s="253"/>
      <c r="S242" s="253"/>
      <c r="T242" s="253"/>
      <c r="U242" s="253"/>
      <c r="V242" s="247"/>
      <c r="W242" s="247"/>
      <c r="X242" s="247"/>
      <c r="Y242" s="247"/>
      <c r="Z242" s="247"/>
    </row>
    <row r="243">
      <c r="A243" s="247"/>
      <c r="B243" s="247"/>
      <c r="C243" s="247"/>
      <c r="D243" s="247"/>
      <c r="E243" s="247"/>
      <c r="F243" s="247"/>
      <c r="G243" s="247"/>
      <c r="H243" s="247"/>
      <c r="I243" s="247"/>
      <c r="J243" s="247"/>
      <c r="K243" s="247"/>
      <c r="L243" s="247"/>
      <c r="M243" s="253"/>
      <c r="N243" s="253"/>
      <c r="O243" s="253"/>
      <c r="P243" s="253"/>
      <c r="Q243" s="253"/>
      <c r="R243" s="253"/>
      <c r="S243" s="253"/>
      <c r="T243" s="253"/>
      <c r="U243" s="253"/>
      <c r="V243" s="247"/>
      <c r="W243" s="247"/>
      <c r="X243" s="247"/>
      <c r="Y243" s="247"/>
      <c r="Z243" s="247"/>
    </row>
    <row r="244">
      <c r="A244" s="247"/>
      <c r="B244" s="247"/>
      <c r="C244" s="247"/>
      <c r="D244" s="247"/>
      <c r="E244" s="247"/>
      <c r="F244" s="247"/>
      <c r="G244" s="247"/>
      <c r="H244" s="247"/>
      <c r="I244" s="247"/>
      <c r="J244" s="247"/>
      <c r="K244" s="247"/>
      <c r="L244" s="247"/>
      <c r="M244" s="253"/>
      <c r="N244" s="253"/>
      <c r="O244" s="253"/>
      <c r="P244" s="253"/>
      <c r="Q244" s="253"/>
      <c r="R244" s="253"/>
      <c r="S244" s="253"/>
      <c r="T244" s="253"/>
      <c r="U244" s="253"/>
      <c r="V244" s="247"/>
      <c r="W244" s="247"/>
      <c r="X244" s="247"/>
      <c r="Y244" s="247"/>
      <c r="Z244" s="247"/>
    </row>
    <row r="245">
      <c r="A245" s="247"/>
      <c r="B245" s="247"/>
      <c r="C245" s="247"/>
      <c r="D245" s="247"/>
      <c r="E245" s="247"/>
      <c r="F245" s="247"/>
      <c r="G245" s="247"/>
      <c r="H245" s="247"/>
      <c r="I245" s="247"/>
      <c r="J245" s="247"/>
      <c r="K245" s="247"/>
      <c r="L245" s="247"/>
      <c r="M245" s="253"/>
      <c r="N245" s="253"/>
      <c r="O245" s="253"/>
      <c r="P245" s="253"/>
      <c r="Q245" s="253"/>
      <c r="R245" s="253"/>
      <c r="S245" s="253"/>
      <c r="T245" s="253"/>
      <c r="U245" s="253"/>
      <c r="V245" s="247"/>
      <c r="W245" s="247"/>
      <c r="X245" s="247"/>
      <c r="Y245" s="247"/>
      <c r="Z245" s="247"/>
    </row>
    <row r="246">
      <c r="A246" s="247"/>
      <c r="B246" s="247"/>
      <c r="C246" s="247"/>
      <c r="D246" s="247"/>
      <c r="E246" s="247"/>
      <c r="F246" s="247"/>
      <c r="G246" s="247"/>
      <c r="H246" s="247"/>
      <c r="I246" s="247"/>
      <c r="J246" s="247"/>
      <c r="K246" s="247"/>
      <c r="L246" s="247"/>
      <c r="M246" s="253"/>
      <c r="N246" s="253"/>
      <c r="O246" s="253"/>
      <c r="P246" s="253"/>
      <c r="Q246" s="253"/>
      <c r="R246" s="253"/>
      <c r="S246" s="253"/>
      <c r="T246" s="253"/>
      <c r="U246" s="253"/>
      <c r="V246" s="247"/>
      <c r="W246" s="247"/>
      <c r="X246" s="247"/>
      <c r="Y246" s="247"/>
      <c r="Z246" s="247"/>
    </row>
    <row r="247">
      <c r="A247" s="247"/>
      <c r="B247" s="247"/>
      <c r="C247" s="247"/>
      <c r="D247" s="247"/>
      <c r="E247" s="247"/>
      <c r="F247" s="247"/>
      <c r="G247" s="247"/>
      <c r="H247" s="247"/>
      <c r="I247" s="247"/>
      <c r="J247" s="247"/>
      <c r="K247" s="247"/>
      <c r="L247" s="247"/>
      <c r="M247" s="253"/>
      <c r="N247" s="253"/>
      <c r="O247" s="253"/>
      <c r="P247" s="253"/>
      <c r="Q247" s="253"/>
      <c r="R247" s="253"/>
      <c r="S247" s="253"/>
      <c r="T247" s="253"/>
      <c r="U247" s="253"/>
      <c r="V247" s="247"/>
      <c r="W247" s="247"/>
      <c r="X247" s="247"/>
      <c r="Y247" s="247"/>
      <c r="Z247" s="247"/>
    </row>
    <row r="248">
      <c r="A248" s="247"/>
      <c r="B248" s="247"/>
      <c r="C248" s="247"/>
      <c r="D248" s="247"/>
      <c r="E248" s="247"/>
      <c r="F248" s="247"/>
      <c r="G248" s="247"/>
      <c r="H248" s="247"/>
      <c r="I248" s="247"/>
      <c r="J248" s="247"/>
      <c r="K248" s="247"/>
      <c r="L248" s="247"/>
      <c r="M248" s="253"/>
      <c r="N248" s="253"/>
      <c r="O248" s="253"/>
      <c r="P248" s="253"/>
      <c r="Q248" s="253"/>
      <c r="R248" s="253"/>
      <c r="S248" s="253"/>
      <c r="T248" s="253"/>
      <c r="U248" s="253"/>
      <c r="V248" s="247"/>
      <c r="W248" s="247"/>
      <c r="X248" s="247"/>
      <c r="Y248" s="247"/>
      <c r="Z248" s="247"/>
    </row>
    <row r="249">
      <c r="A249" s="247"/>
      <c r="B249" s="247"/>
      <c r="C249" s="247"/>
      <c r="D249" s="247"/>
      <c r="E249" s="247"/>
      <c r="F249" s="247"/>
      <c r="G249" s="247"/>
      <c r="H249" s="247"/>
      <c r="I249" s="247"/>
      <c r="J249" s="247"/>
      <c r="K249" s="247"/>
      <c r="L249" s="247"/>
      <c r="M249" s="253"/>
      <c r="N249" s="253"/>
      <c r="O249" s="253"/>
      <c r="P249" s="253"/>
      <c r="Q249" s="253"/>
      <c r="R249" s="253"/>
      <c r="S249" s="253"/>
      <c r="T249" s="253"/>
      <c r="U249" s="253"/>
      <c r="V249" s="247"/>
      <c r="W249" s="247"/>
      <c r="X249" s="247"/>
      <c r="Y249" s="247"/>
      <c r="Z249" s="247"/>
    </row>
    <row r="250">
      <c r="A250" s="247"/>
      <c r="B250" s="247"/>
      <c r="C250" s="247"/>
      <c r="D250" s="247"/>
      <c r="E250" s="247"/>
      <c r="F250" s="247"/>
      <c r="G250" s="247"/>
      <c r="H250" s="247"/>
      <c r="I250" s="247"/>
      <c r="J250" s="247"/>
      <c r="K250" s="247"/>
      <c r="L250" s="247"/>
      <c r="M250" s="253"/>
      <c r="N250" s="253"/>
      <c r="O250" s="253"/>
      <c r="P250" s="253"/>
      <c r="Q250" s="253"/>
      <c r="R250" s="253"/>
      <c r="S250" s="253"/>
      <c r="T250" s="253"/>
      <c r="U250" s="253"/>
      <c r="V250" s="247"/>
      <c r="W250" s="247"/>
      <c r="X250" s="247"/>
      <c r="Y250" s="247"/>
      <c r="Z250" s="247"/>
    </row>
    <row r="251">
      <c r="A251" s="247"/>
      <c r="B251" s="247"/>
      <c r="C251" s="247"/>
      <c r="D251" s="247"/>
      <c r="E251" s="247"/>
      <c r="F251" s="247"/>
      <c r="G251" s="247"/>
      <c r="H251" s="247"/>
      <c r="I251" s="247"/>
      <c r="J251" s="247"/>
      <c r="K251" s="247"/>
      <c r="L251" s="247"/>
      <c r="M251" s="253"/>
      <c r="N251" s="253"/>
      <c r="O251" s="253"/>
      <c r="P251" s="253"/>
      <c r="Q251" s="253"/>
      <c r="R251" s="253"/>
      <c r="S251" s="253"/>
      <c r="T251" s="253"/>
      <c r="U251" s="253"/>
      <c r="V251" s="247"/>
      <c r="W251" s="247"/>
      <c r="X251" s="247"/>
      <c r="Y251" s="247"/>
      <c r="Z251" s="247"/>
    </row>
    <row r="252">
      <c r="A252" s="247"/>
      <c r="B252" s="247"/>
      <c r="C252" s="247"/>
      <c r="D252" s="247"/>
      <c r="E252" s="247"/>
      <c r="F252" s="247"/>
      <c r="G252" s="247"/>
      <c r="H252" s="247"/>
      <c r="I252" s="247"/>
      <c r="J252" s="247"/>
      <c r="K252" s="247"/>
      <c r="L252" s="247"/>
      <c r="M252" s="253"/>
      <c r="N252" s="253"/>
      <c r="O252" s="253"/>
      <c r="P252" s="253"/>
      <c r="Q252" s="253"/>
      <c r="R252" s="253"/>
      <c r="S252" s="253"/>
      <c r="T252" s="253"/>
      <c r="U252" s="253"/>
      <c r="V252" s="247"/>
      <c r="W252" s="247"/>
      <c r="X252" s="247"/>
      <c r="Y252" s="247"/>
      <c r="Z252" s="247"/>
    </row>
    <row r="253">
      <c r="A253" s="247"/>
      <c r="B253" s="247"/>
      <c r="C253" s="247"/>
      <c r="D253" s="247"/>
      <c r="E253" s="247"/>
      <c r="F253" s="247"/>
      <c r="G253" s="247"/>
      <c r="H253" s="247"/>
      <c r="I253" s="247"/>
      <c r="J253" s="247"/>
      <c r="K253" s="247"/>
      <c r="L253" s="247"/>
      <c r="M253" s="253"/>
      <c r="N253" s="253"/>
      <c r="O253" s="253"/>
      <c r="P253" s="253"/>
      <c r="Q253" s="253"/>
      <c r="R253" s="253"/>
      <c r="S253" s="253"/>
      <c r="T253" s="253"/>
      <c r="U253" s="253"/>
      <c r="V253" s="247"/>
      <c r="W253" s="247"/>
      <c r="X253" s="247"/>
      <c r="Y253" s="247"/>
      <c r="Z253" s="247"/>
    </row>
    <row r="254">
      <c r="A254" s="247"/>
      <c r="B254" s="247"/>
      <c r="C254" s="247"/>
      <c r="D254" s="247"/>
      <c r="E254" s="247"/>
      <c r="F254" s="247"/>
      <c r="G254" s="247"/>
      <c r="H254" s="247"/>
      <c r="I254" s="247"/>
      <c r="J254" s="247"/>
      <c r="K254" s="247"/>
      <c r="L254" s="247"/>
      <c r="M254" s="253"/>
      <c r="N254" s="253"/>
      <c r="O254" s="253"/>
      <c r="P254" s="253"/>
      <c r="Q254" s="253"/>
      <c r="R254" s="253"/>
      <c r="S254" s="253"/>
      <c r="T254" s="253"/>
      <c r="U254" s="253"/>
      <c r="V254" s="247"/>
      <c r="W254" s="247"/>
      <c r="X254" s="247"/>
      <c r="Y254" s="247"/>
      <c r="Z254" s="247"/>
    </row>
    <row r="255">
      <c r="A255" s="247"/>
      <c r="B255" s="247"/>
      <c r="C255" s="247"/>
      <c r="D255" s="247"/>
      <c r="E255" s="247"/>
      <c r="F255" s="247"/>
      <c r="G255" s="247"/>
      <c r="H255" s="247"/>
      <c r="I255" s="247"/>
      <c r="J255" s="247"/>
      <c r="K255" s="247"/>
      <c r="L255" s="247"/>
      <c r="M255" s="253"/>
      <c r="N255" s="253"/>
      <c r="O255" s="253"/>
      <c r="P255" s="253"/>
      <c r="Q255" s="253"/>
      <c r="R255" s="253"/>
      <c r="S255" s="253"/>
      <c r="T255" s="253"/>
      <c r="U255" s="253"/>
      <c r="V255" s="247"/>
      <c r="W255" s="247"/>
      <c r="X255" s="247"/>
      <c r="Y255" s="247"/>
      <c r="Z255" s="247"/>
    </row>
    <row r="256">
      <c r="A256" s="247"/>
      <c r="B256" s="247"/>
      <c r="C256" s="247"/>
      <c r="D256" s="247"/>
      <c r="E256" s="247"/>
      <c r="F256" s="247"/>
      <c r="G256" s="247"/>
      <c r="H256" s="247"/>
      <c r="I256" s="247"/>
      <c r="J256" s="247"/>
      <c r="K256" s="247"/>
      <c r="L256" s="247"/>
      <c r="M256" s="253"/>
      <c r="N256" s="253"/>
      <c r="O256" s="253"/>
      <c r="P256" s="253"/>
      <c r="Q256" s="253"/>
      <c r="R256" s="253"/>
      <c r="S256" s="253"/>
      <c r="T256" s="253"/>
      <c r="U256" s="253"/>
      <c r="V256" s="247"/>
      <c r="W256" s="247"/>
      <c r="X256" s="247"/>
      <c r="Y256" s="247"/>
      <c r="Z256" s="247"/>
    </row>
    <row r="257">
      <c r="A257" s="247"/>
      <c r="B257" s="247"/>
      <c r="C257" s="247"/>
      <c r="D257" s="247"/>
      <c r="E257" s="247"/>
      <c r="F257" s="247"/>
      <c r="G257" s="247"/>
      <c r="H257" s="247"/>
      <c r="I257" s="247"/>
      <c r="J257" s="247"/>
      <c r="K257" s="247"/>
      <c r="L257" s="247"/>
      <c r="M257" s="253"/>
      <c r="N257" s="253"/>
      <c r="O257" s="253"/>
      <c r="P257" s="253"/>
      <c r="Q257" s="253"/>
      <c r="R257" s="253"/>
      <c r="S257" s="253"/>
      <c r="T257" s="253"/>
      <c r="U257" s="253"/>
      <c r="V257" s="247"/>
      <c r="W257" s="247"/>
      <c r="X257" s="247"/>
      <c r="Y257" s="247"/>
      <c r="Z257" s="247"/>
    </row>
    <row r="258">
      <c r="A258" s="247"/>
      <c r="B258" s="247"/>
      <c r="C258" s="247"/>
      <c r="D258" s="247"/>
      <c r="E258" s="247"/>
      <c r="F258" s="247"/>
      <c r="G258" s="247"/>
      <c r="H258" s="247"/>
      <c r="I258" s="247"/>
      <c r="J258" s="247"/>
      <c r="K258" s="247"/>
      <c r="L258" s="247"/>
      <c r="M258" s="253"/>
      <c r="N258" s="253"/>
      <c r="O258" s="253"/>
      <c r="P258" s="253"/>
      <c r="Q258" s="253"/>
      <c r="R258" s="253"/>
      <c r="S258" s="253"/>
      <c r="T258" s="253"/>
      <c r="U258" s="253"/>
      <c r="V258" s="247"/>
      <c r="W258" s="247"/>
      <c r="X258" s="247"/>
      <c r="Y258" s="247"/>
      <c r="Z258" s="247"/>
    </row>
    <row r="259">
      <c r="A259" s="247"/>
      <c r="B259" s="247"/>
      <c r="C259" s="247"/>
      <c r="D259" s="247"/>
      <c r="E259" s="247"/>
      <c r="F259" s="247"/>
      <c r="G259" s="247"/>
      <c r="H259" s="247"/>
      <c r="I259" s="247"/>
      <c r="J259" s="247"/>
      <c r="K259" s="247"/>
      <c r="L259" s="247"/>
      <c r="M259" s="253"/>
      <c r="N259" s="253"/>
      <c r="O259" s="253"/>
      <c r="P259" s="253"/>
      <c r="Q259" s="253"/>
      <c r="R259" s="253"/>
      <c r="S259" s="253"/>
      <c r="T259" s="253"/>
      <c r="U259" s="253"/>
      <c r="V259" s="247"/>
      <c r="W259" s="247"/>
      <c r="X259" s="247"/>
      <c r="Y259" s="247"/>
      <c r="Z259" s="247"/>
    </row>
    <row r="260">
      <c r="A260" s="247"/>
      <c r="B260" s="247"/>
      <c r="C260" s="247"/>
      <c r="D260" s="247"/>
      <c r="E260" s="247"/>
      <c r="F260" s="247"/>
      <c r="G260" s="247"/>
      <c r="H260" s="247"/>
      <c r="I260" s="247"/>
      <c r="J260" s="247"/>
      <c r="K260" s="247"/>
      <c r="L260" s="247"/>
      <c r="M260" s="253"/>
      <c r="N260" s="253"/>
      <c r="O260" s="253"/>
      <c r="P260" s="253"/>
      <c r="Q260" s="253"/>
      <c r="R260" s="253"/>
      <c r="S260" s="253"/>
      <c r="T260" s="253"/>
      <c r="U260" s="253"/>
      <c r="V260" s="247"/>
      <c r="W260" s="247"/>
      <c r="X260" s="247"/>
      <c r="Y260" s="247"/>
      <c r="Z260" s="247"/>
    </row>
    <row r="261">
      <c r="A261" s="247"/>
      <c r="B261" s="247"/>
      <c r="C261" s="247"/>
      <c r="D261" s="247"/>
      <c r="E261" s="247"/>
      <c r="F261" s="247"/>
      <c r="G261" s="247"/>
      <c r="H261" s="247"/>
      <c r="I261" s="247"/>
      <c r="J261" s="247"/>
      <c r="K261" s="247"/>
      <c r="L261" s="247"/>
      <c r="M261" s="253"/>
      <c r="N261" s="253"/>
      <c r="O261" s="253"/>
      <c r="P261" s="253"/>
      <c r="Q261" s="253"/>
      <c r="R261" s="253"/>
      <c r="S261" s="253"/>
      <c r="T261" s="253"/>
      <c r="U261" s="253"/>
      <c r="V261" s="247"/>
      <c r="W261" s="247"/>
      <c r="X261" s="247"/>
      <c r="Y261" s="247"/>
      <c r="Z261" s="247"/>
    </row>
    <row r="262">
      <c r="A262" s="247"/>
      <c r="B262" s="247"/>
      <c r="C262" s="247"/>
      <c r="D262" s="247"/>
      <c r="E262" s="247"/>
      <c r="F262" s="247"/>
      <c r="G262" s="247"/>
      <c r="H262" s="247"/>
      <c r="I262" s="247"/>
      <c r="J262" s="247"/>
      <c r="K262" s="247"/>
      <c r="L262" s="247"/>
      <c r="M262" s="253"/>
      <c r="N262" s="253"/>
      <c r="O262" s="253"/>
      <c r="P262" s="253"/>
      <c r="Q262" s="253"/>
      <c r="R262" s="253"/>
      <c r="S262" s="253"/>
      <c r="T262" s="253"/>
      <c r="U262" s="253"/>
      <c r="V262" s="247"/>
      <c r="W262" s="247"/>
      <c r="X262" s="247"/>
      <c r="Y262" s="247"/>
      <c r="Z262" s="247"/>
    </row>
    <row r="263">
      <c r="A263" s="247"/>
      <c r="B263" s="247"/>
      <c r="C263" s="247"/>
      <c r="D263" s="247"/>
      <c r="E263" s="247"/>
      <c r="F263" s="247"/>
      <c r="G263" s="247"/>
      <c r="H263" s="247"/>
      <c r="I263" s="247"/>
      <c r="J263" s="247"/>
      <c r="K263" s="247"/>
      <c r="L263" s="247"/>
      <c r="M263" s="253"/>
      <c r="N263" s="253"/>
      <c r="O263" s="253"/>
      <c r="P263" s="253"/>
      <c r="Q263" s="253"/>
      <c r="R263" s="253"/>
      <c r="S263" s="253"/>
      <c r="T263" s="253"/>
      <c r="U263" s="253"/>
      <c r="V263" s="247"/>
      <c r="W263" s="247"/>
      <c r="X263" s="247"/>
      <c r="Y263" s="247"/>
      <c r="Z263" s="247"/>
    </row>
    <row r="264">
      <c r="A264" s="247"/>
      <c r="B264" s="247"/>
      <c r="C264" s="247"/>
      <c r="D264" s="247"/>
      <c r="E264" s="247"/>
      <c r="F264" s="247"/>
      <c r="G264" s="247"/>
      <c r="H264" s="247"/>
      <c r="I264" s="247"/>
      <c r="J264" s="247"/>
      <c r="K264" s="247"/>
      <c r="L264" s="247"/>
      <c r="M264" s="253"/>
      <c r="N264" s="253"/>
      <c r="O264" s="253"/>
      <c r="P264" s="253"/>
      <c r="Q264" s="253"/>
      <c r="R264" s="253"/>
      <c r="S264" s="253"/>
      <c r="T264" s="253"/>
      <c r="U264" s="253"/>
      <c r="V264" s="247"/>
      <c r="W264" s="247"/>
      <c r="X264" s="247"/>
      <c r="Y264" s="247"/>
      <c r="Z264" s="247"/>
    </row>
    <row r="265">
      <c r="A265" s="247"/>
      <c r="B265" s="247"/>
      <c r="C265" s="247"/>
      <c r="D265" s="247"/>
      <c r="E265" s="247"/>
      <c r="F265" s="247"/>
      <c r="G265" s="247"/>
      <c r="H265" s="247"/>
      <c r="I265" s="247"/>
      <c r="J265" s="247"/>
      <c r="K265" s="247"/>
      <c r="L265" s="247"/>
      <c r="M265" s="253"/>
      <c r="N265" s="253"/>
      <c r="O265" s="253"/>
      <c r="P265" s="253"/>
      <c r="Q265" s="253"/>
      <c r="R265" s="253"/>
      <c r="S265" s="253"/>
      <c r="T265" s="253"/>
      <c r="U265" s="253"/>
      <c r="V265" s="247"/>
      <c r="W265" s="247"/>
      <c r="X265" s="247"/>
      <c r="Y265" s="247"/>
      <c r="Z265" s="247"/>
    </row>
    <row r="266">
      <c r="A266" s="247"/>
      <c r="B266" s="247"/>
      <c r="C266" s="247"/>
      <c r="D266" s="247"/>
      <c r="E266" s="247"/>
      <c r="F266" s="247"/>
      <c r="G266" s="247"/>
      <c r="H266" s="247"/>
      <c r="I266" s="247"/>
      <c r="J266" s="247"/>
      <c r="K266" s="247"/>
      <c r="L266" s="247"/>
      <c r="M266" s="253"/>
      <c r="N266" s="253"/>
      <c r="O266" s="253"/>
      <c r="P266" s="253"/>
      <c r="Q266" s="253"/>
      <c r="R266" s="253"/>
      <c r="S266" s="253"/>
      <c r="T266" s="253"/>
      <c r="U266" s="253"/>
      <c r="V266" s="247"/>
      <c r="W266" s="247"/>
      <c r="X266" s="247"/>
      <c r="Y266" s="247"/>
      <c r="Z266" s="247"/>
    </row>
    <row r="267">
      <c r="A267" s="247"/>
      <c r="B267" s="247"/>
      <c r="C267" s="247"/>
      <c r="D267" s="247"/>
      <c r="E267" s="247"/>
      <c r="F267" s="247"/>
      <c r="G267" s="247"/>
      <c r="H267" s="247"/>
      <c r="I267" s="247"/>
      <c r="J267" s="247"/>
      <c r="K267" s="247"/>
      <c r="L267" s="247"/>
      <c r="M267" s="253"/>
      <c r="N267" s="253"/>
      <c r="O267" s="253"/>
      <c r="P267" s="253"/>
      <c r="Q267" s="253"/>
      <c r="R267" s="253"/>
      <c r="S267" s="253"/>
      <c r="T267" s="253"/>
      <c r="U267" s="253"/>
      <c r="V267" s="247"/>
      <c r="W267" s="247"/>
      <c r="X267" s="247"/>
      <c r="Y267" s="247"/>
      <c r="Z267" s="247"/>
    </row>
    <row r="268">
      <c r="A268" s="247"/>
      <c r="B268" s="247"/>
      <c r="C268" s="247"/>
      <c r="D268" s="247"/>
      <c r="E268" s="247"/>
      <c r="F268" s="247"/>
      <c r="G268" s="247"/>
      <c r="H268" s="247"/>
      <c r="I268" s="247"/>
      <c r="J268" s="247"/>
      <c r="K268" s="247"/>
      <c r="L268" s="247"/>
      <c r="M268" s="253"/>
      <c r="N268" s="253"/>
      <c r="O268" s="253"/>
      <c r="P268" s="253"/>
      <c r="Q268" s="253"/>
      <c r="R268" s="253"/>
      <c r="S268" s="253"/>
      <c r="T268" s="253"/>
      <c r="U268" s="253"/>
      <c r="V268" s="247"/>
      <c r="W268" s="247"/>
      <c r="X268" s="247"/>
      <c r="Y268" s="247"/>
      <c r="Z268" s="247"/>
    </row>
    <row r="269">
      <c r="A269" s="247"/>
      <c r="B269" s="247"/>
      <c r="C269" s="247"/>
      <c r="D269" s="247"/>
      <c r="E269" s="247"/>
      <c r="F269" s="247"/>
      <c r="G269" s="247"/>
      <c r="H269" s="247"/>
      <c r="I269" s="247"/>
      <c r="J269" s="247"/>
      <c r="K269" s="247"/>
      <c r="L269" s="247"/>
      <c r="M269" s="253"/>
      <c r="N269" s="253"/>
      <c r="O269" s="253"/>
      <c r="P269" s="253"/>
      <c r="Q269" s="253"/>
      <c r="R269" s="253"/>
      <c r="S269" s="253"/>
      <c r="T269" s="253"/>
      <c r="U269" s="253"/>
      <c r="V269" s="247"/>
      <c r="W269" s="247"/>
      <c r="X269" s="247"/>
      <c r="Y269" s="247"/>
      <c r="Z269" s="247"/>
    </row>
    <row r="270">
      <c r="A270" s="247"/>
      <c r="B270" s="247"/>
      <c r="C270" s="247"/>
      <c r="D270" s="247"/>
      <c r="E270" s="247"/>
      <c r="F270" s="247"/>
      <c r="G270" s="247"/>
      <c r="H270" s="247"/>
      <c r="I270" s="247"/>
      <c r="J270" s="247"/>
      <c r="K270" s="247"/>
      <c r="L270" s="247"/>
      <c r="M270" s="253"/>
      <c r="N270" s="253"/>
      <c r="O270" s="253"/>
      <c r="P270" s="253"/>
      <c r="Q270" s="253"/>
      <c r="R270" s="253"/>
      <c r="S270" s="253"/>
      <c r="T270" s="253"/>
      <c r="U270" s="253"/>
      <c r="V270" s="247"/>
      <c r="W270" s="247"/>
      <c r="X270" s="247"/>
      <c r="Y270" s="247"/>
      <c r="Z270" s="247"/>
    </row>
    <row r="271">
      <c r="A271" s="247"/>
      <c r="B271" s="247"/>
      <c r="C271" s="247"/>
      <c r="D271" s="247"/>
      <c r="E271" s="247"/>
      <c r="F271" s="247"/>
      <c r="G271" s="247"/>
      <c r="H271" s="247"/>
      <c r="I271" s="247"/>
      <c r="J271" s="247"/>
      <c r="K271" s="247"/>
      <c r="L271" s="247"/>
      <c r="M271" s="253"/>
      <c r="N271" s="253"/>
      <c r="O271" s="253"/>
      <c r="P271" s="253"/>
      <c r="Q271" s="253"/>
      <c r="R271" s="253"/>
      <c r="S271" s="253"/>
      <c r="T271" s="253"/>
      <c r="U271" s="253"/>
      <c r="V271" s="247"/>
      <c r="W271" s="247"/>
      <c r="X271" s="247"/>
      <c r="Y271" s="247"/>
      <c r="Z271" s="247"/>
    </row>
    <row r="272">
      <c r="A272" s="247"/>
      <c r="B272" s="247"/>
      <c r="C272" s="247"/>
      <c r="D272" s="247"/>
      <c r="E272" s="247"/>
      <c r="F272" s="247"/>
      <c r="G272" s="247"/>
      <c r="H272" s="247"/>
      <c r="I272" s="247"/>
      <c r="J272" s="247"/>
      <c r="K272" s="247"/>
      <c r="L272" s="247"/>
      <c r="M272" s="253"/>
      <c r="N272" s="253"/>
      <c r="O272" s="253"/>
      <c r="P272" s="253"/>
      <c r="Q272" s="253"/>
      <c r="R272" s="253"/>
      <c r="S272" s="253"/>
      <c r="T272" s="253"/>
      <c r="U272" s="253"/>
      <c r="V272" s="247"/>
      <c r="W272" s="247"/>
      <c r="X272" s="247"/>
      <c r="Y272" s="247"/>
      <c r="Z272" s="247"/>
    </row>
    <row r="273">
      <c r="A273" s="247"/>
      <c r="B273" s="247"/>
      <c r="C273" s="247"/>
      <c r="D273" s="247"/>
      <c r="E273" s="247"/>
      <c r="F273" s="247"/>
      <c r="G273" s="247"/>
      <c r="H273" s="247"/>
      <c r="I273" s="247"/>
      <c r="J273" s="247"/>
      <c r="K273" s="247"/>
      <c r="L273" s="247"/>
      <c r="M273" s="253"/>
      <c r="N273" s="253"/>
      <c r="O273" s="253"/>
      <c r="P273" s="253"/>
      <c r="Q273" s="253"/>
      <c r="R273" s="253"/>
      <c r="S273" s="253"/>
      <c r="T273" s="253"/>
      <c r="U273" s="253"/>
      <c r="V273" s="247"/>
      <c r="W273" s="247"/>
      <c r="X273" s="247"/>
      <c r="Y273" s="247"/>
      <c r="Z273" s="247"/>
    </row>
    <row r="274">
      <c r="A274" s="247"/>
      <c r="B274" s="247"/>
      <c r="C274" s="247"/>
      <c r="D274" s="247"/>
      <c r="E274" s="247"/>
      <c r="F274" s="247"/>
      <c r="G274" s="247"/>
      <c r="H274" s="247"/>
      <c r="I274" s="247"/>
      <c r="J274" s="247"/>
      <c r="K274" s="247"/>
      <c r="L274" s="247"/>
      <c r="M274" s="253"/>
      <c r="N274" s="253"/>
      <c r="O274" s="253"/>
      <c r="P274" s="253"/>
      <c r="Q274" s="253"/>
      <c r="R274" s="253"/>
      <c r="S274" s="253"/>
      <c r="T274" s="253"/>
      <c r="U274" s="253"/>
      <c r="V274" s="247"/>
      <c r="W274" s="247"/>
      <c r="X274" s="247"/>
      <c r="Y274" s="247"/>
      <c r="Z274" s="247"/>
    </row>
    <row r="275">
      <c r="A275" s="247"/>
      <c r="B275" s="247"/>
      <c r="C275" s="247"/>
      <c r="D275" s="247"/>
      <c r="E275" s="247"/>
      <c r="F275" s="247"/>
      <c r="G275" s="247"/>
      <c r="H275" s="247"/>
      <c r="I275" s="247"/>
      <c r="J275" s="247"/>
      <c r="K275" s="247"/>
      <c r="L275" s="247"/>
      <c r="M275" s="253"/>
      <c r="N275" s="253"/>
      <c r="O275" s="253"/>
      <c r="P275" s="253"/>
      <c r="Q275" s="253"/>
      <c r="R275" s="253"/>
      <c r="S275" s="253"/>
      <c r="T275" s="253"/>
      <c r="U275" s="253"/>
      <c r="V275" s="247"/>
      <c r="W275" s="247"/>
      <c r="X275" s="247"/>
      <c r="Y275" s="247"/>
      <c r="Z275" s="247"/>
    </row>
    <row r="276">
      <c r="A276" s="247"/>
      <c r="B276" s="247"/>
      <c r="C276" s="247"/>
      <c r="D276" s="247"/>
      <c r="E276" s="247"/>
      <c r="F276" s="247"/>
      <c r="G276" s="247"/>
      <c r="H276" s="247"/>
      <c r="I276" s="247"/>
      <c r="J276" s="247"/>
      <c r="K276" s="247"/>
      <c r="L276" s="247"/>
      <c r="M276" s="253"/>
      <c r="N276" s="253"/>
      <c r="O276" s="253"/>
      <c r="P276" s="253"/>
      <c r="Q276" s="253"/>
      <c r="R276" s="253"/>
      <c r="S276" s="253"/>
      <c r="T276" s="253"/>
      <c r="U276" s="253"/>
      <c r="V276" s="247"/>
      <c r="W276" s="247"/>
      <c r="X276" s="247"/>
      <c r="Y276" s="247"/>
      <c r="Z276" s="247"/>
    </row>
    <row r="277">
      <c r="A277" s="247"/>
      <c r="B277" s="247"/>
      <c r="C277" s="247"/>
      <c r="D277" s="247"/>
      <c r="E277" s="247"/>
      <c r="F277" s="247"/>
      <c r="G277" s="247"/>
      <c r="H277" s="247"/>
      <c r="I277" s="247"/>
      <c r="J277" s="247"/>
      <c r="K277" s="247"/>
      <c r="L277" s="247"/>
      <c r="M277" s="253"/>
      <c r="N277" s="253"/>
      <c r="O277" s="253"/>
      <c r="P277" s="253"/>
      <c r="Q277" s="253"/>
      <c r="R277" s="253"/>
      <c r="S277" s="253"/>
      <c r="T277" s="253"/>
      <c r="U277" s="253"/>
      <c r="V277" s="247"/>
      <c r="W277" s="247"/>
      <c r="X277" s="247"/>
      <c r="Y277" s="247"/>
      <c r="Z277" s="247"/>
    </row>
    <row r="278">
      <c r="A278" s="247"/>
      <c r="B278" s="247"/>
      <c r="C278" s="247"/>
      <c r="D278" s="247"/>
      <c r="E278" s="247"/>
      <c r="F278" s="247"/>
      <c r="G278" s="247"/>
      <c r="H278" s="247"/>
      <c r="I278" s="247"/>
      <c r="J278" s="247"/>
      <c r="K278" s="247"/>
      <c r="L278" s="247"/>
      <c r="M278" s="253"/>
      <c r="N278" s="253"/>
      <c r="O278" s="253"/>
      <c r="P278" s="253"/>
      <c r="Q278" s="253"/>
      <c r="R278" s="253"/>
      <c r="S278" s="253"/>
      <c r="T278" s="253"/>
      <c r="U278" s="253"/>
      <c r="V278" s="247"/>
      <c r="W278" s="247"/>
      <c r="X278" s="247"/>
      <c r="Y278" s="247"/>
      <c r="Z278" s="247"/>
    </row>
    <row r="279">
      <c r="A279" s="247"/>
      <c r="B279" s="247"/>
      <c r="C279" s="247"/>
      <c r="D279" s="247"/>
      <c r="E279" s="247"/>
      <c r="F279" s="247"/>
      <c r="G279" s="247"/>
      <c r="H279" s="247"/>
      <c r="I279" s="247"/>
      <c r="J279" s="247"/>
      <c r="K279" s="247"/>
      <c r="L279" s="247"/>
      <c r="M279" s="253"/>
      <c r="N279" s="253"/>
      <c r="O279" s="253"/>
      <c r="P279" s="253"/>
      <c r="Q279" s="253"/>
      <c r="R279" s="253"/>
      <c r="S279" s="253"/>
      <c r="T279" s="253"/>
      <c r="U279" s="253"/>
      <c r="V279" s="247"/>
      <c r="W279" s="247"/>
      <c r="X279" s="247"/>
      <c r="Y279" s="247"/>
      <c r="Z279" s="247"/>
    </row>
    <row r="280">
      <c r="A280" s="247"/>
      <c r="B280" s="247"/>
      <c r="C280" s="247"/>
      <c r="D280" s="247"/>
      <c r="E280" s="247"/>
      <c r="F280" s="247"/>
      <c r="G280" s="247"/>
      <c r="H280" s="247"/>
      <c r="I280" s="247"/>
      <c r="J280" s="247"/>
      <c r="K280" s="247"/>
      <c r="L280" s="247"/>
      <c r="M280" s="253"/>
      <c r="N280" s="253"/>
      <c r="O280" s="253"/>
      <c r="P280" s="253"/>
      <c r="Q280" s="253"/>
      <c r="R280" s="253"/>
      <c r="S280" s="253"/>
      <c r="T280" s="253"/>
      <c r="U280" s="253"/>
      <c r="V280" s="247"/>
      <c r="W280" s="247"/>
      <c r="X280" s="247"/>
      <c r="Y280" s="247"/>
      <c r="Z280" s="247"/>
    </row>
    <row r="281">
      <c r="A281" s="247"/>
      <c r="B281" s="247"/>
      <c r="C281" s="247"/>
      <c r="D281" s="247"/>
      <c r="E281" s="247"/>
      <c r="F281" s="247"/>
      <c r="G281" s="247"/>
      <c r="H281" s="247"/>
      <c r="I281" s="247"/>
      <c r="J281" s="247"/>
      <c r="K281" s="247"/>
      <c r="L281" s="247"/>
      <c r="M281" s="253"/>
      <c r="N281" s="253"/>
      <c r="O281" s="253"/>
      <c r="P281" s="253"/>
      <c r="Q281" s="253"/>
      <c r="R281" s="253"/>
      <c r="S281" s="253"/>
      <c r="T281" s="253"/>
      <c r="U281" s="253"/>
      <c r="V281" s="247"/>
      <c r="W281" s="247"/>
      <c r="X281" s="247"/>
      <c r="Y281" s="247"/>
      <c r="Z281" s="247"/>
    </row>
    <row r="282">
      <c r="A282" s="247"/>
      <c r="B282" s="247"/>
      <c r="C282" s="247"/>
      <c r="D282" s="247"/>
      <c r="E282" s="247"/>
      <c r="F282" s="247"/>
      <c r="G282" s="247"/>
      <c r="H282" s="247"/>
      <c r="I282" s="247"/>
      <c r="J282" s="247"/>
      <c r="K282" s="247"/>
      <c r="L282" s="247"/>
      <c r="M282" s="253"/>
      <c r="N282" s="253"/>
      <c r="O282" s="253"/>
      <c r="P282" s="253"/>
      <c r="Q282" s="253"/>
      <c r="R282" s="253"/>
      <c r="S282" s="253"/>
      <c r="T282" s="253"/>
      <c r="U282" s="253"/>
      <c r="V282" s="247"/>
      <c r="W282" s="247"/>
      <c r="X282" s="247"/>
      <c r="Y282" s="247"/>
      <c r="Z282" s="247"/>
    </row>
    <row r="283">
      <c r="A283" s="247"/>
      <c r="B283" s="247"/>
      <c r="C283" s="247"/>
      <c r="D283" s="247"/>
      <c r="E283" s="247"/>
      <c r="F283" s="247"/>
      <c r="G283" s="247"/>
      <c r="H283" s="247"/>
      <c r="I283" s="247"/>
      <c r="J283" s="247"/>
      <c r="K283" s="247"/>
      <c r="L283" s="247"/>
      <c r="M283" s="253"/>
      <c r="N283" s="253"/>
      <c r="O283" s="253"/>
      <c r="P283" s="253"/>
      <c r="Q283" s="253"/>
      <c r="R283" s="253"/>
      <c r="S283" s="253"/>
      <c r="T283" s="253"/>
      <c r="U283" s="253"/>
      <c r="V283" s="247"/>
      <c r="W283" s="247"/>
      <c r="X283" s="247"/>
      <c r="Y283" s="247"/>
      <c r="Z283" s="247"/>
    </row>
    <row r="284">
      <c r="A284" s="247"/>
      <c r="B284" s="247"/>
      <c r="C284" s="247"/>
      <c r="D284" s="247"/>
      <c r="E284" s="247"/>
      <c r="F284" s="247"/>
      <c r="G284" s="247"/>
      <c r="H284" s="247"/>
      <c r="I284" s="247"/>
      <c r="J284" s="247"/>
      <c r="K284" s="247"/>
      <c r="L284" s="247"/>
      <c r="M284" s="253"/>
      <c r="N284" s="253"/>
      <c r="O284" s="253"/>
      <c r="P284" s="253"/>
      <c r="Q284" s="253"/>
      <c r="R284" s="253"/>
      <c r="S284" s="253"/>
      <c r="T284" s="253"/>
      <c r="U284" s="253"/>
      <c r="V284" s="247"/>
      <c r="W284" s="247"/>
      <c r="X284" s="247"/>
      <c r="Y284" s="247"/>
      <c r="Z284" s="247"/>
    </row>
    <row r="285">
      <c r="A285" s="247"/>
      <c r="B285" s="247"/>
      <c r="C285" s="247"/>
      <c r="D285" s="247"/>
      <c r="E285" s="247"/>
      <c r="F285" s="247"/>
      <c r="G285" s="247"/>
      <c r="H285" s="247"/>
      <c r="I285" s="247"/>
      <c r="J285" s="247"/>
      <c r="K285" s="247"/>
      <c r="L285" s="247"/>
      <c r="M285" s="253"/>
      <c r="N285" s="253"/>
      <c r="O285" s="253"/>
      <c r="P285" s="253"/>
      <c r="Q285" s="253"/>
      <c r="R285" s="253"/>
      <c r="S285" s="253"/>
      <c r="T285" s="253"/>
      <c r="U285" s="253"/>
      <c r="V285" s="247"/>
      <c r="W285" s="247"/>
      <c r="X285" s="247"/>
      <c r="Y285" s="247"/>
      <c r="Z285" s="247"/>
    </row>
    <row r="286">
      <c r="A286" s="247"/>
      <c r="B286" s="247"/>
      <c r="C286" s="247"/>
      <c r="D286" s="247"/>
      <c r="E286" s="247"/>
      <c r="F286" s="247"/>
      <c r="G286" s="247"/>
      <c r="H286" s="247"/>
      <c r="I286" s="247"/>
      <c r="J286" s="247"/>
      <c r="K286" s="247"/>
      <c r="L286" s="247"/>
      <c r="M286" s="253"/>
      <c r="N286" s="253"/>
      <c r="O286" s="253"/>
      <c r="P286" s="253"/>
      <c r="Q286" s="253"/>
      <c r="R286" s="253"/>
      <c r="S286" s="253"/>
      <c r="T286" s="253"/>
      <c r="U286" s="253"/>
      <c r="V286" s="247"/>
      <c r="W286" s="247"/>
      <c r="X286" s="247"/>
      <c r="Y286" s="247"/>
      <c r="Z286" s="247"/>
    </row>
    <row r="287">
      <c r="A287" s="247"/>
      <c r="B287" s="247"/>
      <c r="C287" s="247"/>
      <c r="D287" s="247"/>
      <c r="E287" s="247"/>
      <c r="F287" s="247"/>
      <c r="G287" s="247"/>
      <c r="H287" s="247"/>
      <c r="I287" s="247"/>
      <c r="J287" s="247"/>
      <c r="K287" s="247"/>
      <c r="L287" s="247"/>
      <c r="M287" s="253"/>
      <c r="N287" s="253"/>
      <c r="O287" s="253"/>
      <c r="P287" s="253"/>
      <c r="Q287" s="253"/>
      <c r="R287" s="253"/>
      <c r="S287" s="253"/>
      <c r="T287" s="253"/>
      <c r="U287" s="253"/>
      <c r="V287" s="247"/>
      <c r="W287" s="247"/>
      <c r="X287" s="247"/>
      <c r="Y287" s="247"/>
      <c r="Z287" s="247"/>
    </row>
    <row r="288">
      <c r="A288" s="247"/>
      <c r="B288" s="247"/>
      <c r="C288" s="247"/>
      <c r="D288" s="247"/>
      <c r="E288" s="247"/>
      <c r="F288" s="247"/>
      <c r="G288" s="247"/>
      <c r="H288" s="247"/>
      <c r="I288" s="247"/>
      <c r="J288" s="247"/>
      <c r="K288" s="247"/>
      <c r="L288" s="247"/>
      <c r="M288" s="253"/>
      <c r="N288" s="253"/>
      <c r="O288" s="253"/>
      <c r="P288" s="253"/>
      <c r="Q288" s="253"/>
      <c r="R288" s="253"/>
      <c r="S288" s="253"/>
      <c r="T288" s="253"/>
      <c r="U288" s="253"/>
      <c r="V288" s="247"/>
      <c r="W288" s="247"/>
      <c r="X288" s="247"/>
      <c r="Y288" s="247"/>
      <c r="Z288" s="247"/>
    </row>
    <row r="289">
      <c r="A289" s="247"/>
      <c r="B289" s="247"/>
      <c r="C289" s="247"/>
      <c r="D289" s="247"/>
      <c r="E289" s="247"/>
      <c r="F289" s="247"/>
      <c r="G289" s="247"/>
      <c r="H289" s="247"/>
      <c r="I289" s="247"/>
      <c r="J289" s="247"/>
      <c r="K289" s="247"/>
      <c r="L289" s="247"/>
      <c r="M289" s="253"/>
      <c r="N289" s="253"/>
      <c r="O289" s="253"/>
      <c r="P289" s="253"/>
      <c r="Q289" s="253"/>
      <c r="R289" s="253"/>
      <c r="S289" s="253"/>
      <c r="T289" s="253"/>
      <c r="U289" s="253"/>
      <c r="V289" s="247"/>
      <c r="W289" s="247"/>
      <c r="X289" s="247"/>
      <c r="Y289" s="247"/>
      <c r="Z289" s="247"/>
    </row>
    <row r="290">
      <c r="A290" s="247"/>
      <c r="B290" s="247"/>
      <c r="C290" s="247"/>
      <c r="D290" s="247"/>
      <c r="E290" s="247"/>
      <c r="F290" s="247"/>
      <c r="G290" s="247"/>
      <c r="H290" s="247"/>
      <c r="I290" s="247"/>
      <c r="J290" s="247"/>
      <c r="K290" s="247"/>
      <c r="L290" s="247"/>
      <c r="M290" s="253"/>
      <c r="N290" s="253"/>
      <c r="O290" s="253"/>
      <c r="P290" s="253"/>
      <c r="Q290" s="253"/>
      <c r="R290" s="253"/>
      <c r="S290" s="253"/>
      <c r="T290" s="253"/>
      <c r="U290" s="253"/>
      <c r="V290" s="247"/>
      <c r="W290" s="247"/>
      <c r="X290" s="247"/>
      <c r="Y290" s="247"/>
      <c r="Z290" s="247"/>
    </row>
    <row r="291">
      <c r="A291" s="247"/>
      <c r="B291" s="247"/>
      <c r="C291" s="247"/>
      <c r="D291" s="247"/>
      <c r="E291" s="247"/>
      <c r="F291" s="247"/>
      <c r="G291" s="247"/>
      <c r="H291" s="247"/>
      <c r="I291" s="247"/>
      <c r="J291" s="247"/>
      <c r="K291" s="247"/>
      <c r="L291" s="247"/>
      <c r="M291" s="253"/>
      <c r="N291" s="253"/>
      <c r="O291" s="253"/>
      <c r="P291" s="253"/>
      <c r="Q291" s="253"/>
      <c r="R291" s="253"/>
      <c r="S291" s="253"/>
      <c r="T291" s="253"/>
      <c r="U291" s="253"/>
      <c r="V291" s="247"/>
      <c r="W291" s="247"/>
      <c r="X291" s="247"/>
      <c r="Y291" s="247"/>
      <c r="Z291" s="247"/>
    </row>
    <row r="292">
      <c r="A292" s="247"/>
      <c r="B292" s="247"/>
      <c r="C292" s="247"/>
      <c r="D292" s="247"/>
      <c r="E292" s="247"/>
      <c r="F292" s="247"/>
      <c r="G292" s="247"/>
      <c r="H292" s="247"/>
      <c r="I292" s="247"/>
      <c r="J292" s="247"/>
      <c r="K292" s="247"/>
      <c r="L292" s="247"/>
      <c r="M292" s="253"/>
      <c r="N292" s="253"/>
      <c r="O292" s="253"/>
      <c r="P292" s="253"/>
      <c r="Q292" s="253"/>
      <c r="R292" s="253"/>
      <c r="S292" s="253"/>
      <c r="T292" s="253"/>
      <c r="U292" s="253"/>
      <c r="V292" s="247"/>
      <c r="W292" s="247"/>
      <c r="X292" s="247"/>
      <c r="Y292" s="247"/>
      <c r="Z292" s="247"/>
    </row>
    <row r="293">
      <c r="A293" s="247"/>
      <c r="B293" s="247"/>
      <c r="C293" s="247"/>
      <c r="D293" s="247"/>
      <c r="E293" s="247"/>
      <c r="F293" s="247"/>
      <c r="G293" s="247"/>
      <c r="H293" s="247"/>
      <c r="I293" s="247"/>
      <c r="J293" s="247"/>
      <c r="K293" s="247"/>
      <c r="L293" s="247"/>
      <c r="M293" s="253"/>
      <c r="N293" s="253"/>
      <c r="O293" s="253"/>
      <c r="P293" s="253"/>
      <c r="Q293" s="253"/>
      <c r="R293" s="253"/>
      <c r="S293" s="253"/>
      <c r="T293" s="253"/>
      <c r="U293" s="253"/>
      <c r="V293" s="247"/>
      <c r="W293" s="247"/>
      <c r="X293" s="247"/>
      <c r="Y293" s="247"/>
      <c r="Z293" s="247"/>
    </row>
    <row r="294">
      <c r="A294" s="247"/>
      <c r="B294" s="247"/>
      <c r="C294" s="247"/>
      <c r="D294" s="247"/>
      <c r="E294" s="247"/>
      <c r="F294" s="247"/>
      <c r="G294" s="247"/>
      <c r="H294" s="247"/>
      <c r="I294" s="247"/>
      <c r="J294" s="247"/>
      <c r="K294" s="247"/>
      <c r="L294" s="247"/>
      <c r="M294" s="253"/>
      <c r="N294" s="253"/>
      <c r="O294" s="253"/>
      <c r="P294" s="253"/>
      <c r="Q294" s="253"/>
      <c r="R294" s="253"/>
      <c r="S294" s="253"/>
      <c r="T294" s="253"/>
      <c r="U294" s="253"/>
      <c r="V294" s="247"/>
      <c r="W294" s="247"/>
      <c r="X294" s="247"/>
      <c r="Y294" s="247"/>
      <c r="Z294" s="247"/>
    </row>
    <row r="295">
      <c r="A295" s="247"/>
      <c r="B295" s="247"/>
      <c r="C295" s="247"/>
      <c r="D295" s="247"/>
      <c r="E295" s="247"/>
      <c r="F295" s="247"/>
      <c r="G295" s="247"/>
      <c r="H295" s="247"/>
      <c r="I295" s="247"/>
      <c r="J295" s="247"/>
      <c r="K295" s="247"/>
      <c r="L295" s="247"/>
      <c r="M295" s="253"/>
      <c r="N295" s="253"/>
      <c r="O295" s="253"/>
      <c r="P295" s="253"/>
      <c r="Q295" s="253"/>
      <c r="R295" s="253"/>
      <c r="S295" s="253"/>
      <c r="T295" s="253"/>
      <c r="U295" s="253"/>
      <c r="V295" s="247"/>
      <c r="W295" s="247"/>
      <c r="X295" s="247"/>
      <c r="Y295" s="247"/>
      <c r="Z295" s="247"/>
    </row>
    <row r="296">
      <c r="A296" s="247"/>
      <c r="B296" s="247"/>
      <c r="C296" s="247"/>
      <c r="D296" s="247"/>
      <c r="E296" s="247"/>
      <c r="F296" s="247"/>
      <c r="G296" s="247"/>
      <c r="H296" s="247"/>
      <c r="I296" s="247"/>
      <c r="J296" s="247"/>
      <c r="K296" s="247"/>
      <c r="L296" s="247"/>
      <c r="M296" s="253"/>
      <c r="N296" s="253"/>
      <c r="O296" s="253"/>
      <c r="P296" s="253"/>
      <c r="Q296" s="253"/>
      <c r="R296" s="253"/>
      <c r="S296" s="253"/>
      <c r="T296" s="253"/>
      <c r="U296" s="253"/>
      <c r="V296" s="247"/>
      <c r="W296" s="247"/>
      <c r="X296" s="247"/>
      <c r="Y296" s="247"/>
      <c r="Z296" s="247"/>
    </row>
    <row r="297">
      <c r="A297" s="247"/>
      <c r="B297" s="247"/>
      <c r="C297" s="247"/>
      <c r="D297" s="247"/>
      <c r="E297" s="247"/>
      <c r="F297" s="247"/>
      <c r="G297" s="247"/>
      <c r="H297" s="247"/>
      <c r="I297" s="247"/>
      <c r="J297" s="247"/>
      <c r="K297" s="247"/>
      <c r="L297" s="247"/>
      <c r="M297" s="253"/>
      <c r="N297" s="253"/>
      <c r="O297" s="253"/>
      <c r="P297" s="253"/>
      <c r="Q297" s="253"/>
      <c r="R297" s="253"/>
      <c r="S297" s="253"/>
      <c r="T297" s="253"/>
      <c r="U297" s="253"/>
      <c r="V297" s="247"/>
      <c r="W297" s="247"/>
      <c r="X297" s="247"/>
      <c r="Y297" s="247"/>
      <c r="Z297" s="247"/>
    </row>
    <row r="298">
      <c r="A298" s="247"/>
      <c r="B298" s="247"/>
      <c r="C298" s="247"/>
      <c r="D298" s="247"/>
      <c r="E298" s="247"/>
      <c r="F298" s="247"/>
      <c r="G298" s="247"/>
      <c r="H298" s="247"/>
      <c r="I298" s="247"/>
      <c r="J298" s="247"/>
      <c r="K298" s="247"/>
      <c r="L298" s="247"/>
      <c r="M298" s="253"/>
      <c r="N298" s="253"/>
      <c r="O298" s="253"/>
      <c r="P298" s="253"/>
      <c r="Q298" s="253"/>
      <c r="R298" s="253"/>
      <c r="S298" s="253"/>
      <c r="T298" s="253"/>
      <c r="U298" s="253"/>
      <c r="V298" s="247"/>
      <c r="W298" s="247"/>
      <c r="X298" s="247"/>
      <c r="Y298" s="247"/>
      <c r="Z298" s="247"/>
    </row>
    <row r="299">
      <c r="A299" s="247"/>
      <c r="B299" s="247"/>
      <c r="C299" s="247"/>
      <c r="D299" s="247"/>
      <c r="E299" s="247"/>
      <c r="F299" s="247"/>
      <c r="G299" s="247"/>
      <c r="H299" s="247"/>
      <c r="I299" s="247"/>
      <c r="J299" s="247"/>
      <c r="K299" s="247"/>
      <c r="L299" s="247"/>
      <c r="M299" s="253"/>
      <c r="N299" s="253"/>
      <c r="O299" s="253"/>
      <c r="P299" s="253"/>
      <c r="Q299" s="253"/>
      <c r="R299" s="253"/>
      <c r="S299" s="253"/>
      <c r="T299" s="253"/>
      <c r="U299" s="253"/>
      <c r="V299" s="247"/>
      <c r="W299" s="247"/>
      <c r="X299" s="247"/>
      <c r="Y299" s="247"/>
      <c r="Z299" s="247"/>
    </row>
    <row r="300">
      <c r="A300" s="247"/>
      <c r="B300" s="247"/>
      <c r="C300" s="247"/>
      <c r="D300" s="247"/>
      <c r="E300" s="247"/>
      <c r="F300" s="247"/>
      <c r="G300" s="247"/>
      <c r="H300" s="247"/>
      <c r="I300" s="247"/>
      <c r="J300" s="247"/>
      <c r="K300" s="247"/>
      <c r="L300" s="247"/>
      <c r="M300" s="253"/>
      <c r="N300" s="253"/>
      <c r="O300" s="253"/>
      <c r="P300" s="253"/>
      <c r="Q300" s="253"/>
      <c r="R300" s="253"/>
      <c r="S300" s="253"/>
      <c r="T300" s="253"/>
      <c r="U300" s="253"/>
      <c r="V300" s="247"/>
      <c r="W300" s="247"/>
      <c r="X300" s="247"/>
      <c r="Y300" s="247"/>
      <c r="Z300" s="247"/>
    </row>
    <row r="301">
      <c r="A301" s="247"/>
      <c r="B301" s="247"/>
      <c r="C301" s="247"/>
      <c r="D301" s="247"/>
      <c r="E301" s="247"/>
      <c r="F301" s="247"/>
      <c r="G301" s="247"/>
      <c r="H301" s="247"/>
      <c r="I301" s="247"/>
      <c r="J301" s="247"/>
      <c r="K301" s="247"/>
      <c r="L301" s="247"/>
      <c r="M301" s="253"/>
      <c r="N301" s="253"/>
      <c r="O301" s="253"/>
      <c r="P301" s="253"/>
      <c r="Q301" s="253"/>
      <c r="R301" s="253"/>
      <c r="S301" s="253"/>
      <c r="T301" s="253"/>
      <c r="U301" s="253"/>
      <c r="V301" s="247"/>
      <c r="W301" s="247"/>
      <c r="X301" s="247"/>
      <c r="Y301" s="247"/>
      <c r="Z301" s="247"/>
    </row>
    <row r="302">
      <c r="A302" s="247"/>
      <c r="B302" s="247"/>
      <c r="C302" s="247"/>
      <c r="D302" s="247"/>
      <c r="E302" s="247"/>
      <c r="F302" s="247"/>
      <c r="G302" s="247"/>
      <c r="H302" s="247"/>
      <c r="I302" s="247"/>
      <c r="J302" s="247"/>
      <c r="K302" s="247"/>
      <c r="L302" s="247"/>
      <c r="M302" s="253"/>
      <c r="N302" s="253"/>
      <c r="O302" s="253"/>
      <c r="P302" s="253"/>
      <c r="Q302" s="253"/>
      <c r="R302" s="253"/>
      <c r="S302" s="253"/>
      <c r="T302" s="253"/>
      <c r="U302" s="253"/>
      <c r="V302" s="247"/>
      <c r="W302" s="247"/>
      <c r="X302" s="247"/>
      <c r="Y302" s="247"/>
      <c r="Z302" s="247"/>
    </row>
    <row r="303">
      <c r="A303" s="247"/>
      <c r="B303" s="247"/>
      <c r="C303" s="247"/>
      <c r="D303" s="247"/>
      <c r="E303" s="247"/>
      <c r="F303" s="247"/>
      <c r="G303" s="247"/>
      <c r="H303" s="247"/>
      <c r="I303" s="247"/>
      <c r="J303" s="247"/>
      <c r="K303" s="247"/>
      <c r="L303" s="247"/>
      <c r="M303" s="253"/>
      <c r="N303" s="253"/>
      <c r="O303" s="253"/>
      <c r="P303" s="253"/>
      <c r="Q303" s="253"/>
      <c r="R303" s="253"/>
      <c r="S303" s="253"/>
      <c r="T303" s="253"/>
      <c r="U303" s="253"/>
      <c r="V303" s="247"/>
      <c r="W303" s="247"/>
      <c r="X303" s="247"/>
      <c r="Y303" s="247"/>
      <c r="Z303" s="247"/>
    </row>
    <row r="304">
      <c r="A304" s="247"/>
      <c r="B304" s="247"/>
      <c r="C304" s="247"/>
      <c r="D304" s="247"/>
      <c r="E304" s="247"/>
      <c r="F304" s="247"/>
      <c r="G304" s="247"/>
      <c r="H304" s="247"/>
      <c r="I304" s="247"/>
      <c r="J304" s="247"/>
      <c r="K304" s="247"/>
      <c r="L304" s="247"/>
      <c r="M304" s="253"/>
      <c r="N304" s="253"/>
      <c r="O304" s="253"/>
      <c r="P304" s="253"/>
      <c r="Q304" s="253"/>
      <c r="R304" s="253"/>
      <c r="S304" s="253"/>
      <c r="T304" s="253"/>
      <c r="U304" s="253"/>
      <c r="V304" s="247"/>
      <c r="W304" s="247"/>
      <c r="X304" s="247"/>
      <c r="Y304" s="247"/>
      <c r="Z304" s="247"/>
    </row>
    <row r="305">
      <c r="A305" s="247"/>
      <c r="B305" s="247"/>
      <c r="C305" s="247"/>
      <c r="D305" s="247"/>
      <c r="E305" s="247"/>
      <c r="F305" s="247"/>
      <c r="G305" s="247"/>
      <c r="H305" s="247"/>
      <c r="I305" s="247"/>
      <c r="J305" s="247"/>
      <c r="K305" s="247"/>
      <c r="L305" s="247"/>
      <c r="M305" s="253"/>
      <c r="N305" s="253"/>
      <c r="O305" s="253"/>
      <c r="P305" s="253"/>
      <c r="Q305" s="253"/>
      <c r="R305" s="253"/>
      <c r="S305" s="253"/>
      <c r="T305" s="253"/>
      <c r="U305" s="253"/>
      <c r="V305" s="247"/>
      <c r="W305" s="247"/>
      <c r="X305" s="247"/>
      <c r="Y305" s="247"/>
      <c r="Z305" s="247"/>
    </row>
    <row r="306">
      <c r="A306" s="247"/>
      <c r="B306" s="247"/>
      <c r="C306" s="247"/>
      <c r="D306" s="247"/>
      <c r="E306" s="247"/>
      <c r="F306" s="247"/>
      <c r="G306" s="247"/>
      <c r="H306" s="247"/>
      <c r="I306" s="247"/>
      <c r="J306" s="247"/>
      <c r="K306" s="247"/>
      <c r="L306" s="247"/>
      <c r="M306" s="253"/>
      <c r="N306" s="253"/>
      <c r="O306" s="253"/>
      <c r="P306" s="253"/>
      <c r="Q306" s="253"/>
      <c r="R306" s="253"/>
      <c r="S306" s="253"/>
      <c r="T306" s="253"/>
      <c r="U306" s="253"/>
      <c r="V306" s="247"/>
      <c r="W306" s="247"/>
      <c r="X306" s="247"/>
      <c r="Y306" s="247"/>
      <c r="Z306" s="247"/>
    </row>
    <row r="307">
      <c r="A307" s="247"/>
      <c r="B307" s="247"/>
      <c r="C307" s="247"/>
      <c r="D307" s="247"/>
      <c r="E307" s="247"/>
      <c r="F307" s="247"/>
      <c r="G307" s="247"/>
      <c r="H307" s="247"/>
      <c r="I307" s="247"/>
      <c r="J307" s="247"/>
      <c r="K307" s="247"/>
      <c r="L307" s="247"/>
      <c r="M307" s="253"/>
      <c r="N307" s="253"/>
      <c r="O307" s="253"/>
      <c r="P307" s="253"/>
      <c r="Q307" s="253"/>
      <c r="R307" s="253"/>
      <c r="S307" s="253"/>
      <c r="T307" s="253"/>
      <c r="U307" s="253"/>
      <c r="V307" s="247"/>
      <c r="W307" s="247"/>
      <c r="X307" s="247"/>
      <c r="Y307" s="247"/>
      <c r="Z307" s="247"/>
    </row>
    <row r="308">
      <c r="A308" s="247"/>
      <c r="B308" s="247"/>
      <c r="C308" s="247"/>
      <c r="D308" s="247"/>
      <c r="E308" s="247"/>
      <c r="F308" s="247"/>
      <c r="G308" s="247"/>
      <c r="H308" s="247"/>
      <c r="I308" s="247"/>
      <c r="J308" s="247"/>
      <c r="K308" s="247"/>
      <c r="L308" s="247"/>
      <c r="M308" s="253"/>
      <c r="N308" s="253"/>
      <c r="O308" s="253"/>
      <c r="P308" s="253"/>
      <c r="Q308" s="253"/>
      <c r="R308" s="253"/>
      <c r="S308" s="253"/>
      <c r="T308" s="253"/>
      <c r="U308" s="253"/>
      <c r="V308" s="247"/>
      <c r="W308" s="247"/>
      <c r="X308" s="247"/>
      <c r="Y308" s="247"/>
      <c r="Z308" s="247"/>
    </row>
    <row r="309">
      <c r="A309" s="247"/>
      <c r="B309" s="247"/>
      <c r="C309" s="247"/>
      <c r="D309" s="247"/>
      <c r="E309" s="247"/>
      <c r="F309" s="247"/>
      <c r="G309" s="247"/>
      <c r="H309" s="247"/>
      <c r="I309" s="247"/>
      <c r="J309" s="247"/>
      <c r="K309" s="247"/>
      <c r="L309" s="247"/>
      <c r="M309" s="253"/>
      <c r="N309" s="253"/>
      <c r="O309" s="253"/>
      <c r="P309" s="253"/>
      <c r="Q309" s="253"/>
      <c r="R309" s="253"/>
      <c r="S309" s="253"/>
      <c r="T309" s="253"/>
      <c r="U309" s="253"/>
      <c r="V309" s="247"/>
      <c r="W309" s="247"/>
      <c r="X309" s="247"/>
      <c r="Y309" s="247"/>
      <c r="Z309" s="247"/>
    </row>
    <row r="310">
      <c r="A310" s="247"/>
      <c r="B310" s="247"/>
      <c r="C310" s="247"/>
      <c r="D310" s="247"/>
      <c r="E310" s="247"/>
      <c r="F310" s="247"/>
      <c r="G310" s="247"/>
      <c r="H310" s="247"/>
      <c r="I310" s="247"/>
      <c r="J310" s="247"/>
      <c r="K310" s="247"/>
      <c r="L310" s="247"/>
      <c r="M310" s="253"/>
      <c r="N310" s="253"/>
      <c r="O310" s="253"/>
      <c r="P310" s="253"/>
      <c r="Q310" s="253"/>
      <c r="R310" s="253"/>
      <c r="S310" s="253"/>
      <c r="T310" s="253"/>
      <c r="U310" s="253"/>
      <c r="V310" s="247"/>
      <c r="W310" s="247"/>
      <c r="X310" s="247"/>
      <c r="Y310" s="247"/>
      <c r="Z310" s="247"/>
    </row>
    <row r="311">
      <c r="A311" s="247"/>
      <c r="B311" s="247"/>
      <c r="C311" s="247"/>
      <c r="D311" s="247"/>
      <c r="E311" s="247"/>
      <c r="F311" s="247"/>
      <c r="G311" s="247"/>
      <c r="H311" s="247"/>
      <c r="I311" s="247"/>
      <c r="J311" s="247"/>
      <c r="K311" s="247"/>
      <c r="L311" s="247"/>
      <c r="M311" s="253"/>
      <c r="N311" s="253"/>
      <c r="O311" s="253"/>
      <c r="P311" s="253"/>
      <c r="Q311" s="253"/>
      <c r="R311" s="253"/>
      <c r="S311" s="253"/>
      <c r="T311" s="253"/>
      <c r="U311" s="253"/>
      <c r="V311" s="247"/>
      <c r="W311" s="247"/>
      <c r="X311" s="247"/>
      <c r="Y311" s="247"/>
      <c r="Z311" s="247"/>
    </row>
    <row r="312">
      <c r="A312" s="247"/>
      <c r="B312" s="247"/>
      <c r="C312" s="247"/>
      <c r="D312" s="247"/>
      <c r="E312" s="247"/>
      <c r="F312" s="247"/>
      <c r="G312" s="247"/>
      <c r="H312" s="247"/>
      <c r="I312" s="247"/>
      <c r="J312" s="247"/>
      <c r="K312" s="247"/>
      <c r="L312" s="247"/>
      <c r="M312" s="253"/>
      <c r="N312" s="253"/>
      <c r="O312" s="253"/>
      <c r="P312" s="253"/>
      <c r="Q312" s="253"/>
      <c r="R312" s="253"/>
      <c r="S312" s="253"/>
      <c r="T312" s="253"/>
      <c r="U312" s="253"/>
      <c r="V312" s="247"/>
      <c r="W312" s="247"/>
      <c r="X312" s="247"/>
      <c r="Y312" s="247"/>
      <c r="Z312" s="247"/>
    </row>
    <row r="313">
      <c r="A313" s="247"/>
      <c r="B313" s="247"/>
      <c r="C313" s="247"/>
      <c r="D313" s="247"/>
      <c r="E313" s="247"/>
      <c r="F313" s="247"/>
      <c r="G313" s="247"/>
      <c r="H313" s="247"/>
      <c r="I313" s="247"/>
      <c r="J313" s="247"/>
      <c r="K313" s="247"/>
      <c r="L313" s="247"/>
      <c r="M313" s="253"/>
      <c r="N313" s="253"/>
      <c r="O313" s="253"/>
      <c r="P313" s="253"/>
      <c r="Q313" s="253"/>
      <c r="R313" s="253"/>
      <c r="S313" s="253"/>
      <c r="T313" s="253"/>
      <c r="U313" s="253"/>
      <c r="V313" s="247"/>
      <c r="W313" s="247"/>
      <c r="X313" s="247"/>
      <c r="Y313" s="247"/>
      <c r="Z313" s="247"/>
    </row>
    <row r="314">
      <c r="A314" s="247"/>
      <c r="B314" s="247"/>
      <c r="C314" s="247"/>
      <c r="D314" s="247"/>
      <c r="E314" s="247"/>
      <c r="F314" s="247"/>
      <c r="G314" s="247"/>
      <c r="H314" s="247"/>
      <c r="I314" s="247"/>
      <c r="J314" s="247"/>
      <c r="K314" s="247"/>
      <c r="L314" s="247"/>
      <c r="M314" s="253"/>
      <c r="N314" s="253"/>
      <c r="O314" s="253"/>
      <c r="P314" s="253"/>
      <c r="Q314" s="253"/>
      <c r="R314" s="253"/>
      <c r="S314" s="253"/>
      <c r="T314" s="253"/>
      <c r="U314" s="253"/>
      <c r="V314" s="247"/>
      <c r="W314" s="247"/>
      <c r="X314" s="247"/>
      <c r="Y314" s="247"/>
      <c r="Z314" s="247"/>
    </row>
    <row r="315">
      <c r="A315" s="247"/>
      <c r="B315" s="247"/>
      <c r="C315" s="247"/>
      <c r="D315" s="247"/>
      <c r="E315" s="247"/>
      <c r="F315" s="247"/>
      <c r="G315" s="247"/>
      <c r="H315" s="247"/>
      <c r="I315" s="247"/>
      <c r="J315" s="247"/>
      <c r="K315" s="247"/>
      <c r="L315" s="247"/>
      <c r="M315" s="253"/>
      <c r="N315" s="253"/>
      <c r="O315" s="253"/>
      <c r="P315" s="253"/>
      <c r="Q315" s="253"/>
      <c r="R315" s="253"/>
      <c r="S315" s="253"/>
      <c r="T315" s="253"/>
      <c r="U315" s="253"/>
      <c r="V315" s="247"/>
      <c r="W315" s="247"/>
      <c r="X315" s="247"/>
      <c r="Y315" s="247"/>
      <c r="Z315" s="247"/>
    </row>
    <row r="316">
      <c r="A316" s="247"/>
      <c r="B316" s="247"/>
      <c r="C316" s="247"/>
      <c r="D316" s="247"/>
      <c r="E316" s="247"/>
      <c r="F316" s="247"/>
      <c r="G316" s="247"/>
      <c r="H316" s="247"/>
      <c r="I316" s="247"/>
      <c r="J316" s="247"/>
      <c r="K316" s="247"/>
      <c r="L316" s="247"/>
      <c r="M316" s="253"/>
      <c r="N316" s="253"/>
      <c r="O316" s="253"/>
      <c r="P316" s="253"/>
      <c r="Q316" s="253"/>
      <c r="R316" s="253"/>
      <c r="S316" s="253"/>
      <c r="T316" s="253"/>
      <c r="U316" s="253"/>
      <c r="V316" s="247"/>
      <c r="W316" s="247"/>
      <c r="X316" s="247"/>
      <c r="Y316" s="247"/>
      <c r="Z316" s="247"/>
    </row>
    <row r="317">
      <c r="A317" s="247"/>
      <c r="B317" s="247"/>
      <c r="C317" s="247"/>
      <c r="D317" s="247"/>
      <c r="E317" s="247"/>
      <c r="F317" s="247"/>
      <c r="G317" s="247"/>
      <c r="H317" s="247"/>
      <c r="I317" s="247"/>
      <c r="J317" s="247"/>
      <c r="K317" s="247"/>
      <c r="L317" s="247"/>
      <c r="M317" s="253"/>
      <c r="N317" s="253"/>
      <c r="O317" s="253"/>
      <c r="P317" s="253"/>
      <c r="Q317" s="253"/>
      <c r="R317" s="253"/>
      <c r="S317" s="253"/>
      <c r="T317" s="253"/>
      <c r="U317" s="253"/>
      <c r="V317" s="247"/>
      <c r="W317" s="247"/>
      <c r="X317" s="247"/>
      <c r="Y317" s="247"/>
      <c r="Z317" s="247"/>
    </row>
    <row r="318">
      <c r="A318" s="247"/>
      <c r="B318" s="247"/>
      <c r="C318" s="247"/>
      <c r="D318" s="247"/>
      <c r="E318" s="247"/>
      <c r="F318" s="247"/>
      <c r="G318" s="247"/>
      <c r="H318" s="247"/>
      <c r="I318" s="247"/>
      <c r="J318" s="247"/>
      <c r="K318" s="247"/>
      <c r="L318" s="247"/>
      <c r="M318" s="253"/>
      <c r="N318" s="253"/>
      <c r="O318" s="253"/>
      <c r="P318" s="253"/>
      <c r="Q318" s="253"/>
      <c r="R318" s="253"/>
      <c r="S318" s="253"/>
      <c r="T318" s="253"/>
      <c r="U318" s="253"/>
      <c r="V318" s="247"/>
      <c r="W318" s="247"/>
      <c r="X318" s="247"/>
      <c r="Y318" s="247"/>
      <c r="Z318" s="247"/>
    </row>
    <row r="319">
      <c r="A319" s="247"/>
      <c r="B319" s="247"/>
      <c r="C319" s="247"/>
      <c r="D319" s="247"/>
      <c r="E319" s="247"/>
      <c r="F319" s="247"/>
      <c r="G319" s="247"/>
      <c r="H319" s="247"/>
      <c r="I319" s="247"/>
      <c r="J319" s="247"/>
      <c r="K319" s="247"/>
      <c r="L319" s="247"/>
      <c r="M319" s="253"/>
      <c r="N319" s="253"/>
      <c r="O319" s="253"/>
      <c r="P319" s="253"/>
      <c r="Q319" s="253"/>
      <c r="R319" s="253"/>
      <c r="S319" s="253"/>
      <c r="T319" s="253"/>
      <c r="U319" s="253"/>
      <c r="V319" s="247"/>
      <c r="W319" s="247"/>
      <c r="X319" s="247"/>
      <c r="Y319" s="247"/>
      <c r="Z319" s="247"/>
    </row>
    <row r="320">
      <c r="A320" s="247"/>
      <c r="B320" s="247"/>
      <c r="C320" s="247"/>
      <c r="D320" s="247"/>
      <c r="E320" s="247"/>
      <c r="F320" s="247"/>
      <c r="G320" s="247"/>
      <c r="H320" s="247"/>
      <c r="I320" s="247"/>
      <c r="J320" s="247"/>
      <c r="K320" s="247"/>
      <c r="L320" s="247"/>
      <c r="M320" s="253"/>
      <c r="N320" s="253"/>
      <c r="O320" s="253"/>
      <c r="P320" s="253"/>
      <c r="Q320" s="253"/>
      <c r="R320" s="253"/>
      <c r="S320" s="253"/>
      <c r="T320" s="253"/>
      <c r="U320" s="253"/>
      <c r="V320" s="247"/>
      <c r="W320" s="247"/>
      <c r="X320" s="247"/>
      <c r="Y320" s="247"/>
      <c r="Z320" s="247"/>
    </row>
    <row r="321">
      <c r="A321" s="247"/>
      <c r="B321" s="247"/>
      <c r="C321" s="247"/>
      <c r="D321" s="247"/>
      <c r="E321" s="247"/>
      <c r="F321" s="247"/>
      <c r="G321" s="247"/>
      <c r="H321" s="247"/>
      <c r="I321" s="247"/>
      <c r="J321" s="247"/>
      <c r="K321" s="247"/>
      <c r="L321" s="247"/>
      <c r="M321" s="253"/>
      <c r="N321" s="253"/>
      <c r="O321" s="253"/>
      <c r="P321" s="253"/>
      <c r="Q321" s="253"/>
      <c r="R321" s="253"/>
      <c r="S321" s="253"/>
      <c r="T321" s="253"/>
      <c r="U321" s="253"/>
      <c r="V321" s="247"/>
      <c r="W321" s="247"/>
      <c r="X321" s="247"/>
      <c r="Y321" s="247"/>
      <c r="Z321" s="247"/>
    </row>
    <row r="322">
      <c r="A322" s="247"/>
      <c r="B322" s="247"/>
      <c r="C322" s="247"/>
      <c r="D322" s="247"/>
      <c r="E322" s="247"/>
      <c r="F322" s="247"/>
      <c r="G322" s="247"/>
      <c r="H322" s="247"/>
      <c r="I322" s="247"/>
      <c r="J322" s="247"/>
      <c r="K322" s="247"/>
      <c r="L322" s="247"/>
      <c r="M322" s="253"/>
      <c r="N322" s="253"/>
      <c r="O322" s="253"/>
      <c r="P322" s="253"/>
      <c r="Q322" s="253"/>
      <c r="R322" s="253"/>
      <c r="S322" s="253"/>
      <c r="T322" s="253"/>
      <c r="U322" s="253"/>
      <c r="V322" s="247"/>
      <c r="W322" s="247"/>
      <c r="X322" s="247"/>
      <c r="Y322" s="247"/>
      <c r="Z322" s="247"/>
    </row>
    <row r="323">
      <c r="A323" s="247"/>
      <c r="B323" s="247"/>
      <c r="C323" s="247"/>
      <c r="D323" s="247"/>
      <c r="E323" s="247"/>
      <c r="F323" s="247"/>
      <c r="G323" s="247"/>
      <c r="H323" s="247"/>
      <c r="I323" s="247"/>
      <c r="J323" s="247"/>
      <c r="K323" s="247"/>
      <c r="L323" s="247"/>
      <c r="M323" s="253"/>
      <c r="N323" s="253"/>
      <c r="O323" s="253"/>
      <c r="P323" s="253"/>
      <c r="Q323" s="253"/>
      <c r="R323" s="253"/>
      <c r="S323" s="253"/>
      <c r="T323" s="253"/>
      <c r="U323" s="253"/>
      <c r="V323" s="247"/>
      <c r="W323" s="247"/>
      <c r="X323" s="247"/>
      <c r="Y323" s="247"/>
      <c r="Z323" s="247"/>
    </row>
    <row r="324">
      <c r="A324" s="247"/>
      <c r="B324" s="247"/>
      <c r="C324" s="247"/>
      <c r="D324" s="247"/>
      <c r="E324" s="247"/>
      <c r="F324" s="247"/>
      <c r="G324" s="247"/>
      <c r="H324" s="247"/>
      <c r="I324" s="247"/>
      <c r="J324" s="247"/>
      <c r="K324" s="247"/>
      <c r="L324" s="247"/>
      <c r="M324" s="253"/>
      <c r="N324" s="253"/>
      <c r="O324" s="253"/>
      <c r="P324" s="253"/>
      <c r="Q324" s="253"/>
      <c r="R324" s="253"/>
      <c r="S324" s="253"/>
      <c r="T324" s="253"/>
      <c r="U324" s="253"/>
      <c r="V324" s="247"/>
      <c r="W324" s="247"/>
      <c r="X324" s="247"/>
      <c r="Y324" s="247"/>
      <c r="Z324" s="247"/>
    </row>
    <row r="325">
      <c r="A325" s="247"/>
      <c r="B325" s="247"/>
      <c r="C325" s="247"/>
      <c r="D325" s="247"/>
      <c r="E325" s="247"/>
      <c r="F325" s="247"/>
      <c r="G325" s="247"/>
      <c r="H325" s="247"/>
      <c r="I325" s="247"/>
      <c r="J325" s="247"/>
      <c r="K325" s="247"/>
      <c r="L325" s="247"/>
      <c r="M325" s="253"/>
      <c r="N325" s="253"/>
      <c r="O325" s="253"/>
      <c r="P325" s="253"/>
      <c r="Q325" s="253"/>
      <c r="R325" s="253"/>
      <c r="S325" s="253"/>
      <c r="T325" s="253"/>
      <c r="U325" s="253"/>
      <c r="V325" s="247"/>
      <c r="W325" s="247"/>
      <c r="X325" s="247"/>
      <c r="Y325" s="247"/>
      <c r="Z325" s="247"/>
    </row>
    <row r="326">
      <c r="A326" s="247"/>
      <c r="B326" s="247"/>
      <c r="C326" s="247"/>
      <c r="D326" s="247"/>
      <c r="E326" s="247"/>
      <c r="F326" s="247"/>
      <c r="G326" s="247"/>
      <c r="H326" s="247"/>
      <c r="I326" s="247"/>
      <c r="J326" s="247"/>
      <c r="K326" s="247"/>
      <c r="L326" s="247"/>
      <c r="M326" s="253"/>
      <c r="N326" s="253"/>
      <c r="O326" s="253"/>
      <c r="P326" s="253"/>
      <c r="Q326" s="253"/>
      <c r="R326" s="253"/>
      <c r="S326" s="253"/>
      <c r="T326" s="253"/>
      <c r="U326" s="253"/>
      <c r="V326" s="247"/>
      <c r="W326" s="247"/>
      <c r="X326" s="247"/>
      <c r="Y326" s="247"/>
      <c r="Z326" s="247"/>
    </row>
    <row r="327">
      <c r="A327" s="247"/>
      <c r="B327" s="247"/>
      <c r="C327" s="247"/>
      <c r="D327" s="247"/>
      <c r="E327" s="247"/>
      <c r="F327" s="247"/>
      <c r="G327" s="247"/>
      <c r="H327" s="247"/>
      <c r="I327" s="247"/>
      <c r="J327" s="247"/>
      <c r="K327" s="247"/>
      <c r="L327" s="247"/>
      <c r="M327" s="253"/>
      <c r="N327" s="253"/>
      <c r="O327" s="253"/>
      <c r="P327" s="253"/>
      <c r="Q327" s="253"/>
      <c r="R327" s="253"/>
      <c r="S327" s="253"/>
      <c r="T327" s="253"/>
      <c r="U327" s="253"/>
      <c r="V327" s="247"/>
      <c r="W327" s="247"/>
      <c r="X327" s="247"/>
      <c r="Y327" s="247"/>
      <c r="Z327" s="247"/>
    </row>
    <row r="328">
      <c r="A328" s="247"/>
      <c r="B328" s="247"/>
      <c r="C328" s="247"/>
      <c r="D328" s="247"/>
      <c r="E328" s="247"/>
      <c r="F328" s="247"/>
      <c r="G328" s="247"/>
      <c r="H328" s="247"/>
      <c r="I328" s="247"/>
      <c r="J328" s="247"/>
      <c r="K328" s="247"/>
      <c r="L328" s="247"/>
      <c r="M328" s="253"/>
      <c r="N328" s="253"/>
      <c r="O328" s="253"/>
      <c r="P328" s="253"/>
      <c r="Q328" s="253"/>
      <c r="R328" s="253"/>
      <c r="S328" s="253"/>
      <c r="T328" s="253"/>
      <c r="U328" s="253"/>
      <c r="V328" s="247"/>
      <c r="W328" s="247"/>
      <c r="X328" s="247"/>
      <c r="Y328" s="247"/>
      <c r="Z328" s="247"/>
    </row>
    <row r="329">
      <c r="A329" s="247"/>
      <c r="B329" s="247"/>
      <c r="C329" s="247"/>
      <c r="D329" s="247"/>
      <c r="E329" s="247"/>
      <c r="F329" s="247"/>
      <c r="G329" s="247"/>
      <c r="H329" s="247"/>
      <c r="I329" s="247"/>
      <c r="J329" s="247"/>
      <c r="K329" s="247"/>
      <c r="L329" s="247"/>
      <c r="M329" s="253"/>
      <c r="N329" s="253"/>
      <c r="O329" s="253"/>
      <c r="P329" s="253"/>
      <c r="Q329" s="253"/>
      <c r="R329" s="253"/>
      <c r="S329" s="253"/>
      <c r="T329" s="253"/>
      <c r="U329" s="253"/>
      <c r="V329" s="247"/>
      <c r="W329" s="247"/>
      <c r="X329" s="247"/>
      <c r="Y329" s="247"/>
      <c r="Z329" s="247"/>
    </row>
    <row r="330">
      <c r="A330" s="247"/>
      <c r="B330" s="247"/>
      <c r="C330" s="247"/>
      <c r="D330" s="247"/>
      <c r="E330" s="247"/>
      <c r="F330" s="247"/>
      <c r="G330" s="247"/>
      <c r="H330" s="247"/>
      <c r="I330" s="247"/>
      <c r="J330" s="247"/>
      <c r="K330" s="247"/>
      <c r="L330" s="247"/>
      <c r="M330" s="253"/>
      <c r="N330" s="253"/>
      <c r="O330" s="253"/>
      <c r="P330" s="253"/>
      <c r="Q330" s="253"/>
      <c r="R330" s="253"/>
      <c r="S330" s="253"/>
      <c r="T330" s="253"/>
      <c r="U330" s="253"/>
      <c r="V330" s="247"/>
      <c r="W330" s="247"/>
      <c r="X330" s="247"/>
      <c r="Y330" s="247"/>
      <c r="Z330" s="247"/>
    </row>
    <row r="331">
      <c r="A331" s="247"/>
      <c r="B331" s="247"/>
      <c r="C331" s="247"/>
      <c r="D331" s="247"/>
      <c r="E331" s="247"/>
      <c r="F331" s="247"/>
      <c r="G331" s="247"/>
      <c r="H331" s="247"/>
      <c r="I331" s="247"/>
      <c r="J331" s="247"/>
      <c r="K331" s="247"/>
      <c r="L331" s="247"/>
      <c r="M331" s="253"/>
      <c r="N331" s="253"/>
      <c r="O331" s="253"/>
      <c r="P331" s="253"/>
      <c r="Q331" s="253"/>
      <c r="R331" s="253"/>
      <c r="S331" s="253"/>
      <c r="T331" s="253"/>
      <c r="U331" s="253"/>
      <c r="V331" s="247"/>
      <c r="W331" s="247"/>
      <c r="X331" s="247"/>
      <c r="Y331" s="247"/>
      <c r="Z331" s="247"/>
    </row>
    <row r="332">
      <c r="A332" s="247"/>
      <c r="B332" s="247"/>
      <c r="C332" s="247"/>
      <c r="D332" s="247"/>
      <c r="E332" s="247"/>
      <c r="F332" s="247"/>
      <c r="G332" s="247"/>
      <c r="H332" s="247"/>
      <c r="I332" s="247"/>
      <c r="J332" s="247"/>
      <c r="K332" s="247"/>
      <c r="L332" s="247"/>
      <c r="M332" s="253"/>
      <c r="N332" s="253"/>
      <c r="O332" s="253"/>
      <c r="P332" s="253"/>
      <c r="Q332" s="253"/>
      <c r="R332" s="253"/>
      <c r="S332" s="253"/>
      <c r="T332" s="253"/>
      <c r="U332" s="253"/>
      <c r="V332" s="247"/>
      <c r="W332" s="247"/>
      <c r="X332" s="247"/>
      <c r="Y332" s="247"/>
      <c r="Z332" s="247"/>
    </row>
    <row r="333">
      <c r="A333" s="247"/>
      <c r="B333" s="247"/>
      <c r="C333" s="247"/>
      <c r="D333" s="247"/>
      <c r="E333" s="247"/>
      <c r="F333" s="247"/>
      <c r="G333" s="247"/>
      <c r="H333" s="247"/>
      <c r="I333" s="247"/>
      <c r="J333" s="247"/>
      <c r="K333" s="247"/>
      <c r="L333" s="247"/>
      <c r="M333" s="253"/>
      <c r="N333" s="253"/>
      <c r="O333" s="253"/>
      <c r="P333" s="253"/>
      <c r="Q333" s="253"/>
      <c r="R333" s="253"/>
      <c r="S333" s="253"/>
      <c r="T333" s="253"/>
      <c r="U333" s="253"/>
      <c r="V333" s="247"/>
      <c r="W333" s="247"/>
      <c r="X333" s="247"/>
      <c r="Y333" s="247"/>
      <c r="Z333" s="247"/>
    </row>
    <row r="334">
      <c r="A334" s="247"/>
      <c r="B334" s="247"/>
      <c r="C334" s="247"/>
      <c r="D334" s="247"/>
      <c r="E334" s="247"/>
      <c r="F334" s="247"/>
      <c r="G334" s="247"/>
      <c r="H334" s="247"/>
      <c r="I334" s="247"/>
      <c r="J334" s="247"/>
      <c r="K334" s="247"/>
      <c r="L334" s="247"/>
      <c r="M334" s="253"/>
      <c r="N334" s="253"/>
      <c r="O334" s="253"/>
      <c r="P334" s="253"/>
      <c r="Q334" s="253"/>
      <c r="R334" s="253"/>
      <c r="S334" s="253"/>
      <c r="T334" s="253"/>
      <c r="U334" s="253"/>
      <c r="V334" s="247"/>
      <c r="W334" s="247"/>
      <c r="X334" s="247"/>
      <c r="Y334" s="247"/>
      <c r="Z334" s="247"/>
    </row>
    <row r="335">
      <c r="A335" s="247"/>
      <c r="B335" s="247"/>
      <c r="C335" s="247"/>
      <c r="D335" s="247"/>
      <c r="E335" s="247"/>
      <c r="F335" s="247"/>
      <c r="G335" s="247"/>
      <c r="H335" s="247"/>
      <c r="I335" s="247"/>
      <c r="J335" s="247"/>
      <c r="K335" s="247"/>
      <c r="L335" s="247"/>
      <c r="M335" s="253"/>
      <c r="N335" s="253"/>
      <c r="O335" s="253"/>
      <c r="P335" s="253"/>
      <c r="Q335" s="253"/>
      <c r="R335" s="253"/>
      <c r="S335" s="253"/>
      <c r="T335" s="253"/>
      <c r="U335" s="253"/>
      <c r="V335" s="247"/>
      <c r="W335" s="247"/>
      <c r="X335" s="247"/>
      <c r="Y335" s="247"/>
      <c r="Z335" s="247"/>
    </row>
    <row r="336">
      <c r="A336" s="247"/>
      <c r="B336" s="247"/>
      <c r="C336" s="247"/>
      <c r="D336" s="247"/>
      <c r="E336" s="247"/>
      <c r="F336" s="247"/>
      <c r="G336" s="247"/>
      <c r="H336" s="247"/>
      <c r="I336" s="247"/>
      <c r="J336" s="247"/>
      <c r="K336" s="247"/>
      <c r="L336" s="247"/>
      <c r="M336" s="253"/>
      <c r="N336" s="253"/>
      <c r="O336" s="253"/>
      <c r="P336" s="253"/>
      <c r="Q336" s="253"/>
      <c r="R336" s="253"/>
      <c r="S336" s="253"/>
      <c r="T336" s="253"/>
      <c r="U336" s="253"/>
      <c r="V336" s="247"/>
      <c r="W336" s="247"/>
      <c r="X336" s="247"/>
      <c r="Y336" s="247"/>
      <c r="Z336" s="247"/>
    </row>
    <row r="337">
      <c r="A337" s="247"/>
      <c r="B337" s="247"/>
      <c r="C337" s="247"/>
      <c r="D337" s="247"/>
      <c r="E337" s="247"/>
      <c r="F337" s="247"/>
      <c r="G337" s="247"/>
      <c r="H337" s="247"/>
      <c r="I337" s="247"/>
      <c r="J337" s="247"/>
      <c r="K337" s="247"/>
      <c r="L337" s="247"/>
      <c r="M337" s="253"/>
      <c r="N337" s="253"/>
      <c r="O337" s="253"/>
      <c r="P337" s="253"/>
      <c r="Q337" s="253"/>
      <c r="R337" s="253"/>
      <c r="S337" s="253"/>
      <c r="T337" s="253"/>
      <c r="U337" s="253"/>
      <c r="V337" s="247"/>
      <c r="W337" s="247"/>
      <c r="X337" s="247"/>
      <c r="Y337" s="247"/>
      <c r="Z337" s="247"/>
    </row>
    <row r="338">
      <c r="A338" s="247"/>
      <c r="B338" s="247"/>
      <c r="C338" s="247"/>
      <c r="D338" s="247"/>
      <c r="E338" s="247"/>
      <c r="F338" s="247"/>
      <c r="G338" s="247"/>
      <c r="H338" s="247"/>
      <c r="I338" s="247"/>
      <c r="J338" s="247"/>
      <c r="K338" s="247"/>
      <c r="L338" s="247"/>
      <c r="M338" s="253"/>
      <c r="N338" s="253"/>
      <c r="O338" s="253"/>
      <c r="P338" s="253"/>
      <c r="Q338" s="253"/>
      <c r="R338" s="253"/>
      <c r="S338" s="253"/>
      <c r="T338" s="253"/>
      <c r="U338" s="253"/>
      <c r="V338" s="247"/>
      <c r="W338" s="247"/>
      <c r="X338" s="247"/>
      <c r="Y338" s="247"/>
      <c r="Z338" s="247"/>
    </row>
    <row r="339">
      <c r="A339" s="247"/>
      <c r="B339" s="247"/>
      <c r="C339" s="247"/>
      <c r="D339" s="247"/>
      <c r="E339" s="247"/>
      <c r="F339" s="247"/>
      <c r="G339" s="247"/>
      <c r="H339" s="247"/>
      <c r="I339" s="247"/>
      <c r="J339" s="247"/>
      <c r="K339" s="247"/>
      <c r="L339" s="247"/>
      <c r="M339" s="253"/>
      <c r="N339" s="253"/>
      <c r="O339" s="253"/>
      <c r="P339" s="253"/>
      <c r="Q339" s="253"/>
      <c r="R339" s="253"/>
      <c r="S339" s="253"/>
      <c r="T339" s="253"/>
      <c r="U339" s="253"/>
      <c r="V339" s="247"/>
      <c r="W339" s="247"/>
      <c r="X339" s="247"/>
      <c r="Y339" s="247"/>
      <c r="Z339" s="247"/>
    </row>
    <row r="340">
      <c r="A340" s="247"/>
      <c r="B340" s="247"/>
      <c r="C340" s="247"/>
      <c r="D340" s="247"/>
      <c r="E340" s="247"/>
      <c r="F340" s="247"/>
      <c r="G340" s="247"/>
      <c r="H340" s="247"/>
      <c r="I340" s="247"/>
      <c r="J340" s="247"/>
      <c r="K340" s="247"/>
      <c r="L340" s="247"/>
      <c r="M340" s="253"/>
      <c r="N340" s="253"/>
      <c r="O340" s="253"/>
      <c r="P340" s="253"/>
      <c r="Q340" s="253"/>
      <c r="R340" s="253"/>
      <c r="S340" s="253"/>
      <c r="T340" s="253"/>
      <c r="U340" s="253"/>
      <c r="V340" s="247"/>
      <c r="W340" s="247"/>
      <c r="X340" s="247"/>
      <c r="Y340" s="247"/>
      <c r="Z340" s="247"/>
    </row>
    <row r="341">
      <c r="A341" s="247"/>
      <c r="B341" s="247"/>
      <c r="C341" s="247"/>
      <c r="D341" s="247"/>
      <c r="E341" s="247"/>
      <c r="F341" s="247"/>
      <c r="G341" s="247"/>
      <c r="H341" s="247"/>
      <c r="I341" s="247"/>
      <c r="J341" s="247"/>
      <c r="K341" s="247"/>
      <c r="L341" s="247"/>
      <c r="M341" s="253"/>
      <c r="N341" s="253"/>
      <c r="O341" s="253"/>
      <c r="P341" s="253"/>
      <c r="Q341" s="253"/>
      <c r="R341" s="253"/>
      <c r="S341" s="253"/>
      <c r="T341" s="253"/>
      <c r="U341" s="253"/>
      <c r="V341" s="247"/>
      <c r="W341" s="247"/>
      <c r="X341" s="247"/>
      <c r="Y341" s="247"/>
      <c r="Z341" s="247"/>
    </row>
    <row r="342">
      <c r="A342" s="247"/>
      <c r="B342" s="247"/>
      <c r="C342" s="247"/>
      <c r="D342" s="247"/>
      <c r="E342" s="247"/>
      <c r="F342" s="247"/>
      <c r="G342" s="247"/>
      <c r="H342" s="247"/>
      <c r="I342" s="247"/>
      <c r="J342" s="247"/>
      <c r="K342" s="247"/>
      <c r="L342" s="247"/>
      <c r="M342" s="253"/>
      <c r="N342" s="253"/>
      <c r="O342" s="253"/>
      <c r="P342" s="253"/>
      <c r="Q342" s="253"/>
      <c r="R342" s="253"/>
      <c r="S342" s="253"/>
      <c r="T342" s="253"/>
      <c r="U342" s="253"/>
      <c r="V342" s="247"/>
      <c r="W342" s="247"/>
      <c r="X342" s="247"/>
      <c r="Y342" s="247"/>
      <c r="Z342" s="247"/>
    </row>
    <row r="343">
      <c r="A343" s="247"/>
      <c r="B343" s="247"/>
      <c r="C343" s="247"/>
      <c r="D343" s="247"/>
      <c r="E343" s="247"/>
      <c r="F343" s="247"/>
      <c r="G343" s="247"/>
      <c r="H343" s="247"/>
      <c r="I343" s="247"/>
      <c r="J343" s="247"/>
      <c r="K343" s="247"/>
      <c r="L343" s="247"/>
      <c r="M343" s="253"/>
      <c r="N343" s="253"/>
      <c r="O343" s="253"/>
      <c r="P343" s="253"/>
      <c r="Q343" s="253"/>
      <c r="R343" s="253"/>
      <c r="S343" s="253"/>
      <c r="T343" s="253"/>
      <c r="U343" s="253"/>
      <c r="V343" s="247"/>
      <c r="W343" s="247"/>
      <c r="X343" s="247"/>
      <c r="Y343" s="247"/>
      <c r="Z343" s="247"/>
    </row>
    <row r="344">
      <c r="A344" s="247"/>
      <c r="B344" s="247"/>
      <c r="C344" s="247"/>
      <c r="D344" s="247"/>
      <c r="E344" s="247"/>
      <c r="F344" s="247"/>
      <c r="G344" s="247"/>
      <c r="H344" s="247"/>
      <c r="I344" s="247"/>
      <c r="J344" s="247"/>
      <c r="K344" s="247"/>
      <c r="L344" s="247"/>
      <c r="M344" s="253"/>
      <c r="N344" s="253"/>
      <c r="O344" s="253"/>
      <c r="P344" s="253"/>
      <c r="Q344" s="253"/>
      <c r="R344" s="253"/>
      <c r="S344" s="253"/>
      <c r="T344" s="253"/>
      <c r="U344" s="253"/>
      <c r="V344" s="247"/>
      <c r="W344" s="247"/>
      <c r="X344" s="247"/>
      <c r="Y344" s="247"/>
      <c r="Z344" s="247"/>
    </row>
    <row r="345">
      <c r="A345" s="247"/>
      <c r="B345" s="247"/>
      <c r="C345" s="247"/>
      <c r="D345" s="247"/>
      <c r="E345" s="247"/>
      <c r="F345" s="247"/>
      <c r="G345" s="247"/>
      <c r="H345" s="247"/>
      <c r="I345" s="247"/>
      <c r="J345" s="247"/>
      <c r="K345" s="247"/>
      <c r="L345" s="247"/>
      <c r="M345" s="253"/>
      <c r="N345" s="253"/>
      <c r="O345" s="253"/>
      <c r="P345" s="253"/>
      <c r="Q345" s="253"/>
      <c r="R345" s="253"/>
      <c r="S345" s="253"/>
      <c r="T345" s="253"/>
      <c r="U345" s="253"/>
      <c r="V345" s="247"/>
      <c r="W345" s="247"/>
      <c r="X345" s="247"/>
      <c r="Y345" s="247"/>
      <c r="Z345" s="247"/>
    </row>
    <row r="346">
      <c r="A346" s="247"/>
      <c r="B346" s="247"/>
      <c r="C346" s="247"/>
      <c r="D346" s="247"/>
      <c r="E346" s="247"/>
      <c r="F346" s="247"/>
      <c r="G346" s="247"/>
      <c r="H346" s="247"/>
      <c r="I346" s="247"/>
      <c r="J346" s="247"/>
      <c r="K346" s="247"/>
      <c r="L346" s="247"/>
      <c r="M346" s="253"/>
      <c r="N346" s="253"/>
      <c r="O346" s="253"/>
      <c r="P346" s="253"/>
      <c r="Q346" s="253"/>
      <c r="R346" s="253"/>
      <c r="S346" s="253"/>
      <c r="T346" s="253"/>
      <c r="U346" s="253"/>
      <c r="V346" s="247"/>
      <c r="W346" s="247"/>
      <c r="X346" s="247"/>
      <c r="Y346" s="247"/>
      <c r="Z346" s="247"/>
    </row>
    <row r="347">
      <c r="A347" s="247"/>
      <c r="B347" s="247"/>
      <c r="C347" s="247"/>
      <c r="D347" s="247"/>
      <c r="E347" s="247"/>
      <c r="F347" s="247"/>
      <c r="G347" s="247"/>
      <c r="H347" s="247"/>
      <c r="I347" s="247"/>
      <c r="J347" s="247"/>
      <c r="K347" s="247"/>
      <c r="L347" s="247"/>
      <c r="M347" s="253"/>
      <c r="N347" s="253"/>
      <c r="O347" s="253"/>
      <c r="P347" s="253"/>
      <c r="Q347" s="253"/>
      <c r="R347" s="253"/>
      <c r="S347" s="253"/>
      <c r="T347" s="253"/>
      <c r="U347" s="253"/>
      <c r="V347" s="247"/>
      <c r="W347" s="247"/>
      <c r="X347" s="247"/>
      <c r="Y347" s="247"/>
      <c r="Z347" s="247"/>
    </row>
    <row r="348">
      <c r="A348" s="247"/>
      <c r="B348" s="247"/>
      <c r="C348" s="247"/>
      <c r="D348" s="247"/>
      <c r="E348" s="247"/>
      <c r="F348" s="247"/>
      <c r="G348" s="247"/>
      <c r="H348" s="247"/>
      <c r="I348" s="247"/>
      <c r="J348" s="247"/>
      <c r="K348" s="247"/>
      <c r="L348" s="247"/>
      <c r="M348" s="253"/>
      <c r="N348" s="253"/>
      <c r="O348" s="253"/>
      <c r="P348" s="253"/>
      <c r="Q348" s="253"/>
      <c r="R348" s="253"/>
      <c r="S348" s="253"/>
      <c r="T348" s="253"/>
      <c r="U348" s="253"/>
      <c r="V348" s="247"/>
      <c r="W348" s="247"/>
      <c r="X348" s="247"/>
      <c r="Y348" s="247"/>
      <c r="Z348" s="247"/>
    </row>
    <row r="349">
      <c r="A349" s="247"/>
      <c r="B349" s="247"/>
      <c r="C349" s="247"/>
      <c r="D349" s="247"/>
      <c r="E349" s="247"/>
      <c r="F349" s="247"/>
      <c r="G349" s="247"/>
      <c r="H349" s="247"/>
      <c r="I349" s="247"/>
      <c r="J349" s="247"/>
      <c r="K349" s="247"/>
      <c r="L349" s="247"/>
      <c r="M349" s="253"/>
      <c r="N349" s="253"/>
      <c r="O349" s="253"/>
      <c r="P349" s="253"/>
      <c r="Q349" s="253"/>
      <c r="R349" s="253"/>
      <c r="S349" s="253"/>
      <c r="T349" s="253"/>
      <c r="U349" s="253"/>
      <c r="V349" s="247"/>
      <c r="W349" s="247"/>
      <c r="X349" s="247"/>
      <c r="Y349" s="247"/>
      <c r="Z349" s="247"/>
    </row>
    <row r="350">
      <c r="A350" s="247"/>
      <c r="B350" s="247"/>
      <c r="C350" s="247"/>
      <c r="D350" s="247"/>
      <c r="E350" s="247"/>
      <c r="F350" s="247"/>
      <c r="G350" s="247"/>
      <c r="H350" s="247"/>
      <c r="I350" s="247"/>
      <c r="J350" s="247"/>
      <c r="K350" s="247"/>
      <c r="L350" s="247"/>
      <c r="M350" s="253"/>
      <c r="N350" s="253"/>
      <c r="O350" s="253"/>
      <c r="P350" s="253"/>
      <c r="Q350" s="253"/>
      <c r="R350" s="253"/>
      <c r="S350" s="253"/>
      <c r="T350" s="253"/>
      <c r="U350" s="253"/>
      <c r="V350" s="247"/>
      <c r="W350" s="247"/>
      <c r="X350" s="247"/>
      <c r="Y350" s="247"/>
      <c r="Z350" s="247"/>
    </row>
    <row r="351">
      <c r="A351" s="247"/>
      <c r="B351" s="247"/>
      <c r="C351" s="247"/>
      <c r="D351" s="247"/>
      <c r="E351" s="247"/>
      <c r="F351" s="247"/>
      <c r="G351" s="247"/>
      <c r="H351" s="247"/>
      <c r="I351" s="247"/>
      <c r="J351" s="247"/>
      <c r="K351" s="247"/>
      <c r="L351" s="247"/>
      <c r="M351" s="253"/>
      <c r="N351" s="253"/>
      <c r="O351" s="253"/>
      <c r="P351" s="253"/>
      <c r="Q351" s="253"/>
      <c r="R351" s="253"/>
      <c r="S351" s="253"/>
      <c r="T351" s="253"/>
      <c r="U351" s="253"/>
      <c r="V351" s="247"/>
      <c r="W351" s="247"/>
      <c r="X351" s="247"/>
      <c r="Y351" s="247"/>
      <c r="Z351" s="247"/>
    </row>
    <row r="352">
      <c r="A352" s="247"/>
      <c r="B352" s="247"/>
      <c r="C352" s="247"/>
      <c r="D352" s="247"/>
      <c r="E352" s="247"/>
      <c r="F352" s="247"/>
      <c r="G352" s="247"/>
      <c r="H352" s="247"/>
      <c r="I352" s="247"/>
      <c r="J352" s="247"/>
      <c r="K352" s="247"/>
      <c r="L352" s="247"/>
      <c r="M352" s="253"/>
      <c r="N352" s="253"/>
      <c r="O352" s="253"/>
      <c r="P352" s="253"/>
      <c r="Q352" s="253"/>
      <c r="R352" s="253"/>
      <c r="S352" s="253"/>
      <c r="T352" s="253"/>
      <c r="U352" s="253"/>
      <c r="V352" s="247"/>
      <c r="W352" s="247"/>
      <c r="X352" s="247"/>
      <c r="Y352" s="247"/>
      <c r="Z352" s="247"/>
    </row>
    <row r="353">
      <c r="A353" s="247"/>
      <c r="B353" s="247"/>
      <c r="C353" s="247"/>
      <c r="D353" s="247"/>
      <c r="E353" s="247"/>
      <c r="F353" s="247"/>
      <c r="G353" s="247"/>
      <c r="H353" s="247"/>
      <c r="I353" s="247"/>
      <c r="J353" s="247"/>
      <c r="K353" s="247"/>
      <c r="L353" s="247"/>
      <c r="M353" s="253"/>
      <c r="N353" s="253"/>
      <c r="O353" s="253"/>
      <c r="P353" s="253"/>
      <c r="Q353" s="253"/>
      <c r="R353" s="253"/>
      <c r="S353" s="253"/>
      <c r="T353" s="253"/>
      <c r="U353" s="253"/>
      <c r="V353" s="247"/>
      <c r="W353" s="247"/>
      <c r="X353" s="247"/>
      <c r="Y353" s="247"/>
      <c r="Z353" s="247"/>
    </row>
    <row r="354">
      <c r="A354" s="247"/>
      <c r="B354" s="247"/>
      <c r="C354" s="247"/>
      <c r="D354" s="247"/>
      <c r="E354" s="247"/>
      <c r="F354" s="247"/>
      <c r="G354" s="247"/>
      <c r="H354" s="247"/>
      <c r="I354" s="247"/>
      <c r="J354" s="247"/>
      <c r="K354" s="247"/>
      <c r="L354" s="247"/>
      <c r="M354" s="253"/>
      <c r="N354" s="253"/>
      <c r="O354" s="253"/>
      <c r="P354" s="253"/>
      <c r="Q354" s="253"/>
      <c r="R354" s="253"/>
      <c r="S354" s="253"/>
      <c r="T354" s="253"/>
      <c r="U354" s="253"/>
      <c r="V354" s="247"/>
      <c r="W354" s="247"/>
      <c r="X354" s="247"/>
      <c r="Y354" s="247"/>
      <c r="Z354" s="247"/>
    </row>
    <row r="355">
      <c r="A355" s="247"/>
      <c r="B355" s="247"/>
      <c r="C355" s="247"/>
      <c r="D355" s="247"/>
      <c r="E355" s="247"/>
      <c r="F355" s="247"/>
      <c r="G355" s="247"/>
      <c r="H355" s="247"/>
      <c r="I355" s="247"/>
      <c r="J355" s="247"/>
      <c r="K355" s="247"/>
      <c r="L355" s="247"/>
      <c r="M355" s="253"/>
      <c r="N355" s="253"/>
      <c r="O355" s="253"/>
      <c r="P355" s="253"/>
      <c r="Q355" s="253"/>
      <c r="R355" s="253"/>
      <c r="S355" s="253"/>
      <c r="T355" s="253"/>
      <c r="U355" s="253"/>
      <c r="V355" s="247"/>
      <c r="W355" s="247"/>
      <c r="X355" s="247"/>
      <c r="Y355" s="247"/>
      <c r="Z355" s="247"/>
    </row>
    <row r="356">
      <c r="A356" s="247"/>
      <c r="B356" s="247"/>
      <c r="C356" s="247"/>
      <c r="D356" s="247"/>
      <c r="E356" s="247"/>
      <c r="F356" s="247"/>
      <c r="G356" s="247"/>
      <c r="H356" s="247"/>
      <c r="I356" s="247"/>
      <c r="J356" s="247"/>
      <c r="K356" s="247"/>
      <c r="L356" s="247"/>
      <c r="M356" s="253"/>
      <c r="N356" s="253"/>
      <c r="O356" s="253"/>
      <c r="P356" s="253"/>
      <c r="Q356" s="253"/>
      <c r="R356" s="253"/>
      <c r="S356" s="253"/>
      <c r="T356" s="253"/>
      <c r="U356" s="253"/>
      <c r="V356" s="247"/>
      <c r="W356" s="247"/>
      <c r="X356" s="247"/>
      <c r="Y356" s="247"/>
      <c r="Z356" s="247"/>
    </row>
    <row r="357">
      <c r="A357" s="247"/>
      <c r="B357" s="247"/>
      <c r="C357" s="247"/>
      <c r="D357" s="247"/>
      <c r="E357" s="247"/>
      <c r="F357" s="247"/>
      <c r="G357" s="247"/>
      <c r="H357" s="247"/>
      <c r="I357" s="247"/>
      <c r="J357" s="247"/>
      <c r="K357" s="247"/>
      <c r="L357" s="247"/>
      <c r="M357" s="253"/>
      <c r="N357" s="253"/>
      <c r="O357" s="253"/>
      <c r="P357" s="253"/>
      <c r="Q357" s="253"/>
      <c r="R357" s="253"/>
      <c r="S357" s="253"/>
      <c r="T357" s="253"/>
      <c r="U357" s="253"/>
      <c r="V357" s="247"/>
      <c r="W357" s="247"/>
      <c r="X357" s="247"/>
      <c r="Y357" s="247"/>
      <c r="Z357" s="247"/>
    </row>
    <row r="358">
      <c r="A358" s="247"/>
      <c r="B358" s="247"/>
      <c r="C358" s="247"/>
      <c r="D358" s="247"/>
      <c r="E358" s="247"/>
      <c r="F358" s="247"/>
      <c r="G358" s="247"/>
      <c r="H358" s="247"/>
      <c r="I358" s="247"/>
      <c r="J358" s="247"/>
      <c r="K358" s="247"/>
      <c r="L358" s="247"/>
      <c r="M358" s="253"/>
      <c r="N358" s="253"/>
      <c r="O358" s="253"/>
      <c r="P358" s="253"/>
      <c r="Q358" s="253"/>
      <c r="R358" s="253"/>
      <c r="S358" s="253"/>
      <c r="T358" s="253"/>
      <c r="U358" s="253"/>
      <c r="V358" s="247"/>
      <c r="W358" s="247"/>
      <c r="X358" s="247"/>
      <c r="Y358" s="247"/>
      <c r="Z358" s="247"/>
    </row>
    <row r="359">
      <c r="A359" s="247"/>
      <c r="B359" s="247"/>
      <c r="C359" s="247"/>
      <c r="D359" s="247"/>
      <c r="E359" s="247"/>
      <c r="F359" s="247"/>
      <c r="G359" s="247"/>
      <c r="H359" s="247"/>
      <c r="I359" s="247"/>
      <c r="J359" s="247"/>
      <c r="K359" s="247"/>
      <c r="L359" s="247"/>
      <c r="M359" s="253"/>
      <c r="N359" s="253"/>
      <c r="O359" s="253"/>
      <c r="P359" s="253"/>
      <c r="Q359" s="253"/>
      <c r="R359" s="253"/>
      <c r="S359" s="253"/>
      <c r="T359" s="253"/>
      <c r="U359" s="253"/>
      <c r="V359" s="247"/>
      <c r="W359" s="247"/>
      <c r="X359" s="247"/>
      <c r="Y359" s="247"/>
      <c r="Z359" s="247"/>
    </row>
    <row r="360">
      <c r="A360" s="247"/>
      <c r="B360" s="247"/>
      <c r="C360" s="247"/>
      <c r="D360" s="247"/>
      <c r="E360" s="247"/>
      <c r="F360" s="247"/>
      <c r="G360" s="247"/>
      <c r="H360" s="247"/>
      <c r="I360" s="247"/>
      <c r="J360" s="247"/>
      <c r="K360" s="247"/>
      <c r="L360" s="247"/>
      <c r="M360" s="253"/>
      <c r="N360" s="253"/>
      <c r="O360" s="253"/>
      <c r="P360" s="253"/>
      <c r="Q360" s="253"/>
      <c r="R360" s="253"/>
      <c r="S360" s="253"/>
      <c r="T360" s="253"/>
      <c r="U360" s="253"/>
      <c r="V360" s="247"/>
      <c r="W360" s="247"/>
      <c r="X360" s="247"/>
      <c r="Y360" s="247"/>
      <c r="Z360" s="247"/>
    </row>
    <row r="361">
      <c r="A361" s="247"/>
      <c r="B361" s="247"/>
      <c r="C361" s="247"/>
      <c r="D361" s="247"/>
      <c r="E361" s="247"/>
      <c r="F361" s="247"/>
      <c r="G361" s="247"/>
      <c r="H361" s="247"/>
      <c r="I361" s="247"/>
      <c r="J361" s="247"/>
      <c r="K361" s="247"/>
      <c r="L361" s="247"/>
      <c r="M361" s="253"/>
      <c r="N361" s="253"/>
      <c r="O361" s="253"/>
      <c r="P361" s="253"/>
      <c r="Q361" s="253"/>
      <c r="R361" s="253"/>
      <c r="S361" s="253"/>
      <c r="T361" s="253"/>
      <c r="U361" s="253"/>
      <c r="V361" s="247"/>
      <c r="W361" s="247"/>
      <c r="X361" s="247"/>
      <c r="Y361" s="247"/>
      <c r="Z361" s="247"/>
    </row>
    <row r="362">
      <c r="A362" s="247"/>
      <c r="B362" s="247"/>
      <c r="C362" s="247"/>
      <c r="D362" s="247"/>
      <c r="E362" s="247"/>
      <c r="F362" s="247"/>
      <c r="G362" s="247"/>
      <c r="H362" s="247"/>
      <c r="I362" s="247"/>
      <c r="J362" s="247"/>
      <c r="K362" s="247"/>
      <c r="L362" s="247"/>
      <c r="M362" s="253"/>
      <c r="N362" s="253"/>
      <c r="O362" s="253"/>
      <c r="P362" s="253"/>
      <c r="Q362" s="253"/>
      <c r="R362" s="253"/>
      <c r="S362" s="253"/>
      <c r="T362" s="253"/>
      <c r="U362" s="253"/>
      <c r="V362" s="247"/>
      <c r="W362" s="247"/>
      <c r="X362" s="247"/>
      <c r="Y362" s="247"/>
      <c r="Z362" s="247"/>
    </row>
    <row r="363">
      <c r="A363" s="247"/>
      <c r="B363" s="247"/>
      <c r="C363" s="247"/>
      <c r="D363" s="247"/>
      <c r="E363" s="247"/>
      <c r="F363" s="247"/>
      <c r="G363" s="247"/>
      <c r="H363" s="247"/>
      <c r="I363" s="247"/>
      <c r="J363" s="247"/>
      <c r="K363" s="247"/>
      <c r="L363" s="247"/>
      <c r="M363" s="253"/>
      <c r="N363" s="253"/>
      <c r="O363" s="253"/>
      <c r="P363" s="253"/>
      <c r="Q363" s="253"/>
      <c r="R363" s="253"/>
      <c r="S363" s="253"/>
      <c r="T363" s="253"/>
      <c r="U363" s="253"/>
      <c r="V363" s="247"/>
      <c r="W363" s="247"/>
      <c r="X363" s="247"/>
      <c r="Y363" s="247"/>
      <c r="Z363" s="247"/>
    </row>
    <row r="364">
      <c r="A364" s="247"/>
      <c r="B364" s="247"/>
      <c r="C364" s="247"/>
      <c r="D364" s="247"/>
      <c r="E364" s="247"/>
      <c r="F364" s="247"/>
      <c r="G364" s="247"/>
      <c r="H364" s="247"/>
      <c r="I364" s="247"/>
      <c r="J364" s="247"/>
      <c r="K364" s="247"/>
      <c r="L364" s="247"/>
      <c r="M364" s="253"/>
      <c r="N364" s="253"/>
      <c r="O364" s="253"/>
      <c r="P364" s="253"/>
      <c r="Q364" s="253"/>
      <c r="R364" s="253"/>
      <c r="S364" s="253"/>
      <c r="T364" s="253"/>
      <c r="U364" s="253"/>
      <c r="V364" s="247"/>
      <c r="W364" s="247"/>
      <c r="X364" s="247"/>
      <c r="Y364" s="247"/>
      <c r="Z364" s="247"/>
    </row>
    <row r="365">
      <c r="A365" s="247"/>
      <c r="B365" s="247"/>
      <c r="C365" s="247"/>
      <c r="D365" s="247"/>
      <c r="E365" s="247"/>
      <c r="F365" s="247"/>
      <c r="G365" s="247"/>
      <c r="H365" s="247"/>
      <c r="I365" s="247"/>
      <c r="J365" s="247"/>
      <c r="K365" s="247"/>
      <c r="L365" s="247"/>
      <c r="M365" s="253"/>
      <c r="N365" s="253"/>
      <c r="O365" s="253"/>
      <c r="P365" s="253"/>
      <c r="Q365" s="253"/>
      <c r="R365" s="253"/>
      <c r="S365" s="253"/>
      <c r="T365" s="253"/>
      <c r="U365" s="253"/>
      <c r="V365" s="247"/>
      <c r="W365" s="247"/>
      <c r="X365" s="247"/>
      <c r="Y365" s="247"/>
      <c r="Z365" s="247"/>
    </row>
    <row r="366">
      <c r="A366" s="247"/>
      <c r="B366" s="247"/>
      <c r="C366" s="247"/>
      <c r="D366" s="247"/>
      <c r="E366" s="247"/>
      <c r="F366" s="247"/>
      <c r="G366" s="247"/>
      <c r="H366" s="247"/>
      <c r="I366" s="247"/>
      <c r="J366" s="247"/>
      <c r="K366" s="247"/>
      <c r="L366" s="247"/>
      <c r="M366" s="253"/>
      <c r="N366" s="253"/>
      <c r="O366" s="253"/>
      <c r="P366" s="253"/>
      <c r="Q366" s="253"/>
      <c r="R366" s="253"/>
      <c r="S366" s="253"/>
      <c r="T366" s="253"/>
      <c r="U366" s="253"/>
      <c r="V366" s="247"/>
      <c r="W366" s="247"/>
      <c r="X366" s="247"/>
      <c r="Y366" s="247"/>
      <c r="Z366" s="247"/>
    </row>
    <row r="367">
      <c r="A367" s="247"/>
      <c r="B367" s="247"/>
      <c r="C367" s="247"/>
      <c r="D367" s="247"/>
      <c r="E367" s="247"/>
      <c r="F367" s="247"/>
      <c r="G367" s="247"/>
      <c r="H367" s="247"/>
      <c r="I367" s="247"/>
      <c r="J367" s="247"/>
      <c r="K367" s="247"/>
      <c r="L367" s="247"/>
      <c r="M367" s="253"/>
      <c r="N367" s="253"/>
      <c r="O367" s="253"/>
      <c r="P367" s="253"/>
      <c r="Q367" s="253"/>
      <c r="R367" s="253"/>
      <c r="S367" s="253"/>
      <c r="T367" s="253"/>
      <c r="U367" s="253"/>
      <c r="V367" s="247"/>
      <c r="W367" s="247"/>
      <c r="X367" s="247"/>
      <c r="Y367" s="247"/>
      <c r="Z367" s="247"/>
    </row>
    <row r="368">
      <c r="A368" s="247"/>
      <c r="B368" s="247"/>
      <c r="C368" s="247"/>
      <c r="D368" s="247"/>
      <c r="E368" s="247"/>
      <c r="F368" s="247"/>
      <c r="G368" s="247"/>
      <c r="H368" s="247"/>
      <c r="I368" s="247"/>
      <c r="J368" s="247"/>
      <c r="K368" s="247"/>
      <c r="L368" s="247"/>
      <c r="M368" s="253"/>
      <c r="N368" s="253"/>
      <c r="O368" s="253"/>
      <c r="P368" s="253"/>
      <c r="Q368" s="253"/>
      <c r="R368" s="253"/>
      <c r="S368" s="253"/>
      <c r="T368" s="253"/>
      <c r="U368" s="253"/>
      <c r="V368" s="247"/>
      <c r="W368" s="247"/>
      <c r="X368" s="247"/>
      <c r="Y368" s="247"/>
      <c r="Z368" s="247"/>
    </row>
    <row r="369">
      <c r="A369" s="247"/>
      <c r="B369" s="247"/>
      <c r="C369" s="247"/>
      <c r="D369" s="247"/>
      <c r="E369" s="247"/>
      <c r="F369" s="247"/>
      <c r="G369" s="247"/>
      <c r="H369" s="247"/>
      <c r="I369" s="247"/>
      <c r="J369" s="247"/>
      <c r="K369" s="247"/>
      <c r="L369" s="247"/>
      <c r="M369" s="253"/>
      <c r="N369" s="253"/>
      <c r="O369" s="253"/>
      <c r="P369" s="253"/>
      <c r="Q369" s="253"/>
      <c r="R369" s="253"/>
      <c r="S369" s="253"/>
      <c r="T369" s="253"/>
      <c r="U369" s="253"/>
      <c r="V369" s="247"/>
      <c r="W369" s="247"/>
      <c r="X369" s="247"/>
      <c r="Y369" s="247"/>
      <c r="Z369" s="247"/>
    </row>
    <row r="370">
      <c r="A370" s="247"/>
      <c r="B370" s="247"/>
      <c r="C370" s="247"/>
      <c r="D370" s="247"/>
      <c r="E370" s="247"/>
      <c r="F370" s="247"/>
      <c r="G370" s="247"/>
      <c r="H370" s="247"/>
      <c r="I370" s="247"/>
      <c r="J370" s="247"/>
      <c r="K370" s="247"/>
      <c r="L370" s="247"/>
      <c r="M370" s="253"/>
      <c r="N370" s="253"/>
      <c r="O370" s="253"/>
      <c r="P370" s="253"/>
      <c r="Q370" s="253"/>
      <c r="R370" s="253"/>
      <c r="S370" s="253"/>
      <c r="T370" s="253"/>
      <c r="U370" s="253"/>
      <c r="V370" s="247"/>
      <c r="W370" s="247"/>
      <c r="X370" s="247"/>
      <c r="Y370" s="247"/>
      <c r="Z370" s="247"/>
    </row>
    <row r="371">
      <c r="A371" s="247"/>
      <c r="B371" s="247"/>
      <c r="C371" s="247"/>
      <c r="D371" s="247"/>
      <c r="E371" s="247"/>
      <c r="F371" s="247"/>
      <c r="G371" s="247"/>
      <c r="H371" s="247"/>
      <c r="I371" s="247"/>
      <c r="J371" s="247"/>
      <c r="K371" s="247"/>
      <c r="L371" s="247"/>
      <c r="M371" s="253"/>
      <c r="N371" s="253"/>
      <c r="O371" s="253"/>
      <c r="P371" s="253"/>
      <c r="Q371" s="253"/>
      <c r="R371" s="253"/>
      <c r="S371" s="253"/>
      <c r="T371" s="253"/>
      <c r="U371" s="253"/>
      <c r="V371" s="247"/>
      <c r="W371" s="247"/>
      <c r="X371" s="247"/>
      <c r="Y371" s="247"/>
      <c r="Z371" s="247"/>
    </row>
    <row r="372">
      <c r="A372" s="247"/>
      <c r="B372" s="247"/>
      <c r="C372" s="247"/>
      <c r="D372" s="247"/>
      <c r="E372" s="247"/>
      <c r="F372" s="247"/>
      <c r="G372" s="247"/>
      <c r="H372" s="247"/>
      <c r="I372" s="247"/>
      <c r="J372" s="247"/>
      <c r="K372" s="247"/>
      <c r="L372" s="247"/>
      <c r="M372" s="253"/>
      <c r="N372" s="253"/>
      <c r="O372" s="253"/>
      <c r="P372" s="253"/>
      <c r="Q372" s="253"/>
      <c r="R372" s="253"/>
      <c r="S372" s="253"/>
      <c r="T372" s="253"/>
      <c r="U372" s="253"/>
      <c r="V372" s="247"/>
      <c r="W372" s="247"/>
      <c r="X372" s="247"/>
      <c r="Y372" s="247"/>
      <c r="Z372" s="247"/>
    </row>
    <row r="373">
      <c r="A373" s="247"/>
      <c r="B373" s="247"/>
      <c r="C373" s="247"/>
      <c r="D373" s="247"/>
      <c r="E373" s="247"/>
      <c r="F373" s="247"/>
      <c r="G373" s="247"/>
      <c r="H373" s="247"/>
      <c r="I373" s="247"/>
      <c r="J373" s="247"/>
      <c r="K373" s="247"/>
      <c r="L373" s="247"/>
      <c r="M373" s="253"/>
      <c r="N373" s="253"/>
      <c r="O373" s="253"/>
      <c r="P373" s="253"/>
      <c r="Q373" s="253"/>
      <c r="R373" s="253"/>
      <c r="S373" s="253"/>
      <c r="T373" s="253"/>
      <c r="U373" s="253"/>
      <c r="V373" s="247"/>
      <c r="W373" s="247"/>
      <c r="X373" s="247"/>
      <c r="Y373" s="247"/>
      <c r="Z373" s="247"/>
    </row>
    <row r="374">
      <c r="A374" s="247"/>
      <c r="B374" s="247"/>
      <c r="C374" s="247"/>
      <c r="D374" s="247"/>
      <c r="E374" s="247"/>
      <c r="F374" s="247"/>
      <c r="G374" s="247"/>
      <c r="H374" s="247"/>
      <c r="I374" s="247"/>
      <c r="J374" s="247"/>
      <c r="K374" s="247"/>
      <c r="L374" s="247"/>
      <c r="M374" s="253"/>
      <c r="N374" s="253"/>
      <c r="O374" s="253"/>
      <c r="P374" s="253"/>
      <c r="Q374" s="253"/>
      <c r="R374" s="253"/>
      <c r="S374" s="253"/>
      <c r="T374" s="253"/>
      <c r="U374" s="253"/>
      <c r="V374" s="247"/>
      <c r="W374" s="247"/>
      <c r="X374" s="247"/>
      <c r="Y374" s="247"/>
      <c r="Z374" s="247"/>
    </row>
    <row r="375">
      <c r="A375" s="247"/>
      <c r="B375" s="247"/>
      <c r="C375" s="247"/>
      <c r="D375" s="247"/>
      <c r="E375" s="247"/>
      <c r="F375" s="247"/>
      <c r="G375" s="247"/>
      <c r="H375" s="247"/>
      <c r="I375" s="247"/>
      <c r="J375" s="247"/>
      <c r="K375" s="247"/>
      <c r="L375" s="247"/>
      <c r="M375" s="253"/>
      <c r="N375" s="253"/>
      <c r="O375" s="253"/>
      <c r="P375" s="253"/>
      <c r="Q375" s="253"/>
      <c r="R375" s="253"/>
      <c r="S375" s="253"/>
      <c r="T375" s="253"/>
      <c r="U375" s="253"/>
      <c r="V375" s="247"/>
      <c r="W375" s="247"/>
      <c r="X375" s="247"/>
      <c r="Y375" s="247"/>
      <c r="Z375" s="247"/>
    </row>
    <row r="376">
      <c r="A376" s="247"/>
      <c r="B376" s="247"/>
      <c r="C376" s="247"/>
      <c r="D376" s="247"/>
      <c r="E376" s="247"/>
      <c r="F376" s="247"/>
      <c r="G376" s="247"/>
      <c r="H376" s="247"/>
      <c r="I376" s="247"/>
      <c r="J376" s="247"/>
      <c r="K376" s="247"/>
      <c r="L376" s="247"/>
      <c r="M376" s="253"/>
      <c r="N376" s="253"/>
      <c r="O376" s="253"/>
      <c r="P376" s="253"/>
      <c r="Q376" s="253"/>
      <c r="R376" s="253"/>
      <c r="S376" s="253"/>
      <c r="T376" s="253"/>
      <c r="U376" s="253"/>
      <c r="V376" s="247"/>
      <c r="W376" s="247"/>
      <c r="X376" s="247"/>
      <c r="Y376" s="247"/>
      <c r="Z376" s="247"/>
    </row>
    <row r="377">
      <c r="A377" s="247"/>
      <c r="B377" s="247"/>
      <c r="C377" s="247"/>
      <c r="D377" s="247"/>
      <c r="E377" s="247"/>
      <c r="F377" s="247"/>
      <c r="G377" s="247"/>
      <c r="H377" s="247"/>
      <c r="I377" s="247"/>
      <c r="J377" s="247"/>
      <c r="K377" s="247"/>
      <c r="L377" s="247"/>
      <c r="M377" s="253"/>
      <c r="N377" s="253"/>
      <c r="O377" s="253"/>
      <c r="P377" s="253"/>
      <c r="Q377" s="253"/>
      <c r="R377" s="253"/>
      <c r="S377" s="253"/>
      <c r="T377" s="253"/>
      <c r="U377" s="253"/>
      <c r="V377" s="247"/>
      <c r="W377" s="247"/>
      <c r="X377" s="247"/>
      <c r="Y377" s="247"/>
      <c r="Z377" s="247"/>
    </row>
    <row r="378">
      <c r="A378" s="247"/>
      <c r="B378" s="247"/>
      <c r="C378" s="247"/>
      <c r="D378" s="247"/>
      <c r="E378" s="247"/>
      <c r="F378" s="247"/>
      <c r="G378" s="247"/>
      <c r="H378" s="247"/>
      <c r="I378" s="247"/>
      <c r="J378" s="247"/>
      <c r="K378" s="247"/>
      <c r="L378" s="247"/>
      <c r="M378" s="253"/>
      <c r="N378" s="253"/>
      <c r="O378" s="253"/>
      <c r="P378" s="253"/>
      <c r="Q378" s="253"/>
      <c r="R378" s="253"/>
      <c r="S378" s="253"/>
      <c r="T378" s="253"/>
      <c r="U378" s="253"/>
      <c r="V378" s="247"/>
      <c r="W378" s="247"/>
      <c r="X378" s="247"/>
      <c r="Y378" s="247"/>
      <c r="Z378" s="247"/>
    </row>
    <row r="379">
      <c r="A379" s="247"/>
      <c r="B379" s="247"/>
      <c r="C379" s="247"/>
      <c r="D379" s="247"/>
      <c r="E379" s="247"/>
      <c r="F379" s="247"/>
      <c r="G379" s="247"/>
      <c r="H379" s="247"/>
      <c r="I379" s="247"/>
      <c r="J379" s="247"/>
      <c r="K379" s="247"/>
      <c r="L379" s="247"/>
      <c r="M379" s="253"/>
      <c r="N379" s="253"/>
      <c r="O379" s="253"/>
      <c r="P379" s="253"/>
      <c r="Q379" s="253"/>
      <c r="R379" s="253"/>
      <c r="S379" s="253"/>
      <c r="T379" s="253"/>
      <c r="U379" s="253"/>
      <c r="V379" s="247"/>
      <c r="W379" s="247"/>
      <c r="X379" s="247"/>
      <c r="Y379" s="247"/>
      <c r="Z379" s="247"/>
    </row>
    <row r="380">
      <c r="A380" s="247"/>
      <c r="B380" s="247"/>
      <c r="C380" s="247"/>
      <c r="D380" s="247"/>
      <c r="E380" s="247"/>
      <c r="F380" s="247"/>
      <c r="G380" s="247"/>
      <c r="H380" s="247"/>
      <c r="I380" s="247"/>
      <c r="J380" s="247"/>
      <c r="K380" s="247"/>
      <c r="L380" s="247"/>
      <c r="M380" s="253"/>
      <c r="N380" s="253"/>
      <c r="O380" s="253"/>
      <c r="P380" s="253"/>
      <c r="Q380" s="253"/>
      <c r="R380" s="253"/>
      <c r="S380" s="253"/>
      <c r="T380" s="253"/>
      <c r="U380" s="253"/>
      <c r="V380" s="247"/>
      <c r="W380" s="247"/>
      <c r="X380" s="247"/>
      <c r="Y380" s="247"/>
      <c r="Z380" s="247"/>
    </row>
    <row r="381">
      <c r="A381" s="247"/>
      <c r="B381" s="247"/>
      <c r="C381" s="247"/>
      <c r="D381" s="247"/>
      <c r="E381" s="247"/>
      <c r="F381" s="247"/>
      <c r="G381" s="247"/>
      <c r="H381" s="247"/>
      <c r="I381" s="247"/>
      <c r="J381" s="247"/>
      <c r="K381" s="247"/>
      <c r="L381" s="247"/>
      <c r="M381" s="253"/>
      <c r="N381" s="253"/>
      <c r="O381" s="253"/>
      <c r="P381" s="253"/>
      <c r="Q381" s="253"/>
      <c r="R381" s="253"/>
      <c r="S381" s="253"/>
      <c r="T381" s="253"/>
      <c r="U381" s="253"/>
      <c r="V381" s="247"/>
      <c r="W381" s="247"/>
      <c r="X381" s="247"/>
      <c r="Y381" s="247"/>
      <c r="Z381" s="247"/>
    </row>
    <row r="382">
      <c r="A382" s="247"/>
      <c r="B382" s="247"/>
      <c r="C382" s="247"/>
      <c r="D382" s="247"/>
      <c r="E382" s="247"/>
      <c r="F382" s="247"/>
      <c r="G382" s="247"/>
      <c r="H382" s="247"/>
      <c r="I382" s="247"/>
      <c r="J382" s="247"/>
      <c r="K382" s="247"/>
      <c r="L382" s="247"/>
      <c r="M382" s="253"/>
      <c r="N382" s="253"/>
      <c r="O382" s="253"/>
      <c r="P382" s="253"/>
      <c r="Q382" s="253"/>
      <c r="R382" s="253"/>
      <c r="S382" s="253"/>
      <c r="T382" s="253"/>
      <c r="U382" s="253"/>
      <c r="V382" s="247"/>
      <c r="W382" s="247"/>
      <c r="X382" s="247"/>
      <c r="Y382" s="247"/>
      <c r="Z382" s="247"/>
    </row>
    <row r="383">
      <c r="A383" s="247"/>
      <c r="B383" s="247"/>
      <c r="C383" s="247"/>
      <c r="D383" s="247"/>
      <c r="E383" s="247"/>
      <c r="F383" s="247"/>
      <c r="G383" s="247"/>
      <c r="H383" s="247"/>
      <c r="I383" s="247"/>
      <c r="J383" s="247"/>
      <c r="K383" s="247"/>
      <c r="L383" s="247"/>
      <c r="M383" s="253"/>
      <c r="N383" s="253"/>
      <c r="O383" s="253"/>
      <c r="P383" s="253"/>
      <c r="Q383" s="253"/>
      <c r="R383" s="253"/>
      <c r="S383" s="253"/>
      <c r="T383" s="253"/>
      <c r="U383" s="253"/>
      <c r="V383" s="247"/>
      <c r="W383" s="247"/>
      <c r="X383" s="247"/>
      <c r="Y383" s="247"/>
      <c r="Z383" s="247"/>
    </row>
    <row r="384">
      <c r="A384" s="247"/>
      <c r="B384" s="247"/>
      <c r="C384" s="247"/>
      <c r="D384" s="247"/>
      <c r="E384" s="247"/>
      <c r="F384" s="247"/>
      <c r="G384" s="247"/>
      <c r="H384" s="247"/>
      <c r="I384" s="247"/>
      <c r="J384" s="247"/>
      <c r="K384" s="247"/>
      <c r="L384" s="247"/>
      <c r="M384" s="253"/>
      <c r="N384" s="253"/>
      <c r="O384" s="253"/>
      <c r="P384" s="253"/>
      <c r="Q384" s="253"/>
      <c r="R384" s="253"/>
      <c r="S384" s="253"/>
      <c r="T384" s="253"/>
      <c r="U384" s="253"/>
      <c r="V384" s="247"/>
      <c r="W384" s="247"/>
      <c r="X384" s="247"/>
      <c r="Y384" s="247"/>
      <c r="Z384" s="247"/>
    </row>
    <row r="385">
      <c r="A385" s="247"/>
      <c r="B385" s="247"/>
      <c r="C385" s="247"/>
      <c r="D385" s="247"/>
      <c r="E385" s="247"/>
      <c r="F385" s="247"/>
      <c r="G385" s="247"/>
      <c r="H385" s="247"/>
      <c r="I385" s="247"/>
      <c r="J385" s="247"/>
      <c r="K385" s="247"/>
      <c r="L385" s="247"/>
      <c r="M385" s="253"/>
      <c r="N385" s="253"/>
      <c r="O385" s="253"/>
      <c r="P385" s="253"/>
      <c r="Q385" s="253"/>
      <c r="R385" s="253"/>
      <c r="S385" s="253"/>
      <c r="T385" s="253"/>
      <c r="U385" s="253"/>
      <c r="V385" s="247"/>
      <c r="W385" s="247"/>
      <c r="X385" s="247"/>
      <c r="Y385" s="247"/>
      <c r="Z385" s="247"/>
    </row>
    <row r="386">
      <c r="A386" s="247"/>
      <c r="B386" s="247"/>
      <c r="C386" s="247"/>
      <c r="D386" s="247"/>
      <c r="E386" s="247"/>
      <c r="F386" s="247"/>
      <c r="G386" s="247"/>
      <c r="H386" s="247"/>
      <c r="I386" s="247"/>
      <c r="J386" s="247"/>
      <c r="K386" s="247"/>
      <c r="L386" s="247"/>
      <c r="M386" s="253"/>
      <c r="N386" s="253"/>
      <c r="O386" s="253"/>
      <c r="P386" s="253"/>
      <c r="Q386" s="253"/>
      <c r="R386" s="253"/>
      <c r="S386" s="253"/>
      <c r="T386" s="253"/>
      <c r="U386" s="253"/>
      <c r="V386" s="247"/>
      <c r="W386" s="247"/>
      <c r="X386" s="247"/>
      <c r="Y386" s="247"/>
      <c r="Z386" s="247"/>
    </row>
    <row r="387">
      <c r="A387" s="247"/>
      <c r="B387" s="247"/>
      <c r="C387" s="247"/>
      <c r="D387" s="247"/>
      <c r="E387" s="247"/>
      <c r="F387" s="247"/>
      <c r="G387" s="247"/>
      <c r="H387" s="247"/>
      <c r="I387" s="247"/>
      <c r="J387" s="247"/>
      <c r="K387" s="247"/>
      <c r="L387" s="247"/>
      <c r="M387" s="253"/>
      <c r="N387" s="253"/>
      <c r="O387" s="253"/>
      <c r="P387" s="253"/>
      <c r="Q387" s="253"/>
      <c r="R387" s="253"/>
      <c r="S387" s="253"/>
      <c r="T387" s="253"/>
      <c r="U387" s="253"/>
      <c r="V387" s="247"/>
      <c r="W387" s="247"/>
      <c r="X387" s="247"/>
      <c r="Y387" s="247"/>
      <c r="Z387" s="247"/>
    </row>
    <row r="388">
      <c r="A388" s="247"/>
      <c r="B388" s="247"/>
      <c r="C388" s="247"/>
      <c r="D388" s="247"/>
      <c r="E388" s="247"/>
      <c r="F388" s="247"/>
      <c r="G388" s="247"/>
      <c r="H388" s="247"/>
      <c r="I388" s="247"/>
      <c r="J388" s="247"/>
      <c r="K388" s="247"/>
      <c r="L388" s="247"/>
      <c r="M388" s="253"/>
      <c r="N388" s="253"/>
      <c r="O388" s="253"/>
      <c r="P388" s="253"/>
      <c r="Q388" s="253"/>
      <c r="R388" s="253"/>
      <c r="S388" s="253"/>
      <c r="T388" s="253"/>
      <c r="U388" s="253"/>
      <c r="V388" s="247"/>
      <c r="W388" s="247"/>
      <c r="X388" s="247"/>
      <c r="Y388" s="247"/>
      <c r="Z388" s="247"/>
    </row>
    <row r="389">
      <c r="A389" s="247"/>
      <c r="B389" s="247"/>
      <c r="C389" s="247"/>
      <c r="D389" s="247"/>
      <c r="E389" s="247"/>
      <c r="F389" s="247"/>
      <c r="G389" s="247"/>
      <c r="H389" s="247"/>
      <c r="I389" s="247"/>
      <c r="J389" s="247"/>
      <c r="K389" s="247"/>
      <c r="L389" s="247"/>
      <c r="M389" s="253"/>
      <c r="N389" s="253"/>
      <c r="O389" s="253"/>
      <c r="P389" s="253"/>
      <c r="Q389" s="253"/>
      <c r="R389" s="253"/>
      <c r="S389" s="253"/>
      <c r="T389" s="253"/>
      <c r="U389" s="253"/>
      <c r="V389" s="247"/>
      <c r="W389" s="247"/>
      <c r="X389" s="247"/>
      <c r="Y389" s="247"/>
      <c r="Z389" s="247"/>
    </row>
    <row r="390">
      <c r="A390" s="247"/>
      <c r="B390" s="247"/>
      <c r="C390" s="247"/>
      <c r="D390" s="247"/>
      <c r="E390" s="247"/>
      <c r="F390" s="247"/>
      <c r="G390" s="247"/>
      <c r="H390" s="247"/>
      <c r="I390" s="247"/>
      <c r="J390" s="247"/>
      <c r="K390" s="247"/>
      <c r="L390" s="247"/>
      <c r="M390" s="253"/>
      <c r="N390" s="253"/>
      <c r="O390" s="253"/>
      <c r="P390" s="253"/>
      <c r="Q390" s="253"/>
      <c r="R390" s="253"/>
      <c r="S390" s="253"/>
      <c r="T390" s="253"/>
      <c r="U390" s="253"/>
      <c r="V390" s="247"/>
      <c r="W390" s="247"/>
      <c r="X390" s="247"/>
      <c r="Y390" s="247"/>
      <c r="Z390" s="247"/>
    </row>
    <row r="391">
      <c r="A391" s="247"/>
      <c r="B391" s="247"/>
      <c r="C391" s="247"/>
      <c r="D391" s="247"/>
      <c r="E391" s="247"/>
      <c r="F391" s="247"/>
      <c r="G391" s="247"/>
      <c r="H391" s="247"/>
      <c r="I391" s="247"/>
      <c r="J391" s="247"/>
      <c r="K391" s="247"/>
      <c r="L391" s="247"/>
      <c r="M391" s="253"/>
      <c r="N391" s="253"/>
      <c r="O391" s="253"/>
      <c r="P391" s="253"/>
      <c r="Q391" s="253"/>
      <c r="R391" s="253"/>
      <c r="S391" s="253"/>
      <c r="T391" s="253"/>
      <c r="U391" s="253"/>
      <c r="V391" s="247"/>
      <c r="W391" s="247"/>
      <c r="X391" s="247"/>
      <c r="Y391" s="247"/>
      <c r="Z391" s="247"/>
    </row>
    <row r="392">
      <c r="A392" s="247"/>
      <c r="B392" s="247"/>
      <c r="C392" s="247"/>
      <c r="D392" s="247"/>
      <c r="E392" s="247"/>
      <c r="F392" s="247"/>
      <c r="G392" s="247"/>
      <c r="H392" s="247"/>
      <c r="I392" s="247"/>
      <c r="J392" s="247"/>
      <c r="K392" s="247"/>
      <c r="L392" s="247"/>
      <c r="M392" s="253"/>
      <c r="N392" s="253"/>
      <c r="O392" s="253"/>
      <c r="P392" s="253"/>
      <c r="Q392" s="253"/>
      <c r="R392" s="253"/>
      <c r="S392" s="253"/>
      <c r="T392" s="253"/>
      <c r="U392" s="253"/>
      <c r="V392" s="247"/>
      <c r="W392" s="247"/>
      <c r="X392" s="247"/>
      <c r="Y392" s="247"/>
      <c r="Z392" s="247"/>
    </row>
    <row r="393">
      <c r="A393" s="247"/>
      <c r="B393" s="247"/>
      <c r="C393" s="247"/>
      <c r="D393" s="247"/>
      <c r="E393" s="247"/>
      <c r="F393" s="247"/>
      <c r="G393" s="247"/>
      <c r="H393" s="247"/>
      <c r="I393" s="247"/>
      <c r="J393" s="247"/>
      <c r="K393" s="247"/>
      <c r="L393" s="247"/>
      <c r="M393" s="253"/>
      <c r="N393" s="253"/>
      <c r="O393" s="253"/>
      <c r="P393" s="253"/>
      <c r="Q393" s="253"/>
      <c r="R393" s="253"/>
      <c r="S393" s="253"/>
      <c r="T393" s="253"/>
      <c r="U393" s="253"/>
      <c r="V393" s="247"/>
      <c r="W393" s="247"/>
      <c r="X393" s="247"/>
      <c r="Y393" s="247"/>
      <c r="Z393" s="247"/>
    </row>
    <row r="394">
      <c r="A394" s="247"/>
      <c r="B394" s="247"/>
      <c r="C394" s="247"/>
      <c r="D394" s="247"/>
      <c r="E394" s="247"/>
      <c r="F394" s="247"/>
      <c r="G394" s="247"/>
      <c r="H394" s="247"/>
      <c r="I394" s="247"/>
      <c r="J394" s="247"/>
      <c r="K394" s="247"/>
      <c r="L394" s="247"/>
      <c r="M394" s="253"/>
      <c r="N394" s="253"/>
      <c r="O394" s="253"/>
      <c r="P394" s="253"/>
      <c r="Q394" s="253"/>
      <c r="R394" s="253"/>
      <c r="S394" s="253"/>
      <c r="T394" s="253"/>
      <c r="U394" s="253"/>
      <c r="V394" s="247"/>
      <c r="W394" s="247"/>
      <c r="X394" s="247"/>
      <c r="Y394" s="247"/>
      <c r="Z394" s="247"/>
    </row>
    <row r="395">
      <c r="A395" s="247"/>
      <c r="B395" s="247"/>
      <c r="C395" s="247"/>
      <c r="D395" s="247"/>
      <c r="E395" s="247"/>
      <c r="F395" s="247"/>
      <c r="G395" s="247"/>
      <c r="H395" s="247"/>
      <c r="I395" s="247"/>
      <c r="J395" s="247"/>
      <c r="K395" s="247"/>
      <c r="L395" s="247"/>
      <c r="M395" s="253"/>
      <c r="N395" s="253"/>
      <c r="O395" s="253"/>
      <c r="P395" s="253"/>
      <c r="Q395" s="253"/>
      <c r="R395" s="253"/>
      <c r="S395" s="253"/>
      <c r="T395" s="253"/>
      <c r="U395" s="253"/>
      <c r="V395" s="247"/>
      <c r="W395" s="247"/>
      <c r="X395" s="247"/>
      <c r="Y395" s="247"/>
      <c r="Z395" s="247"/>
    </row>
    <row r="396">
      <c r="A396" s="247"/>
      <c r="B396" s="247"/>
      <c r="C396" s="247"/>
      <c r="D396" s="247"/>
      <c r="E396" s="247"/>
      <c r="F396" s="247"/>
      <c r="G396" s="247"/>
      <c r="H396" s="247"/>
      <c r="I396" s="247"/>
      <c r="J396" s="247"/>
      <c r="K396" s="247"/>
      <c r="L396" s="247"/>
      <c r="M396" s="253"/>
      <c r="N396" s="253"/>
      <c r="O396" s="253"/>
      <c r="P396" s="253"/>
      <c r="Q396" s="253"/>
      <c r="R396" s="253"/>
      <c r="S396" s="253"/>
      <c r="T396" s="253"/>
      <c r="U396" s="253"/>
      <c r="V396" s="247"/>
      <c r="W396" s="247"/>
      <c r="X396" s="247"/>
      <c r="Y396" s="247"/>
      <c r="Z396" s="247"/>
    </row>
    <row r="397">
      <c r="A397" s="247"/>
      <c r="B397" s="247"/>
      <c r="C397" s="247"/>
      <c r="D397" s="247"/>
      <c r="E397" s="247"/>
      <c r="F397" s="247"/>
      <c r="G397" s="247"/>
      <c r="H397" s="247"/>
      <c r="I397" s="247"/>
      <c r="J397" s="247"/>
      <c r="K397" s="247"/>
      <c r="L397" s="247"/>
      <c r="M397" s="253"/>
      <c r="N397" s="253"/>
      <c r="O397" s="253"/>
      <c r="P397" s="253"/>
      <c r="Q397" s="253"/>
      <c r="R397" s="253"/>
      <c r="S397" s="253"/>
      <c r="T397" s="253"/>
      <c r="U397" s="253"/>
      <c r="V397" s="247"/>
      <c r="W397" s="247"/>
      <c r="X397" s="247"/>
      <c r="Y397" s="247"/>
      <c r="Z397" s="247"/>
    </row>
    <row r="398">
      <c r="A398" s="247"/>
      <c r="B398" s="247"/>
      <c r="C398" s="247"/>
      <c r="D398" s="247"/>
      <c r="E398" s="247"/>
      <c r="F398" s="247"/>
      <c r="G398" s="247"/>
      <c r="H398" s="247"/>
      <c r="I398" s="247"/>
      <c r="J398" s="247"/>
      <c r="K398" s="247"/>
      <c r="L398" s="247"/>
      <c r="M398" s="253"/>
      <c r="N398" s="253"/>
      <c r="O398" s="253"/>
      <c r="P398" s="253"/>
      <c r="Q398" s="253"/>
      <c r="R398" s="253"/>
      <c r="S398" s="253"/>
      <c r="T398" s="253"/>
      <c r="U398" s="253"/>
      <c r="V398" s="247"/>
      <c r="W398" s="247"/>
      <c r="X398" s="247"/>
      <c r="Y398" s="247"/>
      <c r="Z398" s="247"/>
    </row>
    <row r="399">
      <c r="A399" s="247"/>
      <c r="B399" s="247"/>
      <c r="C399" s="247"/>
      <c r="D399" s="247"/>
      <c r="E399" s="247"/>
      <c r="F399" s="247"/>
      <c r="G399" s="247"/>
      <c r="H399" s="247"/>
      <c r="I399" s="247"/>
      <c r="J399" s="247"/>
      <c r="K399" s="247"/>
      <c r="L399" s="247"/>
      <c r="M399" s="253"/>
      <c r="N399" s="253"/>
      <c r="O399" s="253"/>
      <c r="P399" s="253"/>
      <c r="Q399" s="253"/>
      <c r="R399" s="253"/>
      <c r="S399" s="253"/>
      <c r="T399" s="253"/>
      <c r="U399" s="253"/>
      <c r="V399" s="247"/>
      <c r="W399" s="247"/>
      <c r="X399" s="247"/>
      <c r="Y399" s="247"/>
      <c r="Z399" s="247"/>
    </row>
    <row r="400">
      <c r="A400" s="247"/>
      <c r="B400" s="247"/>
      <c r="C400" s="247"/>
      <c r="D400" s="247"/>
      <c r="E400" s="247"/>
      <c r="F400" s="247"/>
      <c r="G400" s="247"/>
      <c r="H400" s="247"/>
      <c r="I400" s="247"/>
      <c r="J400" s="247"/>
      <c r="K400" s="247"/>
      <c r="L400" s="247"/>
      <c r="M400" s="253"/>
      <c r="N400" s="253"/>
      <c r="O400" s="253"/>
      <c r="P400" s="253"/>
      <c r="Q400" s="253"/>
      <c r="R400" s="253"/>
      <c r="S400" s="253"/>
      <c r="T400" s="253"/>
      <c r="U400" s="253"/>
      <c r="V400" s="247"/>
      <c r="W400" s="247"/>
      <c r="X400" s="247"/>
      <c r="Y400" s="247"/>
      <c r="Z400" s="247"/>
    </row>
    <row r="401">
      <c r="A401" s="247"/>
      <c r="B401" s="247"/>
      <c r="C401" s="247"/>
      <c r="D401" s="247"/>
      <c r="E401" s="247"/>
      <c r="F401" s="247"/>
      <c r="G401" s="247"/>
      <c r="H401" s="247"/>
      <c r="I401" s="247"/>
      <c r="J401" s="247"/>
      <c r="K401" s="247"/>
      <c r="L401" s="247"/>
      <c r="M401" s="253"/>
      <c r="N401" s="253"/>
      <c r="O401" s="253"/>
      <c r="P401" s="253"/>
      <c r="Q401" s="253"/>
      <c r="R401" s="253"/>
      <c r="S401" s="253"/>
      <c r="T401" s="253"/>
      <c r="U401" s="253"/>
      <c r="V401" s="247"/>
      <c r="W401" s="247"/>
      <c r="X401" s="247"/>
      <c r="Y401" s="247"/>
      <c r="Z401" s="247"/>
    </row>
    <row r="402">
      <c r="A402" s="247"/>
      <c r="B402" s="247"/>
      <c r="C402" s="247"/>
      <c r="D402" s="247"/>
      <c r="E402" s="247"/>
      <c r="F402" s="247"/>
      <c r="G402" s="247"/>
      <c r="H402" s="247"/>
      <c r="I402" s="247"/>
      <c r="J402" s="247"/>
      <c r="K402" s="247"/>
      <c r="L402" s="247"/>
      <c r="M402" s="253"/>
      <c r="N402" s="253"/>
      <c r="O402" s="253"/>
      <c r="P402" s="253"/>
      <c r="Q402" s="253"/>
      <c r="R402" s="253"/>
      <c r="S402" s="253"/>
      <c r="T402" s="253"/>
      <c r="U402" s="253"/>
      <c r="V402" s="247"/>
      <c r="W402" s="247"/>
      <c r="X402" s="247"/>
      <c r="Y402" s="247"/>
      <c r="Z402" s="247"/>
    </row>
    <row r="403">
      <c r="A403" s="247"/>
      <c r="B403" s="247"/>
      <c r="C403" s="247"/>
      <c r="D403" s="247"/>
      <c r="E403" s="247"/>
      <c r="F403" s="247"/>
      <c r="G403" s="247"/>
      <c r="H403" s="247"/>
      <c r="I403" s="247"/>
      <c r="J403" s="247"/>
      <c r="K403" s="247"/>
      <c r="L403" s="247"/>
      <c r="M403" s="253"/>
      <c r="N403" s="253"/>
      <c r="O403" s="253"/>
      <c r="P403" s="253"/>
      <c r="Q403" s="253"/>
      <c r="R403" s="253"/>
      <c r="S403" s="253"/>
      <c r="T403" s="253"/>
      <c r="U403" s="253"/>
      <c r="V403" s="247"/>
      <c r="W403" s="247"/>
      <c r="X403" s="247"/>
      <c r="Y403" s="247"/>
      <c r="Z403" s="247"/>
    </row>
    <row r="404">
      <c r="A404" s="247"/>
      <c r="B404" s="247"/>
      <c r="C404" s="247"/>
      <c r="D404" s="247"/>
      <c r="E404" s="247"/>
      <c r="F404" s="247"/>
      <c r="G404" s="247"/>
      <c r="H404" s="247"/>
      <c r="I404" s="247"/>
      <c r="J404" s="247"/>
      <c r="K404" s="247"/>
      <c r="L404" s="247"/>
      <c r="M404" s="253"/>
      <c r="N404" s="253"/>
      <c r="O404" s="253"/>
      <c r="P404" s="253"/>
      <c r="Q404" s="253"/>
      <c r="R404" s="253"/>
      <c r="S404" s="253"/>
      <c r="T404" s="253"/>
      <c r="U404" s="253"/>
      <c r="V404" s="247"/>
      <c r="W404" s="247"/>
      <c r="X404" s="247"/>
      <c r="Y404" s="247"/>
      <c r="Z404" s="247"/>
    </row>
    <row r="405">
      <c r="A405" s="247"/>
      <c r="B405" s="247"/>
      <c r="C405" s="247"/>
      <c r="D405" s="247"/>
      <c r="E405" s="247"/>
      <c r="F405" s="247"/>
      <c r="G405" s="247"/>
      <c r="H405" s="247"/>
      <c r="I405" s="247"/>
      <c r="J405" s="247"/>
      <c r="K405" s="247"/>
      <c r="L405" s="247"/>
      <c r="M405" s="253"/>
      <c r="N405" s="253"/>
      <c r="O405" s="253"/>
      <c r="P405" s="253"/>
      <c r="Q405" s="253"/>
      <c r="R405" s="253"/>
      <c r="S405" s="253"/>
      <c r="T405" s="253"/>
      <c r="U405" s="253"/>
      <c r="V405" s="247"/>
      <c r="W405" s="247"/>
      <c r="X405" s="247"/>
      <c r="Y405" s="247"/>
      <c r="Z405" s="247"/>
    </row>
    <row r="406">
      <c r="A406" s="247"/>
      <c r="B406" s="247"/>
      <c r="C406" s="247"/>
      <c r="D406" s="247"/>
      <c r="E406" s="247"/>
      <c r="F406" s="247"/>
      <c r="G406" s="247"/>
      <c r="H406" s="247"/>
      <c r="I406" s="247"/>
      <c r="J406" s="247"/>
      <c r="K406" s="247"/>
      <c r="L406" s="247"/>
      <c r="M406" s="253"/>
      <c r="N406" s="253"/>
      <c r="O406" s="253"/>
      <c r="P406" s="253"/>
      <c r="Q406" s="253"/>
      <c r="R406" s="253"/>
      <c r="S406" s="253"/>
      <c r="T406" s="253"/>
      <c r="U406" s="253"/>
      <c r="V406" s="247"/>
      <c r="W406" s="247"/>
      <c r="X406" s="247"/>
      <c r="Y406" s="247"/>
      <c r="Z406" s="247"/>
    </row>
    <row r="407">
      <c r="A407" s="247"/>
      <c r="B407" s="247"/>
      <c r="C407" s="247"/>
      <c r="D407" s="247"/>
      <c r="E407" s="247"/>
      <c r="F407" s="247"/>
      <c r="G407" s="247"/>
      <c r="H407" s="247"/>
      <c r="I407" s="247"/>
      <c r="J407" s="247"/>
      <c r="K407" s="247"/>
      <c r="L407" s="247"/>
      <c r="M407" s="253"/>
      <c r="N407" s="253"/>
      <c r="O407" s="253"/>
      <c r="P407" s="253"/>
      <c r="Q407" s="253"/>
      <c r="R407" s="253"/>
      <c r="S407" s="253"/>
      <c r="T407" s="253"/>
      <c r="U407" s="253"/>
      <c r="V407" s="247"/>
      <c r="W407" s="247"/>
      <c r="X407" s="247"/>
      <c r="Y407" s="247"/>
      <c r="Z407" s="247"/>
    </row>
    <row r="408">
      <c r="A408" s="247"/>
      <c r="B408" s="247"/>
      <c r="C408" s="247"/>
      <c r="D408" s="247"/>
      <c r="E408" s="247"/>
      <c r="F408" s="247"/>
      <c r="G408" s="247"/>
      <c r="H408" s="247"/>
      <c r="I408" s="247"/>
      <c r="J408" s="247"/>
      <c r="K408" s="247"/>
      <c r="L408" s="247"/>
      <c r="M408" s="253"/>
      <c r="N408" s="253"/>
      <c r="O408" s="253"/>
      <c r="P408" s="253"/>
      <c r="Q408" s="253"/>
      <c r="R408" s="253"/>
      <c r="S408" s="253"/>
      <c r="T408" s="253"/>
      <c r="U408" s="253"/>
      <c r="V408" s="247"/>
      <c r="W408" s="247"/>
      <c r="X408" s="247"/>
      <c r="Y408" s="247"/>
      <c r="Z408" s="247"/>
    </row>
    <row r="409">
      <c r="A409" s="247"/>
      <c r="B409" s="247"/>
      <c r="C409" s="247"/>
      <c r="D409" s="247"/>
      <c r="E409" s="247"/>
      <c r="F409" s="247"/>
      <c r="G409" s="247"/>
      <c r="H409" s="247"/>
      <c r="I409" s="247"/>
      <c r="J409" s="247"/>
      <c r="K409" s="247"/>
      <c r="L409" s="247"/>
      <c r="M409" s="253"/>
      <c r="N409" s="253"/>
      <c r="O409" s="253"/>
      <c r="P409" s="253"/>
      <c r="Q409" s="253"/>
      <c r="R409" s="253"/>
      <c r="S409" s="253"/>
      <c r="T409" s="253"/>
      <c r="U409" s="253"/>
      <c r="V409" s="247"/>
      <c r="W409" s="247"/>
      <c r="X409" s="247"/>
      <c r="Y409" s="247"/>
      <c r="Z409" s="247"/>
    </row>
    <row r="410">
      <c r="A410" s="247"/>
      <c r="B410" s="247"/>
      <c r="C410" s="247"/>
      <c r="D410" s="247"/>
      <c r="E410" s="247"/>
      <c r="F410" s="247"/>
      <c r="G410" s="247"/>
      <c r="H410" s="247"/>
      <c r="I410" s="247"/>
      <c r="J410" s="247"/>
      <c r="K410" s="247"/>
      <c r="L410" s="247"/>
      <c r="M410" s="253"/>
      <c r="N410" s="253"/>
      <c r="O410" s="253"/>
      <c r="P410" s="253"/>
      <c r="Q410" s="253"/>
      <c r="R410" s="253"/>
      <c r="S410" s="253"/>
      <c r="T410" s="253"/>
      <c r="U410" s="253"/>
      <c r="V410" s="247"/>
      <c r="W410" s="247"/>
      <c r="X410" s="247"/>
      <c r="Y410" s="247"/>
      <c r="Z410" s="247"/>
    </row>
    <row r="411">
      <c r="A411" s="247"/>
      <c r="B411" s="247"/>
      <c r="C411" s="247"/>
      <c r="D411" s="247"/>
      <c r="E411" s="247"/>
      <c r="F411" s="247"/>
      <c r="G411" s="247"/>
      <c r="H411" s="247"/>
      <c r="I411" s="247"/>
      <c r="J411" s="247"/>
      <c r="K411" s="247"/>
      <c r="L411" s="247"/>
      <c r="M411" s="253"/>
      <c r="N411" s="253"/>
      <c r="O411" s="253"/>
      <c r="P411" s="253"/>
      <c r="Q411" s="253"/>
      <c r="R411" s="253"/>
      <c r="S411" s="253"/>
      <c r="T411" s="253"/>
      <c r="U411" s="253"/>
      <c r="V411" s="247"/>
      <c r="W411" s="247"/>
      <c r="X411" s="247"/>
      <c r="Y411" s="247"/>
      <c r="Z411" s="247"/>
    </row>
    <row r="412">
      <c r="A412" s="247"/>
      <c r="B412" s="247"/>
      <c r="C412" s="247"/>
      <c r="D412" s="247"/>
      <c r="E412" s="247"/>
      <c r="F412" s="247"/>
      <c r="G412" s="247"/>
      <c r="H412" s="247"/>
      <c r="I412" s="247"/>
      <c r="J412" s="247"/>
      <c r="K412" s="247"/>
      <c r="L412" s="247"/>
      <c r="M412" s="253"/>
      <c r="N412" s="253"/>
      <c r="O412" s="253"/>
      <c r="P412" s="253"/>
      <c r="Q412" s="253"/>
      <c r="R412" s="253"/>
      <c r="S412" s="253"/>
      <c r="T412" s="253"/>
      <c r="U412" s="253"/>
      <c r="V412" s="247"/>
      <c r="W412" s="247"/>
      <c r="X412" s="247"/>
      <c r="Y412" s="247"/>
      <c r="Z412" s="247"/>
    </row>
    <row r="413">
      <c r="A413" s="247"/>
      <c r="B413" s="247"/>
      <c r="C413" s="247"/>
      <c r="D413" s="247"/>
      <c r="E413" s="247"/>
      <c r="F413" s="247"/>
      <c r="G413" s="247"/>
      <c r="H413" s="247"/>
      <c r="I413" s="247"/>
      <c r="J413" s="247"/>
      <c r="K413" s="247"/>
      <c r="L413" s="247"/>
      <c r="M413" s="253"/>
      <c r="N413" s="253"/>
      <c r="O413" s="253"/>
      <c r="P413" s="253"/>
      <c r="Q413" s="253"/>
      <c r="R413" s="253"/>
      <c r="S413" s="253"/>
      <c r="T413" s="253"/>
      <c r="U413" s="253"/>
      <c r="V413" s="247"/>
      <c r="W413" s="247"/>
      <c r="X413" s="247"/>
      <c r="Y413" s="247"/>
      <c r="Z413" s="247"/>
    </row>
    <row r="414">
      <c r="A414" s="247"/>
      <c r="B414" s="247"/>
      <c r="C414" s="247"/>
      <c r="D414" s="247"/>
      <c r="E414" s="247"/>
      <c r="F414" s="247"/>
      <c r="G414" s="247"/>
      <c r="H414" s="247"/>
      <c r="I414" s="247"/>
      <c r="J414" s="247"/>
      <c r="K414" s="247"/>
      <c r="L414" s="247"/>
      <c r="M414" s="253"/>
      <c r="N414" s="253"/>
      <c r="O414" s="253"/>
      <c r="P414" s="253"/>
      <c r="Q414" s="253"/>
      <c r="R414" s="253"/>
      <c r="S414" s="253"/>
      <c r="T414" s="253"/>
      <c r="U414" s="253"/>
      <c r="V414" s="247"/>
      <c r="W414" s="247"/>
      <c r="X414" s="247"/>
      <c r="Y414" s="247"/>
      <c r="Z414" s="247"/>
    </row>
    <row r="415">
      <c r="A415" s="247"/>
      <c r="B415" s="247"/>
      <c r="C415" s="247"/>
      <c r="D415" s="247"/>
      <c r="E415" s="247"/>
      <c r="F415" s="247"/>
      <c r="G415" s="247"/>
      <c r="H415" s="247"/>
      <c r="I415" s="247"/>
      <c r="J415" s="247"/>
      <c r="K415" s="247"/>
      <c r="L415" s="247"/>
      <c r="M415" s="253"/>
      <c r="N415" s="253"/>
      <c r="O415" s="253"/>
      <c r="P415" s="253"/>
      <c r="Q415" s="253"/>
      <c r="R415" s="253"/>
      <c r="S415" s="253"/>
      <c r="T415" s="253"/>
      <c r="U415" s="253"/>
      <c r="V415" s="247"/>
      <c r="W415" s="247"/>
      <c r="X415" s="247"/>
      <c r="Y415" s="247"/>
      <c r="Z415" s="247"/>
    </row>
    <row r="416">
      <c r="A416" s="247"/>
      <c r="B416" s="247"/>
      <c r="C416" s="247"/>
      <c r="D416" s="247"/>
      <c r="E416" s="247"/>
      <c r="F416" s="247"/>
      <c r="G416" s="247"/>
      <c r="H416" s="247"/>
      <c r="I416" s="247"/>
      <c r="J416" s="247"/>
      <c r="K416" s="247"/>
      <c r="L416" s="247"/>
      <c r="M416" s="253"/>
      <c r="N416" s="253"/>
      <c r="O416" s="253"/>
      <c r="P416" s="253"/>
      <c r="Q416" s="253"/>
      <c r="R416" s="253"/>
      <c r="S416" s="253"/>
      <c r="T416" s="253"/>
      <c r="U416" s="253"/>
      <c r="V416" s="247"/>
      <c r="W416" s="247"/>
      <c r="X416" s="247"/>
      <c r="Y416" s="247"/>
      <c r="Z416" s="247"/>
    </row>
    <row r="417">
      <c r="A417" s="247"/>
      <c r="B417" s="247"/>
      <c r="C417" s="247"/>
      <c r="D417" s="247"/>
      <c r="E417" s="247"/>
      <c r="F417" s="247"/>
      <c r="G417" s="247"/>
      <c r="H417" s="247"/>
      <c r="I417" s="247"/>
      <c r="J417" s="247"/>
      <c r="K417" s="247"/>
      <c r="L417" s="247"/>
      <c r="M417" s="253"/>
      <c r="N417" s="253"/>
      <c r="O417" s="253"/>
      <c r="P417" s="253"/>
      <c r="Q417" s="253"/>
      <c r="R417" s="253"/>
      <c r="S417" s="253"/>
      <c r="T417" s="253"/>
      <c r="U417" s="253"/>
      <c r="V417" s="247"/>
      <c r="W417" s="247"/>
      <c r="X417" s="247"/>
      <c r="Y417" s="247"/>
      <c r="Z417" s="247"/>
    </row>
    <row r="418">
      <c r="A418" s="247"/>
      <c r="B418" s="247"/>
      <c r="C418" s="247"/>
      <c r="D418" s="247"/>
      <c r="E418" s="247"/>
      <c r="F418" s="247"/>
      <c r="G418" s="247"/>
      <c r="H418" s="247"/>
      <c r="I418" s="247"/>
      <c r="J418" s="247"/>
      <c r="K418" s="247"/>
      <c r="L418" s="247"/>
      <c r="M418" s="253"/>
      <c r="N418" s="253"/>
      <c r="O418" s="253"/>
      <c r="P418" s="253"/>
      <c r="Q418" s="253"/>
      <c r="R418" s="253"/>
      <c r="S418" s="253"/>
      <c r="T418" s="253"/>
      <c r="U418" s="253"/>
      <c r="V418" s="247"/>
      <c r="W418" s="247"/>
      <c r="X418" s="247"/>
      <c r="Y418" s="247"/>
      <c r="Z418" s="247"/>
    </row>
    <row r="419">
      <c r="A419" s="247"/>
      <c r="B419" s="247"/>
      <c r="C419" s="247"/>
      <c r="D419" s="247"/>
      <c r="E419" s="247"/>
      <c r="F419" s="247"/>
      <c r="G419" s="247"/>
      <c r="H419" s="247"/>
      <c r="I419" s="247"/>
      <c r="J419" s="247"/>
      <c r="K419" s="247"/>
      <c r="L419" s="247"/>
      <c r="M419" s="253"/>
      <c r="N419" s="253"/>
      <c r="O419" s="253"/>
      <c r="P419" s="253"/>
      <c r="Q419" s="253"/>
      <c r="R419" s="253"/>
      <c r="S419" s="253"/>
      <c r="T419" s="253"/>
      <c r="U419" s="253"/>
      <c r="V419" s="247"/>
      <c r="W419" s="247"/>
      <c r="X419" s="247"/>
      <c r="Y419" s="247"/>
      <c r="Z419" s="247"/>
    </row>
    <row r="420">
      <c r="A420" s="247"/>
      <c r="B420" s="247"/>
      <c r="C420" s="247"/>
      <c r="D420" s="247"/>
      <c r="E420" s="247"/>
      <c r="F420" s="247"/>
      <c r="G420" s="247"/>
      <c r="H420" s="247"/>
      <c r="I420" s="247"/>
      <c r="J420" s="247"/>
      <c r="K420" s="247"/>
      <c r="L420" s="247"/>
      <c r="M420" s="253"/>
      <c r="N420" s="253"/>
      <c r="O420" s="253"/>
      <c r="P420" s="253"/>
      <c r="Q420" s="253"/>
      <c r="R420" s="253"/>
      <c r="S420" s="253"/>
      <c r="T420" s="253"/>
      <c r="U420" s="253"/>
      <c r="V420" s="247"/>
      <c r="W420" s="247"/>
      <c r="X420" s="247"/>
      <c r="Y420" s="247"/>
      <c r="Z420" s="247"/>
    </row>
    <row r="421">
      <c r="A421" s="247"/>
      <c r="B421" s="247"/>
      <c r="C421" s="247"/>
      <c r="D421" s="247"/>
      <c r="E421" s="247"/>
      <c r="F421" s="247"/>
      <c r="G421" s="247"/>
      <c r="H421" s="247"/>
      <c r="I421" s="247"/>
      <c r="J421" s="247"/>
      <c r="K421" s="247"/>
      <c r="L421" s="247"/>
      <c r="M421" s="253"/>
      <c r="N421" s="253"/>
      <c r="O421" s="253"/>
      <c r="P421" s="253"/>
      <c r="Q421" s="253"/>
      <c r="R421" s="253"/>
      <c r="S421" s="253"/>
      <c r="T421" s="253"/>
      <c r="U421" s="253"/>
      <c r="V421" s="247"/>
      <c r="W421" s="247"/>
      <c r="X421" s="247"/>
      <c r="Y421" s="247"/>
      <c r="Z421" s="247"/>
    </row>
    <row r="422">
      <c r="A422" s="247"/>
      <c r="B422" s="247"/>
      <c r="C422" s="247"/>
      <c r="D422" s="247"/>
      <c r="E422" s="247"/>
      <c r="F422" s="247"/>
      <c r="G422" s="247"/>
      <c r="H422" s="247"/>
      <c r="I422" s="247"/>
      <c r="J422" s="247"/>
      <c r="K422" s="247"/>
      <c r="L422" s="247"/>
      <c r="M422" s="253"/>
      <c r="N422" s="253"/>
      <c r="O422" s="253"/>
      <c r="P422" s="253"/>
      <c r="Q422" s="253"/>
      <c r="R422" s="253"/>
      <c r="S422" s="253"/>
      <c r="T422" s="253"/>
      <c r="U422" s="253"/>
      <c r="V422" s="247"/>
      <c r="W422" s="247"/>
      <c r="X422" s="247"/>
      <c r="Y422" s="247"/>
      <c r="Z422" s="247"/>
    </row>
    <row r="423">
      <c r="A423" s="247"/>
      <c r="B423" s="247"/>
      <c r="C423" s="247"/>
      <c r="D423" s="247"/>
      <c r="E423" s="247"/>
      <c r="F423" s="247"/>
      <c r="G423" s="247"/>
      <c r="H423" s="247"/>
      <c r="I423" s="247"/>
      <c r="J423" s="247"/>
      <c r="K423" s="247"/>
      <c r="L423" s="247"/>
      <c r="M423" s="253"/>
      <c r="N423" s="253"/>
      <c r="O423" s="253"/>
      <c r="P423" s="253"/>
      <c r="Q423" s="253"/>
      <c r="R423" s="253"/>
      <c r="S423" s="253"/>
      <c r="T423" s="253"/>
      <c r="U423" s="253"/>
      <c r="V423" s="247"/>
      <c r="W423" s="247"/>
      <c r="X423" s="247"/>
      <c r="Y423" s="247"/>
      <c r="Z423" s="247"/>
    </row>
    <row r="424">
      <c r="A424" s="247"/>
      <c r="B424" s="247"/>
      <c r="C424" s="247"/>
      <c r="D424" s="247"/>
      <c r="E424" s="247"/>
      <c r="F424" s="247"/>
      <c r="G424" s="247"/>
      <c r="H424" s="247"/>
      <c r="I424" s="247"/>
      <c r="J424" s="247"/>
      <c r="K424" s="247"/>
      <c r="L424" s="247"/>
      <c r="M424" s="253"/>
      <c r="N424" s="253"/>
      <c r="O424" s="253"/>
      <c r="P424" s="253"/>
      <c r="Q424" s="253"/>
      <c r="R424" s="253"/>
      <c r="S424" s="253"/>
      <c r="T424" s="253"/>
      <c r="U424" s="253"/>
      <c r="V424" s="247"/>
      <c r="W424" s="247"/>
      <c r="X424" s="247"/>
      <c r="Y424" s="247"/>
      <c r="Z424" s="247"/>
    </row>
    <row r="425">
      <c r="A425" s="247"/>
      <c r="B425" s="247"/>
      <c r="C425" s="247"/>
      <c r="D425" s="247"/>
      <c r="E425" s="247"/>
      <c r="F425" s="247"/>
      <c r="G425" s="247"/>
      <c r="H425" s="247"/>
      <c r="I425" s="247"/>
      <c r="J425" s="247"/>
      <c r="K425" s="247"/>
      <c r="L425" s="247"/>
      <c r="M425" s="253"/>
      <c r="N425" s="253"/>
      <c r="O425" s="253"/>
      <c r="P425" s="253"/>
      <c r="Q425" s="253"/>
      <c r="R425" s="253"/>
      <c r="S425" s="253"/>
      <c r="T425" s="253"/>
      <c r="U425" s="253"/>
      <c r="V425" s="247"/>
      <c r="W425" s="247"/>
      <c r="X425" s="247"/>
      <c r="Y425" s="247"/>
      <c r="Z425" s="247"/>
    </row>
    <row r="426">
      <c r="A426" s="247"/>
      <c r="B426" s="247"/>
      <c r="C426" s="247"/>
      <c r="D426" s="247"/>
      <c r="E426" s="247"/>
      <c r="F426" s="247"/>
      <c r="G426" s="247"/>
      <c r="H426" s="247"/>
      <c r="I426" s="247"/>
      <c r="J426" s="247"/>
      <c r="K426" s="247"/>
      <c r="L426" s="247"/>
      <c r="M426" s="253"/>
      <c r="N426" s="253"/>
      <c r="O426" s="253"/>
      <c r="P426" s="253"/>
      <c r="Q426" s="253"/>
      <c r="R426" s="253"/>
      <c r="S426" s="253"/>
      <c r="T426" s="253"/>
      <c r="U426" s="253"/>
      <c r="V426" s="247"/>
      <c r="W426" s="247"/>
      <c r="X426" s="247"/>
      <c r="Y426" s="247"/>
      <c r="Z426" s="247"/>
    </row>
    <row r="427">
      <c r="A427" s="247"/>
      <c r="B427" s="247"/>
      <c r="C427" s="247"/>
      <c r="D427" s="247"/>
      <c r="E427" s="247"/>
      <c r="F427" s="247"/>
      <c r="G427" s="247"/>
      <c r="H427" s="247"/>
      <c r="I427" s="247"/>
      <c r="J427" s="247"/>
      <c r="K427" s="247"/>
      <c r="L427" s="247"/>
      <c r="M427" s="253"/>
      <c r="N427" s="253"/>
      <c r="O427" s="253"/>
      <c r="P427" s="253"/>
      <c r="Q427" s="253"/>
      <c r="R427" s="253"/>
      <c r="S427" s="253"/>
      <c r="T427" s="253"/>
      <c r="U427" s="253"/>
      <c r="V427" s="247"/>
      <c r="W427" s="247"/>
      <c r="X427" s="247"/>
      <c r="Y427" s="247"/>
      <c r="Z427" s="247"/>
    </row>
    <row r="428">
      <c r="A428" s="247"/>
      <c r="B428" s="247"/>
      <c r="C428" s="247"/>
      <c r="D428" s="247"/>
      <c r="E428" s="247"/>
      <c r="F428" s="247"/>
      <c r="G428" s="247"/>
      <c r="H428" s="247"/>
      <c r="I428" s="247"/>
      <c r="J428" s="247"/>
      <c r="K428" s="247"/>
      <c r="L428" s="247"/>
      <c r="M428" s="253"/>
      <c r="N428" s="253"/>
      <c r="O428" s="253"/>
      <c r="P428" s="253"/>
      <c r="Q428" s="253"/>
      <c r="R428" s="253"/>
      <c r="S428" s="253"/>
      <c r="T428" s="253"/>
      <c r="U428" s="253"/>
      <c r="V428" s="247"/>
      <c r="W428" s="247"/>
      <c r="X428" s="247"/>
      <c r="Y428" s="247"/>
      <c r="Z428" s="247"/>
    </row>
    <row r="429">
      <c r="A429" s="247"/>
      <c r="B429" s="247"/>
      <c r="C429" s="247"/>
      <c r="D429" s="247"/>
      <c r="E429" s="247"/>
      <c r="F429" s="247"/>
      <c r="G429" s="247"/>
      <c r="H429" s="247"/>
      <c r="I429" s="247"/>
      <c r="J429" s="247"/>
      <c r="K429" s="247"/>
      <c r="L429" s="247"/>
      <c r="M429" s="253"/>
      <c r="N429" s="253"/>
      <c r="O429" s="253"/>
      <c r="P429" s="253"/>
      <c r="Q429" s="253"/>
      <c r="R429" s="253"/>
      <c r="S429" s="253"/>
      <c r="T429" s="253"/>
      <c r="U429" s="253"/>
      <c r="V429" s="247"/>
      <c r="W429" s="247"/>
      <c r="X429" s="247"/>
      <c r="Y429" s="247"/>
      <c r="Z429" s="247"/>
    </row>
    <row r="430">
      <c r="A430" s="247"/>
      <c r="B430" s="247"/>
      <c r="C430" s="247"/>
      <c r="D430" s="247"/>
      <c r="E430" s="247"/>
      <c r="F430" s="247"/>
      <c r="G430" s="247"/>
      <c r="H430" s="247"/>
      <c r="I430" s="247"/>
      <c r="J430" s="247"/>
      <c r="K430" s="247"/>
      <c r="L430" s="247"/>
      <c r="M430" s="253"/>
      <c r="N430" s="253"/>
      <c r="O430" s="253"/>
      <c r="P430" s="253"/>
      <c r="Q430" s="253"/>
      <c r="R430" s="253"/>
      <c r="S430" s="253"/>
      <c r="T430" s="253"/>
      <c r="U430" s="253"/>
      <c r="V430" s="247"/>
      <c r="W430" s="247"/>
      <c r="X430" s="247"/>
      <c r="Y430" s="247"/>
      <c r="Z430" s="247"/>
    </row>
    <row r="431">
      <c r="A431" s="247"/>
      <c r="B431" s="247"/>
      <c r="C431" s="247"/>
      <c r="D431" s="247"/>
      <c r="E431" s="247"/>
      <c r="F431" s="247"/>
      <c r="G431" s="247"/>
      <c r="H431" s="247"/>
      <c r="I431" s="247"/>
      <c r="J431" s="247"/>
      <c r="K431" s="247"/>
      <c r="L431" s="247"/>
      <c r="M431" s="253"/>
      <c r="N431" s="253"/>
      <c r="O431" s="253"/>
      <c r="P431" s="253"/>
      <c r="Q431" s="253"/>
      <c r="R431" s="253"/>
      <c r="S431" s="253"/>
      <c r="T431" s="253"/>
      <c r="U431" s="253"/>
      <c r="V431" s="247"/>
      <c r="W431" s="247"/>
      <c r="X431" s="247"/>
      <c r="Y431" s="247"/>
      <c r="Z431" s="247"/>
    </row>
    <row r="432">
      <c r="A432" s="247"/>
      <c r="B432" s="247"/>
      <c r="C432" s="247"/>
      <c r="D432" s="247"/>
      <c r="E432" s="247"/>
      <c r="F432" s="247"/>
      <c r="G432" s="247"/>
      <c r="H432" s="247"/>
      <c r="I432" s="247"/>
      <c r="J432" s="247"/>
      <c r="K432" s="247"/>
      <c r="L432" s="247"/>
      <c r="M432" s="253"/>
      <c r="N432" s="253"/>
      <c r="O432" s="253"/>
      <c r="P432" s="253"/>
      <c r="Q432" s="253"/>
      <c r="R432" s="253"/>
      <c r="S432" s="253"/>
      <c r="T432" s="253"/>
      <c r="U432" s="253"/>
      <c r="V432" s="247"/>
      <c r="W432" s="247"/>
      <c r="X432" s="247"/>
      <c r="Y432" s="247"/>
      <c r="Z432" s="247"/>
    </row>
    <row r="433">
      <c r="A433" s="247"/>
      <c r="B433" s="247"/>
      <c r="C433" s="247"/>
      <c r="D433" s="247"/>
      <c r="E433" s="247"/>
      <c r="F433" s="247"/>
      <c r="G433" s="247"/>
      <c r="H433" s="247"/>
      <c r="I433" s="247"/>
      <c r="J433" s="247"/>
      <c r="K433" s="247"/>
      <c r="L433" s="247"/>
      <c r="M433" s="253"/>
      <c r="N433" s="253"/>
      <c r="O433" s="253"/>
      <c r="P433" s="253"/>
      <c r="Q433" s="253"/>
      <c r="R433" s="253"/>
      <c r="S433" s="253"/>
      <c r="T433" s="253"/>
      <c r="U433" s="253"/>
      <c r="V433" s="247"/>
      <c r="W433" s="247"/>
      <c r="X433" s="247"/>
      <c r="Y433" s="247"/>
      <c r="Z433" s="247"/>
    </row>
    <row r="434">
      <c r="A434" s="247"/>
      <c r="B434" s="247"/>
      <c r="C434" s="247"/>
      <c r="D434" s="247"/>
      <c r="E434" s="247"/>
      <c r="F434" s="247"/>
      <c r="G434" s="247"/>
      <c r="H434" s="247"/>
      <c r="I434" s="247"/>
      <c r="J434" s="247"/>
      <c r="K434" s="247"/>
      <c r="L434" s="247"/>
      <c r="M434" s="253"/>
      <c r="N434" s="253"/>
      <c r="O434" s="253"/>
      <c r="P434" s="253"/>
      <c r="Q434" s="253"/>
      <c r="R434" s="253"/>
      <c r="S434" s="253"/>
      <c r="T434" s="253"/>
      <c r="U434" s="253"/>
      <c r="V434" s="247"/>
      <c r="W434" s="247"/>
      <c r="X434" s="247"/>
      <c r="Y434" s="247"/>
      <c r="Z434" s="247"/>
    </row>
    <row r="435">
      <c r="A435" s="247"/>
      <c r="B435" s="247"/>
      <c r="C435" s="247"/>
      <c r="D435" s="247"/>
      <c r="E435" s="247"/>
      <c r="F435" s="247"/>
      <c r="G435" s="247"/>
      <c r="H435" s="247"/>
      <c r="I435" s="247"/>
      <c r="J435" s="247"/>
      <c r="K435" s="247"/>
      <c r="L435" s="247"/>
      <c r="M435" s="253"/>
      <c r="N435" s="253"/>
      <c r="O435" s="253"/>
      <c r="P435" s="253"/>
      <c r="Q435" s="253"/>
      <c r="R435" s="253"/>
      <c r="S435" s="253"/>
      <c r="T435" s="253"/>
      <c r="U435" s="253"/>
      <c r="V435" s="247"/>
      <c r="W435" s="247"/>
      <c r="X435" s="247"/>
      <c r="Y435" s="247"/>
      <c r="Z435" s="247"/>
    </row>
    <row r="436">
      <c r="A436" s="247"/>
      <c r="B436" s="247"/>
      <c r="C436" s="247"/>
      <c r="D436" s="247"/>
      <c r="E436" s="247"/>
      <c r="F436" s="247"/>
      <c r="G436" s="247"/>
      <c r="H436" s="247"/>
      <c r="I436" s="247"/>
      <c r="J436" s="247"/>
      <c r="K436" s="247"/>
      <c r="L436" s="247"/>
      <c r="M436" s="253"/>
      <c r="N436" s="253"/>
      <c r="O436" s="253"/>
      <c r="P436" s="253"/>
      <c r="Q436" s="253"/>
      <c r="R436" s="253"/>
      <c r="S436" s="253"/>
      <c r="T436" s="253"/>
      <c r="U436" s="253"/>
      <c r="V436" s="247"/>
      <c r="W436" s="247"/>
      <c r="X436" s="247"/>
      <c r="Y436" s="247"/>
      <c r="Z436" s="247"/>
    </row>
    <row r="437">
      <c r="A437" s="247"/>
      <c r="B437" s="247"/>
      <c r="C437" s="247"/>
      <c r="D437" s="247"/>
      <c r="E437" s="247"/>
      <c r="F437" s="247"/>
      <c r="G437" s="247"/>
      <c r="H437" s="247"/>
      <c r="I437" s="247"/>
      <c r="J437" s="247"/>
      <c r="K437" s="247"/>
      <c r="L437" s="247"/>
      <c r="M437" s="253"/>
      <c r="N437" s="253"/>
      <c r="O437" s="253"/>
      <c r="P437" s="253"/>
      <c r="Q437" s="253"/>
      <c r="R437" s="253"/>
      <c r="S437" s="253"/>
      <c r="T437" s="253"/>
      <c r="U437" s="253"/>
      <c r="V437" s="247"/>
      <c r="W437" s="247"/>
      <c r="X437" s="247"/>
      <c r="Y437" s="247"/>
      <c r="Z437" s="247"/>
    </row>
    <row r="438">
      <c r="A438" s="247"/>
      <c r="B438" s="247"/>
      <c r="C438" s="247"/>
      <c r="D438" s="247"/>
      <c r="E438" s="247"/>
      <c r="F438" s="247"/>
      <c r="G438" s="247"/>
      <c r="H438" s="247"/>
      <c r="I438" s="247"/>
      <c r="J438" s="247"/>
      <c r="K438" s="247"/>
      <c r="L438" s="247"/>
      <c r="M438" s="253"/>
      <c r="N438" s="253"/>
      <c r="O438" s="253"/>
      <c r="P438" s="253"/>
      <c r="Q438" s="253"/>
      <c r="R438" s="253"/>
      <c r="S438" s="253"/>
      <c r="T438" s="253"/>
      <c r="U438" s="253"/>
      <c r="V438" s="247"/>
      <c r="W438" s="247"/>
      <c r="X438" s="247"/>
      <c r="Y438" s="247"/>
      <c r="Z438" s="247"/>
    </row>
    <row r="439">
      <c r="A439" s="247"/>
      <c r="B439" s="247"/>
      <c r="C439" s="247"/>
      <c r="D439" s="247"/>
      <c r="E439" s="247"/>
      <c r="F439" s="247"/>
      <c r="G439" s="247"/>
      <c r="H439" s="247"/>
      <c r="I439" s="247"/>
      <c r="J439" s="247"/>
      <c r="K439" s="247"/>
      <c r="L439" s="247"/>
      <c r="M439" s="253"/>
      <c r="N439" s="253"/>
      <c r="O439" s="253"/>
      <c r="P439" s="253"/>
      <c r="Q439" s="253"/>
      <c r="R439" s="253"/>
      <c r="S439" s="253"/>
      <c r="T439" s="253"/>
      <c r="U439" s="253"/>
      <c r="V439" s="247"/>
      <c r="W439" s="247"/>
      <c r="X439" s="247"/>
      <c r="Y439" s="247"/>
      <c r="Z439" s="247"/>
    </row>
    <row r="440">
      <c r="A440" s="247"/>
      <c r="B440" s="247"/>
      <c r="C440" s="247"/>
      <c r="D440" s="247"/>
      <c r="E440" s="247"/>
      <c r="F440" s="247"/>
      <c r="G440" s="247"/>
      <c r="H440" s="247"/>
      <c r="I440" s="247"/>
      <c r="J440" s="247"/>
      <c r="K440" s="247"/>
      <c r="L440" s="247"/>
      <c r="M440" s="253"/>
      <c r="N440" s="253"/>
      <c r="O440" s="253"/>
      <c r="P440" s="253"/>
      <c r="Q440" s="253"/>
      <c r="R440" s="253"/>
      <c r="S440" s="253"/>
      <c r="T440" s="253"/>
      <c r="U440" s="253"/>
      <c r="V440" s="247"/>
      <c r="W440" s="247"/>
      <c r="X440" s="247"/>
      <c r="Y440" s="247"/>
      <c r="Z440" s="247"/>
    </row>
    <row r="441">
      <c r="A441" s="247"/>
      <c r="B441" s="247"/>
      <c r="C441" s="247"/>
      <c r="D441" s="247"/>
      <c r="E441" s="247"/>
      <c r="F441" s="247"/>
      <c r="G441" s="247"/>
      <c r="H441" s="247"/>
      <c r="I441" s="247"/>
      <c r="J441" s="247"/>
      <c r="K441" s="247"/>
      <c r="L441" s="247"/>
      <c r="M441" s="253"/>
      <c r="N441" s="253"/>
      <c r="O441" s="253"/>
      <c r="P441" s="253"/>
      <c r="Q441" s="253"/>
      <c r="R441" s="253"/>
      <c r="S441" s="253"/>
      <c r="T441" s="253"/>
      <c r="U441" s="253"/>
      <c r="V441" s="247"/>
      <c r="W441" s="247"/>
      <c r="X441" s="247"/>
      <c r="Y441" s="247"/>
      <c r="Z441" s="247"/>
    </row>
    <row r="442">
      <c r="A442" s="247"/>
      <c r="B442" s="247"/>
      <c r="C442" s="247"/>
      <c r="D442" s="247"/>
      <c r="E442" s="247"/>
      <c r="F442" s="247"/>
      <c r="G442" s="247"/>
      <c r="H442" s="247"/>
      <c r="I442" s="247"/>
      <c r="J442" s="247"/>
      <c r="K442" s="247"/>
      <c r="L442" s="247"/>
      <c r="M442" s="253"/>
      <c r="N442" s="253"/>
      <c r="O442" s="253"/>
      <c r="P442" s="253"/>
      <c r="Q442" s="253"/>
      <c r="R442" s="253"/>
      <c r="S442" s="253"/>
      <c r="T442" s="253"/>
      <c r="U442" s="253"/>
      <c r="V442" s="247"/>
      <c r="W442" s="247"/>
      <c r="X442" s="247"/>
      <c r="Y442" s="247"/>
      <c r="Z442" s="247"/>
    </row>
    <row r="443">
      <c r="A443" s="247"/>
      <c r="B443" s="247"/>
      <c r="C443" s="247"/>
      <c r="D443" s="247"/>
      <c r="E443" s="247"/>
      <c r="F443" s="247"/>
      <c r="G443" s="247"/>
      <c r="H443" s="247"/>
      <c r="I443" s="247"/>
      <c r="J443" s="247"/>
      <c r="K443" s="247"/>
      <c r="L443" s="247"/>
      <c r="M443" s="253"/>
      <c r="N443" s="253"/>
      <c r="O443" s="253"/>
      <c r="P443" s="253"/>
      <c r="Q443" s="253"/>
      <c r="R443" s="253"/>
      <c r="S443" s="253"/>
      <c r="T443" s="253"/>
      <c r="U443" s="253"/>
      <c r="V443" s="247"/>
      <c r="W443" s="247"/>
      <c r="X443" s="247"/>
      <c r="Y443" s="247"/>
      <c r="Z443" s="247"/>
    </row>
    <row r="444">
      <c r="A444" s="247"/>
      <c r="B444" s="247"/>
      <c r="C444" s="247"/>
      <c r="D444" s="247"/>
      <c r="E444" s="247"/>
      <c r="F444" s="247"/>
      <c r="G444" s="247"/>
      <c r="H444" s="247"/>
      <c r="I444" s="247"/>
      <c r="J444" s="247"/>
      <c r="K444" s="247"/>
      <c r="L444" s="247"/>
      <c r="M444" s="253"/>
      <c r="N444" s="253"/>
      <c r="O444" s="253"/>
      <c r="P444" s="253"/>
      <c r="Q444" s="253"/>
      <c r="R444" s="253"/>
      <c r="S444" s="253"/>
      <c r="T444" s="253"/>
      <c r="U444" s="253"/>
      <c r="V444" s="247"/>
      <c r="W444" s="247"/>
      <c r="X444" s="247"/>
      <c r="Y444" s="247"/>
      <c r="Z444" s="247"/>
    </row>
    <row r="445">
      <c r="A445" s="247"/>
      <c r="B445" s="247"/>
      <c r="C445" s="247"/>
      <c r="D445" s="247"/>
      <c r="E445" s="247"/>
      <c r="F445" s="247"/>
      <c r="G445" s="247"/>
      <c r="H445" s="247"/>
      <c r="I445" s="247"/>
      <c r="J445" s="247"/>
      <c r="K445" s="247"/>
      <c r="L445" s="247"/>
      <c r="M445" s="253"/>
      <c r="N445" s="253"/>
      <c r="O445" s="253"/>
      <c r="P445" s="253"/>
      <c r="Q445" s="253"/>
      <c r="R445" s="253"/>
      <c r="S445" s="253"/>
      <c r="T445" s="253"/>
      <c r="U445" s="253"/>
      <c r="V445" s="247"/>
      <c r="W445" s="247"/>
      <c r="X445" s="247"/>
      <c r="Y445" s="247"/>
      <c r="Z445" s="247"/>
    </row>
    <row r="446">
      <c r="A446" s="247"/>
      <c r="B446" s="247"/>
      <c r="C446" s="247"/>
      <c r="D446" s="247"/>
      <c r="E446" s="247"/>
      <c r="F446" s="247"/>
      <c r="G446" s="247"/>
      <c r="H446" s="247"/>
      <c r="I446" s="247"/>
      <c r="J446" s="247"/>
      <c r="K446" s="247"/>
      <c r="L446" s="247"/>
      <c r="M446" s="253"/>
      <c r="N446" s="253"/>
      <c r="O446" s="253"/>
      <c r="P446" s="253"/>
      <c r="Q446" s="253"/>
      <c r="R446" s="253"/>
      <c r="S446" s="253"/>
      <c r="T446" s="253"/>
      <c r="U446" s="253"/>
      <c r="V446" s="247"/>
      <c r="W446" s="247"/>
      <c r="X446" s="247"/>
      <c r="Y446" s="247"/>
      <c r="Z446" s="247"/>
    </row>
    <row r="447">
      <c r="A447" s="247"/>
      <c r="B447" s="247"/>
      <c r="C447" s="247"/>
      <c r="D447" s="247"/>
      <c r="E447" s="247"/>
      <c r="F447" s="247"/>
      <c r="G447" s="247"/>
      <c r="H447" s="247"/>
      <c r="I447" s="247"/>
      <c r="J447" s="247"/>
      <c r="K447" s="247"/>
      <c r="L447" s="247"/>
      <c r="M447" s="253"/>
      <c r="N447" s="253"/>
      <c r="O447" s="253"/>
      <c r="P447" s="253"/>
      <c r="Q447" s="253"/>
      <c r="R447" s="253"/>
      <c r="S447" s="253"/>
      <c r="T447" s="253"/>
      <c r="U447" s="253"/>
      <c r="V447" s="247"/>
      <c r="W447" s="247"/>
      <c r="X447" s="247"/>
      <c r="Y447" s="247"/>
      <c r="Z447" s="247"/>
    </row>
    <row r="448">
      <c r="A448" s="247"/>
      <c r="B448" s="247"/>
      <c r="C448" s="247"/>
      <c r="D448" s="247"/>
      <c r="E448" s="247"/>
      <c r="F448" s="247"/>
      <c r="G448" s="247"/>
      <c r="H448" s="247"/>
      <c r="I448" s="247"/>
      <c r="J448" s="247"/>
      <c r="K448" s="247"/>
      <c r="L448" s="247"/>
      <c r="M448" s="253"/>
      <c r="N448" s="253"/>
      <c r="O448" s="253"/>
      <c r="P448" s="253"/>
      <c r="Q448" s="253"/>
      <c r="R448" s="253"/>
      <c r="S448" s="253"/>
      <c r="T448" s="253"/>
      <c r="U448" s="253"/>
      <c r="V448" s="247"/>
      <c r="W448" s="247"/>
      <c r="X448" s="247"/>
      <c r="Y448" s="247"/>
      <c r="Z448" s="247"/>
    </row>
    <row r="449">
      <c r="A449" s="247"/>
      <c r="B449" s="247"/>
      <c r="C449" s="247"/>
      <c r="D449" s="247"/>
      <c r="E449" s="247"/>
      <c r="F449" s="247"/>
      <c r="G449" s="247"/>
      <c r="H449" s="247"/>
      <c r="I449" s="247"/>
      <c r="J449" s="247"/>
      <c r="K449" s="247"/>
      <c r="L449" s="247"/>
      <c r="M449" s="253"/>
      <c r="N449" s="253"/>
      <c r="O449" s="253"/>
      <c r="P449" s="253"/>
      <c r="Q449" s="253"/>
      <c r="R449" s="253"/>
      <c r="S449" s="253"/>
      <c r="T449" s="253"/>
      <c r="U449" s="253"/>
      <c r="V449" s="247"/>
      <c r="W449" s="247"/>
      <c r="X449" s="247"/>
      <c r="Y449" s="247"/>
      <c r="Z449" s="247"/>
    </row>
    <row r="450">
      <c r="A450" s="247"/>
      <c r="B450" s="247"/>
      <c r="C450" s="247"/>
      <c r="D450" s="247"/>
      <c r="E450" s="247"/>
      <c r="F450" s="247"/>
      <c r="G450" s="247"/>
      <c r="H450" s="247"/>
      <c r="I450" s="247"/>
      <c r="J450" s="247"/>
      <c r="K450" s="247"/>
      <c r="L450" s="247"/>
      <c r="M450" s="253"/>
      <c r="N450" s="253"/>
      <c r="O450" s="253"/>
      <c r="P450" s="253"/>
      <c r="Q450" s="253"/>
      <c r="R450" s="253"/>
      <c r="S450" s="253"/>
      <c r="T450" s="253"/>
      <c r="U450" s="253"/>
      <c r="V450" s="247"/>
      <c r="W450" s="247"/>
      <c r="X450" s="247"/>
      <c r="Y450" s="247"/>
      <c r="Z450" s="247"/>
    </row>
    <row r="451">
      <c r="A451" s="247"/>
      <c r="B451" s="247"/>
      <c r="C451" s="247"/>
      <c r="D451" s="247"/>
      <c r="E451" s="247"/>
      <c r="F451" s="247"/>
      <c r="G451" s="247"/>
      <c r="H451" s="247"/>
      <c r="I451" s="247"/>
      <c r="J451" s="247"/>
      <c r="K451" s="247"/>
      <c r="L451" s="247"/>
      <c r="M451" s="253"/>
      <c r="N451" s="253"/>
      <c r="O451" s="253"/>
      <c r="P451" s="253"/>
      <c r="Q451" s="253"/>
      <c r="R451" s="253"/>
      <c r="S451" s="253"/>
      <c r="T451" s="253"/>
      <c r="U451" s="253"/>
      <c r="V451" s="247"/>
      <c r="W451" s="247"/>
      <c r="X451" s="247"/>
      <c r="Y451" s="247"/>
      <c r="Z451" s="247"/>
    </row>
    <row r="452">
      <c r="A452" s="247"/>
      <c r="B452" s="247"/>
      <c r="C452" s="247"/>
      <c r="D452" s="247"/>
      <c r="E452" s="247"/>
      <c r="F452" s="247"/>
      <c r="G452" s="247"/>
      <c r="H452" s="247"/>
      <c r="I452" s="247"/>
      <c r="J452" s="247"/>
      <c r="K452" s="247"/>
      <c r="L452" s="247"/>
      <c r="M452" s="253"/>
      <c r="N452" s="253"/>
      <c r="O452" s="253"/>
      <c r="P452" s="253"/>
      <c r="Q452" s="253"/>
      <c r="R452" s="253"/>
      <c r="S452" s="253"/>
      <c r="T452" s="253"/>
      <c r="U452" s="253"/>
      <c r="V452" s="247"/>
      <c r="W452" s="247"/>
      <c r="X452" s="247"/>
      <c r="Y452" s="247"/>
      <c r="Z452" s="247"/>
    </row>
    <row r="453">
      <c r="A453" s="247"/>
      <c r="B453" s="247"/>
      <c r="C453" s="247"/>
      <c r="D453" s="247"/>
      <c r="E453" s="247"/>
      <c r="F453" s="247"/>
      <c r="G453" s="247"/>
      <c r="H453" s="247"/>
      <c r="I453" s="247"/>
      <c r="J453" s="247"/>
      <c r="K453" s="247"/>
      <c r="L453" s="247"/>
      <c r="M453" s="253"/>
      <c r="N453" s="253"/>
      <c r="O453" s="253"/>
      <c r="P453" s="253"/>
      <c r="Q453" s="253"/>
      <c r="R453" s="253"/>
      <c r="S453" s="253"/>
      <c r="T453" s="253"/>
      <c r="U453" s="253"/>
      <c r="V453" s="247"/>
      <c r="W453" s="247"/>
      <c r="X453" s="247"/>
      <c r="Y453" s="247"/>
      <c r="Z453" s="247"/>
    </row>
    <row r="454">
      <c r="A454" s="247"/>
      <c r="B454" s="247"/>
      <c r="C454" s="247"/>
      <c r="D454" s="247"/>
      <c r="E454" s="247"/>
      <c r="F454" s="247"/>
      <c r="G454" s="247"/>
      <c r="H454" s="247"/>
      <c r="I454" s="247"/>
      <c r="J454" s="247"/>
      <c r="K454" s="247"/>
      <c r="L454" s="247"/>
      <c r="M454" s="253"/>
      <c r="N454" s="253"/>
      <c r="O454" s="253"/>
      <c r="P454" s="253"/>
      <c r="Q454" s="253"/>
      <c r="R454" s="253"/>
      <c r="S454" s="253"/>
      <c r="T454" s="253"/>
      <c r="U454" s="253"/>
      <c r="V454" s="247"/>
      <c r="W454" s="247"/>
      <c r="X454" s="247"/>
      <c r="Y454" s="247"/>
      <c r="Z454" s="247"/>
    </row>
    <row r="455">
      <c r="A455" s="247"/>
      <c r="B455" s="247"/>
      <c r="C455" s="247"/>
      <c r="D455" s="247"/>
      <c r="E455" s="247"/>
      <c r="F455" s="247"/>
      <c r="G455" s="247"/>
      <c r="H455" s="247"/>
      <c r="I455" s="247"/>
      <c r="J455" s="247"/>
      <c r="K455" s="247"/>
      <c r="L455" s="247"/>
      <c r="M455" s="253"/>
      <c r="N455" s="253"/>
      <c r="O455" s="253"/>
      <c r="P455" s="253"/>
      <c r="Q455" s="253"/>
      <c r="R455" s="253"/>
      <c r="S455" s="253"/>
      <c r="T455" s="253"/>
      <c r="U455" s="253"/>
      <c r="V455" s="247"/>
      <c r="W455" s="247"/>
      <c r="X455" s="247"/>
      <c r="Y455" s="247"/>
      <c r="Z455" s="247"/>
    </row>
    <row r="456">
      <c r="A456" s="247"/>
      <c r="B456" s="247"/>
      <c r="C456" s="247"/>
      <c r="D456" s="247"/>
      <c r="E456" s="247"/>
      <c r="F456" s="247"/>
      <c r="G456" s="247"/>
      <c r="H456" s="247"/>
      <c r="I456" s="247"/>
      <c r="J456" s="247"/>
      <c r="K456" s="247"/>
      <c r="L456" s="247"/>
      <c r="M456" s="253"/>
      <c r="N456" s="253"/>
      <c r="O456" s="253"/>
      <c r="P456" s="253"/>
      <c r="Q456" s="253"/>
      <c r="R456" s="253"/>
      <c r="S456" s="253"/>
      <c r="T456" s="253"/>
      <c r="U456" s="253"/>
      <c r="V456" s="247"/>
      <c r="W456" s="247"/>
      <c r="X456" s="247"/>
      <c r="Y456" s="247"/>
      <c r="Z456" s="247"/>
    </row>
    <row r="457">
      <c r="A457" s="247"/>
      <c r="B457" s="247"/>
      <c r="C457" s="247"/>
      <c r="D457" s="247"/>
      <c r="E457" s="247"/>
      <c r="F457" s="247"/>
      <c r="G457" s="247"/>
      <c r="H457" s="247"/>
      <c r="I457" s="247"/>
      <c r="J457" s="247"/>
      <c r="K457" s="247"/>
      <c r="L457" s="247"/>
      <c r="M457" s="253"/>
      <c r="N457" s="253"/>
      <c r="O457" s="253"/>
      <c r="P457" s="253"/>
      <c r="Q457" s="253"/>
      <c r="R457" s="253"/>
      <c r="S457" s="253"/>
      <c r="T457" s="253"/>
      <c r="U457" s="253"/>
      <c r="V457" s="247"/>
      <c r="W457" s="247"/>
      <c r="X457" s="247"/>
      <c r="Y457" s="247"/>
      <c r="Z457" s="247"/>
    </row>
    <row r="458">
      <c r="A458" s="247"/>
      <c r="B458" s="247"/>
      <c r="C458" s="247"/>
      <c r="D458" s="247"/>
      <c r="E458" s="247"/>
      <c r="F458" s="247"/>
      <c r="G458" s="247"/>
      <c r="H458" s="247"/>
      <c r="I458" s="247"/>
      <c r="J458" s="247"/>
      <c r="K458" s="247"/>
      <c r="L458" s="247"/>
      <c r="M458" s="253"/>
      <c r="N458" s="253"/>
      <c r="O458" s="253"/>
      <c r="P458" s="253"/>
      <c r="Q458" s="253"/>
      <c r="R458" s="253"/>
      <c r="S458" s="253"/>
      <c r="T458" s="253"/>
      <c r="U458" s="253"/>
      <c r="V458" s="247"/>
      <c r="W458" s="247"/>
      <c r="X458" s="247"/>
      <c r="Y458" s="247"/>
      <c r="Z458" s="247"/>
    </row>
    <row r="459">
      <c r="A459" s="247"/>
      <c r="B459" s="247"/>
      <c r="C459" s="247"/>
      <c r="D459" s="247"/>
      <c r="E459" s="247"/>
      <c r="F459" s="247"/>
      <c r="G459" s="247"/>
      <c r="H459" s="247"/>
      <c r="I459" s="247"/>
      <c r="J459" s="247"/>
      <c r="K459" s="247"/>
      <c r="L459" s="247"/>
      <c r="M459" s="253"/>
      <c r="N459" s="253"/>
      <c r="O459" s="253"/>
      <c r="P459" s="253"/>
      <c r="Q459" s="253"/>
      <c r="R459" s="253"/>
      <c r="S459" s="253"/>
      <c r="T459" s="253"/>
      <c r="U459" s="253"/>
      <c r="V459" s="247"/>
      <c r="W459" s="247"/>
      <c r="X459" s="247"/>
      <c r="Y459" s="247"/>
      <c r="Z459" s="247"/>
    </row>
    <row r="460">
      <c r="A460" s="247"/>
      <c r="B460" s="247"/>
      <c r="C460" s="247"/>
      <c r="D460" s="247"/>
      <c r="E460" s="247"/>
      <c r="F460" s="247"/>
      <c r="G460" s="247"/>
      <c r="H460" s="247"/>
      <c r="I460" s="247"/>
      <c r="J460" s="247"/>
      <c r="K460" s="247"/>
      <c r="L460" s="247"/>
      <c r="M460" s="253"/>
      <c r="N460" s="253"/>
      <c r="O460" s="253"/>
      <c r="P460" s="253"/>
      <c r="Q460" s="253"/>
      <c r="R460" s="253"/>
      <c r="S460" s="253"/>
      <c r="T460" s="253"/>
      <c r="U460" s="253"/>
      <c r="V460" s="247"/>
      <c r="W460" s="247"/>
      <c r="X460" s="247"/>
      <c r="Y460" s="247"/>
      <c r="Z460" s="247"/>
    </row>
    <row r="461">
      <c r="A461" s="247"/>
      <c r="B461" s="247"/>
      <c r="C461" s="247"/>
      <c r="D461" s="247"/>
      <c r="E461" s="247"/>
      <c r="F461" s="247"/>
      <c r="G461" s="247"/>
      <c r="H461" s="247"/>
      <c r="I461" s="247"/>
      <c r="J461" s="247"/>
      <c r="K461" s="247"/>
      <c r="L461" s="247"/>
      <c r="M461" s="253"/>
      <c r="N461" s="253"/>
      <c r="O461" s="253"/>
      <c r="P461" s="253"/>
      <c r="Q461" s="253"/>
      <c r="R461" s="253"/>
      <c r="S461" s="253"/>
      <c r="T461" s="253"/>
      <c r="U461" s="253"/>
      <c r="V461" s="247"/>
      <c r="W461" s="247"/>
      <c r="X461" s="247"/>
      <c r="Y461" s="247"/>
      <c r="Z461" s="247"/>
    </row>
    <row r="462">
      <c r="A462" s="247"/>
      <c r="B462" s="247"/>
      <c r="C462" s="247"/>
      <c r="D462" s="247"/>
      <c r="E462" s="247"/>
      <c r="F462" s="247"/>
      <c r="G462" s="247"/>
      <c r="H462" s="247"/>
      <c r="I462" s="247"/>
      <c r="J462" s="247"/>
      <c r="K462" s="247"/>
      <c r="L462" s="247"/>
      <c r="M462" s="253"/>
      <c r="N462" s="253"/>
      <c r="O462" s="253"/>
      <c r="P462" s="253"/>
      <c r="Q462" s="253"/>
      <c r="R462" s="253"/>
      <c r="S462" s="253"/>
      <c r="T462" s="253"/>
      <c r="U462" s="253"/>
      <c r="V462" s="247"/>
      <c r="W462" s="247"/>
      <c r="X462" s="247"/>
      <c r="Y462" s="247"/>
      <c r="Z462" s="247"/>
    </row>
    <row r="463">
      <c r="A463" s="247"/>
      <c r="B463" s="247"/>
      <c r="C463" s="247"/>
      <c r="D463" s="247"/>
      <c r="E463" s="247"/>
      <c r="F463" s="247"/>
      <c r="G463" s="247"/>
      <c r="H463" s="247"/>
      <c r="I463" s="247"/>
      <c r="J463" s="247"/>
      <c r="K463" s="247"/>
      <c r="L463" s="247"/>
      <c r="M463" s="253"/>
      <c r="N463" s="253"/>
      <c r="O463" s="253"/>
      <c r="P463" s="253"/>
      <c r="Q463" s="253"/>
      <c r="R463" s="253"/>
      <c r="S463" s="253"/>
      <c r="T463" s="253"/>
      <c r="U463" s="253"/>
      <c r="V463" s="247"/>
      <c r="W463" s="247"/>
      <c r="X463" s="247"/>
      <c r="Y463" s="247"/>
      <c r="Z463" s="247"/>
    </row>
    <row r="464">
      <c r="A464" s="247"/>
      <c r="B464" s="247"/>
      <c r="C464" s="247"/>
      <c r="D464" s="247"/>
      <c r="E464" s="247"/>
      <c r="F464" s="247"/>
      <c r="G464" s="247"/>
      <c r="H464" s="247"/>
      <c r="I464" s="247"/>
      <c r="J464" s="247"/>
      <c r="K464" s="247"/>
      <c r="L464" s="247"/>
      <c r="M464" s="253"/>
      <c r="N464" s="253"/>
      <c r="O464" s="253"/>
      <c r="P464" s="253"/>
      <c r="Q464" s="253"/>
      <c r="R464" s="253"/>
      <c r="S464" s="253"/>
      <c r="T464" s="253"/>
      <c r="U464" s="253"/>
      <c r="V464" s="247"/>
      <c r="W464" s="247"/>
      <c r="X464" s="247"/>
      <c r="Y464" s="247"/>
      <c r="Z464" s="247"/>
    </row>
    <row r="465">
      <c r="A465" s="247"/>
      <c r="B465" s="247"/>
      <c r="C465" s="247"/>
      <c r="D465" s="247"/>
      <c r="E465" s="247"/>
      <c r="F465" s="247"/>
      <c r="G465" s="247"/>
      <c r="H465" s="247"/>
      <c r="I465" s="247"/>
      <c r="J465" s="247"/>
      <c r="K465" s="247"/>
      <c r="L465" s="247"/>
      <c r="M465" s="253"/>
      <c r="N465" s="253"/>
      <c r="O465" s="253"/>
      <c r="P465" s="253"/>
      <c r="Q465" s="253"/>
      <c r="R465" s="253"/>
      <c r="S465" s="253"/>
      <c r="T465" s="253"/>
      <c r="U465" s="253"/>
      <c r="V465" s="247"/>
      <c r="W465" s="247"/>
      <c r="X465" s="247"/>
      <c r="Y465" s="247"/>
      <c r="Z465" s="247"/>
    </row>
    <row r="466">
      <c r="A466" s="247"/>
      <c r="B466" s="247"/>
      <c r="C466" s="247"/>
      <c r="D466" s="247"/>
      <c r="E466" s="247"/>
      <c r="F466" s="247"/>
      <c r="G466" s="247"/>
      <c r="H466" s="247"/>
      <c r="I466" s="247"/>
      <c r="J466" s="247"/>
      <c r="K466" s="247"/>
      <c r="L466" s="247"/>
      <c r="M466" s="253"/>
      <c r="N466" s="253"/>
      <c r="O466" s="253"/>
      <c r="P466" s="253"/>
      <c r="Q466" s="253"/>
      <c r="R466" s="253"/>
      <c r="S466" s="253"/>
      <c r="T466" s="253"/>
      <c r="U466" s="253"/>
      <c r="V466" s="247"/>
      <c r="W466" s="247"/>
      <c r="X466" s="247"/>
      <c r="Y466" s="247"/>
      <c r="Z466" s="247"/>
    </row>
    <row r="467">
      <c r="A467" s="247"/>
      <c r="B467" s="247"/>
      <c r="C467" s="247"/>
      <c r="D467" s="247"/>
      <c r="E467" s="247"/>
      <c r="F467" s="247"/>
      <c r="G467" s="247"/>
      <c r="H467" s="247"/>
      <c r="I467" s="247"/>
      <c r="J467" s="247"/>
      <c r="K467" s="247"/>
      <c r="L467" s="247"/>
      <c r="M467" s="253"/>
      <c r="N467" s="253"/>
      <c r="O467" s="253"/>
      <c r="P467" s="253"/>
      <c r="Q467" s="253"/>
      <c r="R467" s="253"/>
      <c r="S467" s="253"/>
      <c r="T467" s="253"/>
      <c r="U467" s="253"/>
      <c r="V467" s="247"/>
      <c r="W467" s="247"/>
      <c r="X467" s="247"/>
      <c r="Y467" s="247"/>
      <c r="Z467" s="247"/>
    </row>
    <row r="468">
      <c r="A468" s="247"/>
      <c r="B468" s="247"/>
      <c r="C468" s="247"/>
      <c r="D468" s="247"/>
      <c r="E468" s="247"/>
      <c r="F468" s="247"/>
      <c r="G468" s="247"/>
      <c r="H468" s="247"/>
      <c r="I468" s="247"/>
      <c r="J468" s="247"/>
      <c r="K468" s="247"/>
      <c r="L468" s="247"/>
      <c r="M468" s="253"/>
      <c r="N468" s="253"/>
      <c r="O468" s="253"/>
      <c r="P468" s="253"/>
      <c r="Q468" s="253"/>
      <c r="R468" s="253"/>
      <c r="S468" s="253"/>
      <c r="T468" s="253"/>
      <c r="U468" s="253"/>
      <c r="V468" s="247"/>
      <c r="W468" s="247"/>
      <c r="X468" s="247"/>
      <c r="Y468" s="247"/>
      <c r="Z468" s="247"/>
    </row>
    <row r="469">
      <c r="A469" s="247"/>
      <c r="B469" s="247"/>
      <c r="C469" s="247"/>
      <c r="D469" s="247"/>
      <c r="E469" s="247"/>
      <c r="F469" s="247"/>
      <c r="G469" s="247"/>
      <c r="H469" s="247"/>
      <c r="I469" s="247"/>
      <c r="J469" s="247"/>
      <c r="K469" s="247"/>
      <c r="L469" s="247"/>
      <c r="M469" s="253"/>
      <c r="N469" s="253"/>
      <c r="O469" s="253"/>
      <c r="P469" s="253"/>
      <c r="Q469" s="253"/>
      <c r="R469" s="253"/>
      <c r="S469" s="253"/>
      <c r="T469" s="253"/>
      <c r="U469" s="253"/>
      <c r="V469" s="247"/>
      <c r="W469" s="247"/>
      <c r="X469" s="247"/>
      <c r="Y469" s="247"/>
      <c r="Z469" s="247"/>
    </row>
    <row r="470">
      <c r="A470" s="247"/>
      <c r="B470" s="247"/>
      <c r="C470" s="247"/>
      <c r="D470" s="247"/>
      <c r="E470" s="247"/>
      <c r="F470" s="247"/>
      <c r="G470" s="247"/>
      <c r="H470" s="247"/>
      <c r="I470" s="247"/>
      <c r="J470" s="247"/>
      <c r="K470" s="247"/>
      <c r="L470" s="247"/>
      <c r="M470" s="253"/>
      <c r="N470" s="253"/>
      <c r="O470" s="253"/>
      <c r="P470" s="253"/>
      <c r="Q470" s="253"/>
      <c r="R470" s="253"/>
      <c r="S470" s="253"/>
      <c r="T470" s="253"/>
      <c r="U470" s="253"/>
      <c r="V470" s="247"/>
      <c r="W470" s="247"/>
      <c r="X470" s="247"/>
      <c r="Y470" s="247"/>
      <c r="Z470" s="247"/>
    </row>
    <row r="471">
      <c r="A471" s="247"/>
      <c r="B471" s="247"/>
      <c r="C471" s="247"/>
      <c r="D471" s="247"/>
      <c r="E471" s="247"/>
      <c r="F471" s="247"/>
      <c r="G471" s="247"/>
      <c r="H471" s="247"/>
      <c r="I471" s="247"/>
      <c r="J471" s="247"/>
      <c r="K471" s="247"/>
      <c r="L471" s="247"/>
      <c r="M471" s="253"/>
      <c r="N471" s="253"/>
      <c r="O471" s="253"/>
      <c r="P471" s="253"/>
      <c r="Q471" s="253"/>
      <c r="R471" s="253"/>
      <c r="S471" s="253"/>
      <c r="T471" s="253"/>
      <c r="U471" s="253"/>
      <c r="V471" s="247"/>
      <c r="W471" s="247"/>
      <c r="X471" s="247"/>
      <c r="Y471" s="247"/>
      <c r="Z471" s="247"/>
    </row>
    <row r="472">
      <c r="A472" s="247"/>
      <c r="B472" s="247"/>
      <c r="C472" s="247"/>
      <c r="D472" s="247"/>
      <c r="E472" s="247"/>
      <c r="F472" s="247"/>
      <c r="G472" s="247"/>
      <c r="H472" s="247"/>
      <c r="I472" s="247"/>
      <c r="J472" s="247"/>
      <c r="K472" s="247"/>
      <c r="L472" s="247"/>
      <c r="M472" s="253"/>
      <c r="N472" s="253"/>
      <c r="O472" s="253"/>
      <c r="P472" s="253"/>
      <c r="Q472" s="253"/>
      <c r="R472" s="253"/>
      <c r="S472" s="253"/>
      <c r="T472" s="253"/>
      <c r="U472" s="253"/>
      <c r="V472" s="247"/>
      <c r="W472" s="247"/>
      <c r="X472" s="247"/>
      <c r="Y472" s="247"/>
      <c r="Z472" s="247"/>
    </row>
    <row r="473">
      <c r="A473" s="247"/>
      <c r="B473" s="247"/>
      <c r="C473" s="247"/>
      <c r="D473" s="247"/>
      <c r="E473" s="247"/>
      <c r="F473" s="247"/>
      <c r="G473" s="247"/>
      <c r="H473" s="247"/>
      <c r="I473" s="247"/>
      <c r="J473" s="247"/>
      <c r="K473" s="247"/>
      <c r="L473" s="247"/>
      <c r="M473" s="253"/>
      <c r="N473" s="253"/>
      <c r="O473" s="253"/>
      <c r="P473" s="253"/>
      <c r="Q473" s="253"/>
      <c r="R473" s="253"/>
      <c r="S473" s="253"/>
      <c r="T473" s="253"/>
      <c r="U473" s="253"/>
      <c r="V473" s="247"/>
      <c r="W473" s="247"/>
      <c r="X473" s="247"/>
      <c r="Y473" s="247"/>
      <c r="Z473" s="247"/>
    </row>
    <row r="474">
      <c r="A474" s="247"/>
      <c r="B474" s="247"/>
      <c r="C474" s="247"/>
      <c r="D474" s="247"/>
      <c r="E474" s="247"/>
      <c r="F474" s="247"/>
      <c r="G474" s="247"/>
      <c r="H474" s="247"/>
      <c r="I474" s="247"/>
      <c r="J474" s="247"/>
      <c r="K474" s="247"/>
      <c r="L474" s="247"/>
      <c r="M474" s="253"/>
      <c r="N474" s="253"/>
      <c r="O474" s="253"/>
      <c r="P474" s="253"/>
      <c r="Q474" s="253"/>
      <c r="R474" s="253"/>
      <c r="S474" s="253"/>
      <c r="T474" s="253"/>
      <c r="U474" s="253"/>
      <c r="V474" s="247"/>
      <c r="W474" s="247"/>
      <c r="X474" s="247"/>
      <c r="Y474" s="247"/>
      <c r="Z474" s="247"/>
    </row>
    <row r="475">
      <c r="A475" s="247"/>
      <c r="B475" s="247"/>
      <c r="C475" s="247"/>
      <c r="D475" s="247"/>
      <c r="E475" s="247"/>
      <c r="F475" s="247"/>
      <c r="G475" s="247"/>
      <c r="H475" s="247"/>
      <c r="I475" s="247"/>
      <c r="J475" s="247"/>
      <c r="K475" s="247"/>
      <c r="L475" s="247"/>
      <c r="M475" s="253"/>
      <c r="N475" s="253"/>
      <c r="O475" s="253"/>
      <c r="P475" s="253"/>
      <c r="Q475" s="253"/>
      <c r="R475" s="253"/>
      <c r="S475" s="253"/>
      <c r="T475" s="253"/>
      <c r="U475" s="253"/>
      <c r="V475" s="247"/>
      <c r="W475" s="247"/>
      <c r="X475" s="247"/>
      <c r="Y475" s="247"/>
      <c r="Z475" s="247"/>
    </row>
    <row r="476">
      <c r="A476" s="247"/>
      <c r="B476" s="247"/>
      <c r="C476" s="247"/>
      <c r="D476" s="247"/>
      <c r="E476" s="247"/>
      <c r="F476" s="247"/>
      <c r="G476" s="247"/>
      <c r="H476" s="247"/>
      <c r="I476" s="247"/>
      <c r="J476" s="247"/>
      <c r="K476" s="247"/>
      <c r="L476" s="247"/>
      <c r="M476" s="253"/>
      <c r="N476" s="253"/>
      <c r="O476" s="253"/>
      <c r="P476" s="253"/>
      <c r="Q476" s="253"/>
      <c r="R476" s="253"/>
      <c r="S476" s="253"/>
      <c r="T476" s="253"/>
      <c r="U476" s="253"/>
      <c r="V476" s="247"/>
      <c r="W476" s="247"/>
      <c r="X476" s="247"/>
      <c r="Y476" s="247"/>
      <c r="Z476" s="247"/>
    </row>
    <row r="477">
      <c r="A477" s="247"/>
      <c r="B477" s="247"/>
      <c r="C477" s="247"/>
      <c r="D477" s="247"/>
      <c r="E477" s="247"/>
      <c r="F477" s="247"/>
      <c r="G477" s="247"/>
      <c r="H477" s="247"/>
      <c r="I477" s="247"/>
      <c r="J477" s="247"/>
      <c r="K477" s="247"/>
      <c r="L477" s="247"/>
      <c r="M477" s="253"/>
      <c r="N477" s="253"/>
      <c r="O477" s="253"/>
      <c r="P477" s="253"/>
      <c r="Q477" s="253"/>
      <c r="R477" s="253"/>
      <c r="S477" s="253"/>
      <c r="T477" s="253"/>
      <c r="U477" s="253"/>
      <c r="V477" s="247"/>
      <c r="W477" s="247"/>
      <c r="X477" s="247"/>
      <c r="Y477" s="247"/>
      <c r="Z477" s="247"/>
    </row>
    <row r="478">
      <c r="A478" s="247"/>
      <c r="B478" s="247"/>
      <c r="C478" s="247"/>
      <c r="D478" s="247"/>
      <c r="E478" s="247"/>
      <c r="F478" s="247"/>
      <c r="G478" s="247"/>
      <c r="H478" s="247"/>
      <c r="I478" s="247"/>
      <c r="J478" s="247"/>
      <c r="K478" s="247"/>
      <c r="L478" s="247"/>
      <c r="M478" s="253"/>
      <c r="N478" s="253"/>
      <c r="O478" s="253"/>
      <c r="P478" s="253"/>
      <c r="Q478" s="253"/>
      <c r="R478" s="253"/>
      <c r="S478" s="253"/>
      <c r="T478" s="253"/>
      <c r="U478" s="253"/>
      <c r="V478" s="247"/>
      <c r="W478" s="247"/>
      <c r="X478" s="247"/>
      <c r="Y478" s="247"/>
      <c r="Z478" s="247"/>
    </row>
    <row r="479">
      <c r="A479" s="247"/>
      <c r="B479" s="247"/>
      <c r="C479" s="247"/>
      <c r="D479" s="247"/>
      <c r="E479" s="247"/>
      <c r="F479" s="247"/>
      <c r="G479" s="247"/>
      <c r="H479" s="247"/>
      <c r="I479" s="247"/>
      <c r="J479" s="247"/>
      <c r="K479" s="247"/>
      <c r="L479" s="247"/>
      <c r="M479" s="253"/>
      <c r="N479" s="253"/>
      <c r="O479" s="253"/>
      <c r="P479" s="253"/>
      <c r="Q479" s="253"/>
      <c r="R479" s="253"/>
      <c r="S479" s="253"/>
      <c r="T479" s="253"/>
      <c r="U479" s="253"/>
      <c r="V479" s="247"/>
      <c r="W479" s="247"/>
      <c r="X479" s="247"/>
      <c r="Y479" s="247"/>
      <c r="Z479" s="247"/>
    </row>
    <row r="480">
      <c r="A480" s="247"/>
      <c r="B480" s="247"/>
      <c r="C480" s="247"/>
      <c r="D480" s="247"/>
      <c r="E480" s="247"/>
      <c r="F480" s="247"/>
      <c r="G480" s="247"/>
      <c r="H480" s="247"/>
      <c r="I480" s="247"/>
      <c r="J480" s="247"/>
      <c r="K480" s="247"/>
      <c r="L480" s="247"/>
      <c r="M480" s="253"/>
      <c r="N480" s="253"/>
      <c r="O480" s="253"/>
      <c r="P480" s="253"/>
      <c r="Q480" s="253"/>
      <c r="R480" s="253"/>
      <c r="S480" s="253"/>
      <c r="T480" s="253"/>
      <c r="U480" s="253"/>
      <c r="V480" s="247"/>
      <c r="W480" s="247"/>
      <c r="X480" s="247"/>
      <c r="Y480" s="247"/>
      <c r="Z480" s="247"/>
    </row>
    <row r="481">
      <c r="A481" s="247"/>
      <c r="B481" s="247"/>
      <c r="C481" s="247"/>
      <c r="D481" s="247"/>
      <c r="E481" s="247"/>
      <c r="F481" s="247"/>
      <c r="G481" s="247"/>
      <c r="H481" s="247"/>
      <c r="I481" s="247"/>
      <c r="J481" s="247"/>
      <c r="K481" s="247"/>
      <c r="L481" s="247"/>
      <c r="M481" s="253"/>
      <c r="N481" s="253"/>
      <c r="O481" s="253"/>
      <c r="P481" s="253"/>
      <c r="Q481" s="253"/>
      <c r="R481" s="253"/>
      <c r="S481" s="253"/>
      <c r="T481" s="253"/>
      <c r="U481" s="253"/>
      <c r="V481" s="247"/>
      <c r="W481" s="247"/>
      <c r="X481" s="247"/>
      <c r="Y481" s="247"/>
      <c r="Z481" s="247"/>
    </row>
    <row r="482">
      <c r="A482" s="247"/>
      <c r="B482" s="247"/>
      <c r="C482" s="247"/>
      <c r="D482" s="247"/>
      <c r="E482" s="247"/>
      <c r="F482" s="247"/>
      <c r="G482" s="247"/>
      <c r="H482" s="247"/>
      <c r="I482" s="247"/>
      <c r="J482" s="247"/>
      <c r="K482" s="247"/>
      <c r="L482" s="247"/>
      <c r="M482" s="253"/>
      <c r="N482" s="253"/>
      <c r="O482" s="253"/>
      <c r="P482" s="253"/>
      <c r="Q482" s="253"/>
      <c r="R482" s="253"/>
      <c r="S482" s="253"/>
      <c r="T482" s="253"/>
      <c r="U482" s="253"/>
      <c r="V482" s="247"/>
      <c r="W482" s="247"/>
      <c r="X482" s="247"/>
      <c r="Y482" s="247"/>
      <c r="Z482" s="247"/>
    </row>
    <row r="483">
      <c r="A483" s="247"/>
      <c r="B483" s="247"/>
      <c r="C483" s="247"/>
      <c r="D483" s="247"/>
      <c r="E483" s="247"/>
      <c r="F483" s="247"/>
      <c r="G483" s="247"/>
      <c r="H483" s="247"/>
      <c r="I483" s="247"/>
      <c r="J483" s="247"/>
      <c r="K483" s="247"/>
      <c r="L483" s="247"/>
      <c r="M483" s="253"/>
      <c r="N483" s="253"/>
      <c r="O483" s="253"/>
      <c r="P483" s="253"/>
      <c r="Q483" s="253"/>
      <c r="R483" s="253"/>
      <c r="S483" s="253"/>
      <c r="T483" s="253"/>
      <c r="U483" s="253"/>
      <c r="V483" s="247"/>
      <c r="W483" s="247"/>
      <c r="X483" s="247"/>
      <c r="Y483" s="247"/>
      <c r="Z483" s="247"/>
    </row>
    <row r="484">
      <c r="A484" s="247"/>
      <c r="B484" s="247"/>
      <c r="C484" s="247"/>
      <c r="D484" s="247"/>
      <c r="E484" s="247"/>
      <c r="F484" s="247"/>
      <c r="G484" s="247"/>
      <c r="H484" s="247"/>
      <c r="I484" s="247"/>
      <c r="J484" s="247"/>
      <c r="K484" s="247"/>
      <c r="L484" s="247"/>
      <c r="M484" s="253"/>
      <c r="N484" s="253"/>
      <c r="O484" s="253"/>
      <c r="P484" s="253"/>
      <c r="Q484" s="253"/>
      <c r="R484" s="253"/>
      <c r="S484" s="253"/>
      <c r="T484" s="253"/>
      <c r="U484" s="253"/>
      <c r="V484" s="247"/>
      <c r="W484" s="247"/>
      <c r="X484" s="247"/>
      <c r="Y484" s="247"/>
      <c r="Z484" s="247"/>
    </row>
    <row r="485">
      <c r="A485" s="247"/>
      <c r="B485" s="247"/>
      <c r="C485" s="247"/>
      <c r="D485" s="247"/>
      <c r="E485" s="247"/>
      <c r="F485" s="247"/>
      <c r="G485" s="247"/>
      <c r="H485" s="247"/>
      <c r="I485" s="247"/>
      <c r="J485" s="247"/>
      <c r="K485" s="247"/>
      <c r="L485" s="247"/>
      <c r="M485" s="253"/>
      <c r="N485" s="253"/>
      <c r="O485" s="253"/>
      <c r="P485" s="253"/>
      <c r="Q485" s="253"/>
      <c r="R485" s="253"/>
      <c r="S485" s="253"/>
      <c r="T485" s="253"/>
      <c r="U485" s="253"/>
      <c r="V485" s="247"/>
      <c r="W485" s="247"/>
      <c r="X485" s="247"/>
      <c r="Y485" s="247"/>
      <c r="Z485" s="247"/>
    </row>
    <row r="486">
      <c r="A486" s="247"/>
      <c r="B486" s="247"/>
      <c r="C486" s="247"/>
      <c r="D486" s="247"/>
      <c r="E486" s="247"/>
      <c r="F486" s="247"/>
      <c r="G486" s="247"/>
      <c r="H486" s="247"/>
      <c r="I486" s="247"/>
      <c r="J486" s="247"/>
      <c r="K486" s="247"/>
      <c r="L486" s="247"/>
      <c r="M486" s="253"/>
      <c r="N486" s="253"/>
      <c r="O486" s="253"/>
      <c r="P486" s="253"/>
      <c r="Q486" s="253"/>
      <c r="R486" s="253"/>
      <c r="S486" s="253"/>
      <c r="T486" s="253"/>
      <c r="U486" s="253"/>
      <c r="V486" s="247"/>
      <c r="W486" s="247"/>
      <c r="X486" s="247"/>
      <c r="Y486" s="247"/>
      <c r="Z486" s="247"/>
    </row>
    <row r="487">
      <c r="A487" s="247"/>
      <c r="B487" s="247"/>
      <c r="C487" s="247"/>
      <c r="D487" s="247"/>
      <c r="E487" s="247"/>
      <c r="F487" s="247"/>
      <c r="G487" s="247"/>
      <c r="H487" s="247"/>
      <c r="I487" s="247"/>
      <c r="J487" s="247"/>
      <c r="K487" s="247"/>
      <c r="L487" s="247"/>
      <c r="M487" s="253"/>
      <c r="N487" s="253"/>
      <c r="O487" s="253"/>
      <c r="P487" s="253"/>
      <c r="Q487" s="253"/>
      <c r="R487" s="253"/>
      <c r="S487" s="253"/>
      <c r="T487" s="253"/>
      <c r="U487" s="253"/>
      <c r="V487" s="247"/>
      <c r="W487" s="247"/>
      <c r="X487" s="247"/>
      <c r="Y487" s="247"/>
      <c r="Z487" s="247"/>
    </row>
    <row r="488">
      <c r="A488" s="247"/>
      <c r="B488" s="247"/>
      <c r="C488" s="247"/>
      <c r="D488" s="247"/>
      <c r="E488" s="247"/>
      <c r="F488" s="247"/>
      <c r="G488" s="247"/>
      <c r="H488" s="247"/>
      <c r="I488" s="247"/>
      <c r="J488" s="247"/>
      <c r="K488" s="247"/>
      <c r="L488" s="247"/>
      <c r="M488" s="253"/>
      <c r="N488" s="253"/>
      <c r="O488" s="253"/>
      <c r="P488" s="253"/>
      <c r="Q488" s="253"/>
      <c r="R488" s="253"/>
      <c r="S488" s="253"/>
      <c r="T488" s="253"/>
      <c r="U488" s="253"/>
      <c r="V488" s="247"/>
      <c r="W488" s="247"/>
      <c r="X488" s="247"/>
      <c r="Y488" s="247"/>
      <c r="Z488" s="247"/>
    </row>
    <row r="489">
      <c r="A489" s="247"/>
      <c r="B489" s="247"/>
      <c r="C489" s="247"/>
      <c r="D489" s="247"/>
      <c r="E489" s="247"/>
      <c r="F489" s="247"/>
      <c r="G489" s="247"/>
      <c r="H489" s="247"/>
      <c r="I489" s="247"/>
      <c r="J489" s="247"/>
      <c r="K489" s="247"/>
      <c r="L489" s="247"/>
      <c r="M489" s="253"/>
      <c r="N489" s="253"/>
      <c r="O489" s="253"/>
      <c r="P489" s="253"/>
      <c r="Q489" s="253"/>
      <c r="R489" s="253"/>
      <c r="S489" s="253"/>
      <c r="T489" s="253"/>
      <c r="U489" s="253"/>
      <c r="V489" s="247"/>
      <c r="W489" s="247"/>
      <c r="X489" s="247"/>
      <c r="Y489" s="247"/>
      <c r="Z489" s="247"/>
    </row>
    <row r="490">
      <c r="A490" s="247"/>
      <c r="B490" s="247"/>
      <c r="C490" s="247"/>
      <c r="D490" s="247"/>
      <c r="E490" s="247"/>
      <c r="F490" s="247"/>
      <c r="G490" s="247"/>
      <c r="H490" s="247"/>
      <c r="I490" s="247"/>
      <c r="J490" s="247"/>
      <c r="K490" s="247"/>
      <c r="L490" s="247"/>
      <c r="M490" s="253"/>
      <c r="N490" s="253"/>
      <c r="O490" s="253"/>
      <c r="P490" s="253"/>
      <c r="Q490" s="253"/>
      <c r="R490" s="253"/>
      <c r="S490" s="253"/>
      <c r="T490" s="253"/>
      <c r="U490" s="253"/>
      <c r="V490" s="247"/>
      <c r="W490" s="247"/>
      <c r="X490" s="247"/>
      <c r="Y490" s="247"/>
      <c r="Z490" s="247"/>
    </row>
    <row r="491">
      <c r="A491" s="247"/>
      <c r="B491" s="247"/>
      <c r="C491" s="247"/>
      <c r="D491" s="247"/>
      <c r="E491" s="247"/>
      <c r="F491" s="247"/>
      <c r="G491" s="247"/>
      <c r="H491" s="247"/>
      <c r="I491" s="247"/>
      <c r="J491" s="247"/>
      <c r="K491" s="247"/>
      <c r="L491" s="247"/>
      <c r="M491" s="253"/>
      <c r="N491" s="253"/>
      <c r="O491" s="253"/>
      <c r="P491" s="253"/>
      <c r="Q491" s="253"/>
      <c r="R491" s="253"/>
      <c r="S491" s="253"/>
      <c r="T491" s="253"/>
      <c r="U491" s="253"/>
      <c r="V491" s="247"/>
      <c r="W491" s="247"/>
      <c r="X491" s="247"/>
      <c r="Y491" s="247"/>
      <c r="Z491" s="247"/>
    </row>
    <row r="492">
      <c r="A492" s="247"/>
      <c r="B492" s="247"/>
      <c r="C492" s="247"/>
      <c r="D492" s="247"/>
      <c r="E492" s="247"/>
      <c r="F492" s="247"/>
      <c r="G492" s="247"/>
      <c r="H492" s="247"/>
      <c r="I492" s="247"/>
      <c r="J492" s="247"/>
      <c r="K492" s="247"/>
      <c r="L492" s="247"/>
      <c r="M492" s="253"/>
      <c r="N492" s="253"/>
      <c r="O492" s="253"/>
      <c r="P492" s="253"/>
      <c r="Q492" s="253"/>
      <c r="R492" s="253"/>
      <c r="S492" s="253"/>
      <c r="T492" s="253"/>
      <c r="U492" s="253"/>
      <c r="V492" s="247"/>
      <c r="W492" s="247"/>
      <c r="X492" s="247"/>
      <c r="Y492" s="247"/>
      <c r="Z492" s="247"/>
    </row>
    <row r="493">
      <c r="A493" s="247"/>
      <c r="B493" s="247"/>
      <c r="C493" s="247"/>
      <c r="D493" s="247"/>
      <c r="E493" s="247"/>
      <c r="F493" s="247"/>
      <c r="G493" s="247"/>
      <c r="H493" s="247"/>
      <c r="I493" s="247"/>
      <c r="J493" s="247"/>
      <c r="K493" s="247"/>
      <c r="L493" s="247"/>
      <c r="M493" s="253"/>
      <c r="N493" s="253"/>
      <c r="O493" s="253"/>
      <c r="P493" s="253"/>
      <c r="Q493" s="253"/>
      <c r="R493" s="253"/>
      <c r="S493" s="253"/>
      <c r="T493" s="253"/>
      <c r="U493" s="253"/>
      <c r="V493" s="247"/>
      <c r="W493" s="247"/>
      <c r="X493" s="247"/>
      <c r="Y493" s="247"/>
      <c r="Z493" s="247"/>
    </row>
    <row r="494">
      <c r="A494" s="247"/>
      <c r="B494" s="247"/>
      <c r="C494" s="247"/>
      <c r="D494" s="247"/>
      <c r="E494" s="247"/>
      <c r="F494" s="247"/>
      <c r="G494" s="247"/>
      <c r="H494" s="247"/>
      <c r="I494" s="247"/>
      <c r="J494" s="247"/>
      <c r="K494" s="247"/>
      <c r="L494" s="247"/>
      <c r="M494" s="253"/>
      <c r="N494" s="253"/>
      <c r="O494" s="253"/>
      <c r="P494" s="253"/>
      <c r="Q494" s="253"/>
      <c r="R494" s="253"/>
      <c r="S494" s="253"/>
      <c r="T494" s="253"/>
      <c r="U494" s="253"/>
      <c r="V494" s="247"/>
      <c r="W494" s="247"/>
      <c r="X494" s="247"/>
      <c r="Y494" s="247"/>
      <c r="Z494" s="247"/>
    </row>
    <row r="495">
      <c r="A495" s="247"/>
      <c r="B495" s="247"/>
      <c r="C495" s="247"/>
      <c r="D495" s="247"/>
      <c r="E495" s="247"/>
      <c r="F495" s="247"/>
      <c r="G495" s="247"/>
      <c r="H495" s="247"/>
      <c r="I495" s="247"/>
      <c r="J495" s="247"/>
      <c r="K495" s="247"/>
      <c r="L495" s="247"/>
      <c r="M495" s="253"/>
      <c r="N495" s="253"/>
      <c r="O495" s="253"/>
      <c r="P495" s="253"/>
      <c r="Q495" s="253"/>
      <c r="R495" s="253"/>
      <c r="S495" s="253"/>
      <c r="T495" s="253"/>
      <c r="U495" s="253"/>
      <c r="V495" s="247"/>
      <c r="W495" s="247"/>
      <c r="X495" s="247"/>
      <c r="Y495" s="247"/>
      <c r="Z495" s="247"/>
    </row>
    <row r="496">
      <c r="A496" s="247"/>
      <c r="B496" s="247"/>
      <c r="C496" s="247"/>
      <c r="D496" s="247"/>
      <c r="E496" s="247"/>
      <c r="F496" s="247"/>
      <c r="G496" s="247"/>
      <c r="H496" s="247"/>
      <c r="I496" s="247"/>
      <c r="J496" s="247"/>
      <c r="K496" s="247"/>
      <c r="L496" s="247"/>
      <c r="M496" s="253"/>
      <c r="N496" s="253"/>
      <c r="O496" s="253"/>
      <c r="P496" s="253"/>
      <c r="Q496" s="253"/>
      <c r="R496" s="253"/>
      <c r="S496" s="253"/>
      <c r="T496" s="253"/>
      <c r="U496" s="253"/>
      <c r="V496" s="247"/>
      <c r="W496" s="247"/>
      <c r="X496" s="247"/>
      <c r="Y496" s="247"/>
      <c r="Z496" s="247"/>
    </row>
    <row r="497">
      <c r="A497" s="247"/>
      <c r="B497" s="247"/>
      <c r="C497" s="247"/>
      <c r="D497" s="247"/>
      <c r="E497" s="247"/>
      <c r="F497" s="247"/>
      <c r="G497" s="247"/>
      <c r="H497" s="247"/>
      <c r="I497" s="247"/>
      <c r="J497" s="247"/>
      <c r="K497" s="247"/>
      <c r="L497" s="247"/>
      <c r="M497" s="253"/>
      <c r="N497" s="253"/>
      <c r="O497" s="253"/>
      <c r="P497" s="253"/>
      <c r="Q497" s="253"/>
      <c r="R497" s="253"/>
      <c r="S497" s="253"/>
      <c r="T497" s="253"/>
      <c r="U497" s="253"/>
      <c r="V497" s="247"/>
      <c r="W497" s="247"/>
      <c r="X497" s="247"/>
      <c r="Y497" s="247"/>
      <c r="Z497" s="247"/>
    </row>
    <row r="498">
      <c r="A498" s="247"/>
      <c r="B498" s="247"/>
      <c r="C498" s="247"/>
      <c r="D498" s="247"/>
      <c r="E498" s="247"/>
      <c r="F498" s="247"/>
      <c r="G498" s="247"/>
      <c r="H498" s="247"/>
      <c r="I498" s="247"/>
      <c r="J498" s="247"/>
      <c r="K498" s="247"/>
      <c r="L498" s="247"/>
      <c r="M498" s="253"/>
      <c r="N498" s="253"/>
      <c r="O498" s="253"/>
      <c r="P498" s="253"/>
      <c r="Q498" s="253"/>
      <c r="R498" s="253"/>
      <c r="S498" s="253"/>
      <c r="T498" s="253"/>
      <c r="U498" s="253"/>
      <c r="V498" s="247"/>
      <c r="W498" s="247"/>
      <c r="X498" s="247"/>
      <c r="Y498" s="247"/>
      <c r="Z498" s="247"/>
    </row>
    <row r="499">
      <c r="A499" s="247"/>
      <c r="B499" s="247"/>
      <c r="C499" s="247"/>
      <c r="D499" s="247"/>
      <c r="E499" s="247"/>
      <c r="F499" s="247"/>
      <c r="G499" s="247"/>
      <c r="H499" s="247"/>
      <c r="I499" s="247"/>
      <c r="J499" s="247"/>
      <c r="K499" s="247"/>
      <c r="L499" s="247"/>
      <c r="M499" s="253"/>
      <c r="N499" s="253"/>
      <c r="O499" s="253"/>
      <c r="P499" s="253"/>
      <c r="Q499" s="253"/>
      <c r="R499" s="253"/>
      <c r="S499" s="253"/>
      <c r="T499" s="253"/>
      <c r="U499" s="253"/>
      <c r="V499" s="247"/>
      <c r="W499" s="247"/>
      <c r="X499" s="247"/>
      <c r="Y499" s="247"/>
      <c r="Z499" s="247"/>
    </row>
    <row r="500">
      <c r="A500" s="247"/>
      <c r="B500" s="247"/>
      <c r="C500" s="247"/>
      <c r="D500" s="247"/>
      <c r="E500" s="247"/>
      <c r="F500" s="247"/>
      <c r="G500" s="247"/>
      <c r="H500" s="247"/>
      <c r="I500" s="247"/>
      <c r="J500" s="247"/>
      <c r="K500" s="247"/>
      <c r="L500" s="247"/>
      <c r="M500" s="253"/>
      <c r="N500" s="253"/>
      <c r="O500" s="253"/>
      <c r="P500" s="253"/>
      <c r="Q500" s="253"/>
      <c r="R500" s="253"/>
      <c r="S500" s="253"/>
      <c r="T500" s="253"/>
      <c r="U500" s="253"/>
      <c r="V500" s="247"/>
      <c r="W500" s="247"/>
      <c r="X500" s="247"/>
      <c r="Y500" s="247"/>
      <c r="Z500" s="247"/>
    </row>
    <row r="501">
      <c r="A501" s="247"/>
      <c r="B501" s="247"/>
      <c r="C501" s="247"/>
      <c r="D501" s="247"/>
      <c r="E501" s="247"/>
      <c r="F501" s="247"/>
      <c r="G501" s="247"/>
      <c r="H501" s="247"/>
      <c r="I501" s="247"/>
      <c r="J501" s="247"/>
      <c r="K501" s="247"/>
      <c r="L501" s="247"/>
      <c r="M501" s="253"/>
      <c r="N501" s="253"/>
      <c r="O501" s="253"/>
      <c r="P501" s="253"/>
      <c r="Q501" s="253"/>
      <c r="R501" s="253"/>
      <c r="S501" s="253"/>
      <c r="T501" s="253"/>
      <c r="U501" s="253"/>
      <c r="V501" s="247"/>
      <c r="W501" s="247"/>
      <c r="X501" s="247"/>
      <c r="Y501" s="247"/>
      <c r="Z501" s="247"/>
    </row>
    <row r="502">
      <c r="A502" s="247"/>
      <c r="B502" s="247"/>
      <c r="C502" s="247"/>
      <c r="D502" s="247"/>
      <c r="E502" s="247"/>
      <c r="F502" s="247"/>
      <c r="G502" s="247"/>
      <c r="H502" s="247"/>
      <c r="I502" s="247"/>
      <c r="J502" s="247"/>
      <c r="K502" s="247"/>
      <c r="L502" s="247"/>
      <c r="M502" s="253"/>
      <c r="N502" s="253"/>
      <c r="O502" s="253"/>
      <c r="P502" s="253"/>
      <c r="Q502" s="253"/>
      <c r="R502" s="253"/>
      <c r="S502" s="253"/>
      <c r="T502" s="253"/>
      <c r="U502" s="253"/>
      <c r="V502" s="247"/>
      <c r="W502" s="247"/>
      <c r="X502" s="247"/>
      <c r="Y502" s="247"/>
      <c r="Z502" s="247"/>
    </row>
    <row r="503">
      <c r="A503" s="247"/>
      <c r="B503" s="247"/>
      <c r="C503" s="247"/>
      <c r="D503" s="247"/>
      <c r="E503" s="247"/>
      <c r="F503" s="247"/>
      <c r="G503" s="247"/>
      <c r="H503" s="247"/>
      <c r="I503" s="247"/>
      <c r="J503" s="247"/>
      <c r="K503" s="247"/>
      <c r="L503" s="247"/>
      <c r="M503" s="253"/>
      <c r="N503" s="253"/>
      <c r="O503" s="253"/>
      <c r="P503" s="253"/>
      <c r="Q503" s="253"/>
      <c r="R503" s="253"/>
      <c r="S503" s="253"/>
      <c r="T503" s="253"/>
      <c r="U503" s="253"/>
      <c r="V503" s="247"/>
      <c r="W503" s="247"/>
      <c r="X503" s="247"/>
      <c r="Y503" s="247"/>
      <c r="Z503" s="247"/>
    </row>
    <row r="504">
      <c r="A504" s="247"/>
      <c r="B504" s="247"/>
      <c r="C504" s="247"/>
      <c r="D504" s="247"/>
      <c r="E504" s="247"/>
      <c r="F504" s="247"/>
      <c r="G504" s="247"/>
      <c r="H504" s="247"/>
      <c r="I504" s="247"/>
      <c r="J504" s="247"/>
      <c r="K504" s="247"/>
      <c r="L504" s="247"/>
      <c r="M504" s="253"/>
      <c r="N504" s="253"/>
      <c r="O504" s="253"/>
      <c r="P504" s="253"/>
      <c r="Q504" s="253"/>
      <c r="R504" s="253"/>
      <c r="S504" s="253"/>
      <c r="T504" s="253"/>
      <c r="U504" s="253"/>
      <c r="V504" s="247"/>
      <c r="W504" s="247"/>
      <c r="X504" s="247"/>
      <c r="Y504" s="247"/>
      <c r="Z504" s="247"/>
    </row>
    <row r="505">
      <c r="A505" s="247"/>
      <c r="B505" s="247"/>
      <c r="C505" s="247"/>
      <c r="D505" s="247"/>
      <c r="E505" s="247"/>
      <c r="F505" s="247"/>
      <c r="G505" s="247"/>
      <c r="H505" s="247"/>
      <c r="I505" s="247"/>
      <c r="J505" s="247"/>
      <c r="K505" s="247"/>
      <c r="L505" s="247"/>
      <c r="M505" s="253"/>
      <c r="N505" s="253"/>
      <c r="O505" s="253"/>
      <c r="P505" s="253"/>
      <c r="Q505" s="253"/>
      <c r="R505" s="253"/>
      <c r="S505" s="253"/>
      <c r="T505" s="253"/>
      <c r="U505" s="253"/>
      <c r="V505" s="247"/>
      <c r="W505" s="247"/>
      <c r="X505" s="247"/>
      <c r="Y505" s="247"/>
      <c r="Z505" s="247"/>
    </row>
    <row r="506">
      <c r="A506" s="247"/>
      <c r="B506" s="247"/>
      <c r="C506" s="247"/>
      <c r="D506" s="247"/>
      <c r="E506" s="247"/>
      <c r="F506" s="247"/>
      <c r="G506" s="247"/>
      <c r="H506" s="247"/>
      <c r="I506" s="247"/>
      <c r="J506" s="247"/>
      <c r="K506" s="247"/>
      <c r="L506" s="247"/>
      <c r="M506" s="253"/>
      <c r="N506" s="253"/>
      <c r="O506" s="253"/>
      <c r="P506" s="253"/>
      <c r="Q506" s="253"/>
      <c r="R506" s="253"/>
      <c r="S506" s="253"/>
      <c r="T506" s="253"/>
      <c r="U506" s="253"/>
      <c r="V506" s="247"/>
      <c r="W506" s="247"/>
      <c r="X506" s="247"/>
      <c r="Y506" s="247"/>
      <c r="Z506" s="247"/>
    </row>
    <row r="507">
      <c r="A507" s="247"/>
      <c r="B507" s="247"/>
      <c r="C507" s="247"/>
      <c r="D507" s="247"/>
      <c r="E507" s="247"/>
      <c r="F507" s="247"/>
      <c r="G507" s="247"/>
      <c r="H507" s="247"/>
      <c r="I507" s="247"/>
      <c r="J507" s="247"/>
      <c r="K507" s="247"/>
      <c r="L507" s="247"/>
      <c r="M507" s="253"/>
      <c r="N507" s="253"/>
      <c r="O507" s="253"/>
      <c r="P507" s="253"/>
      <c r="Q507" s="253"/>
      <c r="R507" s="253"/>
      <c r="S507" s="253"/>
      <c r="T507" s="253"/>
      <c r="U507" s="253"/>
      <c r="V507" s="247"/>
      <c r="W507" s="247"/>
      <c r="X507" s="247"/>
      <c r="Y507" s="247"/>
      <c r="Z507" s="247"/>
    </row>
    <row r="508">
      <c r="A508" s="247"/>
      <c r="B508" s="247"/>
      <c r="C508" s="247"/>
      <c r="D508" s="247"/>
      <c r="E508" s="247"/>
      <c r="F508" s="247"/>
      <c r="G508" s="247"/>
      <c r="H508" s="247"/>
      <c r="I508" s="247"/>
      <c r="J508" s="247"/>
      <c r="K508" s="247"/>
      <c r="L508" s="247"/>
      <c r="M508" s="253"/>
      <c r="N508" s="253"/>
      <c r="O508" s="253"/>
      <c r="P508" s="253"/>
      <c r="Q508" s="253"/>
      <c r="R508" s="253"/>
      <c r="S508" s="253"/>
      <c r="T508" s="253"/>
      <c r="U508" s="253"/>
      <c r="V508" s="247"/>
      <c r="W508" s="247"/>
      <c r="X508" s="247"/>
      <c r="Y508" s="247"/>
      <c r="Z508" s="247"/>
    </row>
    <row r="509">
      <c r="A509" s="247"/>
      <c r="B509" s="247"/>
      <c r="C509" s="247"/>
      <c r="D509" s="247"/>
      <c r="E509" s="247"/>
      <c r="F509" s="247"/>
      <c r="G509" s="247"/>
      <c r="H509" s="247"/>
      <c r="I509" s="247"/>
      <c r="J509" s="247"/>
      <c r="K509" s="247"/>
      <c r="L509" s="247"/>
      <c r="M509" s="253"/>
      <c r="N509" s="253"/>
      <c r="O509" s="253"/>
      <c r="P509" s="253"/>
      <c r="Q509" s="253"/>
      <c r="R509" s="253"/>
      <c r="S509" s="253"/>
      <c r="T509" s="253"/>
      <c r="U509" s="253"/>
      <c r="V509" s="247"/>
      <c r="W509" s="247"/>
      <c r="X509" s="247"/>
      <c r="Y509" s="247"/>
      <c r="Z509" s="247"/>
    </row>
    <row r="510">
      <c r="A510" s="247"/>
      <c r="B510" s="247"/>
      <c r="C510" s="247"/>
      <c r="D510" s="247"/>
      <c r="E510" s="247"/>
      <c r="F510" s="247"/>
      <c r="G510" s="247"/>
      <c r="H510" s="247"/>
      <c r="I510" s="247"/>
      <c r="J510" s="247"/>
      <c r="K510" s="247"/>
      <c r="L510" s="247"/>
      <c r="M510" s="253"/>
      <c r="N510" s="253"/>
      <c r="O510" s="253"/>
      <c r="P510" s="253"/>
      <c r="Q510" s="253"/>
      <c r="R510" s="253"/>
      <c r="S510" s="253"/>
      <c r="T510" s="253"/>
      <c r="U510" s="253"/>
      <c r="V510" s="247"/>
      <c r="W510" s="247"/>
      <c r="X510" s="247"/>
      <c r="Y510" s="247"/>
      <c r="Z510" s="247"/>
    </row>
    <row r="511">
      <c r="A511" s="247"/>
      <c r="B511" s="247"/>
      <c r="C511" s="247"/>
      <c r="D511" s="247"/>
      <c r="E511" s="247"/>
      <c r="F511" s="247"/>
      <c r="G511" s="247"/>
      <c r="H511" s="247"/>
      <c r="I511" s="247"/>
      <c r="J511" s="247"/>
      <c r="K511" s="247"/>
      <c r="L511" s="247"/>
      <c r="M511" s="253"/>
      <c r="N511" s="253"/>
      <c r="O511" s="253"/>
      <c r="P511" s="253"/>
      <c r="Q511" s="253"/>
      <c r="R511" s="253"/>
      <c r="S511" s="253"/>
      <c r="T511" s="253"/>
      <c r="U511" s="253"/>
      <c r="V511" s="247"/>
      <c r="W511" s="247"/>
      <c r="X511" s="247"/>
      <c r="Y511" s="247"/>
      <c r="Z511" s="247"/>
    </row>
    <row r="512">
      <c r="A512" s="247"/>
      <c r="B512" s="247"/>
      <c r="C512" s="247"/>
      <c r="D512" s="247"/>
      <c r="E512" s="247"/>
      <c r="F512" s="247"/>
      <c r="G512" s="247"/>
      <c r="H512" s="247"/>
      <c r="I512" s="247"/>
      <c r="J512" s="247"/>
      <c r="K512" s="247"/>
      <c r="L512" s="247"/>
      <c r="M512" s="253"/>
      <c r="N512" s="253"/>
      <c r="O512" s="253"/>
      <c r="P512" s="253"/>
      <c r="Q512" s="253"/>
      <c r="R512" s="253"/>
      <c r="S512" s="253"/>
      <c r="T512" s="253"/>
      <c r="U512" s="253"/>
      <c r="V512" s="247"/>
      <c r="W512" s="247"/>
      <c r="X512" s="247"/>
      <c r="Y512" s="247"/>
      <c r="Z512" s="247"/>
    </row>
    <row r="513">
      <c r="A513" s="247"/>
      <c r="B513" s="247"/>
      <c r="C513" s="247"/>
      <c r="D513" s="247"/>
      <c r="E513" s="247"/>
      <c r="F513" s="247"/>
      <c r="G513" s="247"/>
      <c r="H513" s="247"/>
      <c r="I513" s="247"/>
      <c r="J513" s="247"/>
      <c r="K513" s="247"/>
      <c r="L513" s="247"/>
      <c r="M513" s="253"/>
      <c r="N513" s="253"/>
      <c r="O513" s="253"/>
      <c r="P513" s="253"/>
      <c r="Q513" s="253"/>
      <c r="R513" s="253"/>
      <c r="S513" s="253"/>
      <c r="T513" s="253"/>
      <c r="U513" s="253"/>
      <c r="V513" s="247"/>
      <c r="W513" s="247"/>
      <c r="X513" s="247"/>
      <c r="Y513" s="247"/>
      <c r="Z513" s="247"/>
    </row>
    <row r="514">
      <c r="A514" s="247"/>
      <c r="B514" s="247"/>
      <c r="C514" s="247"/>
      <c r="D514" s="247"/>
      <c r="E514" s="247"/>
      <c r="F514" s="247"/>
      <c r="G514" s="247"/>
      <c r="H514" s="247"/>
      <c r="I514" s="247"/>
      <c r="J514" s="247"/>
      <c r="K514" s="247"/>
      <c r="L514" s="247"/>
      <c r="M514" s="253"/>
      <c r="N514" s="253"/>
      <c r="O514" s="253"/>
      <c r="P514" s="253"/>
      <c r="Q514" s="253"/>
      <c r="R514" s="253"/>
      <c r="S514" s="253"/>
      <c r="T514" s="253"/>
      <c r="U514" s="253"/>
      <c r="V514" s="247"/>
      <c r="W514" s="247"/>
      <c r="X514" s="247"/>
      <c r="Y514" s="247"/>
      <c r="Z514" s="247"/>
    </row>
    <row r="515">
      <c r="A515" s="247"/>
      <c r="B515" s="247"/>
      <c r="C515" s="247"/>
      <c r="D515" s="247"/>
      <c r="E515" s="247"/>
      <c r="F515" s="247"/>
      <c r="G515" s="247"/>
      <c r="H515" s="247"/>
      <c r="I515" s="247"/>
      <c r="J515" s="247"/>
      <c r="K515" s="247"/>
      <c r="L515" s="247"/>
      <c r="M515" s="253"/>
      <c r="N515" s="253"/>
      <c r="O515" s="253"/>
      <c r="P515" s="253"/>
      <c r="Q515" s="253"/>
      <c r="R515" s="253"/>
      <c r="S515" s="253"/>
      <c r="T515" s="253"/>
      <c r="U515" s="253"/>
      <c r="V515" s="247"/>
      <c r="W515" s="247"/>
      <c r="X515" s="247"/>
      <c r="Y515" s="247"/>
      <c r="Z515" s="247"/>
    </row>
    <row r="516">
      <c r="A516" s="247"/>
      <c r="B516" s="247"/>
      <c r="C516" s="247"/>
      <c r="D516" s="247"/>
      <c r="E516" s="247"/>
      <c r="F516" s="247"/>
      <c r="G516" s="247"/>
      <c r="H516" s="247"/>
      <c r="I516" s="247"/>
      <c r="J516" s="247"/>
      <c r="K516" s="247"/>
      <c r="L516" s="247"/>
      <c r="M516" s="253"/>
      <c r="N516" s="253"/>
      <c r="O516" s="253"/>
      <c r="P516" s="253"/>
      <c r="Q516" s="253"/>
      <c r="R516" s="253"/>
      <c r="S516" s="253"/>
      <c r="T516" s="253"/>
      <c r="U516" s="253"/>
      <c r="V516" s="247"/>
      <c r="W516" s="247"/>
      <c r="X516" s="247"/>
      <c r="Y516" s="247"/>
      <c r="Z516" s="247"/>
    </row>
    <row r="517">
      <c r="A517" s="247"/>
      <c r="B517" s="247"/>
      <c r="C517" s="247"/>
      <c r="D517" s="247"/>
      <c r="E517" s="247"/>
      <c r="F517" s="247"/>
      <c r="G517" s="247"/>
      <c r="H517" s="247"/>
      <c r="I517" s="247"/>
      <c r="J517" s="247"/>
      <c r="K517" s="247"/>
      <c r="L517" s="247"/>
      <c r="M517" s="253"/>
      <c r="N517" s="253"/>
      <c r="O517" s="253"/>
      <c r="P517" s="253"/>
      <c r="Q517" s="253"/>
      <c r="R517" s="253"/>
      <c r="S517" s="253"/>
      <c r="T517" s="253"/>
      <c r="U517" s="253"/>
      <c r="V517" s="247"/>
      <c r="W517" s="247"/>
      <c r="X517" s="247"/>
      <c r="Y517" s="247"/>
      <c r="Z517" s="247"/>
    </row>
    <row r="518">
      <c r="A518" s="247"/>
      <c r="B518" s="247"/>
      <c r="C518" s="247"/>
      <c r="D518" s="247"/>
      <c r="E518" s="247"/>
      <c r="F518" s="247"/>
      <c r="G518" s="247"/>
      <c r="H518" s="247"/>
      <c r="I518" s="247"/>
      <c r="J518" s="247"/>
      <c r="K518" s="247"/>
      <c r="L518" s="247"/>
      <c r="M518" s="253"/>
      <c r="N518" s="253"/>
      <c r="O518" s="253"/>
      <c r="P518" s="253"/>
      <c r="Q518" s="253"/>
      <c r="R518" s="253"/>
      <c r="S518" s="253"/>
      <c r="T518" s="253"/>
      <c r="U518" s="253"/>
      <c r="V518" s="247"/>
      <c r="W518" s="247"/>
      <c r="X518" s="247"/>
      <c r="Y518" s="247"/>
      <c r="Z518" s="247"/>
    </row>
    <row r="519">
      <c r="A519" s="247"/>
      <c r="B519" s="247"/>
      <c r="C519" s="247"/>
      <c r="D519" s="247"/>
      <c r="E519" s="247"/>
      <c r="F519" s="247"/>
      <c r="G519" s="247"/>
      <c r="H519" s="247"/>
      <c r="I519" s="247"/>
      <c r="J519" s="247"/>
      <c r="K519" s="247"/>
      <c r="L519" s="247"/>
      <c r="M519" s="253"/>
      <c r="N519" s="253"/>
      <c r="O519" s="253"/>
      <c r="P519" s="253"/>
      <c r="Q519" s="253"/>
      <c r="R519" s="253"/>
      <c r="S519" s="253"/>
      <c r="T519" s="253"/>
      <c r="U519" s="253"/>
      <c r="V519" s="247"/>
      <c r="W519" s="247"/>
      <c r="X519" s="247"/>
      <c r="Y519" s="247"/>
      <c r="Z519" s="247"/>
    </row>
    <row r="520">
      <c r="A520" s="247"/>
      <c r="B520" s="247"/>
      <c r="C520" s="247"/>
      <c r="D520" s="247"/>
      <c r="E520" s="247"/>
      <c r="F520" s="247"/>
      <c r="G520" s="247"/>
      <c r="H520" s="247"/>
      <c r="I520" s="247"/>
      <c r="J520" s="247"/>
      <c r="K520" s="247"/>
      <c r="L520" s="247"/>
      <c r="M520" s="253"/>
      <c r="N520" s="253"/>
      <c r="O520" s="253"/>
      <c r="P520" s="253"/>
      <c r="Q520" s="253"/>
      <c r="R520" s="253"/>
      <c r="S520" s="253"/>
      <c r="T520" s="253"/>
      <c r="U520" s="253"/>
      <c r="V520" s="247"/>
      <c r="W520" s="247"/>
      <c r="X520" s="247"/>
      <c r="Y520" s="247"/>
      <c r="Z520" s="247"/>
    </row>
    <row r="521">
      <c r="A521" s="247"/>
      <c r="B521" s="247"/>
      <c r="C521" s="247"/>
      <c r="D521" s="247"/>
      <c r="E521" s="247"/>
      <c r="F521" s="247"/>
      <c r="G521" s="247"/>
      <c r="H521" s="247"/>
      <c r="I521" s="247"/>
      <c r="J521" s="247"/>
      <c r="K521" s="247"/>
      <c r="L521" s="247"/>
      <c r="M521" s="253"/>
      <c r="N521" s="253"/>
      <c r="O521" s="253"/>
      <c r="P521" s="253"/>
      <c r="Q521" s="253"/>
      <c r="R521" s="253"/>
      <c r="S521" s="253"/>
      <c r="T521" s="253"/>
      <c r="U521" s="253"/>
      <c r="V521" s="247"/>
      <c r="W521" s="247"/>
      <c r="X521" s="247"/>
      <c r="Y521" s="247"/>
      <c r="Z521" s="247"/>
    </row>
    <row r="522">
      <c r="A522" s="247"/>
      <c r="B522" s="247"/>
      <c r="C522" s="247"/>
      <c r="D522" s="247"/>
      <c r="E522" s="247"/>
      <c r="F522" s="247"/>
      <c r="G522" s="247"/>
      <c r="H522" s="247"/>
      <c r="I522" s="247"/>
      <c r="J522" s="247"/>
      <c r="K522" s="247"/>
      <c r="L522" s="247"/>
      <c r="M522" s="253"/>
      <c r="N522" s="253"/>
      <c r="O522" s="253"/>
      <c r="P522" s="253"/>
      <c r="Q522" s="253"/>
      <c r="R522" s="253"/>
      <c r="S522" s="253"/>
      <c r="T522" s="253"/>
      <c r="U522" s="253"/>
      <c r="V522" s="247"/>
      <c r="W522" s="247"/>
      <c r="X522" s="247"/>
      <c r="Y522" s="247"/>
      <c r="Z522" s="247"/>
    </row>
    <row r="523">
      <c r="A523" s="247"/>
      <c r="B523" s="247"/>
      <c r="C523" s="247"/>
      <c r="D523" s="247"/>
      <c r="E523" s="247"/>
      <c r="F523" s="247"/>
      <c r="G523" s="247"/>
      <c r="H523" s="247"/>
      <c r="I523" s="247"/>
      <c r="J523" s="247"/>
      <c r="K523" s="247"/>
      <c r="L523" s="247"/>
      <c r="M523" s="253"/>
      <c r="N523" s="253"/>
      <c r="O523" s="253"/>
      <c r="P523" s="253"/>
      <c r="Q523" s="253"/>
      <c r="R523" s="253"/>
      <c r="S523" s="253"/>
      <c r="T523" s="253"/>
      <c r="U523" s="253"/>
      <c r="V523" s="247"/>
      <c r="W523" s="247"/>
      <c r="X523" s="247"/>
      <c r="Y523" s="247"/>
      <c r="Z523" s="247"/>
    </row>
    <row r="524">
      <c r="A524" s="247"/>
      <c r="B524" s="247"/>
      <c r="C524" s="247"/>
      <c r="D524" s="247"/>
      <c r="E524" s="247"/>
      <c r="F524" s="247"/>
      <c r="G524" s="247"/>
      <c r="H524" s="247"/>
      <c r="I524" s="247"/>
      <c r="J524" s="247"/>
      <c r="K524" s="247"/>
      <c r="L524" s="247"/>
      <c r="M524" s="253"/>
      <c r="N524" s="253"/>
      <c r="O524" s="253"/>
      <c r="P524" s="253"/>
      <c r="Q524" s="253"/>
      <c r="R524" s="253"/>
      <c r="S524" s="253"/>
      <c r="T524" s="253"/>
      <c r="U524" s="253"/>
      <c r="V524" s="247"/>
      <c r="W524" s="247"/>
      <c r="X524" s="247"/>
      <c r="Y524" s="247"/>
      <c r="Z524" s="247"/>
    </row>
    <row r="525">
      <c r="A525" s="247"/>
      <c r="B525" s="247"/>
      <c r="C525" s="247"/>
      <c r="D525" s="247"/>
      <c r="E525" s="247"/>
      <c r="F525" s="247"/>
      <c r="G525" s="247"/>
      <c r="H525" s="247"/>
      <c r="I525" s="247"/>
      <c r="J525" s="247"/>
      <c r="K525" s="247"/>
      <c r="L525" s="247"/>
      <c r="M525" s="253"/>
      <c r="N525" s="253"/>
      <c r="O525" s="253"/>
      <c r="P525" s="253"/>
      <c r="Q525" s="253"/>
      <c r="R525" s="253"/>
      <c r="S525" s="253"/>
      <c r="T525" s="253"/>
      <c r="U525" s="253"/>
      <c r="V525" s="247"/>
      <c r="W525" s="247"/>
      <c r="X525" s="247"/>
      <c r="Y525" s="247"/>
      <c r="Z525" s="247"/>
    </row>
    <row r="526">
      <c r="A526" s="247"/>
      <c r="B526" s="247"/>
      <c r="C526" s="247"/>
      <c r="D526" s="247"/>
      <c r="E526" s="247"/>
      <c r="F526" s="247"/>
      <c r="G526" s="247"/>
      <c r="H526" s="247"/>
      <c r="I526" s="247"/>
      <c r="J526" s="247"/>
      <c r="K526" s="247"/>
      <c r="L526" s="247"/>
      <c r="M526" s="253"/>
      <c r="N526" s="253"/>
      <c r="O526" s="253"/>
      <c r="P526" s="253"/>
      <c r="Q526" s="253"/>
      <c r="R526" s="253"/>
      <c r="S526" s="253"/>
      <c r="T526" s="253"/>
      <c r="U526" s="253"/>
      <c r="V526" s="247"/>
      <c r="W526" s="247"/>
      <c r="X526" s="247"/>
      <c r="Y526" s="247"/>
      <c r="Z526" s="247"/>
    </row>
    <row r="527">
      <c r="A527" s="247"/>
      <c r="B527" s="247"/>
      <c r="C527" s="247"/>
      <c r="D527" s="247"/>
      <c r="E527" s="247"/>
      <c r="F527" s="247"/>
      <c r="G527" s="247"/>
      <c r="H527" s="247"/>
      <c r="I527" s="247"/>
      <c r="J527" s="247"/>
      <c r="K527" s="247"/>
      <c r="L527" s="247"/>
      <c r="M527" s="253"/>
      <c r="N527" s="253"/>
      <c r="O527" s="253"/>
      <c r="P527" s="253"/>
      <c r="Q527" s="253"/>
      <c r="R527" s="253"/>
      <c r="S527" s="253"/>
      <c r="T527" s="253"/>
      <c r="U527" s="253"/>
      <c r="V527" s="247"/>
      <c r="W527" s="247"/>
      <c r="X527" s="247"/>
      <c r="Y527" s="247"/>
      <c r="Z527" s="247"/>
    </row>
    <row r="528">
      <c r="A528" s="247"/>
      <c r="B528" s="247"/>
      <c r="C528" s="247"/>
      <c r="D528" s="247"/>
      <c r="E528" s="247"/>
      <c r="F528" s="247"/>
      <c r="G528" s="247"/>
      <c r="H528" s="247"/>
      <c r="I528" s="247"/>
      <c r="J528" s="247"/>
      <c r="K528" s="247"/>
      <c r="L528" s="247"/>
      <c r="M528" s="253"/>
      <c r="N528" s="253"/>
      <c r="O528" s="253"/>
      <c r="P528" s="253"/>
      <c r="Q528" s="253"/>
      <c r="R528" s="253"/>
      <c r="S528" s="253"/>
      <c r="T528" s="253"/>
      <c r="U528" s="253"/>
      <c r="V528" s="247"/>
      <c r="W528" s="247"/>
      <c r="X528" s="247"/>
      <c r="Y528" s="247"/>
      <c r="Z528" s="247"/>
    </row>
    <row r="529">
      <c r="A529" s="247"/>
      <c r="B529" s="247"/>
      <c r="C529" s="247"/>
      <c r="D529" s="247"/>
      <c r="E529" s="247"/>
      <c r="F529" s="247"/>
      <c r="G529" s="247"/>
      <c r="H529" s="247"/>
      <c r="I529" s="247"/>
      <c r="J529" s="247"/>
      <c r="K529" s="247"/>
      <c r="L529" s="247"/>
      <c r="M529" s="253"/>
      <c r="N529" s="253"/>
      <c r="O529" s="253"/>
      <c r="P529" s="253"/>
      <c r="Q529" s="253"/>
      <c r="R529" s="253"/>
      <c r="S529" s="253"/>
      <c r="T529" s="253"/>
      <c r="U529" s="253"/>
      <c r="V529" s="247"/>
      <c r="W529" s="247"/>
      <c r="X529" s="247"/>
      <c r="Y529" s="247"/>
      <c r="Z529" s="247"/>
    </row>
    <row r="530">
      <c r="A530" s="247"/>
      <c r="B530" s="247"/>
      <c r="C530" s="247"/>
      <c r="D530" s="247"/>
      <c r="E530" s="247"/>
      <c r="F530" s="247"/>
      <c r="G530" s="247"/>
      <c r="H530" s="247"/>
      <c r="I530" s="247"/>
      <c r="J530" s="247"/>
      <c r="K530" s="247"/>
      <c r="L530" s="247"/>
      <c r="M530" s="253"/>
      <c r="N530" s="253"/>
      <c r="O530" s="253"/>
      <c r="P530" s="253"/>
      <c r="Q530" s="253"/>
      <c r="R530" s="253"/>
      <c r="S530" s="253"/>
      <c r="T530" s="253"/>
      <c r="U530" s="253"/>
      <c r="V530" s="247"/>
      <c r="W530" s="247"/>
      <c r="X530" s="247"/>
      <c r="Y530" s="247"/>
      <c r="Z530" s="247"/>
    </row>
    <row r="531">
      <c r="A531" s="247"/>
      <c r="B531" s="247"/>
      <c r="C531" s="247"/>
      <c r="D531" s="247"/>
      <c r="E531" s="247"/>
      <c r="F531" s="247"/>
      <c r="G531" s="247"/>
      <c r="H531" s="247"/>
      <c r="I531" s="247"/>
      <c r="J531" s="247"/>
      <c r="K531" s="247"/>
      <c r="L531" s="247"/>
      <c r="M531" s="253"/>
      <c r="N531" s="253"/>
      <c r="O531" s="253"/>
      <c r="P531" s="253"/>
      <c r="Q531" s="253"/>
      <c r="R531" s="253"/>
      <c r="S531" s="253"/>
      <c r="T531" s="253"/>
      <c r="U531" s="253"/>
      <c r="V531" s="247"/>
      <c r="W531" s="247"/>
      <c r="X531" s="247"/>
      <c r="Y531" s="247"/>
      <c r="Z531" s="247"/>
    </row>
    <row r="532">
      <c r="A532" s="247"/>
      <c r="B532" s="247"/>
      <c r="C532" s="247"/>
      <c r="D532" s="247"/>
      <c r="E532" s="247"/>
      <c r="F532" s="247"/>
      <c r="G532" s="247"/>
      <c r="H532" s="247"/>
      <c r="I532" s="247"/>
      <c r="J532" s="247"/>
      <c r="K532" s="247"/>
      <c r="L532" s="247"/>
      <c r="M532" s="253"/>
      <c r="N532" s="253"/>
      <c r="O532" s="253"/>
      <c r="P532" s="253"/>
      <c r="Q532" s="253"/>
      <c r="R532" s="253"/>
      <c r="S532" s="253"/>
      <c r="T532" s="253"/>
      <c r="U532" s="253"/>
      <c r="V532" s="247"/>
      <c r="W532" s="247"/>
      <c r="X532" s="247"/>
      <c r="Y532" s="247"/>
      <c r="Z532" s="247"/>
    </row>
    <row r="533">
      <c r="A533" s="247"/>
      <c r="B533" s="247"/>
      <c r="C533" s="247"/>
      <c r="D533" s="247"/>
      <c r="E533" s="247"/>
      <c r="F533" s="247"/>
      <c r="G533" s="247"/>
      <c r="H533" s="247"/>
      <c r="I533" s="247"/>
      <c r="J533" s="247"/>
      <c r="K533" s="247"/>
      <c r="L533" s="247"/>
      <c r="M533" s="253"/>
      <c r="N533" s="253"/>
      <c r="O533" s="253"/>
      <c r="P533" s="253"/>
      <c r="Q533" s="253"/>
      <c r="R533" s="253"/>
      <c r="S533" s="253"/>
      <c r="T533" s="253"/>
      <c r="U533" s="253"/>
      <c r="V533" s="247"/>
      <c r="W533" s="247"/>
      <c r="X533" s="247"/>
      <c r="Y533" s="247"/>
      <c r="Z533" s="247"/>
    </row>
    <row r="534">
      <c r="A534" s="247"/>
      <c r="B534" s="247"/>
      <c r="C534" s="247"/>
      <c r="D534" s="247"/>
      <c r="E534" s="247"/>
      <c r="F534" s="247"/>
      <c r="G534" s="247"/>
      <c r="H534" s="247"/>
      <c r="I534" s="247"/>
      <c r="J534" s="247"/>
      <c r="K534" s="247"/>
      <c r="L534" s="247"/>
      <c r="M534" s="253"/>
      <c r="N534" s="253"/>
      <c r="O534" s="253"/>
      <c r="P534" s="253"/>
      <c r="Q534" s="253"/>
      <c r="R534" s="253"/>
      <c r="S534" s="253"/>
      <c r="T534" s="253"/>
      <c r="U534" s="253"/>
      <c r="V534" s="247"/>
      <c r="W534" s="247"/>
      <c r="X534" s="247"/>
      <c r="Y534" s="247"/>
      <c r="Z534" s="247"/>
    </row>
    <row r="535">
      <c r="A535" s="247"/>
      <c r="B535" s="247"/>
      <c r="C535" s="247"/>
      <c r="D535" s="247"/>
      <c r="E535" s="247"/>
      <c r="F535" s="247"/>
      <c r="G535" s="247"/>
      <c r="H535" s="247"/>
      <c r="I535" s="247"/>
      <c r="J535" s="247"/>
      <c r="K535" s="247"/>
      <c r="L535" s="247"/>
      <c r="M535" s="253"/>
      <c r="N535" s="253"/>
      <c r="O535" s="253"/>
      <c r="P535" s="253"/>
      <c r="Q535" s="253"/>
      <c r="R535" s="253"/>
      <c r="S535" s="253"/>
      <c r="T535" s="253"/>
      <c r="U535" s="253"/>
      <c r="V535" s="247"/>
      <c r="W535" s="247"/>
      <c r="X535" s="247"/>
      <c r="Y535" s="247"/>
      <c r="Z535" s="247"/>
    </row>
    <row r="536">
      <c r="A536" s="247"/>
      <c r="B536" s="247"/>
      <c r="C536" s="247"/>
      <c r="D536" s="247"/>
      <c r="E536" s="247"/>
      <c r="F536" s="247"/>
      <c r="G536" s="247"/>
      <c r="H536" s="247"/>
      <c r="I536" s="247"/>
      <c r="J536" s="247"/>
      <c r="K536" s="247"/>
      <c r="L536" s="247"/>
      <c r="M536" s="253"/>
      <c r="N536" s="253"/>
      <c r="O536" s="253"/>
      <c r="P536" s="253"/>
      <c r="Q536" s="253"/>
      <c r="R536" s="253"/>
      <c r="S536" s="253"/>
      <c r="T536" s="253"/>
      <c r="U536" s="253"/>
      <c r="V536" s="247"/>
      <c r="W536" s="247"/>
      <c r="X536" s="247"/>
      <c r="Y536" s="247"/>
      <c r="Z536" s="247"/>
    </row>
    <row r="537">
      <c r="A537" s="247"/>
      <c r="B537" s="247"/>
      <c r="C537" s="247"/>
      <c r="D537" s="247"/>
      <c r="E537" s="247"/>
      <c r="F537" s="247"/>
      <c r="G537" s="247"/>
      <c r="H537" s="247"/>
      <c r="I537" s="247"/>
      <c r="J537" s="247"/>
      <c r="K537" s="247"/>
      <c r="L537" s="247"/>
      <c r="M537" s="253"/>
      <c r="N537" s="253"/>
      <c r="O537" s="253"/>
      <c r="P537" s="253"/>
      <c r="Q537" s="253"/>
      <c r="R537" s="253"/>
      <c r="S537" s="253"/>
      <c r="T537" s="253"/>
      <c r="U537" s="253"/>
      <c r="V537" s="247"/>
      <c r="W537" s="247"/>
      <c r="X537" s="247"/>
      <c r="Y537" s="247"/>
      <c r="Z537" s="247"/>
    </row>
    <row r="538">
      <c r="A538" s="247"/>
      <c r="B538" s="247"/>
      <c r="C538" s="247"/>
      <c r="D538" s="247"/>
      <c r="E538" s="247"/>
      <c r="F538" s="247"/>
      <c r="G538" s="247"/>
      <c r="H538" s="247"/>
      <c r="I538" s="247"/>
      <c r="J538" s="247"/>
      <c r="K538" s="247"/>
      <c r="L538" s="247"/>
      <c r="M538" s="253"/>
      <c r="N538" s="253"/>
      <c r="O538" s="253"/>
      <c r="P538" s="253"/>
      <c r="Q538" s="253"/>
      <c r="R538" s="253"/>
      <c r="S538" s="253"/>
      <c r="T538" s="253"/>
      <c r="U538" s="253"/>
      <c r="V538" s="247"/>
      <c r="W538" s="247"/>
      <c r="X538" s="247"/>
      <c r="Y538" s="247"/>
      <c r="Z538" s="247"/>
    </row>
    <row r="539">
      <c r="A539" s="247"/>
      <c r="B539" s="247"/>
      <c r="C539" s="247"/>
      <c r="D539" s="247"/>
      <c r="E539" s="247"/>
      <c r="F539" s="247"/>
      <c r="G539" s="247"/>
      <c r="H539" s="247"/>
      <c r="I539" s="247"/>
      <c r="J539" s="247"/>
      <c r="K539" s="247"/>
      <c r="L539" s="247"/>
      <c r="M539" s="253"/>
      <c r="N539" s="253"/>
      <c r="O539" s="253"/>
      <c r="P539" s="253"/>
      <c r="Q539" s="253"/>
      <c r="R539" s="253"/>
      <c r="S539" s="253"/>
      <c r="T539" s="253"/>
      <c r="U539" s="253"/>
      <c r="V539" s="247"/>
      <c r="W539" s="247"/>
      <c r="X539" s="247"/>
      <c r="Y539" s="247"/>
      <c r="Z539" s="247"/>
    </row>
    <row r="540">
      <c r="A540" s="247"/>
      <c r="B540" s="247"/>
      <c r="C540" s="247"/>
      <c r="D540" s="247"/>
      <c r="E540" s="247"/>
      <c r="F540" s="247"/>
      <c r="G540" s="247"/>
      <c r="H540" s="247"/>
      <c r="I540" s="247"/>
      <c r="J540" s="247"/>
      <c r="K540" s="247"/>
      <c r="L540" s="247"/>
      <c r="M540" s="253"/>
      <c r="N540" s="253"/>
      <c r="O540" s="253"/>
      <c r="P540" s="253"/>
      <c r="Q540" s="253"/>
      <c r="R540" s="253"/>
      <c r="S540" s="253"/>
      <c r="T540" s="253"/>
      <c r="U540" s="253"/>
      <c r="V540" s="247"/>
      <c r="W540" s="247"/>
      <c r="X540" s="247"/>
      <c r="Y540" s="247"/>
      <c r="Z540" s="247"/>
    </row>
    <row r="541">
      <c r="A541" s="247"/>
      <c r="B541" s="247"/>
      <c r="C541" s="247"/>
      <c r="D541" s="247"/>
      <c r="E541" s="247"/>
      <c r="F541" s="247"/>
      <c r="G541" s="247"/>
      <c r="H541" s="247"/>
      <c r="I541" s="247"/>
      <c r="J541" s="247"/>
      <c r="K541" s="247"/>
      <c r="L541" s="247"/>
      <c r="M541" s="253"/>
      <c r="N541" s="253"/>
      <c r="O541" s="253"/>
      <c r="P541" s="253"/>
      <c r="Q541" s="253"/>
      <c r="R541" s="253"/>
      <c r="S541" s="253"/>
      <c r="T541" s="253"/>
      <c r="U541" s="253"/>
      <c r="V541" s="247"/>
      <c r="W541" s="247"/>
      <c r="X541" s="247"/>
      <c r="Y541" s="247"/>
      <c r="Z541" s="247"/>
    </row>
    <row r="542">
      <c r="A542" s="247"/>
      <c r="B542" s="247"/>
      <c r="C542" s="247"/>
      <c r="D542" s="247"/>
      <c r="E542" s="247"/>
      <c r="F542" s="247"/>
      <c r="G542" s="247"/>
      <c r="H542" s="247"/>
      <c r="I542" s="247"/>
      <c r="J542" s="247"/>
      <c r="K542" s="247"/>
      <c r="L542" s="247"/>
      <c r="M542" s="253"/>
      <c r="N542" s="253"/>
      <c r="O542" s="253"/>
      <c r="P542" s="253"/>
      <c r="Q542" s="253"/>
      <c r="R542" s="253"/>
      <c r="S542" s="253"/>
      <c r="T542" s="253"/>
      <c r="U542" s="253"/>
      <c r="V542" s="247"/>
      <c r="W542" s="247"/>
      <c r="X542" s="247"/>
      <c r="Y542" s="247"/>
      <c r="Z542" s="247"/>
    </row>
    <row r="543">
      <c r="A543" s="247"/>
      <c r="B543" s="247"/>
      <c r="C543" s="247"/>
      <c r="D543" s="247"/>
      <c r="E543" s="247"/>
      <c r="F543" s="247"/>
      <c r="G543" s="247"/>
      <c r="H543" s="247"/>
      <c r="I543" s="247"/>
      <c r="J543" s="247"/>
      <c r="K543" s="247"/>
      <c r="L543" s="247"/>
      <c r="M543" s="253"/>
      <c r="N543" s="253"/>
      <c r="O543" s="253"/>
      <c r="P543" s="253"/>
      <c r="Q543" s="253"/>
      <c r="R543" s="253"/>
      <c r="S543" s="253"/>
      <c r="T543" s="253"/>
      <c r="U543" s="253"/>
      <c r="V543" s="247"/>
      <c r="W543" s="247"/>
      <c r="X543" s="247"/>
      <c r="Y543" s="247"/>
      <c r="Z543" s="247"/>
    </row>
    <row r="544">
      <c r="A544" s="247"/>
      <c r="B544" s="247"/>
      <c r="C544" s="247"/>
      <c r="D544" s="247"/>
      <c r="E544" s="247"/>
      <c r="F544" s="247"/>
      <c r="G544" s="247"/>
      <c r="H544" s="247"/>
      <c r="I544" s="247"/>
      <c r="J544" s="247"/>
      <c r="K544" s="247"/>
      <c r="L544" s="247"/>
      <c r="M544" s="253"/>
      <c r="N544" s="253"/>
      <c r="O544" s="253"/>
      <c r="P544" s="253"/>
      <c r="Q544" s="253"/>
      <c r="R544" s="253"/>
      <c r="S544" s="253"/>
      <c r="T544" s="253"/>
      <c r="U544" s="253"/>
      <c r="V544" s="247"/>
      <c r="W544" s="247"/>
      <c r="X544" s="247"/>
      <c r="Y544" s="247"/>
      <c r="Z544" s="247"/>
    </row>
    <row r="545">
      <c r="A545" s="247"/>
      <c r="B545" s="247"/>
      <c r="C545" s="247"/>
      <c r="D545" s="247"/>
      <c r="E545" s="247"/>
      <c r="F545" s="247"/>
      <c r="G545" s="247"/>
      <c r="H545" s="247"/>
      <c r="I545" s="247"/>
      <c r="J545" s="247"/>
      <c r="K545" s="247"/>
      <c r="L545" s="247"/>
      <c r="M545" s="253"/>
      <c r="N545" s="253"/>
      <c r="O545" s="253"/>
      <c r="P545" s="253"/>
      <c r="Q545" s="253"/>
      <c r="R545" s="253"/>
      <c r="S545" s="253"/>
      <c r="T545" s="253"/>
      <c r="U545" s="253"/>
      <c r="V545" s="247"/>
      <c r="W545" s="247"/>
      <c r="X545" s="247"/>
      <c r="Y545" s="247"/>
      <c r="Z545" s="247"/>
    </row>
    <row r="546">
      <c r="A546" s="247"/>
      <c r="B546" s="247"/>
      <c r="C546" s="247"/>
      <c r="D546" s="247"/>
      <c r="E546" s="247"/>
      <c r="F546" s="247"/>
      <c r="G546" s="247"/>
      <c r="H546" s="247"/>
      <c r="I546" s="247"/>
      <c r="J546" s="247"/>
      <c r="K546" s="247"/>
      <c r="L546" s="247"/>
      <c r="M546" s="253"/>
      <c r="N546" s="253"/>
      <c r="O546" s="253"/>
      <c r="P546" s="253"/>
      <c r="Q546" s="253"/>
      <c r="R546" s="253"/>
      <c r="S546" s="253"/>
      <c r="T546" s="253"/>
      <c r="U546" s="253"/>
      <c r="V546" s="247"/>
      <c r="W546" s="247"/>
      <c r="X546" s="247"/>
      <c r="Y546" s="247"/>
      <c r="Z546" s="247"/>
    </row>
    <row r="547">
      <c r="A547" s="247"/>
      <c r="B547" s="247"/>
      <c r="C547" s="247"/>
      <c r="D547" s="247"/>
      <c r="E547" s="247"/>
      <c r="F547" s="247"/>
      <c r="G547" s="247"/>
      <c r="H547" s="247"/>
      <c r="I547" s="247"/>
      <c r="J547" s="247"/>
      <c r="K547" s="247"/>
      <c r="L547" s="247"/>
      <c r="M547" s="253"/>
      <c r="N547" s="253"/>
      <c r="O547" s="253"/>
      <c r="P547" s="253"/>
      <c r="Q547" s="253"/>
      <c r="R547" s="253"/>
      <c r="S547" s="253"/>
      <c r="T547" s="253"/>
      <c r="U547" s="253"/>
      <c r="V547" s="247"/>
      <c r="W547" s="247"/>
      <c r="X547" s="247"/>
      <c r="Y547" s="247"/>
      <c r="Z547" s="247"/>
    </row>
    <row r="548">
      <c r="A548" s="247"/>
      <c r="B548" s="247"/>
      <c r="C548" s="247"/>
      <c r="D548" s="247"/>
      <c r="E548" s="247"/>
      <c r="F548" s="247"/>
      <c r="G548" s="247"/>
      <c r="H548" s="247"/>
      <c r="I548" s="247"/>
      <c r="J548" s="247"/>
      <c r="K548" s="247"/>
      <c r="L548" s="247"/>
      <c r="M548" s="253"/>
      <c r="N548" s="253"/>
      <c r="O548" s="253"/>
      <c r="P548" s="253"/>
      <c r="Q548" s="253"/>
      <c r="R548" s="253"/>
      <c r="S548" s="253"/>
      <c r="T548" s="253"/>
      <c r="U548" s="253"/>
      <c r="V548" s="247"/>
      <c r="W548" s="247"/>
      <c r="X548" s="247"/>
      <c r="Y548" s="247"/>
      <c r="Z548" s="247"/>
    </row>
    <row r="549">
      <c r="A549" s="247"/>
      <c r="B549" s="247"/>
      <c r="C549" s="247"/>
      <c r="D549" s="247"/>
      <c r="E549" s="247"/>
      <c r="F549" s="247"/>
      <c r="G549" s="247"/>
      <c r="H549" s="247"/>
      <c r="I549" s="247"/>
      <c r="J549" s="247"/>
      <c r="K549" s="247"/>
      <c r="L549" s="247"/>
      <c r="M549" s="253"/>
      <c r="N549" s="253"/>
      <c r="O549" s="253"/>
      <c r="P549" s="253"/>
      <c r="Q549" s="253"/>
      <c r="R549" s="253"/>
      <c r="S549" s="253"/>
      <c r="T549" s="253"/>
      <c r="U549" s="253"/>
      <c r="V549" s="247"/>
      <c r="W549" s="247"/>
      <c r="X549" s="247"/>
      <c r="Y549" s="247"/>
      <c r="Z549" s="247"/>
    </row>
    <row r="550">
      <c r="A550" s="247"/>
      <c r="B550" s="247"/>
      <c r="C550" s="247"/>
      <c r="D550" s="247"/>
      <c r="E550" s="247"/>
      <c r="F550" s="247"/>
      <c r="G550" s="247"/>
      <c r="H550" s="247"/>
      <c r="I550" s="247"/>
      <c r="J550" s="247"/>
      <c r="K550" s="247"/>
      <c r="L550" s="247"/>
      <c r="M550" s="253"/>
      <c r="N550" s="253"/>
      <c r="O550" s="253"/>
      <c r="P550" s="253"/>
      <c r="Q550" s="253"/>
      <c r="R550" s="253"/>
      <c r="S550" s="253"/>
      <c r="T550" s="253"/>
      <c r="U550" s="253"/>
      <c r="V550" s="247"/>
      <c r="W550" s="247"/>
      <c r="X550" s="247"/>
      <c r="Y550" s="247"/>
      <c r="Z550" s="247"/>
    </row>
    <row r="551">
      <c r="A551" s="247"/>
      <c r="B551" s="247"/>
      <c r="C551" s="247"/>
      <c r="D551" s="247"/>
      <c r="E551" s="247"/>
      <c r="F551" s="247"/>
      <c r="G551" s="247"/>
      <c r="H551" s="247"/>
      <c r="I551" s="247"/>
      <c r="J551" s="247"/>
      <c r="K551" s="247"/>
      <c r="L551" s="247"/>
      <c r="M551" s="253"/>
      <c r="N551" s="253"/>
      <c r="O551" s="253"/>
      <c r="P551" s="253"/>
      <c r="Q551" s="253"/>
      <c r="R551" s="253"/>
      <c r="S551" s="253"/>
      <c r="T551" s="253"/>
      <c r="U551" s="253"/>
      <c r="V551" s="247"/>
      <c r="W551" s="247"/>
      <c r="X551" s="247"/>
      <c r="Y551" s="247"/>
      <c r="Z551" s="247"/>
    </row>
    <row r="552">
      <c r="A552" s="247"/>
      <c r="B552" s="247"/>
      <c r="C552" s="247"/>
      <c r="D552" s="247"/>
      <c r="E552" s="247"/>
      <c r="F552" s="247"/>
      <c r="G552" s="247"/>
      <c r="H552" s="247"/>
      <c r="I552" s="247"/>
      <c r="J552" s="247"/>
      <c r="K552" s="247"/>
      <c r="L552" s="247"/>
      <c r="M552" s="253"/>
      <c r="N552" s="253"/>
      <c r="O552" s="253"/>
      <c r="P552" s="253"/>
      <c r="Q552" s="253"/>
      <c r="R552" s="253"/>
      <c r="S552" s="253"/>
      <c r="T552" s="253"/>
      <c r="U552" s="253"/>
      <c r="V552" s="247"/>
      <c r="W552" s="247"/>
      <c r="X552" s="247"/>
      <c r="Y552" s="247"/>
      <c r="Z552" s="247"/>
    </row>
    <row r="553">
      <c r="A553" s="247"/>
      <c r="B553" s="247"/>
      <c r="C553" s="247"/>
      <c r="D553" s="247"/>
      <c r="E553" s="247"/>
      <c r="F553" s="247"/>
      <c r="G553" s="247"/>
      <c r="H553" s="247"/>
      <c r="I553" s="247"/>
      <c r="J553" s="247"/>
      <c r="K553" s="247"/>
      <c r="L553" s="247"/>
      <c r="M553" s="253"/>
      <c r="N553" s="253"/>
      <c r="O553" s="253"/>
      <c r="P553" s="253"/>
      <c r="Q553" s="253"/>
      <c r="R553" s="253"/>
      <c r="S553" s="253"/>
      <c r="T553" s="253"/>
      <c r="U553" s="253"/>
      <c r="V553" s="247"/>
      <c r="W553" s="247"/>
      <c r="X553" s="247"/>
      <c r="Y553" s="247"/>
      <c r="Z553" s="247"/>
    </row>
    <row r="554">
      <c r="A554" s="247"/>
      <c r="B554" s="247"/>
      <c r="C554" s="247"/>
      <c r="D554" s="247"/>
      <c r="E554" s="247"/>
      <c r="F554" s="247"/>
      <c r="G554" s="247"/>
      <c r="H554" s="247"/>
      <c r="I554" s="247"/>
      <c r="J554" s="247"/>
      <c r="K554" s="247"/>
      <c r="L554" s="247"/>
      <c r="M554" s="253"/>
      <c r="N554" s="253"/>
      <c r="O554" s="253"/>
      <c r="P554" s="253"/>
      <c r="Q554" s="253"/>
      <c r="R554" s="253"/>
      <c r="S554" s="253"/>
      <c r="T554" s="253"/>
      <c r="U554" s="253"/>
      <c r="V554" s="247"/>
      <c r="W554" s="247"/>
      <c r="X554" s="247"/>
      <c r="Y554" s="247"/>
      <c r="Z554" s="247"/>
    </row>
    <row r="555">
      <c r="A555" s="247"/>
      <c r="B555" s="247"/>
      <c r="C555" s="247"/>
      <c r="D555" s="247"/>
      <c r="E555" s="247"/>
      <c r="F555" s="247"/>
      <c r="G555" s="247"/>
      <c r="H555" s="247"/>
      <c r="I555" s="247"/>
      <c r="J555" s="247"/>
      <c r="K555" s="247"/>
      <c r="L555" s="247"/>
      <c r="M555" s="253"/>
      <c r="N555" s="253"/>
      <c r="O555" s="253"/>
      <c r="P555" s="253"/>
      <c r="Q555" s="253"/>
      <c r="R555" s="253"/>
      <c r="S555" s="253"/>
      <c r="T555" s="253"/>
      <c r="U555" s="253"/>
      <c r="V555" s="247"/>
      <c r="W555" s="247"/>
      <c r="X555" s="247"/>
      <c r="Y555" s="247"/>
      <c r="Z555" s="247"/>
    </row>
    <row r="556">
      <c r="A556" s="247"/>
      <c r="B556" s="247"/>
      <c r="C556" s="247"/>
      <c r="D556" s="247"/>
      <c r="E556" s="247"/>
      <c r="F556" s="247"/>
      <c r="G556" s="247"/>
      <c r="H556" s="247"/>
      <c r="I556" s="247"/>
      <c r="J556" s="247"/>
      <c r="K556" s="247"/>
      <c r="L556" s="247"/>
      <c r="M556" s="253"/>
      <c r="N556" s="253"/>
      <c r="O556" s="253"/>
      <c r="P556" s="253"/>
      <c r="Q556" s="253"/>
      <c r="R556" s="253"/>
      <c r="S556" s="253"/>
      <c r="T556" s="253"/>
      <c r="U556" s="253"/>
      <c r="V556" s="247"/>
      <c r="W556" s="247"/>
      <c r="X556" s="247"/>
      <c r="Y556" s="247"/>
      <c r="Z556" s="247"/>
    </row>
    <row r="557">
      <c r="A557" s="247"/>
      <c r="B557" s="247"/>
      <c r="C557" s="247"/>
      <c r="D557" s="247"/>
      <c r="E557" s="247"/>
      <c r="F557" s="247"/>
      <c r="G557" s="247"/>
      <c r="H557" s="247"/>
      <c r="I557" s="247"/>
      <c r="J557" s="247"/>
      <c r="K557" s="247"/>
      <c r="L557" s="247"/>
      <c r="M557" s="253"/>
      <c r="N557" s="253"/>
      <c r="O557" s="253"/>
      <c r="P557" s="253"/>
      <c r="Q557" s="253"/>
      <c r="R557" s="253"/>
      <c r="S557" s="253"/>
      <c r="T557" s="253"/>
      <c r="U557" s="253"/>
      <c r="V557" s="247"/>
      <c r="W557" s="247"/>
      <c r="X557" s="247"/>
      <c r="Y557" s="247"/>
      <c r="Z557" s="247"/>
    </row>
    <row r="558">
      <c r="A558" s="247"/>
      <c r="B558" s="247"/>
      <c r="C558" s="247"/>
      <c r="D558" s="247"/>
      <c r="E558" s="247"/>
      <c r="F558" s="247"/>
      <c r="G558" s="247"/>
      <c r="H558" s="247"/>
      <c r="I558" s="247"/>
      <c r="J558" s="247"/>
      <c r="K558" s="247"/>
      <c r="L558" s="247"/>
      <c r="M558" s="253"/>
      <c r="N558" s="253"/>
      <c r="O558" s="253"/>
      <c r="P558" s="253"/>
      <c r="Q558" s="253"/>
      <c r="R558" s="253"/>
      <c r="S558" s="253"/>
      <c r="T558" s="253"/>
      <c r="U558" s="253"/>
      <c r="V558" s="247"/>
      <c r="W558" s="247"/>
      <c r="X558" s="247"/>
      <c r="Y558" s="247"/>
      <c r="Z558" s="247"/>
    </row>
    <row r="559">
      <c r="A559" s="247"/>
      <c r="B559" s="247"/>
      <c r="C559" s="247"/>
      <c r="D559" s="247"/>
      <c r="E559" s="247"/>
      <c r="F559" s="247"/>
      <c r="G559" s="247"/>
      <c r="H559" s="247"/>
      <c r="I559" s="247"/>
      <c r="J559" s="247"/>
      <c r="K559" s="247"/>
      <c r="L559" s="247"/>
      <c r="M559" s="253"/>
      <c r="N559" s="253"/>
      <c r="O559" s="253"/>
      <c r="P559" s="253"/>
      <c r="Q559" s="253"/>
      <c r="R559" s="253"/>
      <c r="S559" s="253"/>
      <c r="T559" s="253"/>
      <c r="U559" s="253"/>
      <c r="V559" s="247"/>
      <c r="W559" s="247"/>
      <c r="X559" s="247"/>
      <c r="Y559" s="247"/>
      <c r="Z559" s="247"/>
    </row>
    <row r="560">
      <c r="A560" s="247"/>
      <c r="B560" s="247"/>
      <c r="C560" s="247"/>
      <c r="D560" s="247"/>
      <c r="E560" s="247"/>
      <c r="F560" s="247"/>
      <c r="G560" s="247"/>
      <c r="H560" s="247"/>
      <c r="I560" s="247"/>
      <c r="J560" s="247"/>
      <c r="K560" s="247"/>
      <c r="L560" s="247"/>
      <c r="M560" s="253"/>
      <c r="N560" s="253"/>
      <c r="O560" s="253"/>
      <c r="P560" s="253"/>
      <c r="Q560" s="253"/>
      <c r="R560" s="253"/>
      <c r="S560" s="253"/>
      <c r="T560" s="253"/>
      <c r="U560" s="253"/>
      <c r="V560" s="247"/>
      <c r="W560" s="247"/>
      <c r="X560" s="247"/>
      <c r="Y560" s="247"/>
      <c r="Z560" s="247"/>
    </row>
    <row r="561">
      <c r="A561" s="247"/>
      <c r="B561" s="247"/>
      <c r="C561" s="247"/>
      <c r="D561" s="247"/>
      <c r="E561" s="247"/>
      <c r="F561" s="247"/>
      <c r="G561" s="247"/>
      <c r="H561" s="247"/>
      <c r="I561" s="247"/>
      <c r="J561" s="247"/>
      <c r="K561" s="247"/>
      <c r="L561" s="247"/>
      <c r="M561" s="253"/>
      <c r="N561" s="253"/>
      <c r="O561" s="253"/>
      <c r="P561" s="253"/>
      <c r="Q561" s="253"/>
      <c r="R561" s="253"/>
      <c r="S561" s="253"/>
      <c r="T561" s="253"/>
      <c r="U561" s="253"/>
      <c r="V561" s="247"/>
      <c r="W561" s="247"/>
      <c r="X561" s="247"/>
      <c r="Y561" s="247"/>
      <c r="Z561" s="247"/>
    </row>
    <row r="562">
      <c r="A562" s="247"/>
      <c r="B562" s="247"/>
      <c r="C562" s="247"/>
      <c r="D562" s="247"/>
      <c r="E562" s="247"/>
      <c r="F562" s="247"/>
      <c r="G562" s="247"/>
      <c r="H562" s="247"/>
      <c r="I562" s="247"/>
      <c r="J562" s="247"/>
      <c r="K562" s="247"/>
      <c r="L562" s="247"/>
      <c r="M562" s="253"/>
      <c r="N562" s="253"/>
      <c r="O562" s="253"/>
      <c r="P562" s="253"/>
      <c r="Q562" s="253"/>
      <c r="R562" s="253"/>
      <c r="S562" s="253"/>
      <c r="T562" s="253"/>
      <c r="U562" s="253"/>
      <c r="V562" s="247"/>
      <c r="W562" s="247"/>
      <c r="X562" s="247"/>
      <c r="Y562" s="247"/>
      <c r="Z562" s="247"/>
    </row>
    <row r="563">
      <c r="A563" s="247"/>
      <c r="B563" s="247"/>
      <c r="C563" s="247"/>
      <c r="D563" s="247"/>
      <c r="E563" s="247"/>
      <c r="F563" s="247"/>
      <c r="G563" s="247"/>
      <c r="H563" s="247"/>
      <c r="I563" s="247"/>
      <c r="J563" s="247"/>
      <c r="K563" s="247"/>
      <c r="L563" s="247"/>
      <c r="M563" s="253"/>
      <c r="N563" s="253"/>
      <c r="O563" s="253"/>
      <c r="P563" s="253"/>
      <c r="Q563" s="253"/>
      <c r="R563" s="253"/>
      <c r="S563" s="253"/>
      <c r="T563" s="253"/>
      <c r="U563" s="253"/>
      <c r="V563" s="247"/>
      <c r="W563" s="247"/>
      <c r="X563" s="247"/>
      <c r="Y563" s="247"/>
      <c r="Z563" s="247"/>
    </row>
    <row r="564">
      <c r="A564" s="247"/>
      <c r="B564" s="247"/>
      <c r="C564" s="247"/>
      <c r="D564" s="247"/>
      <c r="E564" s="247"/>
      <c r="F564" s="247"/>
      <c r="G564" s="247"/>
      <c r="H564" s="247"/>
      <c r="I564" s="247"/>
      <c r="J564" s="247"/>
      <c r="K564" s="247"/>
      <c r="L564" s="247"/>
      <c r="M564" s="253"/>
      <c r="N564" s="253"/>
      <c r="O564" s="253"/>
      <c r="P564" s="253"/>
      <c r="Q564" s="253"/>
      <c r="R564" s="253"/>
      <c r="S564" s="253"/>
      <c r="T564" s="253"/>
      <c r="U564" s="253"/>
      <c r="V564" s="247"/>
      <c r="W564" s="247"/>
      <c r="X564" s="247"/>
      <c r="Y564" s="247"/>
      <c r="Z564" s="247"/>
    </row>
    <row r="565">
      <c r="A565" s="247"/>
      <c r="B565" s="247"/>
      <c r="C565" s="247"/>
      <c r="D565" s="247"/>
      <c r="E565" s="247"/>
      <c r="F565" s="247"/>
      <c r="G565" s="247"/>
      <c r="H565" s="247"/>
      <c r="I565" s="247"/>
      <c r="J565" s="247"/>
      <c r="K565" s="247"/>
      <c r="L565" s="247"/>
      <c r="M565" s="253"/>
      <c r="N565" s="253"/>
      <c r="O565" s="253"/>
      <c r="P565" s="253"/>
      <c r="Q565" s="253"/>
      <c r="R565" s="253"/>
      <c r="S565" s="253"/>
      <c r="T565" s="253"/>
      <c r="U565" s="253"/>
      <c r="V565" s="247"/>
      <c r="W565" s="247"/>
      <c r="X565" s="247"/>
      <c r="Y565" s="247"/>
      <c r="Z565" s="247"/>
    </row>
    <row r="566">
      <c r="A566" s="247"/>
      <c r="B566" s="247"/>
      <c r="C566" s="247"/>
      <c r="D566" s="247"/>
      <c r="E566" s="247"/>
      <c r="F566" s="247"/>
      <c r="G566" s="247"/>
      <c r="H566" s="247"/>
      <c r="I566" s="247"/>
      <c r="J566" s="247"/>
      <c r="K566" s="247"/>
      <c r="L566" s="247"/>
      <c r="M566" s="253"/>
      <c r="N566" s="253"/>
      <c r="O566" s="253"/>
      <c r="P566" s="253"/>
      <c r="Q566" s="253"/>
      <c r="R566" s="253"/>
      <c r="S566" s="253"/>
      <c r="T566" s="253"/>
      <c r="U566" s="253"/>
      <c r="V566" s="247"/>
      <c r="W566" s="247"/>
      <c r="X566" s="247"/>
      <c r="Y566" s="247"/>
      <c r="Z566" s="247"/>
    </row>
    <row r="567">
      <c r="A567" s="247"/>
      <c r="B567" s="247"/>
      <c r="C567" s="247"/>
      <c r="D567" s="247"/>
      <c r="E567" s="247"/>
      <c r="F567" s="247"/>
      <c r="G567" s="247"/>
      <c r="H567" s="247"/>
      <c r="I567" s="247"/>
      <c r="J567" s="247"/>
      <c r="K567" s="247"/>
      <c r="L567" s="247"/>
      <c r="M567" s="253"/>
      <c r="N567" s="253"/>
      <c r="O567" s="253"/>
      <c r="P567" s="253"/>
      <c r="Q567" s="253"/>
      <c r="R567" s="253"/>
      <c r="S567" s="253"/>
      <c r="T567" s="253"/>
      <c r="U567" s="253"/>
      <c r="V567" s="247"/>
      <c r="W567" s="247"/>
      <c r="X567" s="247"/>
      <c r="Y567" s="247"/>
      <c r="Z567" s="247"/>
    </row>
    <row r="568">
      <c r="A568" s="247"/>
      <c r="B568" s="247"/>
      <c r="C568" s="247"/>
      <c r="D568" s="247"/>
      <c r="E568" s="247"/>
      <c r="F568" s="247"/>
      <c r="G568" s="247"/>
      <c r="H568" s="247"/>
      <c r="I568" s="247"/>
      <c r="J568" s="247"/>
      <c r="K568" s="247"/>
      <c r="L568" s="247"/>
      <c r="M568" s="253"/>
      <c r="N568" s="253"/>
      <c r="O568" s="253"/>
      <c r="P568" s="253"/>
      <c r="Q568" s="253"/>
      <c r="R568" s="253"/>
      <c r="S568" s="253"/>
      <c r="T568" s="253"/>
      <c r="U568" s="253"/>
      <c r="V568" s="247"/>
      <c r="W568" s="247"/>
      <c r="X568" s="247"/>
      <c r="Y568" s="247"/>
      <c r="Z568" s="247"/>
    </row>
    <row r="569">
      <c r="A569" s="247"/>
      <c r="B569" s="247"/>
      <c r="C569" s="247"/>
      <c r="D569" s="247"/>
      <c r="E569" s="247"/>
      <c r="F569" s="247"/>
      <c r="G569" s="247"/>
      <c r="H569" s="247"/>
      <c r="I569" s="247"/>
      <c r="J569" s="247"/>
      <c r="K569" s="247"/>
      <c r="L569" s="247"/>
      <c r="M569" s="253"/>
      <c r="N569" s="253"/>
      <c r="O569" s="253"/>
      <c r="P569" s="253"/>
      <c r="Q569" s="253"/>
      <c r="R569" s="253"/>
      <c r="S569" s="253"/>
      <c r="T569" s="253"/>
      <c r="U569" s="253"/>
      <c r="V569" s="247"/>
      <c r="W569" s="247"/>
      <c r="X569" s="247"/>
      <c r="Y569" s="247"/>
      <c r="Z569" s="247"/>
    </row>
    <row r="570">
      <c r="A570" s="247"/>
      <c r="B570" s="247"/>
      <c r="C570" s="247"/>
      <c r="D570" s="247"/>
      <c r="E570" s="247"/>
      <c r="F570" s="247"/>
      <c r="G570" s="247"/>
      <c r="H570" s="247"/>
      <c r="I570" s="247"/>
      <c r="J570" s="247"/>
      <c r="K570" s="247"/>
      <c r="L570" s="247"/>
      <c r="M570" s="253"/>
      <c r="N570" s="253"/>
      <c r="O570" s="253"/>
      <c r="P570" s="253"/>
      <c r="Q570" s="253"/>
      <c r="R570" s="253"/>
      <c r="S570" s="253"/>
      <c r="T570" s="253"/>
      <c r="U570" s="253"/>
      <c r="V570" s="247"/>
      <c r="W570" s="247"/>
      <c r="X570" s="247"/>
      <c r="Y570" s="247"/>
      <c r="Z570" s="247"/>
    </row>
    <row r="571">
      <c r="A571" s="247"/>
      <c r="B571" s="247"/>
      <c r="C571" s="247"/>
      <c r="D571" s="247"/>
      <c r="E571" s="247"/>
      <c r="F571" s="247"/>
      <c r="G571" s="247"/>
      <c r="H571" s="247"/>
      <c r="I571" s="247"/>
      <c r="J571" s="247"/>
      <c r="K571" s="247"/>
      <c r="L571" s="247"/>
      <c r="M571" s="253"/>
      <c r="N571" s="253"/>
      <c r="O571" s="253"/>
      <c r="P571" s="253"/>
      <c r="Q571" s="253"/>
      <c r="R571" s="253"/>
      <c r="S571" s="253"/>
      <c r="T571" s="253"/>
      <c r="U571" s="253"/>
      <c r="V571" s="247"/>
      <c r="W571" s="247"/>
      <c r="X571" s="247"/>
      <c r="Y571" s="247"/>
      <c r="Z571" s="247"/>
    </row>
    <row r="572">
      <c r="A572" s="247"/>
      <c r="B572" s="247"/>
      <c r="C572" s="247"/>
      <c r="D572" s="247"/>
      <c r="E572" s="247"/>
      <c r="F572" s="247"/>
      <c r="G572" s="247"/>
      <c r="H572" s="247"/>
      <c r="I572" s="247"/>
      <c r="J572" s="247"/>
      <c r="K572" s="247"/>
      <c r="L572" s="247"/>
      <c r="M572" s="253"/>
      <c r="N572" s="253"/>
      <c r="O572" s="253"/>
      <c r="P572" s="253"/>
      <c r="Q572" s="253"/>
      <c r="R572" s="253"/>
      <c r="S572" s="253"/>
      <c r="T572" s="253"/>
      <c r="U572" s="253"/>
      <c r="V572" s="247"/>
      <c r="W572" s="247"/>
      <c r="X572" s="247"/>
      <c r="Y572" s="247"/>
      <c r="Z572" s="247"/>
    </row>
    <row r="573">
      <c r="A573" s="247"/>
      <c r="B573" s="247"/>
      <c r="C573" s="247"/>
      <c r="D573" s="247"/>
      <c r="E573" s="247"/>
      <c r="F573" s="247"/>
      <c r="G573" s="247"/>
      <c r="H573" s="247"/>
      <c r="I573" s="247"/>
      <c r="J573" s="247"/>
      <c r="K573" s="247"/>
      <c r="L573" s="247"/>
      <c r="M573" s="253"/>
      <c r="N573" s="253"/>
      <c r="O573" s="253"/>
      <c r="P573" s="253"/>
      <c r="Q573" s="253"/>
      <c r="R573" s="253"/>
      <c r="S573" s="253"/>
      <c r="T573" s="253"/>
      <c r="U573" s="253"/>
      <c r="V573" s="247"/>
      <c r="W573" s="247"/>
      <c r="X573" s="247"/>
      <c r="Y573" s="247"/>
      <c r="Z573" s="247"/>
    </row>
    <row r="574">
      <c r="A574" s="247"/>
      <c r="B574" s="247"/>
      <c r="C574" s="247"/>
      <c r="D574" s="247"/>
      <c r="E574" s="247"/>
      <c r="F574" s="247"/>
      <c r="G574" s="247"/>
      <c r="H574" s="247"/>
      <c r="I574" s="247"/>
      <c r="J574" s="247"/>
      <c r="K574" s="247"/>
      <c r="L574" s="247"/>
      <c r="M574" s="253"/>
      <c r="N574" s="253"/>
      <c r="O574" s="253"/>
      <c r="P574" s="253"/>
      <c r="Q574" s="253"/>
      <c r="R574" s="253"/>
      <c r="S574" s="253"/>
      <c r="T574" s="253"/>
      <c r="U574" s="253"/>
      <c r="V574" s="247"/>
      <c r="W574" s="247"/>
      <c r="X574" s="247"/>
      <c r="Y574" s="247"/>
      <c r="Z574" s="247"/>
    </row>
    <row r="575">
      <c r="A575" s="247"/>
      <c r="B575" s="247"/>
      <c r="C575" s="247"/>
      <c r="D575" s="247"/>
      <c r="E575" s="247"/>
      <c r="F575" s="247"/>
      <c r="G575" s="247"/>
      <c r="H575" s="247"/>
      <c r="I575" s="247"/>
      <c r="J575" s="247"/>
      <c r="K575" s="247"/>
      <c r="L575" s="247"/>
      <c r="M575" s="253"/>
      <c r="N575" s="253"/>
      <c r="O575" s="253"/>
      <c r="P575" s="253"/>
      <c r="Q575" s="253"/>
      <c r="R575" s="253"/>
      <c r="S575" s="253"/>
      <c r="T575" s="253"/>
      <c r="U575" s="253"/>
      <c r="V575" s="247"/>
      <c r="W575" s="247"/>
      <c r="X575" s="247"/>
      <c r="Y575" s="247"/>
      <c r="Z575" s="247"/>
    </row>
    <row r="576">
      <c r="A576" s="247"/>
      <c r="B576" s="247"/>
      <c r="C576" s="247"/>
      <c r="D576" s="247"/>
      <c r="E576" s="247"/>
      <c r="F576" s="247"/>
      <c r="G576" s="247"/>
      <c r="H576" s="247"/>
      <c r="I576" s="247"/>
      <c r="J576" s="247"/>
      <c r="K576" s="247"/>
      <c r="L576" s="247"/>
      <c r="M576" s="253"/>
      <c r="N576" s="253"/>
      <c r="O576" s="253"/>
      <c r="P576" s="253"/>
      <c r="Q576" s="253"/>
      <c r="R576" s="253"/>
      <c r="S576" s="253"/>
      <c r="T576" s="253"/>
      <c r="U576" s="253"/>
      <c r="V576" s="247"/>
      <c r="W576" s="247"/>
      <c r="X576" s="247"/>
      <c r="Y576" s="247"/>
      <c r="Z576" s="247"/>
    </row>
    <row r="577">
      <c r="A577" s="247"/>
      <c r="B577" s="247"/>
      <c r="C577" s="247"/>
      <c r="D577" s="247"/>
      <c r="E577" s="247"/>
      <c r="F577" s="247"/>
      <c r="G577" s="247"/>
      <c r="H577" s="247"/>
      <c r="I577" s="247"/>
      <c r="J577" s="247"/>
      <c r="K577" s="247"/>
      <c r="L577" s="247"/>
      <c r="M577" s="253"/>
      <c r="N577" s="253"/>
      <c r="O577" s="253"/>
      <c r="P577" s="253"/>
      <c r="Q577" s="253"/>
      <c r="R577" s="253"/>
      <c r="S577" s="253"/>
      <c r="T577" s="253"/>
      <c r="U577" s="253"/>
      <c r="V577" s="247"/>
      <c r="W577" s="247"/>
      <c r="X577" s="247"/>
      <c r="Y577" s="247"/>
      <c r="Z577" s="247"/>
    </row>
    <row r="578">
      <c r="A578" s="247"/>
      <c r="B578" s="247"/>
      <c r="C578" s="247"/>
      <c r="D578" s="247"/>
      <c r="E578" s="247"/>
      <c r="F578" s="247"/>
      <c r="G578" s="247"/>
      <c r="H578" s="247"/>
      <c r="I578" s="247"/>
      <c r="J578" s="247"/>
      <c r="K578" s="247"/>
      <c r="L578" s="247"/>
      <c r="M578" s="253"/>
      <c r="N578" s="253"/>
      <c r="O578" s="253"/>
      <c r="P578" s="253"/>
      <c r="Q578" s="253"/>
      <c r="R578" s="253"/>
      <c r="S578" s="253"/>
      <c r="T578" s="253"/>
      <c r="U578" s="253"/>
      <c r="V578" s="247"/>
      <c r="W578" s="247"/>
      <c r="X578" s="247"/>
      <c r="Y578" s="247"/>
      <c r="Z578" s="247"/>
    </row>
    <row r="579">
      <c r="A579" s="247"/>
      <c r="B579" s="247"/>
      <c r="C579" s="247"/>
      <c r="D579" s="247"/>
      <c r="E579" s="247"/>
      <c r="F579" s="247"/>
      <c r="G579" s="247"/>
      <c r="H579" s="247"/>
      <c r="I579" s="247"/>
      <c r="J579" s="247"/>
      <c r="K579" s="247"/>
      <c r="L579" s="247"/>
      <c r="M579" s="253"/>
      <c r="N579" s="253"/>
      <c r="O579" s="253"/>
      <c r="P579" s="253"/>
      <c r="Q579" s="253"/>
      <c r="R579" s="253"/>
      <c r="S579" s="253"/>
      <c r="T579" s="253"/>
      <c r="U579" s="253"/>
      <c r="V579" s="247"/>
      <c r="W579" s="247"/>
      <c r="X579" s="247"/>
      <c r="Y579" s="247"/>
      <c r="Z579" s="247"/>
    </row>
    <row r="580">
      <c r="A580" s="247"/>
      <c r="B580" s="247"/>
      <c r="C580" s="247"/>
      <c r="D580" s="247"/>
      <c r="E580" s="247"/>
      <c r="F580" s="247"/>
      <c r="G580" s="247"/>
      <c r="H580" s="247"/>
      <c r="I580" s="247"/>
      <c r="J580" s="247"/>
      <c r="K580" s="247"/>
      <c r="L580" s="247"/>
      <c r="M580" s="253"/>
      <c r="N580" s="253"/>
      <c r="O580" s="253"/>
      <c r="P580" s="253"/>
      <c r="Q580" s="253"/>
      <c r="R580" s="253"/>
      <c r="S580" s="253"/>
      <c r="T580" s="253"/>
      <c r="U580" s="253"/>
      <c r="V580" s="247"/>
      <c r="W580" s="247"/>
      <c r="X580" s="247"/>
      <c r="Y580" s="247"/>
      <c r="Z580" s="247"/>
    </row>
    <row r="581">
      <c r="A581" s="247"/>
      <c r="B581" s="247"/>
      <c r="C581" s="247"/>
      <c r="D581" s="247"/>
      <c r="E581" s="247"/>
      <c r="F581" s="247"/>
      <c r="G581" s="247"/>
      <c r="H581" s="247"/>
      <c r="I581" s="247"/>
      <c r="J581" s="247"/>
      <c r="K581" s="247"/>
      <c r="L581" s="247"/>
      <c r="M581" s="253"/>
      <c r="N581" s="253"/>
      <c r="O581" s="253"/>
      <c r="P581" s="253"/>
      <c r="Q581" s="253"/>
      <c r="R581" s="253"/>
      <c r="S581" s="253"/>
      <c r="T581" s="253"/>
      <c r="U581" s="253"/>
      <c r="V581" s="247"/>
      <c r="W581" s="247"/>
      <c r="X581" s="247"/>
      <c r="Y581" s="247"/>
      <c r="Z581" s="247"/>
    </row>
    <row r="582">
      <c r="A582" s="247"/>
      <c r="B582" s="247"/>
      <c r="C582" s="247"/>
      <c r="D582" s="247"/>
      <c r="E582" s="247"/>
      <c r="F582" s="247"/>
      <c r="G582" s="247"/>
      <c r="H582" s="247"/>
      <c r="I582" s="247"/>
      <c r="J582" s="247"/>
      <c r="K582" s="247"/>
      <c r="L582" s="247"/>
      <c r="M582" s="253"/>
      <c r="N582" s="253"/>
      <c r="O582" s="253"/>
      <c r="P582" s="253"/>
      <c r="Q582" s="253"/>
      <c r="R582" s="253"/>
      <c r="S582" s="253"/>
      <c r="T582" s="253"/>
      <c r="U582" s="253"/>
      <c r="V582" s="247"/>
      <c r="W582" s="247"/>
      <c r="X582" s="247"/>
      <c r="Y582" s="247"/>
      <c r="Z582" s="247"/>
    </row>
    <row r="583">
      <c r="A583" s="247"/>
      <c r="B583" s="247"/>
      <c r="C583" s="247"/>
      <c r="D583" s="247"/>
      <c r="E583" s="247"/>
      <c r="F583" s="247"/>
      <c r="G583" s="247"/>
      <c r="H583" s="247"/>
      <c r="I583" s="247"/>
      <c r="J583" s="247"/>
      <c r="K583" s="247"/>
      <c r="L583" s="247"/>
      <c r="M583" s="253"/>
      <c r="N583" s="253"/>
      <c r="O583" s="253"/>
      <c r="P583" s="253"/>
      <c r="Q583" s="253"/>
      <c r="R583" s="253"/>
      <c r="S583" s="253"/>
      <c r="T583" s="253"/>
      <c r="U583" s="253"/>
      <c r="V583" s="247"/>
      <c r="W583" s="247"/>
      <c r="X583" s="247"/>
      <c r="Y583" s="247"/>
      <c r="Z583" s="247"/>
    </row>
    <row r="584">
      <c r="A584" s="247"/>
      <c r="B584" s="247"/>
      <c r="C584" s="247"/>
      <c r="D584" s="247"/>
      <c r="E584" s="247"/>
      <c r="F584" s="247"/>
      <c r="G584" s="247"/>
      <c r="H584" s="247"/>
      <c r="I584" s="247"/>
      <c r="J584" s="247"/>
      <c r="K584" s="247"/>
      <c r="L584" s="247"/>
      <c r="M584" s="253"/>
      <c r="N584" s="253"/>
      <c r="O584" s="253"/>
      <c r="P584" s="253"/>
      <c r="Q584" s="253"/>
      <c r="R584" s="253"/>
      <c r="S584" s="253"/>
      <c r="T584" s="253"/>
      <c r="U584" s="253"/>
      <c r="V584" s="247"/>
      <c r="W584" s="247"/>
      <c r="X584" s="247"/>
      <c r="Y584" s="247"/>
      <c r="Z584" s="247"/>
    </row>
    <row r="585">
      <c r="A585" s="247"/>
      <c r="B585" s="247"/>
      <c r="C585" s="247"/>
      <c r="D585" s="247"/>
      <c r="E585" s="247"/>
      <c r="F585" s="247"/>
      <c r="G585" s="247"/>
      <c r="H585" s="247"/>
      <c r="I585" s="247"/>
      <c r="J585" s="247"/>
      <c r="K585" s="247"/>
      <c r="L585" s="247"/>
      <c r="M585" s="253"/>
      <c r="N585" s="253"/>
      <c r="O585" s="253"/>
      <c r="P585" s="253"/>
      <c r="Q585" s="253"/>
      <c r="R585" s="253"/>
      <c r="S585" s="253"/>
      <c r="T585" s="253"/>
      <c r="U585" s="253"/>
      <c r="V585" s="247"/>
      <c r="W585" s="247"/>
      <c r="X585" s="247"/>
      <c r="Y585" s="247"/>
      <c r="Z585" s="247"/>
    </row>
    <row r="586">
      <c r="A586" s="247"/>
      <c r="B586" s="247"/>
      <c r="C586" s="247"/>
      <c r="D586" s="247"/>
      <c r="E586" s="247"/>
      <c r="F586" s="247"/>
      <c r="G586" s="247"/>
      <c r="H586" s="247"/>
      <c r="I586" s="247"/>
      <c r="J586" s="247"/>
      <c r="K586" s="247"/>
      <c r="L586" s="247"/>
      <c r="M586" s="253"/>
      <c r="N586" s="253"/>
      <c r="O586" s="253"/>
      <c r="P586" s="253"/>
      <c r="Q586" s="253"/>
      <c r="R586" s="253"/>
      <c r="S586" s="253"/>
      <c r="T586" s="253"/>
      <c r="U586" s="253"/>
      <c r="V586" s="247"/>
      <c r="W586" s="247"/>
      <c r="X586" s="247"/>
      <c r="Y586" s="247"/>
      <c r="Z586" s="247"/>
    </row>
    <row r="587">
      <c r="A587" s="247"/>
      <c r="B587" s="247"/>
      <c r="C587" s="247"/>
      <c r="D587" s="247"/>
      <c r="E587" s="247"/>
      <c r="F587" s="247"/>
      <c r="G587" s="247"/>
      <c r="H587" s="247"/>
      <c r="I587" s="247"/>
      <c r="J587" s="247"/>
      <c r="K587" s="247"/>
      <c r="L587" s="247"/>
      <c r="M587" s="253"/>
      <c r="N587" s="253"/>
      <c r="O587" s="253"/>
      <c r="P587" s="253"/>
      <c r="Q587" s="253"/>
      <c r="R587" s="253"/>
      <c r="S587" s="253"/>
      <c r="T587" s="253"/>
      <c r="U587" s="253"/>
      <c r="V587" s="247"/>
      <c r="W587" s="247"/>
      <c r="X587" s="247"/>
      <c r="Y587" s="247"/>
      <c r="Z587" s="247"/>
    </row>
    <row r="588">
      <c r="A588" s="247"/>
      <c r="B588" s="247"/>
      <c r="C588" s="247"/>
      <c r="D588" s="247"/>
      <c r="E588" s="247"/>
      <c r="F588" s="247"/>
      <c r="G588" s="247"/>
      <c r="H588" s="247"/>
      <c r="I588" s="247"/>
      <c r="J588" s="247"/>
      <c r="K588" s="247"/>
      <c r="L588" s="247"/>
      <c r="M588" s="253"/>
      <c r="N588" s="253"/>
      <c r="O588" s="253"/>
      <c r="P588" s="253"/>
      <c r="Q588" s="253"/>
      <c r="R588" s="253"/>
      <c r="S588" s="253"/>
      <c r="T588" s="253"/>
      <c r="U588" s="253"/>
      <c r="V588" s="247"/>
      <c r="W588" s="247"/>
      <c r="X588" s="247"/>
      <c r="Y588" s="247"/>
      <c r="Z588" s="247"/>
    </row>
    <row r="589">
      <c r="A589" s="247"/>
      <c r="B589" s="247"/>
      <c r="C589" s="247"/>
      <c r="D589" s="247"/>
      <c r="E589" s="247"/>
      <c r="F589" s="247"/>
      <c r="G589" s="247"/>
      <c r="H589" s="247"/>
      <c r="I589" s="247"/>
      <c r="J589" s="247"/>
      <c r="K589" s="247"/>
      <c r="L589" s="247"/>
      <c r="M589" s="253"/>
      <c r="N589" s="253"/>
      <c r="O589" s="253"/>
      <c r="P589" s="253"/>
      <c r="Q589" s="253"/>
      <c r="R589" s="253"/>
      <c r="S589" s="253"/>
      <c r="T589" s="253"/>
      <c r="U589" s="253"/>
      <c r="V589" s="247"/>
      <c r="W589" s="247"/>
      <c r="X589" s="247"/>
      <c r="Y589" s="247"/>
      <c r="Z589" s="247"/>
    </row>
    <row r="590">
      <c r="A590" s="247"/>
      <c r="B590" s="247"/>
      <c r="C590" s="247"/>
      <c r="D590" s="247"/>
      <c r="E590" s="247"/>
      <c r="F590" s="247"/>
      <c r="G590" s="247"/>
      <c r="H590" s="247"/>
      <c r="I590" s="247"/>
      <c r="J590" s="247"/>
      <c r="K590" s="247"/>
      <c r="L590" s="247"/>
      <c r="M590" s="253"/>
      <c r="N590" s="253"/>
      <c r="O590" s="253"/>
      <c r="P590" s="253"/>
      <c r="Q590" s="253"/>
      <c r="R590" s="253"/>
      <c r="S590" s="253"/>
      <c r="T590" s="253"/>
      <c r="U590" s="253"/>
      <c r="V590" s="247"/>
      <c r="W590" s="247"/>
      <c r="X590" s="247"/>
      <c r="Y590" s="247"/>
      <c r="Z590" s="247"/>
    </row>
    <row r="591">
      <c r="A591" s="247"/>
      <c r="B591" s="247"/>
      <c r="C591" s="247"/>
      <c r="D591" s="247"/>
      <c r="E591" s="247"/>
      <c r="F591" s="247"/>
      <c r="G591" s="247"/>
      <c r="H591" s="247"/>
      <c r="I591" s="247"/>
      <c r="J591" s="247"/>
      <c r="K591" s="247"/>
      <c r="L591" s="247"/>
      <c r="M591" s="253"/>
      <c r="N591" s="253"/>
      <c r="O591" s="253"/>
      <c r="P591" s="253"/>
      <c r="Q591" s="253"/>
      <c r="R591" s="253"/>
      <c r="S591" s="253"/>
      <c r="T591" s="253"/>
      <c r="U591" s="253"/>
      <c r="V591" s="247"/>
      <c r="W591" s="247"/>
      <c r="X591" s="247"/>
      <c r="Y591" s="247"/>
      <c r="Z591" s="247"/>
    </row>
    <row r="592">
      <c r="A592" s="247"/>
      <c r="B592" s="247"/>
      <c r="C592" s="247"/>
      <c r="D592" s="247"/>
      <c r="E592" s="247"/>
      <c r="F592" s="247"/>
      <c r="G592" s="247"/>
      <c r="H592" s="247"/>
      <c r="I592" s="247"/>
      <c r="J592" s="247"/>
      <c r="K592" s="247"/>
      <c r="L592" s="247"/>
      <c r="M592" s="253"/>
      <c r="N592" s="253"/>
      <c r="O592" s="253"/>
      <c r="P592" s="253"/>
      <c r="Q592" s="253"/>
      <c r="R592" s="253"/>
      <c r="S592" s="253"/>
      <c r="T592" s="253"/>
      <c r="U592" s="253"/>
      <c r="V592" s="247"/>
      <c r="W592" s="247"/>
      <c r="X592" s="247"/>
      <c r="Y592" s="247"/>
      <c r="Z592" s="247"/>
    </row>
    <row r="593">
      <c r="A593" s="247"/>
      <c r="B593" s="247"/>
      <c r="C593" s="247"/>
      <c r="D593" s="247"/>
      <c r="E593" s="247"/>
      <c r="F593" s="247"/>
      <c r="G593" s="247"/>
      <c r="H593" s="247"/>
      <c r="I593" s="247"/>
      <c r="J593" s="247"/>
      <c r="K593" s="247"/>
      <c r="L593" s="247"/>
      <c r="M593" s="253"/>
      <c r="N593" s="253"/>
      <c r="O593" s="253"/>
      <c r="P593" s="253"/>
      <c r="Q593" s="253"/>
      <c r="R593" s="253"/>
      <c r="S593" s="253"/>
      <c r="T593" s="253"/>
      <c r="U593" s="253"/>
      <c r="V593" s="247"/>
      <c r="W593" s="247"/>
      <c r="X593" s="247"/>
      <c r="Y593" s="247"/>
      <c r="Z593" s="247"/>
    </row>
    <row r="594">
      <c r="A594" s="247"/>
      <c r="B594" s="247"/>
      <c r="C594" s="247"/>
      <c r="D594" s="247"/>
      <c r="E594" s="247"/>
      <c r="F594" s="247"/>
      <c r="G594" s="247"/>
      <c r="H594" s="247"/>
      <c r="I594" s="247"/>
      <c r="J594" s="247"/>
      <c r="K594" s="247"/>
      <c r="L594" s="247"/>
      <c r="M594" s="253"/>
      <c r="N594" s="253"/>
      <c r="O594" s="253"/>
      <c r="P594" s="253"/>
      <c r="Q594" s="253"/>
      <c r="R594" s="253"/>
      <c r="S594" s="253"/>
      <c r="T594" s="253"/>
      <c r="U594" s="253"/>
      <c r="V594" s="247"/>
      <c r="W594" s="247"/>
      <c r="X594" s="247"/>
      <c r="Y594" s="247"/>
      <c r="Z594" s="247"/>
    </row>
    <row r="595">
      <c r="A595" s="247"/>
      <c r="B595" s="247"/>
      <c r="C595" s="247"/>
      <c r="D595" s="247"/>
      <c r="E595" s="247"/>
      <c r="F595" s="247"/>
      <c r="G595" s="247"/>
      <c r="H595" s="247"/>
      <c r="I595" s="247"/>
      <c r="J595" s="247"/>
      <c r="K595" s="247"/>
      <c r="L595" s="247"/>
      <c r="M595" s="253"/>
      <c r="N595" s="253"/>
      <c r="O595" s="253"/>
      <c r="P595" s="253"/>
      <c r="Q595" s="253"/>
      <c r="R595" s="253"/>
      <c r="S595" s="253"/>
      <c r="T595" s="253"/>
      <c r="U595" s="253"/>
      <c r="V595" s="247"/>
      <c r="W595" s="247"/>
      <c r="X595" s="247"/>
      <c r="Y595" s="247"/>
      <c r="Z595" s="247"/>
    </row>
    <row r="596">
      <c r="A596" s="247"/>
      <c r="B596" s="247"/>
      <c r="C596" s="247"/>
      <c r="D596" s="247"/>
      <c r="E596" s="247"/>
      <c r="F596" s="247"/>
      <c r="G596" s="247"/>
      <c r="H596" s="247"/>
      <c r="I596" s="247"/>
      <c r="J596" s="247"/>
      <c r="K596" s="247"/>
      <c r="L596" s="247"/>
      <c r="M596" s="253"/>
      <c r="N596" s="253"/>
      <c r="O596" s="253"/>
      <c r="P596" s="253"/>
      <c r="Q596" s="253"/>
      <c r="R596" s="253"/>
      <c r="S596" s="253"/>
      <c r="T596" s="253"/>
      <c r="U596" s="253"/>
      <c r="V596" s="247"/>
      <c r="W596" s="247"/>
      <c r="X596" s="247"/>
      <c r="Y596" s="247"/>
      <c r="Z596" s="247"/>
    </row>
    <row r="597">
      <c r="A597" s="247"/>
      <c r="B597" s="247"/>
      <c r="C597" s="247"/>
      <c r="D597" s="247"/>
      <c r="E597" s="247"/>
      <c r="F597" s="247"/>
      <c r="G597" s="247"/>
      <c r="H597" s="247"/>
      <c r="I597" s="247"/>
      <c r="J597" s="247"/>
      <c r="K597" s="247"/>
      <c r="L597" s="247"/>
      <c r="M597" s="253"/>
      <c r="N597" s="253"/>
      <c r="O597" s="253"/>
      <c r="P597" s="253"/>
      <c r="Q597" s="253"/>
      <c r="R597" s="253"/>
      <c r="S597" s="253"/>
      <c r="T597" s="253"/>
      <c r="U597" s="253"/>
      <c r="V597" s="247"/>
      <c r="W597" s="247"/>
      <c r="X597" s="247"/>
      <c r="Y597" s="247"/>
      <c r="Z597" s="247"/>
    </row>
    <row r="598">
      <c r="A598" s="247"/>
      <c r="B598" s="247"/>
      <c r="C598" s="247"/>
      <c r="D598" s="247"/>
      <c r="E598" s="247"/>
      <c r="F598" s="247"/>
      <c r="G598" s="247"/>
      <c r="H598" s="247"/>
      <c r="I598" s="247"/>
      <c r="J598" s="247"/>
      <c r="K598" s="247"/>
      <c r="L598" s="247"/>
      <c r="M598" s="253"/>
      <c r="N598" s="253"/>
      <c r="O598" s="253"/>
      <c r="P598" s="253"/>
      <c r="Q598" s="253"/>
      <c r="R598" s="253"/>
      <c r="S598" s="253"/>
      <c r="T598" s="253"/>
      <c r="U598" s="253"/>
      <c r="V598" s="247"/>
      <c r="W598" s="247"/>
      <c r="X598" s="247"/>
      <c r="Y598" s="247"/>
      <c r="Z598" s="247"/>
    </row>
    <row r="599">
      <c r="A599" s="247"/>
      <c r="B599" s="247"/>
      <c r="C599" s="247"/>
      <c r="D599" s="247"/>
      <c r="E599" s="247"/>
      <c r="F599" s="247"/>
      <c r="G599" s="247"/>
      <c r="H599" s="247"/>
      <c r="I599" s="247"/>
      <c r="J599" s="247"/>
      <c r="K599" s="247"/>
      <c r="L599" s="247"/>
      <c r="M599" s="253"/>
      <c r="N599" s="253"/>
      <c r="O599" s="253"/>
      <c r="P599" s="253"/>
      <c r="Q599" s="253"/>
      <c r="R599" s="253"/>
      <c r="S599" s="253"/>
      <c r="T599" s="253"/>
      <c r="U599" s="253"/>
      <c r="V599" s="247"/>
      <c r="W599" s="247"/>
      <c r="X599" s="247"/>
      <c r="Y599" s="247"/>
      <c r="Z599" s="247"/>
    </row>
    <row r="600">
      <c r="A600" s="247"/>
      <c r="B600" s="247"/>
      <c r="C600" s="247"/>
      <c r="D600" s="247"/>
      <c r="E600" s="247"/>
      <c r="F600" s="247"/>
      <c r="G600" s="247"/>
      <c r="H600" s="247"/>
      <c r="I600" s="247"/>
      <c r="J600" s="247"/>
      <c r="K600" s="247"/>
      <c r="L600" s="247"/>
      <c r="M600" s="253"/>
      <c r="N600" s="253"/>
      <c r="O600" s="253"/>
      <c r="P600" s="253"/>
      <c r="Q600" s="253"/>
      <c r="R600" s="253"/>
      <c r="S600" s="253"/>
      <c r="T600" s="253"/>
      <c r="U600" s="253"/>
      <c r="V600" s="247"/>
      <c r="W600" s="247"/>
      <c r="X600" s="247"/>
      <c r="Y600" s="247"/>
      <c r="Z600" s="247"/>
    </row>
    <row r="601">
      <c r="A601" s="247"/>
      <c r="B601" s="247"/>
      <c r="C601" s="247"/>
      <c r="D601" s="247"/>
      <c r="E601" s="247"/>
      <c r="F601" s="247"/>
      <c r="G601" s="247"/>
      <c r="H601" s="247"/>
      <c r="I601" s="247"/>
      <c r="J601" s="247"/>
      <c r="K601" s="247"/>
      <c r="L601" s="247"/>
      <c r="M601" s="253"/>
      <c r="N601" s="253"/>
      <c r="O601" s="253"/>
      <c r="P601" s="253"/>
      <c r="Q601" s="253"/>
      <c r="R601" s="253"/>
      <c r="S601" s="253"/>
      <c r="T601" s="253"/>
      <c r="U601" s="253"/>
      <c r="V601" s="247"/>
      <c r="W601" s="247"/>
      <c r="X601" s="247"/>
      <c r="Y601" s="247"/>
      <c r="Z601" s="247"/>
    </row>
    <row r="602">
      <c r="A602" s="247"/>
      <c r="B602" s="247"/>
      <c r="C602" s="247"/>
      <c r="D602" s="247"/>
      <c r="E602" s="247"/>
      <c r="F602" s="247"/>
      <c r="G602" s="247"/>
      <c r="H602" s="247"/>
      <c r="I602" s="247"/>
      <c r="J602" s="247"/>
      <c r="K602" s="247"/>
      <c r="L602" s="247"/>
      <c r="M602" s="253"/>
      <c r="N602" s="253"/>
      <c r="O602" s="253"/>
      <c r="P602" s="253"/>
      <c r="Q602" s="253"/>
      <c r="R602" s="253"/>
      <c r="S602" s="253"/>
      <c r="T602" s="253"/>
      <c r="U602" s="253"/>
      <c r="V602" s="247"/>
      <c r="W602" s="247"/>
      <c r="X602" s="247"/>
      <c r="Y602" s="247"/>
      <c r="Z602" s="247"/>
    </row>
    <row r="603">
      <c r="A603" s="247"/>
      <c r="B603" s="247"/>
      <c r="C603" s="247"/>
      <c r="D603" s="247"/>
      <c r="E603" s="247"/>
      <c r="F603" s="247"/>
      <c r="G603" s="247"/>
      <c r="H603" s="247"/>
      <c r="I603" s="247"/>
      <c r="J603" s="247"/>
      <c r="K603" s="247"/>
      <c r="L603" s="247"/>
      <c r="M603" s="253"/>
      <c r="N603" s="253"/>
      <c r="O603" s="253"/>
      <c r="P603" s="253"/>
      <c r="Q603" s="253"/>
      <c r="R603" s="253"/>
      <c r="S603" s="253"/>
      <c r="T603" s="253"/>
      <c r="U603" s="253"/>
      <c r="V603" s="247"/>
      <c r="W603" s="247"/>
      <c r="X603" s="247"/>
      <c r="Y603" s="247"/>
      <c r="Z603" s="247"/>
    </row>
    <row r="604">
      <c r="A604" s="247"/>
      <c r="B604" s="247"/>
      <c r="C604" s="247"/>
      <c r="D604" s="247"/>
      <c r="E604" s="247"/>
      <c r="F604" s="247"/>
      <c r="G604" s="247"/>
      <c r="H604" s="247"/>
      <c r="I604" s="247"/>
      <c r="J604" s="247"/>
      <c r="K604" s="247"/>
      <c r="L604" s="247"/>
      <c r="M604" s="253"/>
      <c r="N604" s="253"/>
      <c r="O604" s="253"/>
      <c r="P604" s="253"/>
      <c r="Q604" s="253"/>
      <c r="R604" s="253"/>
      <c r="S604" s="253"/>
      <c r="T604" s="253"/>
      <c r="U604" s="253"/>
      <c r="V604" s="247"/>
      <c r="W604" s="247"/>
      <c r="X604" s="247"/>
      <c r="Y604" s="247"/>
      <c r="Z604" s="247"/>
    </row>
    <row r="605">
      <c r="A605" s="247"/>
      <c r="B605" s="247"/>
      <c r="C605" s="247"/>
      <c r="D605" s="247"/>
      <c r="E605" s="247"/>
      <c r="F605" s="247"/>
      <c r="G605" s="247"/>
      <c r="H605" s="247"/>
      <c r="I605" s="247"/>
      <c r="J605" s="247"/>
      <c r="K605" s="247"/>
      <c r="L605" s="247"/>
      <c r="M605" s="253"/>
      <c r="N605" s="253"/>
      <c r="O605" s="253"/>
      <c r="P605" s="253"/>
      <c r="Q605" s="253"/>
      <c r="R605" s="253"/>
      <c r="S605" s="253"/>
      <c r="T605" s="253"/>
      <c r="U605" s="253"/>
      <c r="V605" s="247"/>
      <c r="W605" s="247"/>
      <c r="X605" s="247"/>
      <c r="Y605" s="247"/>
      <c r="Z605" s="247"/>
    </row>
    <row r="606">
      <c r="A606" s="247"/>
      <c r="B606" s="247"/>
      <c r="C606" s="247"/>
      <c r="D606" s="247"/>
      <c r="E606" s="247"/>
      <c r="F606" s="247"/>
      <c r="G606" s="247"/>
      <c r="H606" s="247"/>
      <c r="I606" s="247"/>
      <c r="J606" s="247"/>
      <c r="K606" s="247"/>
      <c r="L606" s="247"/>
      <c r="M606" s="253"/>
      <c r="N606" s="253"/>
      <c r="O606" s="253"/>
      <c r="P606" s="253"/>
      <c r="Q606" s="253"/>
      <c r="R606" s="253"/>
      <c r="S606" s="253"/>
      <c r="T606" s="253"/>
      <c r="U606" s="253"/>
      <c r="V606" s="247"/>
      <c r="W606" s="247"/>
      <c r="X606" s="247"/>
      <c r="Y606" s="247"/>
      <c r="Z606" s="247"/>
    </row>
    <row r="607">
      <c r="A607" s="247"/>
      <c r="B607" s="247"/>
      <c r="C607" s="247"/>
      <c r="D607" s="247"/>
      <c r="E607" s="247"/>
      <c r="F607" s="247"/>
      <c r="G607" s="247"/>
      <c r="H607" s="247"/>
      <c r="I607" s="247"/>
      <c r="J607" s="247"/>
      <c r="K607" s="247"/>
      <c r="L607" s="247"/>
      <c r="M607" s="253"/>
      <c r="N607" s="253"/>
      <c r="O607" s="253"/>
      <c r="P607" s="253"/>
      <c r="Q607" s="253"/>
      <c r="R607" s="253"/>
      <c r="S607" s="253"/>
      <c r="T607" s="253"/>
      <c r="U607" s="253"/>
      <c r="V607" s="247"/>
      <c r="W607" s="247"/>
      <c r="X607" s="247"/>
      <c r="Y607" s="247"/>
      <c r="Z607" s="247"/>
    </row>
    <row r="608">
      <c r="A608" s="247"/>
      <c r="B608" s="247"/>
      <c r="C608" s="247"/>
      <c r="D608" s="247"/>
      <c r="E608" s="247"/>
      <c r="F608" s="247"/>
      <c r="G608" s="247"/>
      <c r="H608" s="247"/>
      <c r="I608" s="247"/>
      <c r="J608" s="247"/>
      <c r="K608" s="247"/>
      <c r="L608" s="247"/>
      <c r="M608" s="253"/>
      <c r="N608" s="253"/>
      <c r="O608" s="253"/>
      <c r="P608" s="253"/>
      <c r="Q608" s="253"/>
      <c r="R608" s="253"/>
      <c r="S608" s="253"/>
      <c r="T608" s="253"/>
      <c r="U608" s="253"/>
      <c r="V608" s="247"/>
      <c r="W608" s="247"/>
      <c r="X608" s="247"/>
      <c r="Y608" s="247"/>
      <c r="Z608" s="247"/>
    </row>
    <row r="609">
      <c r="A609" s="247"/>
      <c r="B609" s="247"/>
      <c r="C609" s="247"/>
      <c r="D609" s="247"/>
      <c r="E609" s="247"/>
      <c r="F609" s="247"/>
      <c r="G609" s="247"/>
      <c r="H609" s="247"/>
      <c r="I609" s="247"/>
      <c r="J609" s="247"/>
      <c r="K609" s="247"/>
      <c r="L609" s="247"/>
      <c r="M609" s="253"/>
      <c r="N609" s="253"/>
      <c r="O609" s="253"/>
      <c r="P609" s="253"/>
      <c r="Q609" s="253"/>
      <c r="R609" s="253"/>
      <c r="S609" s="253"/>
      <c r="T609" s="253"/>
      <c r="U609" s="253"/>
      <c r="V609" s="247"/>
      <c r="W609" s="247"/>
      <c r="X609" s="247"/>
      <c r="Y609" s="247"/>
      <c r="Z609" s="247"/>
    </row>
    <row r="610">
      <c r="A610" s="247"/>
      <c r="B610" s="247"/>
      <c r="C610" s="247"/>
      <c r="D610" s="247"/>
      <c r="E610" s="247"/>
      <c r="F610" s="247"/>
      <c r="G610" s="247"/>
      <c r="H610" s="247"/>
      <c r="I610" s="247"/>
      <c r="J610" s="247"/>
      <c r="K610" s="247"/>
      <c r="L610" s="247"/>
      <c r="M610" s="253"/>
      <c r="N610" s="253"/>
      <c r="O610" s="253"/>
      <c r="P610" s="253"/>
      <c r="Q610" s="253"/>
      <c r="R610" s="253"/>
      <c r="S610" s="253"/>
      <c r="T610" s="253"/>
      <c r="U610" s="253"/>
      <c r="V610" s="247"/>
      <c r="W610" s="247"/>
      <c r="X610" s="247"/>
      <c r="Y610" s="247"/>
      <c r="Z610" s="247"/>
    </row>
    <row r="611">
      <c r="A611" s="247"/>
      <c r="B611" s="247"/>
      <c r="C611" s="247"/>
      <c r="D611" s="247"/>
      <c r="E611" s="247"/>
      <c r="F611" s="247"/>
      <c r="G611" s="247"/>
      <c r="H611" s="247"/>
      <c r="I611" s="247"/>
      <c r="J611" s="247"/>
      <c r="K611" s="247"/>
      <c r="L611" s="247"/>
      <c r="M611" s="253"/>
      <c r="N611" s="253"/>
      <c r="O611" s="253"/>
      <c r="P611" s="253"/>
      <c r="Q611" s="253"/>
      <c r="R611" s="253"/>
      <c r="S611" s="253"/>
      <c r="T611" s="253"/>
      <c r="U611" s="253"/>
      <c r="V611" s="247"/>
      <c r="W611" s="247"/>
      <c r="X611" s="247"/>
      <c r="Y611" s="247"/>
      <c r="Z611" s="247"/>
    </row>
    <row r="612">
      <c r="A612" s="247"/>
      <c r="B612" s="247"/>
      <c r="C612" s="247"/>
      <c r="D612" s="247"/>
      <c r="E612" s="247"/>
      <c r="F612" s="247"/>
      <c r="G612" s="247"/>
      <c r="H612" s="247"/>
      <c r="I612" s="247"/>
      <c r="J612" s="247"/>
      <c r="K612" s="247"/>
      <c r="L612" s="247"/>
      <c r="M612" s="253"/>
      <c r="N612" s="253"/>
      <c r="O612" s="253"/>
      <c r="P612" s="253"/>
      <c r="Q612" s="253"/>
      <c r="R612" s="253"/>
      <c r="S612" s="253"/>
      <c r="T612" s="253"/>
      <c r="U612" s="253"/>
      <c r="V612" s="247"/>
      <c r="W612" s="247"/>
      <c r="X612" s="247"/>
      <c r="Y612" s="247"/>
      <c r="Z612" s="247"/>
    </row>
    <row r="613">
      <c r="A613" s="247"/>
      <c r="B613" s="247"/>
      <c r="C613" s="247"/>
      <c r="D613" s="247"/>
      <c r="E613" s="247"/>
      <c r="F613" s="247"/>
      <c r="G613" s="247"/>
      <c r="H613" s="247"/>
      <c r="I613" s="247"/>
      <c r="J613" s="247"/>
      <c r="K613" s="247"/>
      <c r="L613" s="247"/>
      <c r="M613" s="253"/>
      <c r="N613" s="253"/>
      <c r="O613" s="253"/>
      <c r="P613" s="253"/>
      <c r="Q613" s="253"/>
      <c r="R613" s="253"/>
      <c r="S613" s="253"/>
      <c r="T613" s="253"/>
      <c r="U613" s="253"/>
      <c r="V613" s="247"/>
      <c r="W613" s="247"/>
      <c r="X613" s="247"/>
      <c r="Y613" s="247"/>
      <c r="Z613" s="247"/>
    </row>
    <row r="614">
      <c r="A614" s="247"/>
      <c r="B614" s="247"/>
      <c r="C614" s="247"/>
      <c r="D614" s="247"/>
      <c r="E614" s="247"/>
      <c r="F614" s="247"/>
      <c r="G614" s="247"/>
      <c r="H614" s="247"/>
      <c r="I614" s="247"/>
      <c r="J614" s="247"/>
      <c r="K614" s="247"/>
      <c r="L614" s="247"/>
      <c r="M614" s="253"/>
      <c r="N614" s="253"/>
      <c r="O614" s="253"/>
      <c r="P614" s="253"/>
      <c r="Q614" s="253"/>
      <c r="R614" s="253"/>
      <c r="S614" s="253"/>
      <c r="T614" s="253"/>
      <c r="U614" s="253"/>
      <c r="V614" s="247"/>
      <c r="W614" s="247"/>
      <c r="X614" s="247"/>
      <c r="Y614" s="247"/>
      <c r="Z614" s="247"/>
    </row>
    <row r="615">
      <c r="A615" s="247"/>
      <c r="B615" s="247"/>
      <c r="C615" s="247"/>
      <c r="D615" s="247"/>
      <c r="E615" s="247"/>
      <c r="F615" s="247"/>
      <c r="G615" s="247"/>
      <c r="H615" s="247"/>
      <c r="I615" s="247"/>
      <c r="J615" s="247"/>
      <c r="K615" s="247"/>
      <c r="L615" s="247"/>
      <c r="M615" s="253"/>
      <c r="N615" s="253"/>
      <c r="O615" s="253"/>
      <c r="P615" s="253"/>
      <c r="Q615" s="253"/>
      <c r="R615" s="253"/>
      <c r="S615" s="253"/>
      <c r="T615" s="253"/>
      <c r="U615" s="253"/>
      <c r="V615" s="247"/>
      <c r="W615" s="247"/>
      <c r="X615" s="247"/>
      <c r="Y615" s="247"/>
      <c r="Z615" s="247"/>
    </row>
    <row r="616">
      <c r="A616" s="247"/>
      <c r="B616" s="247"/>
      <c r="C616" s="247"/>
      <c r="D616" s="247"/>
      <c r="E616" s="247"/>
      <c r="F616" s="247"/>
      <c r="G616" s="247"/>
      <c r="H616" s="247"/>
      <c r="I616" s="247"/>
      <c r="J616" s="247"/>
      <c r="K616" s="247"/>
      <c r="L616" s="247"/>
      <c r="M616" s="253"/>
      <c r="N616" s="253"/>
      <c r="O616" s="253"/>
      <c r="P616" s="253"/>
      <c r="Q616" s="253"/>
      <c r="R616" s="253"/>
      <c r="S616" s="253"/>
      <c r="T616" s="253"/>
      <c r="U616" s="253"/>
      <c r="V616" s="247"/>
      <c r="W616" s="247"/>
      <c r="X616" s="247"/>
      <c r="Y616" s="247"/>
      <c r="Z616" s="247"/>
    </row>
    <row r="617">
      <c r="A617" s="247"/>
      <c r="B617" s="247"/>
      <c r="C617" s="247"/>
      <c r="D617" s="247"/>
      <c r="E617" s="247"/>
      <c r="F617" s="247"/>
      <c r="G617" s="247"/>
      <c r="H617" s="247"/>
      <c r="I617" s="247"/>
      <c r="J617" s="247"/>
      <c r="K617" s="247"/>
      <c r="L617" s="247"/>
      <c r="M617" s="253"/>
      <c r="N617" s="253"/>
      <c r="O617" s="253"/>
      <c r="P617" s="253"/>
      <c r="Q617" s="253"/>
      <c r="R617" s="253"/>
      <c r="S617" s="253"/>
      <c r="T617" s="253"/>
      <c r="U617" s="253"/>
      <c r="V617" s="247"/>
      <c r="W617" s="247"/>
      <c r="X617" s="247"/>
      <c r="Y617" s="247"/>
      <c r="Z617" s="247"/>
    </row>
    <row r="618">
      <c r="A618" s="247"/>
      <c r="B618" s="247"/>
      <c r="C618" s="247"/>
      <c r="D618" s="247"/>
      <c r="E618" s="247"/>
      <c r="F618" s="247"/>
      <c r="G618" s="247"/>
      <c r="H618" s="247"/>
      <c r="I618" s="247"/>
      <c r="J618" s="247"/>
      <c r="K618" s="247"/>
      <c r="L618" s="247"/>
      <c r="M618" s="253"/>
      <c r="N618" s="253"/>
      <c r="O618" s="253"/>
      <c r="P618" s="253"/>
      <c r="Q618" s="253"/>
      <c r="R618" s="253"/>
      <c r="S618" s="253"/>
      <c r="T618" s="253"/>
      <c r="U618" s="253"/>
      <c r="V618" s="247"/>
      <c r="W618" s="247"/>
      <c r="X618" s="247"/>
      <c r="Y618" s="247"/>
      <c r="Z618" s="247"/>
    </row>
    <row r="619">
      <c r="A619" s="247"/>
      <c r="B619" s="247"/>
      <c r="C619" s="247"/>
      <c r="D619" s="247"/>
      <c r="E619" s="247"/>
      <c r="F619" s="247"/>
      <c r="G619" s="247"/>
      <c r="H619" s="247"/>
      <c r="I619" s="247"/>
      <c r="J619" s="247"/>
      <c r="K619" s="247"/>
      <c r="L619" s="247"/>
      <c r="M619" s="253"/>
      <c r="N619" s="253"/>
      <c r="O619" s="253"/>
      <c r="P619" s="253"/>
      <c r="Q619" s="253"/>
      <c r="R619" s="253"/>
      <c r="S619" s="253"/>
      <c r="T619" s="253"/>
      <c r="U619" s="253"/>
      <c r="V619" s="247"/>
      <c r="W619" s="247"/>
      <c r="X619" s="247"/>
      <c r="Y619" s="247"/>
      <c r="Z619" s="247"/>
    </row>
    <row r="620">
      <c r="A620" s="247"/>
      <c r="B620" s="247"/>
      <c r="C620" s="247"/>
      <c r="D620" s="247"/>
      <c r="E620" s="247"/>
      <c r="F620" s="247"/>
      <c r="G620" s="247"/>
      <c r="H620" s="247"/>
      <c r="I620" s="247"/>
      <c r="J620" s="247"/>
      <c r="K620" s="247"/>
      <c r="L620" s="247"/>
      <c r="M620" s="253"/>
      <c r="N620" s="253"/>
      <c r="O620" s="253"/>
      <c r="P620" s="253"/>
      <c r="Q620" s="253"/>
      <c r="R620" s="253"/>
      <c r="S620" s="253"/>
      <c r="T620" s="253"/>
      <c r="U620" s="253"/>
      <c r="V620" s="247"/>
      <c r="W620" s="247"/>
      <c r="X620" s="247"/>
      <c r="Y620" s="247"/>
      <c r="Z620" s="247"/>
    </row>
    <row r="621">
      <c r="A621" s="247"/>
      <c r="B621" s="247"/>
      <c r="C621" s="247"/>
      <c r="D621" s="247"/>
      <c r="E621" s="247"/>
      <c r="F621" s="247"/>
      <c r="G621" s="247"/>
      <c r="H621" s="247"/>
      <c r="I621" s="247"/>
      <c r="J621" s="247"/>
      <c r="K621" s="247"/>
      <c r="L621" s="247"/>
      <c r="M621" s="253"/>
      <c r="N621" s="253"/>
      <c r="O621" s="253"/>
      <c r="P621" s="253"/>
      <c r="Q621" s="253"/>
      <c r="R621" s="253"/>
      <c r="S621" s="253"/>
      <c r="T621" s="253"/>
      <c r="U621" s="253"/>
      <c r="V621" s="247"/>
      <c r="W621" s="247"/>
      <c r="X621" s="247"/>
      <c r="Y621" s="247"/>
      <c r="Z621" s="247"/>
    </row>
    <row r="622">
      <c r="A622" s="247"/>
      <c r="B622" s="247"/>
      <c r="C622" s="247"/>
      <c r="D622" s="247"/>
      <c r="E622" s="247"/>
      <c r="F622" s="247"/>
      <c r="G622" s="247"/>
      <c r="H622" s="247"/>
      <c r="I622" s="247"/>
      <c r="J622" s="247"/>
      <c r="K622" s="247"/>
      <c r="L622" s="247"/>
      <c r="M622" s="253"/>
      <c r="N622" s="253"/>
      <c r="O622" s="253"/>
      <c r="P622" s="253"/>
      <c r="Q622" s="253"/>
      <c r="R622" s="253"/>
      <c r="S622" s="253"/>
      <c r="T622" s="253"/>
      <c r="U622" s="253"/>
      <c r="V622" s="247"/>
      <c r="W622" s="247"/>
      <c r="X622" s="247"/>
      <c r="Y622" s="247"/>
      <c r="Z622" s="247"/>
    </row>
    <row r="623">
      <c r="A623" s="247"/>
      <c r="B623" s="247"/>
      <c r="C623" s="247"/>
      <c r="D623" s="247"/>
      <c r="E623" s="247"/>
      <c r="F623" s="247"/>
      <c r="G623" s="247"/>
      <c r="H623" s="247"/>
      <c r="I623" s="247"/>
      <c r="J623" s="247"/>
      <c r="K623" s="247"/>
      <c r="L623" s="247"/>
      <c r="M623" s="253"/>
      <c r="N623" s="253"/>
      <c r="O623" s="253"/>
      <c r="P623" s="253"/>
      <c r="Q623" s="253"/>
      <c r="R623" s="253"/>
      <c r="S623" s="253"/>
      <c r="T623" s="253"/>
      <c r="U623" s="253"/>
      <c r="V623" s="247"/>
      <c r="W623" s="247"/>
      <c r="X623" s="247"/>
      <c r="Y623" s="247"/>
      <c r="Z623" s="247"/>
    </row>
    <row r="624">
      <c r="A624" s="247"/>
      <c r="B624" s="247"/>
      <c r="C624" s="247"/>
      <c r="D624" s="247"/>
      <c r="E624" s="247"/>
      <c r="F624" s="247"/>
      <c r="G624" s="247"/>
      <c r="H624" s="247"/>
      <c r="I624" s="247"/>
      <c r="J624" s="247"/>
      <c r="K624" s="247"/>
      <c r="L624" s="247"/>
      <c r="M624" s="253"/>
      <c r="N624" s="253"/>
      <c r="O624" s="253"/>
      <c r="P624" s="253"/>
      <c r="Q624" s="253"/>
      <c r="R624" s="253"/>
      <c r="S624" s="253"/>
      <c r="T624" s="253"/>
      <c r="U624" s="253"/>
      <c r="V624" s="247"/>
      <c r="W624" s="247"/>
      <c r="X624" s="247"/>
      <c r="Y624" s="247"/>
      <c r="Z624" s="247"/>
    </row>
    <row r="625">
      <c r="A625" s="247"/>
      <c r="B625" s="247"/>
      <c r="C625" s="247"/>
      <c r="D625" s="247"/>
      <c r="E625" s="247"/>
      <c r="F625" s="247"/>
      <c r="G625" s="247"/>
      <c r="H625" s="247"/>
      <c r="I625" s="247"/>
      <c r="J625" s="247"/>
      <c r="K625" s="247"/>
      <c r="L625" s="247"/>
      <c r="M625" s="253"/>
      <c r="N625" s="253"/>
      <c r="O625" s="253"/>
      <c r="P625" s="253"/>
      <c r="Q625" s="253"/>
      <c r="R625" s="253"/>
      <c r="S625" s="253"/>
      <c r="T625" s="253"/>
      <c r="U625" s="253"/>
      <c r="V625" s="247"/>
      <c r="W625" s="247"/>
      <c r="X625" s="247"/>
      <c r="Y625" s="247"/>
      <c r="Z625" s="247"/>
    </row>
    <row r="626">
      <c r="A626" s="247"/>
      <c r="B626" s="247"/>
      <c r="C626" s="247"/>
      <c r="D626" s="247"/>
      <c r="E626" s="247"/>
      <c r="F626" s="247"/>
      <c r="G626" s="247"/>
      <c r="H626" s="247"/>
      <c r="I626" s="247"/>
      <c r="J626" s="247"/>
      <c r="K626" s="247"/>
      <c r="L626" s="247"/>
      <c r="M626" s="253"/>
      <c r="N626" s="253"/>
      <c r="O626" s="253"/>
      <c r="P626" s="253"/>
      <c r="Q626" s="253"/>
      <c r="R626" s="253"/>
      <c r="S626" s="253"/>
      <c r="T626" s="253"/>
      <c r="U626" s="253"/>
      <c r="V626" s="247"/>
      <c r="W626" s="247"/>
      <c r="X626" s="247"/>
      <c r="Y626" s="247"/>
      <c r="Z626" s="247"/>
    </row>
    <row r="627">
      <c r="A627" s="247"/>
      <c r="B627" s="247"/>
      <c r="C627" s="247"/>
      <c r="D627" s="247"/>
      <c r="E627" s="247"/>
      <c r="F627" s="247"/>
      <c r="G627" s="247"/>
      <c r="H627" s="247"/>
      <c r="I627" s="247"/>
      <c r="J627" s="247"/>
      <c r="K627" s="247"/>
      <c r="L627" s="247"/>
      <c r="M627" s="253"/>
      <c r="N627" s="253"/>
      <c r="O627" s="253"/>
      <c r="P627" s="253"/>
      <c r="Q627" s="253"/>
      <c r="R627" s="253"/>
      <c r="S627" s="253"/>
      <c r="T627" s="253"/>
      <c r="U627" s="253"/>
      <c r="V627" s="247"/>
      <c r="W627" s="247"/>
      <c r="X627" s="247"/>
      <c r="Y627" s="247"/>
      <c r="Z627" s="247"/>
    </row>
    <row r="628">
      <c r="A628" s="247"/>
      <c r="B628" s="247"/>
      <c r="C628" s="247"/>
      <c r="D628" s="247"/>
      <c r="E628" s="247"/>
      <c r="F628" s="247"/>
      <c r="G628" s="247"/>
      <c r="H628" s="247"/>
      <c r="I628" s="247"/>
      <c r="J628" s="247"/>
      <c r="K628" s="247"/>
      <c r="L628" s="247"/>
      <c r="M628" s="253"/>
      <c r="N628" s="253"/>
      <c r="O628" s="253"/>
      <c r="P628" s="253"/>
      <c r="Q628" s="253"/>
      <c r="R628" s="253"/>
      <c r="S628" s="253"/>
      <c r="T628" s="253"/>
      <c r="U628" s="253"/>
      <c r="V628" s="247"/>
      <c r="W628" s="247"/>
      <c r="X628" s="247"/>
      <c r="Y628" s="247"/>
      <c r="Z628" s="247"/>
    </row>
    <row r="629">
      <c r="A629" s="247"/>
      <c r="B629" s="247"/>
      <c r="C629" s="247"/>
      <c r="D629" s="247"/>
      <c r="E629" s="247"/>
      <c r="F629" s="247"/>
      <c r="G629" s="247"/>
      <c r="H629" s="247"/>
      <c r="I629" s="247"/>
      <c r="J629" s="247"/>
      <c r="K629" s="247"/>
      <c r="L629" s="247"/>
      <c r="M629" s="253"/>
      <c r="N629" s="253"/>
      <c r="O629" s="253"/>
      <c r="P629" s="253"/>
      <c r="Q629" s="253"/>
      <c r="R629" s="253"/>
      <c r="S629" s="253"/>
      <c r="T629" s="253"/>
      <c r="U629" s="253"/>
      <c r="V629" s="247"/>
      <c r="W629" s="247"/>
      <c r="X629" s="247"/>
      <c r="Y629" s="247"/>
      <c r="Z629" s="247"/>
    </row>
    <row r="630">
      <c r="A630" s="247"/>
      <c r="B630" s="247"/>
      <c r="C630" s="247"/>
      <c r="D630" s="247"/>
      <c r="E630" s="247"/>
      <c r="F630" s="247"/>
      <c r="G630" s="247"/>
      <c r="H630" s="247"/>
      <c r="I630" s="247"/>
      <c r="J630" s="247"/>
      <c r="K630" s="247"/>
      <c r="L630" s="247"/>
      <c r="M630" s="253"/>
      <c r="N630" s="253"/>
      <c r="O630" s="253"/>
      <c r="P630" s="253"/>
      <c r="Q630" s="253"/>
      <c r="R630" s="253"/>
      <c r="S630" s="253"/>
      <c r="T630" s="253"/>
      <c r="U630" s="253"/>
      <c r="V630" s="247"/>
      <c r="W630" s="247"/>
      <c r="X630" s="247"/>
      <c r="Y630" s="247"/>
      <c r="Z630" s="247"/>
    </row>
    <row r="631">
      <c r="A631" s="247"/>
      <c r="B631" s="247"/>
      <c r="C631" s="247"/>
      <c r="D631" s="247"/>
      <c r="E631" s="247"/>
      <c r="F631" s="247"/>
      <c r="G631" s="247"/>
      <c r="H631" s="247"/>
      <c r="I631" s="247"/>
      <c r="J631" s="247"/>
      <c r="K631" s="247"/>
      <c r="L631" s="247"/>
      <c r="M631" s="253"/>
      <c r="N631" s="253"/>
      <c r="O631" s="253"/>
      <c r="P631" s="253"/>
      <c r="Q631" s="253"/>
      <c r="R631" s="253"/>
      <c r="S631" s="253"/>
      <c r="T631" s="253"/>
      <c r="U631" s="253"/>
      <c r="V631" s="247"/>
      <c r="W631" s="247"/>
      <c r="X631" s="247"/>
      <c r="Y631" s="247"/>
      <c r="Z631" s="247"/>
    </row>
    <row r="632">
      <c r="A632" s="247"/>
      <c r="B632" s="247"/>
      <c r="C632" s="247"/>
      <c r="D632" s="247"/>
      <c r="E632" s="247"/>
      <c r="F632" s="247"/>
      <c r="G632" s="247"/>
      <c r="H632" s="247"/>
      <c r="I632" s="247"/>
      <c r="J632" s="247"/>
      <c r="K632" s="247"/>
      <c r="L632" s="247"/>
      <c r="M632" s="253"/>
      <c r="N632" s="253"/>
      <c r="O632" s="253"/>
      <c r="P632" s="253"/>
      <c r="Q632" s="253"/>
      <c r="R632" s="253"/>
      <c r="S632" s="253"/>
      <c r="T632" s="253"/>
      <c r="U632" s="253"/>
      <c r="V632" s="247"/>
      <c r="W632" s="247"/>
      <c r="X632" s="247"/>
      <c r="Y632" s="247"/>
      <c r="Z632" s="247"/>
    </row>
    <row r="633">
      <c r="A633" s="247"/>
      <c r="B633" s="247"/>
      <c r="C633" s="247"/>
      <c r="D633" s="247"/>
      <c r="E633" s="247"/>
      <c r="F633" s="247"/>
      <c r="G633" s="247"/>
      <c r="H633" s="247"/>
      <c r="I633" s="247"/>
      <c r="J633" s="247"/>
      <c r="K633" s="247"/>
      <c r="L633" s="247"/>
      <c r="M633" s="253"/>
      <c r="N633" s="253"/>
      <c r="O633" s="253"/>
      <c r="P633" s="253"/>
      <c r="Q633" s="253"/>
      <c r="R633" s="253"/>
      <c r="S633" s="253"/>
      <c r="T633" s="253"/>
      <c r="U633" s="253"/>
      <c r="V633" s="247"/>
      <c r="W633" s="247"/>
      <c r="X633" s="247"/>
      <c r="Y633" s="247"/>
      <c r="Z633" s="247"/>
    </row>
    <row r="634">
      <c r="A634" s="247"/>
      <c r="B634" s="247"/>
      <c r="C634" s="247"/>
      <c r="D634" s="247"/>
      <c r="E634" s="247"/>
      <c r="F634" s="247"/>
      <c r="G634" s="247"/>
      <c r="H634" s="247"/>
      <c r="I634" s="247"/>
      <c r="J634" s="247"/>
      <c r="K634" s="247"/>
      <c r="L634" s="247"/>
      <c r="M634" s="253"/>
      <c r="N634" s="253"/>
      <c r="O634" s="253"/>
      <c r="P634" s="253"/>
      <c r="Q634" s="253"/>
      <c r="R634" s="253"/>
      <c r="S634" s="253"/>
      <c r="T634" s="253"/>
      <c r="U634" s="253"/>
      <c r="V634" s="247"/>
      <c r="W634" s="247"/>
      <c r="X634" s="247"/>
      <c r="Y634" s="247"/>
      <c r="Z634" s="247"/>
    </row>
    <row r="635">
      <c r="A635" s="247"/>
      <c r="B635" s="247"/>
      <c r="C635" s="247"/>
      <c r="D635" s="247"/>
      <c r="E635" s="247"/>
      <c r="F635" s="247"/>
      <c r="G635" s="247"/>
      <c r="H635" s="247"/>
      <c r="I635" s="247"/>
      <c r="J635" s="247"/>
      <c r="K635" s="247"/>
      <c r="L635" s="247"/>
      <c r="M635" s="253"/>
      <c r="N635" s="253"/>
      <c r="O635" s="253"/>
      <c r="P635" s="253"/>
      <c r="Q635" s="253"/>
      <c r="R635" s="253"/>
      <c r="S635" s="253"/>
      <c r="T635" s="253"/>
      <c r="U635" s="253"/>
      <c r="V635" s="247"/>
      <c r="W635" s="247"/>
      <c r="X635" s="247"/>
      <c r="Y635" s="247"/>
      <c r="Z635" s="247"/>
    </row>
    <row r="636">
      <c r="A636" s="247"/>
      <c r="B636" s="247"/>
      <c r="C636" s="247"/>
      <c r="D636" s="247"/>
      <c r="E636" s="247"/>
      <c r="F636" s="247"/>
      <c r="G636" s="247"/>
      <c r="H636" s="247"/>
      <c r="I636" s="247"/>
      <c r="J636" s="247"/>
      <c r="K636" s="247"/>
      <c r="L636" s="247"/>
      <c r="M636" s="253"/>
      <c r="N636" s="253"/>
      <c r="O636" s="253"/>
      <c r="P636" s="253"/>
      <c r="Q636" s="253"/>
      <c r="R636" s="253"/>
      <c r="S636" s="253"/>
      <c r="T636" s="253"/>
      <c r="U636" s="253"/>
      <c r="V636" s="247"/>
      <c r="W636" s="247"/>
      <c r="X636" s="247"/>
      <c r="Y636" s="247"/>
      <c r="Z636" s="247"/>
    </row>
    <row r="637">
      <c r="A637" s="247"/>
      <c r="B637" s="247"/>
      <c r="C637" s="247"/>
      <c r="D637" s="247"/>
      <c r="E637" s="247"/>
      <c r="F637" s="247"/>
      <c r="G637" s="247"/>
      <c r="H637" s="247"/>
      <c r="I637" s="247"/>
      <c r="J637" s="247"/>
      <c r="K637" s="247"/>
      <c r="L637" s="247"/>
      <c r="M637" s="253"/>
      <c r="N637" s="253"/>
      <c r="O637" s="253"/>
      <c r="P637" s="253"/>
      <c r="Q637" s="253"/>
      <c r="R637" s="253"/>
      <c r="S637" s="253"/>
      <c r="T637" s="253"/>
      <c r="U637" s="253"/>
      <c r="V637" s="247"/>
      <c r="W637" s="247"/>
      <c r="X637" s="247"/>
      <c r="Y637" s="247"/>
      <c r="Z637" s="247"/>
    </row>
    <row r="638">
      <c r="A638" s="247"/>
      <c r="B638" s="247"/>
      <c r="C638" s="247"/>
      <c r="D638" s="247"/>
      <c r="E638" s="247"/>
      <c r="F638" s="247"/>
      <c r="G638" s="247"/>
      <c r="H638" s="247"/>
      <c r="I638" s="247"/>
      <c r="J638" s="247"/>
      <c r="K638" s="247"/>
      <c r="L638" s="247"/>
      <c r="M638" s="253"/>
      <c r="N638" s="253"/>
      <c r="O638" s="253"/>
      <c r="P638" s="253"/>
      <c r="Q638" s="253"/>
      <c r="R638" s="253"/>
      <c r="S638" s="253"/>
      <c r="T638" s="253"/>
      <c r="U638" s="253"/>
      <c r="V638" s="247"/>
      <c r="W638" s="247"/>
      <c r="X638" s="247"/>
      <c r="Y638" s="247"/>
      <c r="Z638" s="247"/>
    </row>
    <row r="639">
      <c r="A639" s="247"/>
      <c r="B639" s="247"/>
      <c r="C639" s="247"/>
      <c r="D639" s="247"/>
      <c r="E639" s="247"/>
      <c r="F639" s="247"/>
      <c r="G639" s="247"/>
      <c r="H639" s="247"/>
      <c r="I639" s="247"/>
      <c r="J639" s="247"/>
      <c r="K639" s="247"/>
      <c r="L639" s="247"/>
      <c r="M639" s="253"/>
      <c r="N639" s="253"/>
      <c r="O639" s="253"/>
      <c r="P639" s="253"/>
      <c r="Q639" s="253"/>
      <c r="R639" s="253"/>
      <c r="S639" s="253"/>
      <c r="T639" s="253"/>
      <c r="U639" s="253"/>
      <c r="V639" s="247"/>
      <c r="W639" s="247"/>
      <c r="X639" s="247"/>
      <c r="Y639" s="247"/>
      <c r="Z639" s="247"/>
    </row>
    <row r="640">
      <c r="A640" s="247"/>
      <c r="B640" s="247"/>
      <c r="C640" s="247"/>
      <c r="D640" s="247"/>
      <c r="E640" s="247"/>
      <c r="F640" s="247"/>
      <c r="G640" s="247"/>
      <c r="H640" s="247"/>
      <c r="I640" s="247"/>
      <c r="J640" s="247"/>
      <c r="K640" s="247"/>
      <c r="L640" s="247"/>
      <c r="M640" s="253"/>
      <c r="N640" s="253"/>
      <c r="O640" s="253"/>
      <c r="P640" s="253"/>
      <c r="Q640" s="253"/>
      <c r="R640" s="253"/>
      <c r="S640" s="253"/>
      <c r="T640" s="253"/>
      <c r="U640" s="253"/>
      <c r="V640" s="247"/>
      <c r="W640" s="247"/>
      <c r="X640" s="247"/>
      <c r="Y640" s="247"/>
      <c r="Z640" s="247"/>
    </row>
    <row r="641">
      <c r="A641" s="247"/>
      <c r="B641" s="247"/>
      <c r="C641" s="247"/>
      <c r="D641" s="247"/>
      <c r="E641" s="247"/>
      <c r="F641" s="247"/>
      <c r="G641" s="247"/>
      <c r="H641" s="247"/>
      <c r="I641" s="247"/>
      <c r="J641" s="247"/>
      <c r="K641" s="247"/>
      <c r="L641" s="247"/>
      <c r="M641" s="253"/>
      <c r="N641" s="253"/>
      <c r="O641" s="253"/>
      <c r="P641" s="253"/>
      <c r="Q641" s="253"/>
      <c r="R641" s="253"/>
      <c r="S641" s="253"/>
      <c r="T641" s="253"/>
      <c r="U641" s="253"/>
      <c r="V641" s="247"/>
      <c r="W641" s="247"/>
      <c r="X641" s="247"/>
      <c r="Y641" s="247"/>
      <c r="Z641" s="247"/>
    </row>
    <row r="642">
      <c r="A642" s="247"/>
      <c r="B642" s="247"/>
      <c r="C642" s="247"/>
      <c r="D642" s="247"/>
      <c r="E642" s="247"/>
      <c r="F642" s="247"/>
      <c r="G642" s="247"/>
      <c r="H642" s="247"/>
      <c r="I642" s="247"/>
      <c r="J642" s="247"/>
      <c r="K642" s="247"/>
      <c r="L642" s="247"/>
      <c r="M642" s="253"/>
      <c r="N642" s="253"/>
      <c r="O642" s="253"/>
      <c r="P642" s="253"/>
      <c r="Q642" s="253"/>
      <c r="R642" s="253"/>
      <c r="S642" s="253"/>
      <c r="T642" s="253"/>
      <c r="U642" s="253"/>
      <c r="V642" s="247"/>
      <c r="W642" s="247"/>
      <c r="X642" s="247"/>
      <c r="Y642" s="247"/>
      <c r="Z642" s="247"/>
    </row>
    <row r="643">
      <c r="A643" s="247"/>
      <c r="B643" s="247"/>
      <c r="C643" s="247"/>
      <c r="D643" s="247"/>
      <c r="E643" s="247"/>
      <c r="F643" s="247"/>
      <c r="G643" s="247"/>
      <c r="H643" s="247"/>
      <c r="I643" s="247"/>
      <c r="J643" s="247"/>
      <c r="K643" s="247"/>
      <c r="L643" s="247"/>
      <c r="M643" s="253"/>
      <c r="N643" s="253"/>
      <c r="O643" s="253"/>
      <c r="P643" s="253"/>
      <c r="Q643" s="253"/>
      <c r="R643" s="253"/>
      <c r="S643" s="253"/>
      <c r="T643" s="253"/>
      <c r="U643" s="253"/>
      <c r="V643" s="247"/>
      <c r="W643" s="247"/>
      <c r="X643" s="247"/>
      <c r="Y643" s="247"/>
      <c r="Z643" s="247"/>
    </row>
    <row r="644">
      <c r="A644" s="247"/>
      <c r="B644" s="247"/>
      <c r="C644" s="247"/>
      <c r="D644" s="247"/>
      <c r="E644" s="247"/>
      <c r="F644" s="247"/>
      <c r="G644" s="247"/>
      <c r="H644" s="247"/>
      <c r="I644" s="247"/>
      <c r="J644" s="247"/>
      <c r="K644" s="247"/>
      <c r="L644" s="247"/>
      <c r="M644" s="253"/>
      <c r="N644" s="253"/>
      <c r="O644" s="253"/>
      <c r="P644" s="253"/>
      <c r="Q644" s="253"/>
      <c r="R644" s="253"/>
      <c r="S644" s="253"/>
      <c r="T644" s="253"/>
      <c r="U644" s="253"/>
      <c r="V644" s="247"/>
      <c r="W644" s="247"/>
      <c r="X644" s="247"/>
      <c r="Y644" s="247"/>
      <c r="Z644" s="247"/>
    </row>
    <row r="645">
      <c r="A645" s="247"/>
      <c r="B645" s="247"/>
      <c r="C645" s="247"/>
      <c r="D645" s="247"/>
      <c r="E645" s="247"/>
      <c r="F645" s="247"/>
      <c r="G645" s="247"/>
      <c r="H645" s="247"/>
      <c r="I645" s="247"/>
      <c r="J645" s="247"/>
      <c r="K645" s="247"/>
      <c r="L645" s="247"/>
      <c r="M645" s="253"/>
      <c r="N645" s="253"/>
      <c r="O645" s="253"/>
      <c r="P645" s="253"/>
      <c r="Q645" s="253"/>
      <c r="R645" s="253"/>
      <c r="S645" s="253"/>
      <c r="T645" s="253"/>
      <c r="U645" s="253"/>
      <c r="V645" s="247"/>
      <c r="W645" s="247"/>
      <c r="X645" s="247"/>
      <c r="Y645" s="247"/>
      <c r="Z645" s="247"/>
    </row>
    <row r="646">
      <c r="A646" s="247"/>
      <c r="B646" s="247"/>
      <c r="C646" s="247"/>
      <c r="D646" s="247"/>
      <c r="E646" s="247"/>
      <c r="F646" s="247"/>
      <c r="G646" s="247"/>
      <c r="H646" s="247"/>
      <c r="I646" s="247"/>
      <c r="J646" s="247"/>
      <c r="K646" s="247"/>
      <c r="L646" s="247"/>
      <c r="M646" s="253"/>
      <c r="N646" s="253"/>
      <c r="O646" s="253"/>
      <c r="P646" s="253"/>
      <c r="Q646" s="253"/>
      <c r="R646" s="253"/>
      <c r="S646" s="253"/>
      <c r="T646" s="253"/>
      <c r="U646" s="253"/>
      <c r="V646" s="247"/>
      <c r="W646" s="247"/>
      <c r="X646" s="247"/>
      <c r="Y646" s="247"/>
      <c r="Z646" s="247"/>
    </row>
    <row r="647">
      <c r="A647" s="247"/>
      <c r="B647" s="247"/>
      <c r="C647" s="247"/>
      <c r="D647" s="247"/>
      <c r="E647" s="247"/>
      <c r="F647" s="247"/>
      <c r="G647" s="247"/>
      <c r="H647" s="247"/>
      <c r="I647" s="247"/>
      <c r="J647" s="247"/>
      <c r="K647" s="247"/>
      <c r="L647" s="247"/>
      <c r="M647" s="253"/>
      <c r="N647" s="253"/>
      <c r="O647" s="253"/>
      <c r="P647" s="253"/>
      <c r="Q647" s="253"/>
      <c r="R647" s="253"/>
      <c r="S647" s="253"/>
      <c r="T647" s="253"/>
      <c r="U647" s="253"/>
      <c r="V647" s="247"/>
      <c r="W647" s="247"/>
      <c r="X647" s="247"/>
      <c r="Y647" s="247"/>
      <c r="Z647" s="247"/>
    </row>
    <row r="648">
      <c r="A648" s="247"/>
      <c r="B648" s="247"/>
      <c r="C648" s="247"/>
      <c r="D648" s="247"/>
      <c r="E648" s="247"/>
      <c r="F648" s="247"/>
      <c r="G648" s="247"/>
      <c r="H648" s="247"/>
      <c r="I648" s="247"/>
      <c r="J648" s="247"/>
      <c r="K648" s="247"/>
      <c r="L648" s="247"/>
      <c r="M648" s="253"/>
      <c r="N648" s="253"/>
      <c r="O648" s="253"/>
      <c r="P648" s="253"/>
      <c r="Q648" s="253"/>
      <c r="R648" s="253"/>
      <c r="S648" s="253"/>
      <c r="T648" s="253"/>
      <c r="U648" s="253"/>
      <c r="V648" s="247"/>
      <c r="W648" s="247"/>
      <c r="X648" s="247"/>
      <c r="Y648" s="247"/>
      <c r="Z648" s="247"/>
    </row>
    <row r="649">
      <c r="A649" s="247"/>
      <c r="B649" s="247"/>
      <c r="C649" s="247"/>
      <c r="D649" s="247"/>
      <c r="E649" s="247"/>
      <c r="F649" s="247"/>
      <c r="G649" s="247"/>
      <c r="H649" s="247"/>
      <c r="I649" s="247"/>
      <c r="J649" s="247"/>
      <c r="K649" s="247"/>
      <c r="L649" s="247"/>
      <c r="M649" s="253"/>
      <c r="N649" s="253"/>
      <c r="O649" s="253"/>
      <c r="P649" s="253"/>
      <c r="Q649" s="253"/>
      <c r="R649" s="253"/>
      <c r="S649" s="253"/>
      <c r="T649" s="253"/>
      <c r="U649" s="253"/>
      <c r="V649" s="247"/>
      <c r="W649" s="247"/>
      <c r="X649" s="247"/>
      <c r="Y649" s="247"/>
      <c r="Z649" s="247"/>
    </row>
    <row r="650">
      <c r="A650" s="247"/>
      <c r="B650" s="247"/>
      <c r="C650" s="247"/>
      <c r="D650" s="247"/>
      <c r="E650" s="247"/>
      <c r="F650" s="247"/>
      <c r="G650" s="247"/>
      <c r="H650" s="247"/>
      <c r="I650" s="247"/>
      <c r="J650" s="247"/>
      <c r="K650" s="247"/>
      <c r="L650" s="247"/>
      <c r="M650" s="253"/>
      <c r="N650" s="253"/>
      <c r="O650" s="253"/>
      <c r="P650" s="253"/>
      <c r="Q650" s="253"/>
      <c r="R650" s="253"/>
      <c r="S650" s="253"/>
      <c r="T650" s="253"/>
      <c r="U650" s="253"/>
      <c r="V650" s="247"/>
      <c r="W650" s="247"/>
      <c r="X650" s="247"/>
      <c r="Y650" s="247"/>
      <c r="Z650" s="247"/>
    </row>
    <row r="651">
      <c r="A651" s="247"/>
      <c r="B651" s="247"/>
      <c r="C651" s="247"/>
      <c r="D651" s="247"/>
      <c r="E651" s="247"/>
      <c r="F651" s="247"/>
      <c r="G651" s="247"/>
      <c r="H651" s="247"/>
      <c r="I651" s="247"/>
      <c r="J651" s="247"/>
      <c r="K651" s="247"/>
      <c r="L651" s="247"/>
      <c r="M651" s="253"/>
      <c r="N651" s="253"/>
      <c r="O651" s="253"/>
      <c r="P651" s="253"/>
      <c r="Q651" s="253"/>
      <c r="R651" s="253"/>
      <c r="S651" s="253"/>
      <c r="T651" s="253"/>
      <c r="U651" s="253"/>
      <c r="V651" s="247"/>
      <c r="W651" s="247"/>
      <c r="X651" s="247"/>
      <c r="Y651" s="247"/>
      <c r="Z651" s="247"/>
    </row>
    <row r="652">
      <c r="A652" s="247"/>
      <c r="B652" s="247"/>
      <c r="C652" s="247"/>
      <c r="D652" s="247"/>
      <c r="E652" s="247"/>
      <c r="F652" s="247"/>
      <c r="G652" s="247"/>
      <c r="H652" s="247"/>
      <c r="I652" s="247"/>
      <c r="J652" s="247"/>
      <c r="K652" s="247"/>
      <c r="L652" s="247"/>
      <c r="M652" s="253"/>
      <c r="N652" s="253"/>
      <c r="O652" s="253"/>
      <c r="P652" s="253"/>
      <c r="Q652" s="253"/>
      <c r="R652" s="253"/>
      <c r="S652" s="253"/>
      <c r="T652" s="253"/>
      <c r="U652" s="253"/>
      <c r="V652" s="247"/>
      <c r="W652" s="247"/>
      <c r="X652" s="247"/>
      <c r="Y652" s="247"/>
      <c r="Z652" s="247"/>
    </row>
    <row r="653">
      <c r="A653" s="247"/>
      <c r="B653" s="247"/>
      <c r="C653" s="247"/>
      <c r="D653" s="247"/>
      <c r="E653" s="247"/>
      <c r="F653" s="247"/>
      <c r="G653" s="247"/>
      <c r="H653" s="247"/>
      <c r="I653" s="247"/>
      <c r="J653" s="247"/>
      <c r="K653" s="247"/>
      <c r="L653" s="247"/>
      <c r="M653" s="253"/>
      <c r="N653" s="253"/>
      <c r="O653" s="253"/>
      <c r="P653" s="253"/>
      <c r="Q653" s="253"/>
      <c r="R653" s="253"/>
      <c r="S653" s="253"/>
      <c r="T653" s="253"/>
      <c r="U653" s="253"/>
      <c r="V653" s="247"/>
      <c r="W653" s="247"/>
      <c r="X653" s="247"/>
      <c r="Y653" s="247"/>
      <c r="Z653" s="247"/>
    </row>
    <row r="654">
      <c r="A654" s="247"/>
      <c r="B654" s="247"/>
      <c r="C654" s="247"/>
      <c r="D654" s="247"/>
      <c r="E654" s="247"/>
      <c r="F654" s="247"/>
      <c r="G654" s="247"/>
      <c r="H654" s="247"/>
      <c r="I654" s="247"/>
      <c r="J654" s="247"/>
      <c r="K654" s="247"/>
      <c r="L654" s="247"/>
      <c r="M654" s="253"/>
      <c r="N654" s="253"/>
      <c r="O654" s="253"/>
      <c r="P654" s="253"/>
      <c r="Q654" s="253"/>
      <c r="R654" s="253"/>
      <c r="S654" s="253"/>
      <c r="T654" s="253"/>
      <c r="U654" s="253"/>
      <c r="V654" s="247"/>
      <c r="W654" s="247"/>
      <c r="X654" s="247"/>
      <c r="Y654" s="247"/>
      <c r="Z654" s="247"/>
    </row>
    <row r="655">
      <c r="A655" s="247"/>
      <c r="B655" s="247"/>
      <c r="C655" s="247"/>
      <c r="D655" s="247"/>
      <c r="E655" s="247"/>
      <c r="F655" s="247"/>
      <c r="G655" s="247"/>
      <c r="H655" s="247"/>
      <c r="I655" s="247"/>
      <c r="J655" s="247"/>
      <c r="K655" s="247"/>
      <c r="L655" s="247"/>
      <c r="M655" s="253"/>
      <c r="N655" s="253"/>
      <c r="O655" s="253"/>
      <c r="P655" s="253"/>
      <c r="Q655" s="253"/>
      <c r="R655" s="253"/>
      <c r="S655" s="253"/>
      <c r="T655" s="253"/>
      <c r="U655" s="253"/>
      <c r="V655" s="247"/>
      <c r="W655" s="247"/>
      <c r="X655" s="247"/>
      <c r="Y655" s="247"/>
      <c r="Z655" s="247"/>
    </row>
    <row r="656">
      <c r="A656" s="247"/>
      <c r="B656" s="247"/>
      <c r="C656" s="247"/>
      <c r="D656" s="247"/>
      <c r="E656" s="247"/>
      <c r="F656" s="247"/>
      <c r="G656" s="247"/>
      <c r="H656" s="247"/>
      <c r="I656" s="247"/>
      <c r="J656" s="247"/>
      <c r="K656" s="247"/>
      <c r="L656" s="247"/>
      <c r="M656" s="253"/>
      <c r="N656" s="253"/>
      <c r="O656" s="253"/>
      <c r="P656" s="253"/>
      <c r="Q656" s="253"/>
      <c r="R656" s="253"/>
      <c r="S656" s="253"/>
      <c r="T656" s="253"/>
      <c r="U656" s="253"/>
      <c r="V656" s="247"/>
      <c r="W656" s="247"/>
      <c r="X656" s="247"/>
      <c r="Y656" s="247"/>
      <c r="Z656" s="247"/>
    </row>
    <row r="657">
      <c r="A657" s="247"/>
      <c r="B657" s="247"/>
      <c r="C657" s="247"/>
      <c r="D657" s="247"/>
      <c r="E657" s="247"/>
      <c r="F657" s="247"/>
      <c r="G657" s="247"/>
      <c r="H657" s="247"/>
      <c r="I657" s="247"/>
      <c r="J657" s="247"/>
      <c r="K657" s="247"/>
      <c r="L657" s="247"/>
      <c r="M657" s="253"/>
      <c r="N657" s="253"/>
      <c r="O657" s="253"/>
      <c r="P657" s="253"/>
      <c r="Q657" s="253"/>
      <c r="R657" s="253"/>
      <c r="S657" s="253"/>
      <c r="T657" s="253"/>
      <c r="U657" s="253"/>
      <c r="V657" s="247"/>
      <c r="W657" s="247"/>
      <c r="X657" s="247"/>
      <c r="Y657" s="247"/>
      <c r="Z657" s="247"/>
    </row>
    <row r="658">
      <c r="A658" s="247"/>
      <c r="B658" s="247"/>
      <c r="C658" s="247"/>
      <c r="D658" s="247"/>
      <c r="E658" s="247"/>
      <c r="F658" s="247"/>
      <c r="G658" s="247"/>
      <c r="H658" s="247"/>
      <c r="I658" s="247"/>
      <c r="J658" s="247"/>
      <c r="K658" s="247"/>
      <c r="L658" s="247"/>
      <c r="M658" s="253"/>
      <c r="N658" s="253"/>
      <c r="O658" s="253"/>
      <c r="P658" s="253"/>
      <c r="Q658" s="253"/>
      <c r="R658" s="253"/>
      <c r="S658" s="253"/>
      <c r="T658" s="253"/>
      <c r="U658" s="253"/>
      <c r="V658" s="247"/>
      <c r="W658" s="247"/>
      <c r="X658" s="247"/>
      <c r="Y658" s="247"/>
      <c r="Z658" s="247"/>
    </row>
    <row r="659">
      <c r="A659" s="247"/>
      <c r="B659" s="247"/>
      <c r="C659" s="247"/>
      <c r="D659" s="247"/>
      <c r="E659" s="247"/>
      <c r="F659" s="247"/>
      <c r="G659" s="247"/>
      <c r="H659" s="247"/>
      <c r="I659" s="247"/>
      <c r="J659" s="247"/>
      <c r="K659" s="247"/>
      <c r="L659" s="247"/>
      <c r="M659" s="253"/>
      <c r="N659" s="253"/>
      <c r="O659" s="253"/>
      <c r="P659" s="253"/>
      <c r="Q659" s="253"/>
      <c r="R659" s="253"/>
      <c r="S659" s="253"/>
      <c r="T659" s="253"/>
      <c r="U659" s="253"/>
      <c r="V659" s="247"/>
      <c r="W659" s="247"/>
      <c r="X659" s="247"/>
      <c r="Y659" s="247"/>
      <c r="Z659" s="247"/>
    </row>
    <row r="660">
      <c r="A660" s="247"/>
      <c r="B660" s="247"/>
      <c r="C660" s="247"/>
      <c r="D660" s="247"/>
      <c r="E660" s="247"/>
      <c r="F660" s="247"/>
      <c r="G660" s="247"/>
      <c r="H660" s="247"/>
      <c r="I660" s="247"/>
      <c r="J660" s="247"/>
      <c r="K660" s="247"/>
      <c r="L660" s="247"/>
      <c r="M660" s="253"/>
      <c r="N660" s="253"/>
      <c r="O660" s="253"/>
      <c r="P660" s="253"/>
      <c r="Q660" s="253"/>
      <c r="R660" s="253"/>
      <c r="S660" s="253"/>
      <c r="T660" s="253"/>
      <c r="U660" s="253"/>
      <c r="V660" s="247"/>
      <c r="W660" s="247"/>
      <c r="X660" s="247"/>
      <c r="Y660" s="247"/>
      <c r="Z660" s="247"/>
    </row>
    <row r="661">
      <c r="A661" s="247"/>
      <c r="B661" s="247"/>
      <c r="C661" s="247"/>
      <c r="D661" s="247"/>
      <c r="E661" s="247"/>
      <c r="F661" s="247"/>
      <c r="G661" s="247"/>
      <c r="H661" s="247"/>
      <c r="I661" s="247"/>
      <c r="J661" s="247"/>
      <c r="K661" s="247"/>
      <c r="L661" s="247"/>
      <c r="M661" s="253"/>
      <c r="N661" s="253"/>
      <c r="O661" s="253"/>
      <c r="P661" s="253"/>
      <c r="Q661" s="253"/>
      <c r="R661" s="253"/>
      <c r="S661" s="253"/>
      <c r="T661" s="253"/>
      <c r="U661" s="253"/>
      <c r="V661" s="247"/>
      <c r="W661" s="247"/>
      <c r="X661" s="247"/>
      <c r="Y661" s="247"/>
      <c r="Z661" s="247"/>
    </row>
    <row r="662">
      <c r="A662" s="247"/>
      <c r="B662" s="247"/>
      <c r="C662" s="247"/>
      <c r="D662" s="247"/>
      <c r="E662" s="247"/>
      <c r="F662" s="247"/>
      <c r="G662" s="247"/>
      <c r="H662" s="247"/>
      <c r="I662" s="247"/>
      <c r="J662" s="247"/>
      <c r="K662" s="247"/>
      <c r="L662" s="247"/>
      <c r="M662" s="253"/>
      <c r="N662" s="253"/>
      <c r="O662" s="253"/>
      <c r="P662" s="253"/>
      <c r="Q662" s="253"/>
      <c r="R662" s="253"/>
      <c r="S662" s="253"/>
      <c r="T662" s="253"/>
      <c r="U662" s="253"/>
      <c r="V662" s="247"/>
      <c r="W662" s="247"/>
      <c r="X662" s="247"/>
      <c r="Y662" s="247"/>
      <c r="Z662" s="247"/>
    </row>
    <row r="663">
      <c r="A663" s="247"/>
      <c r="B663" s="247"/>
      <c r="C663" s="247"/>
      <c r="D663" s="247"/>
      <c r="E663" s="247"/>
      <c r="F663" s="247"/>
      <c r="G663" s="247"/>
      <c r="H663" s="247"/>
      <c r="I663" s="247"/>
      <c r="J663" s="247"/>
      <c r="K663" s="247"/>
      <c r="L663" s="247"/>
      <c r="M663" s="253"/>
      <c r="N663" s="253"/>
      <c r="O663" s="253"/>
      <c r="P663" s="253"/>
      <c r="Q663" s="253"/>
      <c r="R663" s="253"/>
      <c r="S663" s="253"/>
      <c r="T663" s="253"/>
      <c r="U663" s="253"/>
      <c r="V663" s="247"/>
      <c r="W663" s="247"/>
      <c r="X663" s="247"/>
      <c r="Y663" s="247"/>
      <c r="Z663" s="247"/>
    </row>
    <row r="664">
      <c r="A664" s="247"/>
      <c r="B664" s="247"/>
      <c r="C664" s="247"/>
      <c r="D664" s="247"/>
      <c r="E664" s="247"/>
      <c r="F664" s="247"/>
      <c r="G664" s="247"/>
      <c r="H664" s="247"/>
      <c r="I664" s="247"/>
      <c r="J664" s="247"/>
      <c r="K664" s="247"/>
      <c r="L664" s="247"/>
      <c r="M664" s="253"/>
      <c r="N664" s="253"/>
      <c r="O664" s="253"/>
      <c r="P664" s="253"/>
      <c r="Q664" s="253"/>
      <c r="R664" s="253"/>
      <c r="S664" s="253"/>
      <c r="T664" s="253"/>
      <c r="U664" s="253"/>
      <c r="V664" s="247"/>
      <c r="W664" s="247"/>
      <c r="X664" s="247"/>
      <c r="Y664" s="247"/>
      <c r="Z664" s="247"/>
    </row>
    <row r="665">
      <c r="A665" s="247"/>
      <c r="B665" s="247"/>
      <c r="C665" s="247"/>
      <c r="D665" s="247"/>
      <c r="E665" s="247"/>
      <c r="F665" s="247"/>
      <c r="G665" s="247"/>
      <c r="H665" s="247"/>
      <c r="I665" s="247"/>
      <c r="J665" s="247"/>
      <c r="K665" s="247"/>
      <c r="L665" s="247"/>
      <c r="M665" s="253"/>
      <c r="N665" s="253"/>
      <c r="O665" s="253"/>
      <c r="P665" s="253"/>
      <c r="Q665" s="253"/>
      <c r="R665" s="253"/>
      <c r="S665" s="253"/>
      <c r="T665" s="253"/>
      <c r="U665" s="253"/>
      <c r="V665" s="247"/>
      <c r="W665" s="247"/>
      <c r="X665" s="247"/>
      <c r="Y665" s="247"/>
      <c r="Z665" s="247"/>
    </row>
    <row r="666">
      <c r="A666" s="247"/>
      <c r="B666" s="247"/>
      <c r="C666" s="247"/>
      <c r="D666" s="247"/>
      <c r="E666" s="247"/>
      <c r="F666" s="247"/>
      <c r="G666" s="247"/>
      <c r="H666" s="247"/>
      <c r="I666" s="247"/>
      <c r="J666" s="247"/>
      <c r="K666" s="247"/>
      <c r="L666" s="247"/>
      <c r="M666" s="253"/>
      <c r="N666" s="253"/>
      <c r="O666" s="253"/>
      <c r="P666" s="253"/>
      <c r="Q666" s="253"/>
      <c r="R666" s="253"/>
      <c r="S666" s="253"/>
      <c r="T666" s="253"/>
      <c r="U666" s="253"/>
      <c r="V666" s="247"/>
      <c r="W666" s="247"/>
      <c r="X666" s="247"/>
      <c r="Y666" s="247"/>
      <c r="Z666" s="247"/>
    </row>
    <row r="667">
      <c r="A667" s="247"/>
      <c r="B667" s="247"/>
      <c r="C667" s="247"/>
      <c r="D667" s="247"/>
      <c r="E667" s="247"/>
      <c r="F667" s="247"/>
      <c r="G667" s="247"/>
      <c r="H667" s="247"/>
      <c r="I667" s="247"/>
      <c r="J667" s="247"/>
      <c r="K667" s="247"/>
      <c r="L667" s="247"/>
      <c r="M667" s="253"/>
      <c r="N667" s="253"/>
      <c r="O667" s="253"/>
      <c r="P667" s="253"/>
      <c r="Q667" s="253"/>
      <c r="R667" s="253"/>
      <c r="S667" s="253"/>
      <c r="T667" s="253"/>
      <c r="U667" s="253"/>
      <c r="V667" s="247"/>
      <c r="W667" s="247"/>
      <c r="X667" s="247"/>
      <c r="Y667" s="247"/>
      <c r="Z667" s="247"/>
    </row>
    <row r="668">
      <c r="A668" s="247"/>
      <c r="B668" s="247"/>
      <c r="C668" s="247"/>
      <c r="D668" s="247"/>
      <c r="E668" s="247"/>
      <c r="F668" s="247"/>
      <c r="G668" s="247"/>
      <c r="H668" s="247"/>
      <c r="I668" s="247"/>
      <c r="J668" s="247"/>
      <c r="K668" s="247"/>
      <c r="L668" s="247"/>
      <c r="M668" s="253"/>
      <c r="N668" s="253"/>
      <c r="O668" s="253"/>
      <c r="P668" s="253"/>
      <c r="Q668" s="253"/>
      <c r="R668" s="253"/>
      <c r="S668" s="253"/>
      <c r="T668" s="253"/>
      <c r="U668" s="253"/>
      <c r="V668" s="247"/>
      <c r="W668" s="247"/>
      <c r="X668" s="247"/>
      <c r="Y668" s="247"/>
      <c r="Z668" s="247"/>
    </row>
    <row r="669">
      <c r="A669" s="247"/>
      <c r="B669" s="247"/>
      <c r="C669" s="247"/>
      <c r="D669" s="247"/>
      <c r="E669" s="247"/>
      <c r="F669" s="247"/>
      <c r="G669" s="247"/>
      <c r="H669" s="247"/>
      <c r="I669" s="247"/>
      <c r="J669" s="247"/>
      <c r="K669" s="247"/>
      <c r="L669" s="247"/>
      <c r="M669" s="253"/>
      <c r="N669" s="253"/>
      <c r="O669" s="253"/>
      <c r="P669" s="253"/>
      <c r="Q669" s="253"/>
      <c r="R669" s="253"/>
      <c r="S669" s="253"/>
      <c r="T669" s="253"/>
      <c r="U669" s="253"/>
      <c r="V669" s="247"/>
      <c r="W669" s="247"/>
      <c r="X669" s="247"/>
      <c r="Y669" s="247"/>
      <c r="Z669" s="247"/>
    </row>
    <row r="670">
      <c r="A670" s="247"/>
      <c r="B670" s="247"/>
      <c r="C670" s="247"/>
      <c r="D670" s="247"/>
      <c r="E670" s="247"/>
      <c r="F670" s="247"/>
      <c r="G670" s="247"/>
      <c r="H670" s="247"/>
      <c r="I670" s="247"/>
      <c r="J670" s="247"/>
      <c r="K670" s="247"/>
      <c r="L670" s="247"/>
      <c r="M670" s="253"/>
      <c r="N670" s="253"/>
      <c r="O670" s="253"/>
      <c r="P670" s="253"/>
      <c r="Q670" s="253"/>
      <c r="R670" s="253"/>
      <c r="S670" s="253"/>
      <c r="T670" s="253"/>
      <c r="U670" s="253"/>
      <c r="V670" s="247"/>
      <c r="W670" s="247"/>
      <c r="X670" s="247"/>
      <c r="Y670" s="247"/>
      <c r="Z670" s="247"/>
    </row>
    <row r="671">
      <c r="A671" s="247"/>
      <c r="B671" s="247"/>
      <c r="C671" s="247"/>
      <c r="D671" s="247"/>
      <c r="E671" s="247"/>
      <c r="F671" s="247"/>
      <c r="G671" s="247"/>
      <c r="H671" s="247"/>
      <c r="I671" s="247"/>
      <c r="J671" s="247"/>
      <c r="K671" s="247"/>
      <c r="L671" s="247"/>
      <c r="M671" s="253"/>
      <c r="N671" s="253"/>
      <c r="O671" s="253"/>
      <c r="P671" s="253"/>
      <c r="Q671" s="253"/>
      <c r="R671" s="253"/>
      <c r="S671" s="253"/>
      <c r="T671" s="253"/>
      <c r="U671" s="253"/>
      <c r="V671" s="247"/>
      <c r="W671" s="247"/>
      <c r="X671" s="247"/>
      <c r="Y671" s="247"/>
      <c r="Z671" s="247"/>
    </row>
    <row r="672">
      <c r="A672" s="247"/>
      <c r="B672" s="247"/>
      <c r="C672" s="247"/>
      <c r="D672" s="247"/>
      <c r="E672" s="247"/>
      <c r="F672" s="247"/>
      <c r="G672" s="247"/>
      <c r="H672" s="247"/>
      <c r="I672" s="247"/>
      <c r="J672" s="247"/>
      <c r="K672" s="247"/>
      <c r="L672" s="247"/>
      <c r="M672" s="253"/>
      <c r="N672" s="253"/>
      <c r="O672" s="253"/>
      <c r="P672" s="253"/>
      <c r="Q672" s="253"/>
      <c r="R672" s="253"/>
      <c r="S672" s="253"/>
      <c r="T672" s="253"/>
      <c r="U672" s="253"/>
      <c r="V672" s="247"/>
      <c r="W672" s="247"/>
      <c r="X672" s="247"/>
      <c r="Y672" s="247"/>
      <c r="Z672" s="247"/>
    </row>
    <row r="673">
      <c r="A673" s="247"/>
      <c r="B673" s="247"/>
      <c r="C673" s="247"/>
      <c r="D673" s="247"/>
      <c r="E673" s="247"/>
      <c r="F673" s="247"/>
      <c r="G673" s="247"/>
      <c r="H673" s="247"/>
      <c r="I673" s="247"/>
      <c r="J673" s="247"/>
      <c r="K673" s="247"/>
      <c r="L673" s="247"/>
      <c r="M673" s="253"/>
      <c r="N673" s="253"/>
      <c r="O673" s="253"/>
      <c r="P673" s="253"/>
      <c r="Q673" s="253"/>
      <c r="R673" s="253"/>
      <c r="S673" s="253"/>
      <c r="T673" s="253"/>
      <c r="U673" s="253"/>
      <c r="V673" s="247"/>
      <c r="W673" s="247"/>
      <c r="X673" s="247"/>
      <c r="Y673" s="247"/>
      <c r="Z673" s="247"/>
    </row>
    <row r="674">
      <c r="A674" s="247"/>
      <c r="B674" s="247"/>
      <c r="C674" s="247"/>
      <c r="D674" s="247"/>
      <c r="E674" s="247"/>
      <c r="F674" s="247"/>
      <c r="G674" s="247"/>
      <c r="H674" s="247"/>
      <c r="I674" s="247"/>
      <c r="J674" s="247"/>
      <c r="K674" s="247"/>
      <c r="L674" s="247"/>
      <c r="M674" s="253"/>
      <c r="N674" s="253"/>
      <c r="O674" s="253"/>
      <c r="P674" s="253"/>
      <c r="Q674" s="253"/>
      <c r="R674" s="253"/>
      <c r="S674" s="253"/>
      <c r="T674" s="253"/>
      <c r="U674" s="253"/>
      <c r="V674" s="247"/>
      <c r="W674" s="247"/>
      <c r="X674" s="247"/>
      <c r="Y674" s="247"/>
      <c r="Z674" s="247"/>
    </row>
    <row r="675">
      <c r="A675" s="247"/>
      <c r="B675" s="247"/>
      <c r="C675" s="247"/>
      <c r="D675" s="247"/>
      <c r="E675" s="247"/>
      <c r="F675" s="247"/>
      <c r="G675" s="247"/>
      <c r="H675" s="247"/>
      <c r="I675" s="247"/>
      <c r="J675" s="247"/>
      <c r="K675" s="247"/>
      <c r="L675" s="247"/>
      <c r="M675" s="253"/>
      <c r="N675" s="253"/>
      <c r="O675" s="253"/>
      <c r="P675" s="253"/>
      <c r="Q675" s="253"/>
      <c r="R675" s="253"/>
      <c r="S675" s="253"/>
      <c r="T675" s="253"/>
      <c r="U675" s="253"/>
      <c r="V675" s="247"/>
      <c r="W675" s="247"/>
      <c r="X675" s="247"/>
      <c r="Y675" s="247"/>
      <c r="Z675" s="247"/>
    </row>
    <row r="676">
      <c r="A676" s="247"/>
      <c r="B676" s="247"/>
      <c r="C676" s="247"/>
      <c r="D676" s="247"/>
      <c r="E676" s="247"/>
      <c r="F676" s="247"/>
      <c r="G676" s="247"/>
      <c r="H676" s="247"/>
      <c r="I676" s="247"/>
      <c r="J676" s="247"/>
      <c r="K676" s="247"/>
      <c r="L676" s="247"/>
      <c r="M676" s="253"/>
      <c r="N676" s="253"/>
      <c r="O676" s="253"/>
      <c r="P676" s="253"/>
      <c r="Q676" s="253"/>
      <c r="R676" s="253"/>
      <c r="S676" s="253"/>
      <c r="T676" s="253"/>
      <c r="U676" s="253"/>
      <c r="V676" s="247"/>
      <c r="W676" s="247"/>
      <c r="X676" s="247"/>
      <c r="Y676" s="247"/>
      <c r="Z676" s="247"/>
    </row>
    <row r="677">
      <c r="A677" s="247"/>
      <c r="B677" s="247"/>
      <c r="C677" s="247"/>
      <c r="D677" s="247"/>
      <c r="E677" s="247"/>
      <c r="F677" s="247"/>
      <c r="G677" s="247"/>
      <c r="H677" s="247"/>
      <c r="I677" s="247"/>
      <c r="J677" s="247"/>
      <c r="K677" s="247"/>
      <c r="L677" s="247"/>
      <c r="M677" s="253"/>
      <c r="N677" s="253"/>
      <c r="O677" s="253"/>
      <c r="P677" s="253"/>
      <c r="Q677" s="253"/>
      <c r="R677" s="253"/>
      <c r="S677" s="253"/>
      <c r="T677" s="253"/>
      <c r="U677" s="253"/>
      <c r="V677" s="247"/>
      <c r="W677" s="247"/>
      <c r="X677" s="247"/>
      <c r="Y677" s="247"/>
      <c r="Z677" s="247"/>
    </row>
    <row r="678">
      <c r="A678" s="247"/>
      <c r="B678" s="247"/>
      <c r="C678" s="247"/>
      <c r="D678" s="247"/>
      <c r="E678" s="247"/>
      <c r="F678" s="247"/>
      <c r="G678" s="247"/>
      <c r="H678" s="247"/>
      <c r="I678" s="247"/>
      <c r="J678" s="247"/>
      <c r="K678" s="247"/>
      <c r="L678" s="247"/>
      <c r="M678" s="253"/>
      <c r="N678" s="253"/>
      <c r="O678" s="253"/>
      <c r="P678" s="253"/>
      <c r="Q678" s="253"/>
      <c r="R678" s="253"/>
      <c r="S678" s="253"/>
      <c r="T678" s="253"/>
      <c r="U678" s="253"/>
      <c r="V678" s="247"/>
      <c r="W678" s="247"/>
      <c r="X678" s="247"/>
      <c r="Y678" s="247"/>
      <c r="Z678" s="247"/>
    </row>
    <row r="679">
      <c r="A679" s="247"/>
      <c r="B679" s="247"/>
      <c r="C679" s="247"/>
      <c r="D679" s="247"/>
      <c r="E679" s="247"/>
      <c r="F679" s="247"/>
      <c r="G679" s="247"/>
      <c r="H679" s="247"/>
      <c r="I679" s="247"/>
      <c r="J679" s="247"/>
      <c r="K679" s="247"/>
      <c r="L679" s="247"/>
      <c r="M679" s="253"/>
      <c r="N679" s="253"/>
      <c r="O679" s="253"/>
      <c r="P679" s="253"/>
      <c r="Q679" s="253"/>
      <c r="R679" s="253"/>
      <c r="S679" s="253"/>
      <c r="T679" s="253"/>
      <c r="U679" s="253"/>
      <c r="V679" s="247"/>
      <c r="W679" s="247"/>
      <c r="X679" s="247"/>
      <c r="Y679" s="247"/>
      <c r="Z679" s="247"/>
    </row>
    <row r="680">
      <c r="A680" s="247"/>
      <c r="B680" s="247"/>
      <c r="C680" s="247"/>
      <c r="D680" s="247"/>
      <c r="E680" s="247"/>
      <c r="F680" s="247"/>
      <c r="G680" s="247"/>
      <c r="H680" s="247"/>
      <c r="I680" s="247"/>
      <c r="J680" s="247"/>
      <c r="K680" s="247"/>
      <c r="L680" s="247"/>
      <c r="M680" s="253"/>
      <c r="N680" s="253"/>
      <c r="O680" s="253"/>
      <c r="P680" s="253"/>
      <c r="Q680" s="253"/>
      <c r="R680" s="253"/>
      <c r="S680" s="253"/>
      <c r="T680" s="253"/>
      <c r="U680" s="253"/>
      <c r="V680" s="247"/>
      <c r="W680" s="247"/>
      <c r="X680" s="247"/>
      <c r="Y680" s="247"/>
      <c r="Z680" s="247"/>
    </row>
    <row r="681">
      <c r="A681" s="247"/>
      <c r="B681" s="247"/>
      <c r="C681" s="247"/>
      <c r="D681" s="247"/>
      <c r="E681" s="247"/>
      <c r="F681" s="247"/>
      <c r="G681" s="247"/>
      <c r="H681" s="247"/>
      <c r="I681" s="247"/>
      <c r="J681" s="247"/>
      <c r="K681" s="247"/>
      <c r="L681" s="247"/>
      <c r="M681" s="253"/>
      <c r="N681" s="253"/>
      <c r="O681" s="253"/>
      <c r="P681" s="253"/>
      <c r="Q681" s="253"/>
      <c r="R681" s="253"/>
      <c r="S681" s="253"/>
      <c r="T681" s="253"/>
      <c r="U681" s="253"/>
      <c r="V681" s="247"/>
      <c r="W681" s="247"/>
      <c r="X681" s="247"/>
      <c r="Y681" s="247"/>
      <c r="Z681" s="247"/>
    </row>
    <row r="682">
      <c r="A682" s="247"/>
      <c r="B682" s="247"/>
      <c r="C682" s="247"/>
      <c r="D682" s="247"/>
      <c r="E682" s="247"/>
      <c r="F682" s="247"/>
      <c r="G682" s="247"/>
      <c r="H682" s="247"/>
      <c r="I682" s="247"/>
      <c r="J682" s="247"/>
      <c r="K682" s="247"/>
      <c r="L682" s="247"/>
      <c r="M682" s="253"/>
      <c r="N682" s="253"/>
      <c r="O682" s="253"/>
      <c r="P682" s="253"/>
      <c r="Q682" s="253"/>
      <c r="R682" s="253"/>
      <c r="S682" s="253"/>
      <c r="T682" s="253"/>
      <c r="U682" s="253"/>
      <c r="V682" s="247"/>
      <c r="W682" s="247"/>
      <c r="X682" s="247"/>
      <c r="Y682" s="247"/>
      <c r="Z682" s="247"/>
    </row>
    <row r="683">
      <c r="A683" s="247"/>
      <c r="B683" s="247"/>
      <c r="C683" s="247"/>
      <c r="D683" s="247"/>
      <c r="E683" s="247"/>
      <c r="F683" s="247"/>
      <c r="G683" s="247"/>
      <c r="H683" s="247"/>
      <c r="I683" s="247"/>
      <c r="J683" s="247"/>
      <c r="K683" s="247"/>
      <c r="L683" s="247"/>
      <c r="M683" s="253"/>
      <c r="N683" s="253"/>
      <c r="O683" s="253"/>
      <c r="P683" s="253"/>
      <c r="Q683" s="253"/>
      <c r="R683" s="253"/>
      <c r="S683" s="253"/>
      <c r="T683" s="253"/>
      <c r="U683" s="253"/>
      <c r="V683" s="247"/>
      <c r="W683" s="247"/>
      <c r="X683" s="247"/>
      <c r="Y683" s="247"/>
      <c r="Z683" s="247"/>
    </row>
    <row r="684">
      <c r="A684" s="247"/>
      <c r="B684" s="247"/>
      <c r="C684" s="247"/>
      <c r="D684" s="247"/>
      <c r="E684" s="247"/>
      <c r="F684" s="247"/>
      <c r="G684" s="247"/>
      <c r="H684" s="247"/>
      <c r="I684" s="247"/>
      <c r="J684" s="247"/>
      <c r="K684" s="247"/>
      <c r="L684" s="247"/>
      <c r="M684" s="253"/>
      <c r="N684" s="253"/>
      <c r="O684" s="253"/>
      <c r="P684" s="253"/>
      <c r="Q684" s="253"/>
      <c r="R684" s="253"/>
      <c r="S684" s="253"/>
      <c r="T684" s="253"/>
      <c r="U684" s="253"/>
      <c r="V684" s="247"/>
      <c r="W684" s="247"/>
      <c r="X684" s="247"/>
      <c r="Y684" s="247"/>
      <c r="Z684" s="247"/>
    </row>
    <row r="685">
      <c r="A685" s="247"/>
      <c r="B685" s="247"/>
      <c r="C685" s="247"/>
      <c r="D685" s="247"/>
      <c r="E685" s="247"/>
      <c r="F685" s="247"/>
      <c r="G685" s="247"/>
      <c r="H685" s="247"/>
      <c r="I685" s="247"/>
      <c r="J685" s="247"/>
      <c r="K685" s="247"/>
      <c r="L685" s="247"/>
      <c r="M685" s="253"/>
      <c r="N685" s="253"/>
      <c r="O685" s="253"/>
      <c r="P685" s="253"/>
      <c r="Q685" s="253"/>
      <c r="R685" s="253"/>
      <c r="S685" s="253"/>
      <c r="T685" s="253"/>
      <c r="U685" s="253"/>
      <c r="V685" s="247"/>
      <c r="W685" s="247"/>
      <c r="X685" s="247"/>
      <c r="Y685" s="247"/>
      <c r="Z685" s="247"/>
    </row>
    <row r="686">
      <c r="A686" s="247"/>
      <c r="B686" s="247"/>
      <c r="C686" s="247"/>
      <c r="D686" s="247"/>
      <c r="E686" s="247"/>
      <c r="F686" s="247"/>
      <c r="G686" s="247"/>
      <c r="H686" s="247"/>
      <c r="I686" s="247"/>
      <c r="J686" s="247"/>
      <c r="K686" s="247"/>
      <c r="L686" s="247"/>
      <c r="M686" s="253"/>
      <c r="N686" s="253"/>
      <c r="O686" s="253"/>
      <c r="P686" s="253"/>
      <c r="Q686" s="253"/>
      <c r="R686" s="253"/>
      <c r="S686" s="253"/>
      <c r="T686" s="253"/>
      <c r="U686" s="253"/>
      <c r="V686" s="247"/>
      <c r="W686" s="247"/>
      <c r="X686" s="247"/>
      <c r="Y686" s="247"/>
      <c r="Z686" s="247"/>
    </row>
    <row r="687">
      <c r="A687" s="247"/>
      <c r="B687" s="247"/>
      <c r="C687" s="247"/>
      <c r="D687" s="247"/>
      <c r="E687" s="247"/>
      <c r="F687" s="247"/>
      <c r="G687" s="247"/>
      <c r="H687" s="247"/>
      <c r="I687" s="247"/>
      <c r="J687" s="247"/>
      <c r="K687" s="247"/>
      <c r="L687" s="247"/>
      <c r="M687" s="253"/>
      <c r="N687" s="253"/>
      <c r="O687" s="253"/>
      <c r="P687" s="253"/>
      <c r="Q687" s="253"/>
      <c r="R687" s="253"/>
      <c r="S687" s="253"/>
      <c r="T687" s="253"/>
      <c r="U687" s="253"/>
      <c r="V687" s="247"/>
      <c r="W687" s="247"/>
      <c r="X687" s="247"/>
      <c r="Y687" s="247"/>
      <c r="Z687" s="247"/>
    </row>
    <row r="688">
      <c r="A688" s="247"/>
      <c r="B688" s="247"/>
      <c r="C688" s="247"/>
      <c r="D688" s="247"/>
      <c r="E688" s="247"/>
      <c r="F688" s="247"/>
      <c r="G688" s="247"/>
      <c r="H688" s="247"/>
      <c r="I688" s="247"/>
      <c r="J688" s="247"/>
      <c r="K688" s="247"/>
      <c r="L688" s="247"/>
      <c r="M688" s="253"/>
      <c r="N688" s="253"/>
      <c r="O688" s="253"/>
      <c r="P688" s="253"/>
      <c r="Q688" s="253"/>
      <c r="R688" s="253"/>
      <c r="S688" s="253"/>
      <c r="T688" s="253"/>
      <c r="U688" s="253"/>
      <c r="V688" s="247"/>
      <c r="W688" s="247"/>
      <c r="X688" s="247"/>
      <c r="Y688" s="247"/>
      <c r="Z688" s="247"/>
    </row>
    <row r="689">
      <c r="A689" s="247"/>
      <c r="B689" s="247"/>
      <c r="C689" s="247"/>
      <c r="D689" s="247"/>
      <c r="E689" s="247"/>
      <c r="F689" s="247"/>
      <c r="G689" s="247"/>
      <c r="H689" s="247"/>
      <c r="I689" s="247"/>
      <c r="J689" s="247"/>
      <c r="K689" s="247"/>
      <c r="L689" s="247"/>
      <c r="M689" s="253"/>
      <c r="N689" s="253"/>
      <c r="O689" s="253"/>
      <c r="P689" s="253"/>
      <c r="Q689" s="253"/>
      <c r="R689" s="253"/>
      <c r="S689" s="253"/>
      <c r="T689" s="253"/>
      <c r="U689" s="253"/>
      <c r="V689" s="247"/>
      <c r="W689" s="247"/>
      <c r="X689" s="247"/>
      <c r="Y689" s="247"/>
      <c r="Z689" s="247"/>
    </row>
    <row r="690">
      <c r="A690" s="247"/>
      <c r="B690" s="247"/>
      <c r="C690" s="247"/>
      <c r="D690" s="247"/>
      <c r="E690" s="247"/>
      <c r="F690" s="247"/>
      <c r="G690" s="247"/>
      <c r="H690" s="247"/>
      <c r="I690" s="247"/>
      <c r="J690" s="247"/>
      <c r="K690" s="247"/>
      <c r="L690" s="247"/>
      <c r="M690" s="253"/>
      <c r="N690" s="253"/>
      <c r="O690" s="253"/>
      <c r="P690" s="253"/>
      <c r="Q690" s="253"/>
      <c r="R690" s="253"/>
      <c r="S690" s="253"/>
      <c r="T690" s="253"/>
      <c r="U690" s="253"/>
      <c r="V690" s="247"/>
      <c r="W690" s="247"/>
      <c r="X690" s="247"/>
      <c r="Y690" s="247"/>
      <c r="Z690" s="247"/>
    </row>
    <row r="691">
      <c r="A691" s="247"/>
      <c r="B691" s="247"/>
      <c r="C691" s="247"/>
      <c r="D691" s="247"/>
      <c r="E691" s="247"/>
      <c r="F691" s="247"/>
      <c r="G691" s="247"/>
      <c r="H691" s="247"/>
      <c r="I691" s="247"/>
      <c r="J691" s="247"/>
      <c r="K691" s="247"/>
      <c r="L691" s="247"/>
      <c r="M691" s="253"/>
      <c r="N691" s="253"/>
      <c r="O691" s="253"/>
      <c r="P691" s="253"/>
      <c r="Q691" s="253"/>
      <c r="R691" s="253"/>
      <c r="S691" s="253"/>
      <c r="T691" s="253"/>
      <c r="U691" s="253"/>
      <c r="V691" s="247"/>
      <c r="W691" s="247"/>
      <c r="X691" s="247"/>
      <c r="Y691" s="247"/>
      <c r="Z691" s="247"/>
    </row>
    <row r="692">
      <c r="A692" s="247"/>
      <c r="B692" s="247"/>
      <c r="C692" s="247"/>
      <c r="D692" s="247"/>
      <c r="E692" s="247"/>
      <c r="F692" s="247"/>
      <c r="G692" s="247"/>
      <c r="H692" s="247"/>
      <c r="I692" s="247"/>
      <c r="J692" s="247"/>
      <c r="K692" s="247"/>
      <c r="L692" s="247"/>
      <c r="M692" s="253"/>
      <c r="N692" s="253"/>
      <c r="O692" s="253"/>
      <c r="P692" s="253"/>
      <c r="Q692" s="253"/>
      <c r="R692" s="253"/>
      <c r="S692" s="253"/>
      <c r="T692" s="253"/>
      <c r="U692" s="253"/>
      <c r="V692" s="247"/>
      <c r="W692" s="247"/>
      <c r="X692" s="247"/>
      <c r="Y692" s="247"/>
      <c r="Z692" s="247"/>
    </row>
    <row r="693">
      <c r="A693" s="247"/>
      <c r="B693" s="247"/>
      <c r="C693" s="247"/>
      <c r="D693" s="247"/>
      <c r="E693" s="247"/>
      <c r="F693" s="247"/>
      <c r="G693" s="247"/>
      <c r="H693" s="247"/>
      <c r="I693" s="247"/>
      <c r="J693" s="247"/>
      <c r="K693" s="247"/>
      <c r="L693" s="247"/>
      <c r="M693" s="253"/>
      <c r="N693" s="253"/>
      <c r="O693" s="253"/>
      <c r="P693" s="253"/>
      <c r="Q693" s="253"/>
      <c r="R693" s="253"/>
      <c r="S693" s="253"/>
      <c r="T693" s="253"/>
      <c r="U693" s="253"/>
      <c r="V693" s="247"/>
      <c r="W693" s="247"/>
      <c r="X693" s="247"/>
      <c r="Y693" s="247"/>
      <c r="Z693" s="247"/>
    </row>
    <row r="694">
      <c r="A694" s="247"/>
      <c r="B694" s="247"/>
      <c r="C694" s="247"/>
      <c r="D694" s="247"/>
      <c r="E694" s="247"/>
      <c r="F694" s="247"/>
      <c r="G694" s="247"/>
      <c r="H694" s="247"/>
      <c r="I694" s="247"/>
      <c r="J694" s="247"/>
      <c r="K694" s="247"/>
      <c r="L694" s="247"/>
      <c r="M694" s="253"/>
      <c r="N694" s="253"/>
      <c r="O694" s="253"/>
      <c r="P694" s="253"/>
      <c r="Q694" s="253"/>
      <c r="R694" s="253"/>
      <c r="S694" s="253"/>
      <c r="T694" s="253"/>
      <c r="U694" s="253"/>
      <c r="V694" s="247"/>
      <c r="W694" s="247"/>
      <c r="X694" s="247"/>
      <c r="Y694" s="247"/>
      <c r="Z694" s="247"/>
    </row>
    <row r="695">
      <c r="A695" s="247"/>
      <c r="B695" s="247"/>
      <c r="C695" s="247"/>
      <c r="D695" s="247"/>
      <c r="E695" s="247"/>
      <c r="F695" s="247"/>
      <c r="G695" s="247"/>
      <c r="H695" s="247"/>
      <c r="I695" s="247"/>
      <c r="J695" s="247"/>
      <c r="K695" s="247"/>
      <c r="L695" s="247"/>
      <c r="M695" s="253"/>
      <c r="N695" s="253"/>
      <c r="O695" s="253"/>
      <c r="P695" s="253"/>
      <c r="Q695" s="253"/>
      <c r="R695" s="253"/>
      <c r="S695" s="253"/>
      <c r="T695" s="253"/>
      <c r="U695" s="253"/>
      <c r="V695" s="247"/>
      <c r="W695" s="247"/>
      <c r="X695" s="247"/>
      <c r="Y695" s="247"/>
      <c r="Z695" s="247"/>
    </row>
    <row r="696">
      <c r="A696" s="247"/>
      <c r="B696" s="247"/>
      <c r="C696" s="247"/>
      <c r="D696" s="247"/>
      <c r="E696" s="247"/>
      <c r="F696" s="247"/>
      <c r="G696" s="247"/>
      <c r="H696" s="247"/>
      <c r="I696" s="247"/>
      <c r="J696" s="247"/>
      <c r="K696" s="247"/>
      <c r="L696" s="247"/>
      <c r="M696" s="253"/>
      <c r="N696" s="253"/>
      <c r="O696" s="253"/>
      <c r="P696" s="253"/>
      <c r="Q696" s="253"/>
      <c r="R696" s="253"/>
      <c r="S696" s="253"/>
      <c r="T696" s="253"/>
      <c r="U696" s="253"/>
      <c r="V696" s="247"/>
      <c r="W696" s="247"/>
      <c r="X696" s="247"/>
      <c r="Y696" s="247"/>
      <c r="Z696" s="247"/>
    </row>
    <row r="697">
      <c r="A697" s="247"/>
      <c r="B697" s="247"/>
      <c r="C697" s="247"/>
      <c r="D697" s="247"/>
      <c r="E697" s="247"/>
      <c r="F697" s="247"/>
      <c r="G697" s="247"/>
      <c r="H697" s="247"/>
      <c r="I697" s="247"/>
      <c r="J697" s="247"/>
      <c r="K697" s="247"/>
      <c r="L697" s="247"/>
      <c r="M697" s="253"/>
      <c r="N697" s="253"/>
      <c r="O697" s="253"/>
      <c r="P697" s="253"/>
      <c r="Q697" s="253"/>
      <c r="R697" s="253"/>
      <c r="S697" s="253"/>
      <c r="T697" s="253"/>
      <c r="U697" s="253"/>
      <c r="V697" s="247"/>
      <c r="W697" s="247"/>
      <c r="X697" s="247"/>
      <c r="Y697" s="247"/>
      <c r="Z697" s="247"/>
    </row>
    <row r="698">
      <c r="A698" s="247"/>
      <c r="B698" s="247"/>
      <c r="C698" s="247"/>
      <c r="D698" s="247"/>
      <c r="E698" s="247"/>
      <c r="F698" s="247"/>
      <c r="G698" s="247"/>
      <c r="H698" s="247"/>
      <c r="I698" s="247"/>
      <c r="J698" s="247"/>
      <c r="K698" s="247"/>
      <c r="L698" s="247"/>
      <c r="M698" s="253"/>
      <c r="N698" s="253"/>
      <c r="O698" s="253"/>
      <c r="P698" s="253"/>
      <c r="Q698" s="253"/>
      <c r="R698" s="253"/>
      <c r="S698" s="253"/>
      <c r="T698" s="253"/>
      <c r="U698" s="253"/>
      <c r="V698" s="247"/>
      <c r="W698" s="247"/>
      <c r="X698" s="247"/>
      <c r="Y698" s="247"/>
      <c r="Z698" s="247"/>
    </row>
    <row r="699">
      <c r="A699" s="247"/>
      <c r="B699" s="247"/>
      <c r="C699" s="247"/>
      <c r="D699" s="247"/>
      <c r="E699" s="247"/>
      <c r="F699" s="247"/>
      <c r="G699" s="247"/>
      <c r="H699" s="247"/>
      <c r="I699" s="247"/>
      <c r="J699" s="247"/>
      <c r="K699" s="247"/>
      <c r="L699" s="247"/>
      <c r="M699" s="253"/>
      <c r="N699" s="253"/>
      <c r="O699" s="253"/>
      <c r="P699" s="253"/>
      <c r="Q699" s="253"/>
      <c r="R699" s="253"/>
      <c r="S699" s="253"/>
      <c r="T699" s="253"/>
      <c r="U699" s="253"/>
      <c r="V699" s="247"/>
      <c r="W699" s="247"/>
      <c r="X699" s="247"/>
      <c r="Y699" s="247"/>
      <c r="Z699" s="247"/>
    </row>
    <row r="700">
      <c r="A700" s="247"/>
      <c r="B700" s="247"/>
      <c r="C700" s="247"/>
      <c r="D700" s="247"/>
      <c r="E700" s="247"/>
      <c r="F700" s="247"/>
      <c r="G700" s="247"/>
      <c r="H700" s="247"/>
      <c r="I700" s="247"/>
      <c r="J700" s="247"/>
      <c r="K700" s="247"/>
      <c r="L700" s="247"/>
      <c r="M700" s="253"/>
      <c r="N700" s="253"/>
      <c r="O700" s="253"/>
      <c r="P700" s="253"/>
      <c r="Q700" s="253"/>
      <c r="R700" s="253"/>
      <c r="S700" s="253"/>
      <c r="T700" s="253"/>
      <c r="U700" s="253"/>
      <c r="V700" s="247"/>
      <c r="W700" s="247"/>
      <c r="X700" s="247"/>
      <c r="Y700" s="247"/>
      <c r="Z700" s="247"/>
    </row>
    <row r="701">
      <c r="A701" s="247"/>
      <c r="B701" s="247"/>
      <c r="C701" s="247"/>
      <c r="D701" s="247"/>
      <c r="E701" s="247"/>
      <c r="F701" s="247"/>
      <c r="G701" s="247"/>
      <c r="H701" s="247"/>
      <c r="I701" s="247"/>
      <c r="J701" s="247"/>
      <c r="K701" s="247"/>
      <c r="L701" s="247"/>
      <c r="M701" s="253"/>
      <c r="N701" s="253"/>
      <c r="O701" s="253"/>
      <c r="P701" s="253"/>
      <c r="Q701" s="253"/>
      <c r="R701" s="253"/>
      <c r="S701" s="253"/>
      <c r="T701" s="253"/>
      <c r="U701" s="253"/>
      <c r="V701" s="247"/>
      <c r="W701" s="247"/>
      <c r="X701" s="247"/>
      <c r="Y701" s="247"/>
      <c r="Z701" s="247"/>
    </row>
    <row r="702">
      <c r="A702" s="247"/>
      <c r="B702" s="247"/>
      <c r="C702" s="247"/>
      <c r="D702" s="247"/>
      <c r="E702" s="247"/>
      <c r="F702" s="247"/>
      <c r="G702" s="247"/>
      <c r="H702" s="247"/>
      <c r="I702" s="247"/>
      <c r="J702" s="247"/>
      <c r="K702" s="247"/>
      <c r="L702" s="247"/>
      <c r="M702" s="253"/>
      <c r="N702" s="253"/>
      <c r="O702" s="253"/>
      <c r="P702" s="253"/>
      <c r="Q702" s="253"/>
      <c r="R702" s="253"/>
      <c r="S702" s="253"/>
      <c r="T702" s="253"/>
      <c r="U702" s="253"/>
      <c r="V702" s="247"/>
      <c r="W702" s="247"/>
      <c r="X702" s="247"/>
      <c r="Y702" s="247"/>
      <c r="Z702" s="247"/>
    </row>
    <row r="703">
      <c r="A703" s="247"/>
      <c r="B703" s="247"/>
      <c r="C703" s="247"/>
      <c r="D703" s="247"/>
      <c r="E703" s="247"/>
      <c r="F703" s="247"/>
      <c r="G703" s="247"/>
      <c r="H703" s="247"/>
      <c r="I703" s="247"/>
      <c r="J703" s="247"/>
      <c r="K703" s="247"/>
      <c r="L703" s="247"/>
      <c r="M703" s="253"/>
      <c r="N703" s="253"/>
      <c r="O703" s="253"/>
      <c r="P703" s="253"/>
      <c r="Q703" s="253"/>
      <c r="R703" s="253"/>
      <c r="S703" s="253"/>
      <c r="T703" s="253"/>
      <c r="U703" s="253"/>
      <c r="V703" s="247"/>
      <c r="W703" s="247"/>
      <c r="X703" s="247"/>
      <c r="Y703" s="247"/>
      <c r="Z703" s="247"/>
    </row>
    <row r="704">
      <c r="A704" s="247"/>
      <c r="B704" s="247"/>
      <c r="C704" s="247"/>
      <c r="D704" s="247"/>
      <c r="E704" s="247"/>
      <c r="F704" s="247"/>
      <c r="G704" s="247"/>
      <c r="H704" s="247"/>
      <c r="I704" s="247"/>
      <c r="J704" s="247"/>
      <c r="K704" s="247"/>
      <c r="L704" s="247"/>
      <c r="M704" s="253"/>
      <c r="N704" s="253"/>
      <c r="O704" s="253"/>
      <c r="P704" s="253"/>
      <c r="Q704" s="253"/>
      <c r="R704" s="253"/>
      <c r="S704" s="253"/>
      <c r="T704" s="253"/>
      <c r="U704" s="253"/>
      <c r="V704" s="247"/>
      <c r="W704" s="247"/>
      <c r="X704" s="247"/>
      <c r="Y704" s="247"/>
      <c r="Z704" s="247"/>
    </row>
    <row r="705">
      <c r="A705" s="247"/>
      <c r="B705" s="247"/>
      <c r="C705" s="247"/>
      <c r="D705" s="247"/>
      <c r="E705" s="247"/>
      <c r="F705" s="247"/>
      <c r="G705" s="247"/>
      <c r="H705" s="247"/>
      <c r="I705" s="247"/>
      <c r="J705" s="247"/>
      <c r="K705" s="247"/>
      <c r="L705" s="247"/>
      <c r="M705" s="253"/>
      <c r="N705" s="253"/>
      <c r="O705" s="253"/>
      <c r="P705" s="253"/>
      <c r="Q705" s="253"/>
      <c r="R705" s="253"/>
      <c r="S705" s="253"/>
      <c r="T705" s="253"/>
      <c r="U705" s="253"/>
      <c r="V705" s="247"/>
      <c r="W705" s="247"/>
      <c r="X705" s="247"/>
      <c r="Y705" s="247"/>
      <c r="Z705" s="247"/>
    </row>
    <row r="706">
      <c r="A706" s="247"/>
      <c r="B706" s="247"/>
      <c r="C706" s="247"/>
      <c r="D706" s="247"/>
      <c r="E706" s="247"/>
      <c r="F706" s="247"/>
      <c r="G706" s="247"/>
      <c r="H706" s="247"/>
      <c r="I706" s="247"/>
      <c r="J706" s="247"/>
      <c r="K706" s="247"/>
      <c r="L706" s="247"/>
      <c r="M706" s="253"/>
      <c r="N706" s="253"/>
      <c r="O706" s="253"/>
      <c r="P706" s="253"/>
      <c r="Q706" s="253"/>
      <c r="R706" s="253"/>
      <c r="S706" s="253"/>
      <c r="T706" s="253"/>
      <c r="U706" s="253"/>
      <c r="V706" s="247"/>
      <c r="W706" s="247"/>
      <c r="X706" s="247"/>
      <c r="Y706" s="247"/>
      <c r="Z706" s="247"/>
    </row>
    <row r="707">
      <c r="A707" s="247"/>
      <c r="B707" s="247"/>
      <c r="C707" s="247"/>
      <c r="D707" s="247"/>
      <c r="E707" s="247"/>
      <c r="F707" s="247"/>
      <c r="G707" s="247"/>
      <c r="H707" s="247"/>
      <c r="I707" s="247"/>
      <c r="J707" s="247"/>
      <c r="K707" s="247"/>
      <c r="L707" s="247"/>
      <c r="M707" s="253"/>
      <c r="N707" s="253"/>
      <c r="O707" s="253"/>
      <c r="P707" s="253"/>
      <c r="Q707" s="253"/>
      <c r="R707" s="253"/>
      <c r="S707" s="253"/>
      <c r="T707" s="253"/>
      <c r="U707" s="253"/>
      <c r="V707" s="247"/>
      <c r="W707" s="247"/>
      <c r="X707" s="247"/>
      <c r="Y707" s="247"/>
      <c r="Z707" s="247"/>
    </row>
    <row r="708">
      <c r="A708" s="247"/>
      <c r="B708" s="247"/>
      <c r="C708" s="247"/>
      <c r="D708" s="247"/>
      <c r="E708" s="247"/>
      <c r="F708" s="247"/>
      <c r="G708" s="247"/>
      <c r="H708" s="247"/>
      <c r="I708" s="247"/>
      <c r="J708" s="247"/>
      <c r="K708" s="247"/>
      <c r="L708" s="247"/>
      <c r="M708" s="253"/>
      <c r="N708" s="253"/>
      <c r="O708" s="253"/>
      <c r="P708" s="253"/>
      <c r="Q708" s="253"/>
      <c r="R708" s="253"/>
      <c r="S708" s="253"/>
      <c r="T708" s="253"/>
      <c r="U708" s="253"/>
      <c r="V708" s="247"/>
      <c r="W708" s="247"/>
      <c r="X708" s="247"/>
      <c r="Y708" s="247"/>
      <c r="Z708" s="247"/>
    </row>
    <row r="709">
      <c r="A709" s="247"/>
      <c r="B709" s="247"/>
      <c r="C709" s="247"/>
      <c r="D709" s="247"/>
      <c r="E709" s="247"/>
      <c r="F709" s="247"/>
      <c r="G709" s="247"/>
      <c r="H709" s="247"/>
      <c r="I709" s="247"/>
      <c r="J709" s="247"/>
      <c r="K709" s="247"/>
      <c r="L709" s="247"/>
      <c r="M709" s="253"/>
      <c r="N709" s="253"/>
      <c r="O709" s="253"/>
      <c r="P709" s="253"/>
      <c r="Q709" s="253"/>
      <c r="R709" s="253"/>
      <c r="S709" s="253"/>
      <c r="T709" s="253"/>
      <c r="U709" s="253"/>
      <c r="V709" s="247"/>
      <c r="W709" s="247"/>
      <c r="X709" s="247"/>
      <c r="Y709" s="247"/>
      <c r="Z709" s="247"/>
    </row>
    <row r="710">
      <c r="A710" s="247"/>
      <c r="B710" s="247"/>
      <c r="C710" s="247"/>
      <c r="D710" s="247"/>
      <c r="E710" s="247"/>
      <c r="F710" s="247"/>
      <c r="G710" s="247"/>
      <c r="H710" s="247"/>
      <c r="I710" s="247"/>
      <c r="J710" s="247"/>
      <c r="K710" s="247"/>
      <c r="L710" s="247"/>
      <c r="M710" s="253"/>
      <c r="N710" s="253"/>
      <c r="O710" s="253"/>
      <c r="P710" s="253"/>
      <c r="Q710" s="253"/>
      <c r="R710" s="253"/>
      <c r="S710" s="253"/>
      <c r="T710" s="253"/>
      <c r="U710" s="253"/>
      <c r="V710" s="247"/>
      <c r="W710" s="247"/>
      <c r="X710" s="247"/>
      <c r="Y710" s="247"/>
      <c r="Z710" s="247"/>
    </row>
    <row r="711">
      <c r="A711" s="247"/>
      <c r="B711" s="247"/>
      <c r="C711" s="247"/>
      <c r="D711" s="247"/>
      <c r="E711" s="247"/>
      <c r="F711" s="247"/>
      <c r="G711" s="247"/>
      <c r="H711" s="247"/>
      <c r="I711" s="247"/>
      <c r="J711" s="247"/>
      <c r="K711" s="247"/>
      <c r="L711" s="247"/>
      <c r="M711" s="253"/>
      <c r="N711" s="253"/>
      <c r="O711" s="253"/>
      <c r="P711" s="253"/>
      <c r="Q711" s="253"/>
      <c r="R711" s="253"/>
      <c r="S711" s="253"/>
      <c r="T711" s="253"/>
      <c r="U711" s="253"/>
      <c r="V711" s="247"/>
      <c r="W711" s="247"/>
      <c r="X711" s="247"/>
      <c r="Y711" s="247"/>
      <c r="Z711" s="247"/>
    </row>
    <row r="712">
      <c r="A712" s="247"/>
      <c r="B712" s="247"/>
      <c r="C712" s="247"/>
      <c r="D712" s="247"/>
      <c r="E712" s="247"/>
      <c r="F712" s="247"/>
      <c r="G712" s="247"/>
      <c r="H712" s="247"/>
      <c r="I712" s="247"/>
      <c r="J712" s="247"/>
      <c r="K712" s="247"/>
      <c r="L712" s="247"/>
      <c r="M712" s="253"/>
      <c r="N712" s="253"/>
      <c r="O712" s="253"/>
      <c r="P712" s="253"/>
      <c r="Q712" s="253"/>
      <c r="R712" s="253"/>
      <c r="S712" s="253"/>
      <c r="T712" s="253"/>
      <c r="U712" s="253"/>
      <c r="V712" s="247"/>
      <c r="W712" s="247"/>
      <c r="X712" s="247"/>
      <c r="Y712" s="247"/>
      <c r="Z712" s="247"/>
    </row>
    <row r="713">
      <c r="A713" s="247"/>
      <c r="B713" s="247"/>
      <c r="C713" s="247"/>
      <c r="D713" s="247"/>
      <c r="E713" s="247"/>
      <c r="F713" s="247"/>
      <c r="G713" s="247"/>
      <c r="H713" s="247"/>
      <c r="I713" s="247"/>
      <c r="J713" s="247"/>
      <c r="K713" s="247"/>
      <c r="L713" s="247"/>
      <c r="M713" s="253"/>
      <c r="N713" s="253"/>
      <c r="O713" s="253"/>
      <c r="P713" s="253"/>
      <c r="Q713" s="253"/>
      <c r="R713" s="253"/>
      <c r="S713" s="253"/>
      <c r="T713" s="253"/>
      <c r="U713" s="253"/>
      <c r="V713" s="247"/>
      <c r="W713" s="247"/>
      <c r="X713" s="247"/>
      <c r="Y713" s="247"/>
      <c r="Z713" s="247"/>
    </row>
    <row r="714">
      <c r="A714" s="247"/>
      <c r="B714" s="247"/>
      <c r="C714" s="247"/>
      <c r="D714" s="247"/>
      <c r="E714" s="247"/>
      <c r="F714" s="247"/>
      <c r="G714" s="247"/>
      <c r="H714" s="247"/>
      <c r="I714" s="247"/>
      <c r="J714" s="247"/>
      <c r="K714" s="247"/>
      <c r="L714" s="247"/>
      <c r="M714" s="253"/>
      <c r="N714" s="253"/>
      <c r="O714" s="253"/>
      <c r="P714" s="253"/>
      <c r="Q714" s="253"/>
      <c r="R714" s="253"/>
      <c r="S714" s="253"/>
      <c r="T714" s="253"/>
      <c r="U714" s="253"/>
      <c r="V714" s="247"/>
      <c r="W714" s="247"/>
      <c r="X714" s="247"/>
      <c r="Y714" s="247"/>
      <c r="Z714" s="247"/>
    </row>
    <row r="715">
      <c r="A715" s="247"/>
      <c r="B715" s="247"/>
      <c r="C715" s="247"/>
      <c r="D715" s="247"/>
      <c r="E715" s="247"/>
      <c r="F715" s="247"/>
      <c r="G715" s="247"/>
      <c r="H715" s="247"/>
      <c r="I715" s="247"/>
      <c r="J715" s="247"/>
      <c r="K715" s="247"/>
      <c r="L715" s="247"/>
      <c r="M715" s="253"/>
      <c r="N715" s="253"/>
      <c r="O715" s="253"/>
      <c r="P715" s="253"/>
      <c r="Q715" s="253"/>
      <c r="R715" s="253"/>
      <c r="S715" s="253"/>
      <c r="T715" s="253"/>
      <c r="U715" s="253"/>
      <c r="V715" s="247"/>
      <c r="W715" s="247"/>
      <c r="X715" s="247"/>
      <c r="Y715" s="247"/>
      <c r="Z715" s="247"/>
    </row>
    <row r="716">
      <c r="A716" s="247"/>
      <c r="B716" s="247"/>
      <c r="C716" s="247"/>
      <c r="D716" s="247"/>
      <c r="E716" s="247"/>
      <c r="F716" s="247"/>
      <c r="G716" s="247"/>
      <c r="H716" s="247"/>
      <c r="I716" s="247"/>
      <c r="J716" s="247"/>
      <c r="K716" s="247"/>
      <c r="L716" s="247"/>
      <c r="M716" s="253"/>
      <c r="N716" s="253"/>
      <c r="O716" s="253"/>
      <c r="P716" s="253"/>
      <c r="Q716" s="253"/>
      <c r="R716" s="253"/>
      <c r="S716" s="253"/>
      <c r="T716" s="253"/>
      <c r="U716" s="253"/>
      <c r="V716" s="247"/>
      <c r="W716" s="247"/>
      <c r="X716" s="247"/>
      <c r="Y716" s="247"/>
      <c r="Z716" s="247"/>
    </row>
    <row r="717">
      <c r="A717" s="247"/>
      <c r="B717" s="247"/>
      <c r="C717" s="247"/>
      <c r="D717" s="247"/>
      <c r="E717" s="247"/>
      <c r="F717" s="247"/>
      <c r="G717" s="247"/>
      <c r="H717" s="247"/>
      <c r="I717" s="247"/>
      <c r="J717" s="247"/>
      <c r="K717" s="247"/>
      <c r="L717" s="247"/>
      <c r="M717" s="253"/>
      <c r="N717" s="253"/>
      <c r="O717" s="253"/>
      <c r="P717" s="253"/>
      <c r="Q717" s="253"/>
      <c r="R717" s="253"/>
      <c r="S717" s="253"/>
      <c r="T717" s="253"/>
      <c r="U717" s="253"/>
      <c r="V717" s="247"/>
      <c r="W717" s="247"/>
      <c r="X717" s="247"/>
      <c r="Y717" s="247"/>
      <c r="Z717" s="247"/>
    </row>
    <row r="718">
      <c r="A718" s="247"/>
      <c r="B718" s="247"/>
      <c r="C718" s="247"/>
      <c r="D718" s="247"/>
      <c r="E718" s="247"/>
      <c r="F718" s="247"/>
      <c r="G718" s="247"/>
      <c r="H718" s="247"/>
      <c r="I718" s="247"/>
      <c r="J718" s="247"/>
      <c r="K718" s="247"/>
      <c r="L718" s="247"/>
      <c r="M718" s="253"/>
      <c r="N718" s="253"/>
      <c r="O718" s="253"/>
      <c r="P718" s="253"/>
      <c r="Q718" s="253"/>
      <c r="R718" s="253"/>
      <c r="S718" s="253"/>
      <c r="T718" s="253"/>
      <c r="U718" s="253"/>
      <c r="V718" s="247"/>
      <c r="W718" s="247"/>
      <c r="X718" s="247"/>
      <c r="Y718" s="247"/>
      <c r="Z718" s="247"/>
    </row>
    <row r="719">
      <c r="A719" s="247"/>
      <c r="B719" s="247"/>
      <c r="C719" s="247"/>
      <c r="D719" s="247"/>
      <c r="E719" s="247"/>
      <c r="F719" s="247"/>
      <c r="G719" s="247"/>
      <c r="H719" s="247"/>
      <c r="I719" s="247"/>
      <c r="J719" s="247"/>
      <c r="K719" s="247"/>
      <c r="L719" s="247"/>
      <c r="M719" s="253"/>
      <c r="N719" s="253"/>
      <c r="O719" s="253"/>
      <c r="P719" s="253"/>
      <c r="Q719" s="253"/>
      <c r="R719" s="253"/>
      <c r="S719" s="253"/>
      <c r="T719" s="253"/>
      <c r="U719" s="253"/>
      <c r="V719" s="247"/>
      <c r="W719" s="247"/>
      <c r="X719" s="247"/>
      <c r="Y719" s="247"/>
      <c r="Z719" s="247"/>
    </row>
    <row r="720">
      <c r="A720" s="247"/>
      <c r="B720" s="247"/>
      <c r="C720" s="247"/>
      <c r="D720" s="247"/>
      <c r="E720" s="247"/>
      <c r="F720" s="247"/>
      <c r="G720" s="247"/>
      <c r="H720" s="247"/>
      <c r="I720" s="247"/>
      <c r="J720" s="247"/>
      <c r="K720" s="247"/>
      <c r="L720" s="247"/>
      <c r="M720" s="253"/>
      <c r="N720" s="253"/>
      <c r="O720" s="253"/>
      <c r="P720" s="253"/>
      <c r="Q720" s="253"/>
      <c r="R720" s="253"/>
      <c r="S720" s="253"/>
      <c r="T720" s="253"/>
      <c r="U720" s="253"/>
      <c r="V720" s="247"/>
      <c r="W720" s="247"/>
      <c r="X720" s="247"/>
      <c r="Y720" s="247"/>
      <c r="Z720" s="247"/>
    </row>
    <row r="721">
      <c r="A721" s="247"/>
      <c r="B721" s="247"/>
      <c r="C721" s="247"/>
      <c r="D721" s="247"/>
      <c r="E721" s="247"/>
      <c r="F721" s="247"/>
      <c r="G721" s="247"/>
      <c r="H721" s="247"/>
      <c r="I721" s="247"/>
      <c r="J721" s="247"/>
      <c r="K721" s="247"/>
      <c r="L721" s="247"/>
      <c r="M721" s="253"/>
      <c r="N721" s="253"/>
      <c r="O721" s="253"/>
      <c r="P721" s="253"/>
      <c r="Q721" s="253"/>
      <c r="R721" s="253"/>
      <c r="S721" s="253"/>
      <c r="T721" s="253"/>
      <c r="U721" s="253"/>
      <c r="V721" s="247"/>
      <c r="W721" s="247"/>
      <c r="X721" s="247"/>
      <c r="Y721" s="247"/>
      <c r="Z721" s="247"/>
    </row>
    <row r="722">
      <c r="A722" s="247"/>
      <c r="B722" s="247"/>
      <c r="C722" s="247"/>
      <c r="D722" s="247"/>
      <c r="E722" s="247"/>
      <c r="F722" s="247"/>
      <c r="G722" s="247"/>
      <c r="H722" s="247"/>
      <c r="I722" s="247"/>
      <c r="J722" s="247"/>
      <c r="K722" s="247"/>
      <c r="L722" s="247"/>
      <c r="M722" s="253"/>
      <c r="N722" s="253"/>
      <c r="O722" s="253"/>
      <c r="P722" s="253"/>
      <c r="Q722" s="253"/>
      <c r="R722" s="253"/>
      <c r="S722" s="253"/>
      <c r="T722" s="253"/>
      <c r="U722" s="253"/>
      <c r="V722" s="247"/>
      <c r="W722" s="247"/>
      <c r="X722" s="247"/>
      <c r="Y722" s="247"/>
      <c r="Z722" s="247"/>
    </row>
    <row r="723">
      <c r="A723" s="247"/>
      <c r="B723" s="247"/>
      <c r="C723" s="247"/>
      <c r="D723" s="247"/>
      <c r="E723" s="247"/>
      <c r="F723" s="247"/>
      <c r="G723" s="247"/>
      <c r="H723" s="247"/>
      <c r="I723" s="247"/>
      <c r="J723" s="247"/>
      <c r="K723" s="247"/>
      <c r="L723" s="247"/>
      <c r="M723" s="253"/>
      <c r="N723" s="253"/>
      <c r="O723" s="253"/>
      <c r="P723" s="253"/>
      <c r="Q723" s="253"/>
      <c r="R723" s="253"/>
      <c r="S723" s="253"/>
      <c r="T723" s="253"/>
      <c r="U723" s="253"/>
      <c r="V723" s="247"/>
      <c r="W723" s="247"/>
      <c r="X723" s="247"/>
      <c r="Y723" s="247"/>
      <c r="Z723" s="247"/>
    </row>
    <row r="724">
      <c r="A724" s="247"/>
      <c r="B724" s="247"/>
      <c r="C724" s="247"/>
      <c r="D724" s="247"/>
      <c r="E724" s="247"/>
      <c r="F724" s="247"/>
      <c r="G724" s="247"/>
      <c r="H724" s="247"/>
      <c r="I724" s="247"/>
      <c r="J724" s="247"/>
      <c r="K724" s="247"/>
      <c r="L724" s="247"/>
      <c r="M724" s="253"/>
      <c r="N724" s="253"/>
      <c r="O724" s="253"/>
      <c r="P724" s="253"/>
      <c r="Q724" s="253"/>
      <c r="R724" s="253"/>
      <c r="S724" s="253"/>
      <c r="T724" s="253"/>
      <c r="U724" s="253"/>
      <c r="V724" s="247"/>
      <c r="W724" s="247"/>
      <c r="X724" s="247"/>
      <c r="Y724" s="247"/>
      <c r="Z724" s="247"/>
    </row>
    <row r="725">
      <c r="A725" s="247"/>
      <c r="B725" s="247"/>
      <c r="C725" s="247"/>
      <c r="D725" s="247"/>
      <c r="E725" s="247"/>
      <c r="F725" s="247"/>
      <c r="G725" s="247"/>
      <c r="H725" s="247"/>
      <c r="I725" s="247"/>
      <c r="J725" s="247"/>
      <c r="K725" s="247"/>
      <c r="L725" s="247"/>
      <c r="M725" s="253"/>
      <c r="N725" s="253"/>
      <c r="O725" s="253"/>
      <c r="P725" s="253"/>
      <c r="Q725" s="253"/>
      <c r="R725" s="253"/>
      <c r="S725" s="253"/>
      <c r="T725" s="253"/>
      <c r="U725" s="253"/>
      <c r="V725" s="247"/>
      <c r="W725" s="247"/>
      <c r="X725" s="247"/>
      <c r="Y725" s="247"/>
      <c r="Z725" s="247"/>
    </row>
    <row r="726">
      <c r="A726" s="247"/>
      <c r="B726" s="247"/>
      <c r="C726" s="247"/>
      <c r="D726" s="247"/>
      <c r="E726" s="247"/>
      <c r="F726" s="247"/>
      <c r="G726" s="247"/>
      <c r="H726" s="247"/>
      <c r="I726" s="247"/>
      <c r="J726" s="247"/>
      <c r="K726" s="247"/>
      <c r="L726" s="247"/>
      <c r="M726" s="253"/>
      <c r="N726" s="253"/>
      <c r="O726" s="253"/>
      <c r="P726" s="253"/>
      <c r="Q726" s="253"/>
      <c r="R726" s="253"/>
      <c r="S726" s="253"/>
      <c r="T726" s="253"/>
      <c r="U726" s="253"/>
      <c r="V726" s="247"/>
      <c r="W726" s="247"/>
      <c r="X726" s="247"/>
      <c r="Y726" s="247"/>
      <c r="Z726" s="247"/>
    </row>
    <row r="727">
      <c r="A727" s="247"/>
      <c r="B727" s="247"/>
      <c r="C727" s="247"/>
      <c r="D727" s="247"/>
      <c r="E727" s="247"/>
      <c r="F727" s="247"/>
      <c r="G727" s="247"/>
      <c r="H727" s="247"/>
      <c r="I727" s="247"/>
      <c r="J727" s="247"/>
      <c r="K727" s="247"/>
      <c r="L727" s="247"/>
      <c r="M727" s="253"/>
      <c r="N727" s="253"/>
      <c r="O727" s="253"/>
      <c r="P727" s="253"/>
      <c r="Q727" s="253"/>
      <c r="R727" s="253"/>
      <c r="S727" s="253"/>
      <c r="T727" s="253"/>
      <c r="U727" s="253"/>
      <c r="V727" s="247"/>
      <c r="W727" s="247"/>
      <c r="X727" s="247"/>
      <c r="Y727" s="247"/>
      <c r="Z727" s="247"/>
    </row>
    <row r="728">
      <c r="A728" s="247"/>
      <c r="B728" s="247"/>
      <c r="C728" s="247"/>
      <c r="D728" s="247"/>
      <c r="E728" s="247"/>
      <c r="F728" s="247"/>
      <c r="G728" s="247"/>
      <c r="H728" s="247"/>
      <c r="I728" s="247"/>
      <c r="J728" s="247"/>
      <c r="K728" s="247"/>
      <c r="L728" s="247"/>
      <c r="M728" s="253"/>
      <c r="N728" s="253"/>
      <c r="O728" s="253"/>
      <c r="P728" s="253"/>
      <c r="Q728" s="253"/>
      <c r="R728" s="253"/>
      <c r="S728" s="253"/>
      <c r="T728" s="253"/>
      <c r="U728" s="253"/>
      <c r="V728" s="247"/>
      <c r="W728" s="247"/>
      <c r="X728" s="247"/>
      <c r="Y728" s="247"/>
      <c r="Z728" s="247"/>
    </row>
    <row r="729">
      <c r="A729" s="247"/>
      <c r="B729" s="247"/>
      <c r="C729" s="247"/>
      <c r="D729" s="247"/>
      <c r="E729" s="247"/>
      <c r="F729" s="247"/>
      <c r="G729" s="247"/>
      <c r="H729" s="247"/>
      <c r="I729" s="247"/>
      <c r="J729" s="247"/>
      <c r="K729" s="247"/>
      <c r="L729" s="247"/>
      <c r="M729" s="253"/>
      <c r="N729" s="253"/>
      <c r="O729" s="253"/>
      <c r="P729" s="253"/>
      <c r="Q729" s="253"/>
      <c r="R729" s="253"/>
      <c r="S729" s="253"/>
      <c r="T729" s="253"/>
      <c r="U729" s="253"/>
      <c r="V729" s="247"/>
      <c r="W729" s="247"/>
      <c r="X729" s="247"/>
      <c r="Y729" s="247"/>
      <c r="Z729" s="247"/>
    </row>
    <row r="730">
      <c r="A730" s="247"/>
      <c r="B730" s="247"/>
      <c r="C730" s="247"/>
      <c r="D730" s="247"/>
      <c r="E730" s="247"/>
      <c r="F730" s="247"/>
      <c r="G730" s="247"/>
      <c r="H730" s="247"/>
      <c r="I730" s="247"/>
      <c r="J730" s="247"/>
      <c r="K730" s="247"/>
      <c r="L730" s="247"/>
      <c r="M730" s="253"/>
      <c r="N730" s="253"/>
      <c r="O730" s="253"/>
      <c r="P730" s="253"/>
      <c r="Q730" s="253"/>
      <c r="R730" s="253"/>
      <c r="S730" s="253"/>
      <c r="T730" s="253"/>
      <c r="U730" s="253"/>
      <c r="V730" s="247"/>
      <c r="W730" s="247"/>
      <c r="X730" s="247"/>
      <c r="Y730" s="247"/>
      <c r="Z730" s="247"/>
    </row>
    <row r="731">
      <c r="A731" s="247"/>
      <c r="B731" s="247"/>
      <c r="C731" s="247"/>
      <c r="D731" s="247"/>
      <c r="E731" s="247"/>
      <c r="F731" s="247"/>
      <c r="G731" s="247"/>
      <c r="H731" s="247"/>
      <c r="I731" s="247"/>
      <c r="J731" s="247"/>
      <c r="K731" s="247"/>
      <c r="L731" s="247"/>
      <c r="M731" s="253"/>
      <c r="N731" s="253"/>
      <c r="O731" s="253"/>
      <c r="P731" s="253"/>
      <c r="Q731" s="253"/>
      <c r="R731" s="253"/>
      <c r="S731" s="253"/>
      <c r="T731" s="253"/>
      <c r="U731" s="253"/>
      <c r="V731" s="247"/>
      <c r="W731" s="247"/>
      <c r="X731" s="247"/>
      <c r="Y731" s="247"/>
      <c r="Z731" s="247"/>
    </row>
    <row r="732">
      <c r="A732" s="247"/>
      <c r="B732" s="247"/>
      <c r="C732" s="247"/>
      <c r="D732" s="247"/>
      <c r="E732" s="247"/>
      <c r="F732" s="247"/>
      <c r="G732" s="247"/>
      <c r="H732" s="247"/>
      <c r="I732" s="247"/>
      <c r="J732" s="247"/>
      <c r="K732" s="247"/>
      <c r="L732" s="247"/>
      <c r="M732" s="253"/>
      <c r="N732" s="253"/>
      <c r="O732" s="253"/>
      <c r="P732" s="253"/>
      <c r="Q732" s="253"/>
      <c r="R732" s="253"/>
      <c r="S732" s="253"/>
      <c r="T732" s="253"/>
      <c r="U732" s="253"/>
      <c r="V732" s="247"/>
      <c r="W732" s="247"/>
      <c r="X732" s="247"/>
      <c r="Y732" s="247"/>
      <c r="Z732" s="247"/>
    </row>
    <row r="733">
      <c r="A733" s="247"/>
      <c r="B733" s="247"/>
      <c r="C733" s="247"/>
      <c r="D733" s="247"/>
      <c r="E733" s="247"/>
      <c r="F733" s="247"/>
      <c r="G733" s="247"/>
      <c r="H733" s="247"/>
      <c r="I733" s="247"/>
      <c r="J733" s="247"/>
      <c r="K733" s="247"/>
      <c r="L733" s="247"/>
      <c r="M733" s="253"/>
      <c r="N733" s="253"/>
      <c r="O733" s="253"/>
      <c r="P733" s="253"/>
      <c r="Q733" s="253"/>
      <c r="R733" s="253"/>
      <c r="S733" s="253"/>
      <c r="T733" s="253"/>
      <c r="U733" s="253"/>
      <c r="V733" s="247"/>
      <c r="W733" s="247"/>
      <c r="X733" s="247"/>
      <c r="Y733" s="247"/>
      <c r="Z733" s="247"/>
    </row>
    <row r="734">
      <c r="A734" s="247"/>
      <c r="B734" s="247"/>
      <c r="C734" s="247"/>
      <c r="D734" s="247"/>
      <c r="E734" s="247"/>
      <c r="F734" s="247"/>
      <c r="G734" s="247"/>
      <c r="H734" s="247"/>
      <c r="I734" s="247"/>
      <c r="J734" s="247"/>
      <c r="K734" s="247"/>
      <c r="L734" s="247"/>
      <c r="M734" s="253"/>
      <c r="N734" s="253"/>
      <c r="O734" s="253"/>
      <c r="P734" s="253"/>
      <c r="Q734" s="253"/>
      <c r="R734" s="253"/>
      <c r="S734" s="253"/>
      <c r="T734" s="253"/>
      <c r="U734" s="253"/>
      <c r="V734" s="247"/>
      <c r="W734" s="247"/>
      <c r="X734" s="247"/>
      <c r="Y734" s="247"/>
      <c r="Z734" s="247"/>
    </row>
    <row r="735">
      <c r="A735" s="247"/>
      <c r="B735" s="247"/>
      <c r="C735" s="247"/>
      <c r="D735" s="247"/>
      <c r="E735" s="247"/>
      <c r="F735" s="247"/>
      <c r="G735" s="247"/>
      <c r="H735" s="247"/>
      <c r="I735" s="247"/>
      <c r="J735" s="247"/>
      <c r="K735" s="247"/>
      <c r="L735" s="247"/>
      <c r="M735" s="253"/>
      <c r="N735" s="253"/>
      <c r="O735" s="253"/>
      <c r="P735" s="253"/>
      <c r="Q735" s="253"/>
      <c r="R735" s="253"/>
      <c r="S735" s="253"/>
      <c r="T735" s="253"/>
      <c r="U735" s="253"/>
      <c r="V735" s="247"/>
      <c r="W735" s="247"/>
      <c r="X735" s="247"/>
      <c r="Y735" s="247"/>
      <c r="Z735" s="247"/>
    </row>
    <row r="736">
      <c r="A736" s="247"/>
      <c r="B736" s="247"/>
      <c r="C736" s="247"/>
      <c r="D736" s="247"/>
      <c r="E736" s="247"/>
      <c r="F736" s="247"/>
      <c r="G736" s="247"/>
      <c r="H736" s="247"/>
      <c r="I736" s="247"/>
      <c r="J736" s="247"/>
      <c r="K736" s="247"/>
      <c r="L736" s="247"/>
      <c r="M736" s="253"/>
      <c r="N736" s="253"/>
      <c r="O736" s="253"/>
      <c r="P736" s="253"/>
      <c r="Q736" s="253"/>
      <c r="R736" s="253"/>
      <c r="S736" s="253"/>
      <c r="T736" s="253"/>
      <c r="U736" s="253"/>
      <c r="V736" s="247"/>
      <c r="W736" s="247"/>
      <c r="X736" s="247"/>
      <c r="Y736" s="247"/>
      <c r="Z736" s="247"/>
    </row>
    <row r="737">
      <c r="A737" s="247"/>
      <c r="B737" s="247"/>
      <c r="C737" s="247"/>
      <c r="D737" s="247"/>
      <c r="E737" s="247"/>
      <c r="F737" s="247"/>
      <c r="G737" s="247"/>
      <c r="H737" s="247"/>
      <c r="I737" s="247"/>
      <c r="J737" s="247"/>
      <c r="K737" s="247"/>
      <c r="L737" s="247"/>
      <c r="M737" s="253"/>
      <c r="N737" s="253"/>
      <c r="O737" s="253"/>
      <c r="P737" s="253"/>
      <c r="Q737" s="253"/>
      <c r="R737" s="253"/>
      <c r="S737" s="253"/>
      <c r="T737" s="253"/>
      <c r="U737" s="253"/>
      <c r="V737" s="247"/>
      <c r="W737" s="247"/>
      <c r="X737" s="247"/>
      <c r="Y737" s="247"/>
      <c r="Z737" s="247"/>
    </row>
    <row r="738">
      <c r="A738" s="247"/>
      <c r="B738" s="247"/>
      <c r="C738" s="247"/>
      <c r="D738" s="247"/>
      <c r="E738" s="247"/>
      <c r="F738" s="247"/>
      <c r="G738" s="247"/>
      <c r="H738" s="247"/>
      <c r="I738" s="247"/>
      <c r="J738" s="247"/>
      <c r="K738" s="247"/>
      <c r="L738" s="247"/>
      <c r="M738" s="253"/>
      <c r="N738" s="253"/>
      <c r="O738" s="253"/>
      <c r="P738" s="253"/>
      <c r="Q738" s="253"/>
      <c r="R738" s="253"/>
      <c r="S738" s="253"/>
      <c r="T738" s="253"/>
      <c r="U738" s="253"/>
      <c r="V738" s="247"/>
      <c r="W738" s="247"/>
      <c r="X738" s="247"/>
      <c r="Y738" s="247"/>
      <c r="Z738" s="247"/>
    </row>
    <row r="739">
      <c r="A739" s="247"/>
      <c r="B739" s="247"/>
      <c r="C739" s="247"/>
      <c r="D739" s="247"/>
      <c r="E739" s="247"/>
      <c r="F739" s="247"/>
      <c r="G739" s="247"/>
      <c r="H739" s="247"/>
      <c r="I739" s="247"/>
      <c r="J739" s="247"/>
      <c r="K739" s="247"/>
      <c r="L739" s="247"/>
      <c r="M739" s="253"/>
      <c r="N739" s="253"/>
      <c r="O739" s="253"/>
      <c r="P739" s="253"/>
      <c r="Q739" s="253"/>
      <c r="R739" s="253"/>
      <c r="S739" s="253"/>
      <c r="T739" s="253"/>
      <c r="U739" s="253"/>
      <c r="V739" s="247"/>
      <c r="W739" s="247"/>
      <c r="X739" s="247"/>
      <c r="Y739" s="247"/>
      <c r="Z739" s="247"/>
    </row>
    <row r="740">
      <c r="A740" s="247"/>
      <c r="B740" s="247"/>
      <c r="C740" s="247"/>
      <c r="D740" s="247"/>
      <c r="E740" s="247"/>
      <c r="F740" s="247"/>
      <c r="G740" s="247"/>
      <c r="H740" s="247"/>
      <c r="I740" s="247"/>
      <c r="J740" s="247"/>
      <c r="K740" s="247"/>
      <c r="L740" s="247"/>
      <c r="M740" s="253"/>
      <c r="N740" s="253"/>
      <c r="O740" s="253"/>
      <c r="P740" s="253"/>
      <c r="Q740" s="253"/>
      <c r="R740" s="253"/>
      <c r="S740" s="253"/>
      <c r="T740" s="253"/>
      <c r="U740" s="253"/>
      <c r="V740" s="247"/>
      <c r="W740" s="247"/>
      <c r="X740" s="247"/>
      <c r="Y740" s="247"/>
      <c r="Z740" s="247"/>
    </row>
    <row r="741">
      <c r="A741" s="247"/>
      <c r="B741" s="247"/>
      <c r="C741" s="247"/>
      <c r="D741" s="247"/>
      <c r="E741" s="247"/>
      <c r="F741" s="247"/>
      <c r="G741" s="247"/>
      <c r="H741" s="247"/>
      <c r="I741" s="247"/>
      <c r="J741" s="247"/>
      <c r="K741" s="247"/>
      <c r="L741" s="247"/>
      <c r="M741" s="253"/>
      <c r="N741" s="253"/>
      <c r="O741" s="253"/>
      <c r="P741" s="253"/>
      <c r="Q741" s="253"/>
      <c r="R741" s="253"/>
      <c r="S741" s="253"/>
      <c r="T741" s="253"/>
      <c r="U741" s="253"/>
      <c r="V741" s="247"/>
      <c r="W741" s="247"/>
      <c r="X741" s="247"/>
      <c r="Y741" s="247"/>
      <c r="Z741" s="247"/>
    </row>
    <row r="742">
      <c r="A742" s="247"/>
      <c r="B742" s="247"/>
      <c r="C742" s="247"/>
      <c r="D742" s="247"/>
      <c r="E742" s="247"/>
      <c r="F742" s="247"/>
      <c r="G742" s="247"/>
      <c r="H742" s="247"/>
      <c r="I742" s="247"/>
      <c r="J742" s="247"/>
      <c r="K742" s="247"/>
      <c r="L742" s="247"/>
      <c r="M742" s="253"/>
      <c r="N742" s="253"/>
      <c r="O742" s="253"/>
      <c r="P742" s="253"/>
      <c r="Q742" s="253"/>
      <c r="R742" s="253"/>
      <c r="S742" s="253"/>
      <c r="T742" s="253"/>
      <c r="U742" s="253"/>
      <c r="V742" s="247"/>
      <c r="W742" s="247"/>
      <c r="X742" s="247"/>
      <c r="Y742" s="247"/>
      <c r="Z742" s="247"/>
    </row>
    <row r="743">
      <c r="A743" s="247"/>
      <c r="B743" s="247"/>
      <c r="C743" s="247"/>
      <c r="D743" s="247"/>
      <c r="E743" s="247"/>
      <c r="F743" s="247"/>
      <c r="G743" s="247"/>
      <c r="H743" s="247"/>
      <c r="I743" s="247"/>
      <c r="J743" s="247"/>
      <c r="K743" s="247"/>
      <c r="L743" s="247"/>
      <c r="M743" s="253"/>
      <c r="N743" s="253"/>
      <c r="O743" s="253"/>
      <c r="P743" s="253"/>
      <c r="Q743" s="253"/>
      <c r="R743" s="253"/>
      <c r="S743" s="253"/>
      <c r="T743" s="253"/>
      <c r="U743" s="253"/>
      <c r="V743" s="247"/>
      <c r="W743" s="247"/>
      <c r="X743" s="247"/>
      <c r="Y743" s="247"/>
      <c r="Z743" s="247"/>
    </row>
    <row r="744">
      <c r="A744" s="247"/>
      <c r="B744" s="247"/>
      <c r="C744" s="247"/>
      <c r="D744" s="247"/>
      <c r="E744" s="247"/>
      <c r="F744" s="247"/>
      <c r="G744" s="247"/>
      <c r="H744" s="247"/>
      <c r="I744" s="247"/>
      <c r="J744" s="247"/>
      <c r="K744" s="247"/>
      <c r="L744" s="247"/>
      <c r="M744" s="253"/>
      <c r="N744" s="253"/>
      <c r="O744" s="253"/>
      <c r="P744" s="253"/>
      <c r="Q744" s="253"/>
      <c r="R744" s="253"/>
      <c r="S744" s="253"/>
      <c r="T744" s="253"/>
      <c r="U744" s="253"/>
      <c r="V744" s="247"/>
      <c r="W744" s="247"/>
      <c r="X744" s="247"/>
      <c r="Y744" s="247"/>
      <c r="Z744" s="247"/>
    </row>
    <row r="745">
      <c r="A745" s="247"/>
      <c r="B745" s="247"/>
      <c r="C745" s="247"/>
      <c r="D745" s="247"/>
      <c r="E745" s="247"/>
      <c r="F745" s="247"/>
      <c r="G745" s="247"/>
      <c r="H745" s="247"/>
      <c r="I745" s="247"/>
      <c r="J745" s="247"/>
      <c r="K745" s="247"/>
      <c r="L745" s="247"/>
      <c r="M745" s="253"/>
      <c r="N745" s="253"/>
      <c r="O745" s="253"/>
      <c r="P745" s="253"/>
      <c r="Q745" s="253"/>
      <c r="R745" s="253"/>
      <c r="S745" s="253"/>
      <c r="T745" s="253"/>
      <c r="U745" s="253"/>
      <c r="V745" s="247"/>
      <c r="W745" s="247"/>
      <c r="X745" s="247"/>
      <c r="Y745" s="247"/>
      <c r="Z745" s="247"/>
    </row>
    <row r="746">
      <c r="A746" s="247"/>
      <c r="B746" s="247"/>
      <c r="C746" s="247"/>
      <c r="D746" s="247"/>
      <c r="E746" s="247"/>
      <c r="F746" s="247"/>
      <c r="G746" s="247"/>
      <c r="H746" s="247"/>
      <c r="I746" s="247"/>
      <c r="J746" s="247"/>
      <c r="K746" s="247"/>
      <c r="L746" s="247"/>
      <c r="M746" s="253"/>
      <c r="N746" s="253"/>
      <c r="O746" s="253"/>
      <c r="P746" s="253"/>
      <c r="Q746" s="253"/>
      <c r="R746" s="253"/>
      <c r="S746" s="253"/>
      <c r="T746" s="253"/>
      <c r="U746" s="253"/>
      <c r="V746" s="247"/>
      <c r="W746" s="247"/>
      <c r="X746" s="247"/>
      <c r="Y746" s="247"/>
      <c r="Z746" s="247"/>
    </row>
    <row r="747">
      <c r="A747" s="247"/>
      <c r="B747" s="247"/>
      <c r="C747" s="247"/>
      <c r="D747" s="247"/>
      <c r="E747" s="247"/>
      <c r="F747" s="247"/>
      <c r="G747" s="247"/>
      <c r="H747" s="247"/>
      <c r="I747" s="247"/>
      <c r="J747" s="247"/>
      <c r="K747" s="247"/>
      <c r="L747" s="247"/>
      <c r="M747" s="253"/>
      <c r="N747" s="253"/>
      <c r="O747" s="253"/>
      <c r="P747" s="253"/>
      <c r="Q747" s="253"/>
      <c r="R747" s="253"/>
      <c r="S747" s="253"/>
      <c r="T747" s="253"/>
      <c r="U747" s="253"/>
      <c r="V747" s="247"/>
      <c r="W747" s="247"/>
      <c r="X747" s="247"/>
      <c r="Y747" s="247"/>
      <c r="Z747" s="247"/>
    </row>
    <row r="748">
      <c r="A748" s="247"/>
      <c r="B748" s="247"/>
      <c r="C748" s="247"/>
      <c r="D748" s="247"/>
      <c r="E748" s="247"/>
      <c r="F748" s="247"/>
      <c r="G748" s="247"/>
      <c r="H748" s="247"/>
      <c r="I748" s="247"/>
      <c r="J748" s="247"/>
      <c r="K748" s="247"/>
      <c r="L748" s="247"/>
      <c r="M748" s="253"/>
      <c r="N748" s="253"/>
      <c r="O748" s="253"/>
      <c r="P748" s="253"/>
      <c r="Q748" s="253"/>
      <c r="R748" s="253"/>
      <c r="S748" s="253"/>
      <c r="T748" s="253"/>
      <c r="U748" s="253"/>
      <c r="V748" s="247"/>
      <c r="W748" s="247"/>
      <c r="X748" s="247"/>
      <c r="Y748" s="247"/>
      <c r="Z748" s="247"/>
    </row>
    <row r="749">
      <c r="A749" s="247"/>
      <c r="B749" s="247"/>
      <c r="C749" s="247"/>
      <c r="D749" s="247"/>
      <c r="E749" s="247"/>
      <c r="F749" s="247"/>
      <c r="G749" s="247"/>
      <c r="H749" s="247"/>
      <c r="I749" s="247"/>
      <c r="J749" s="247"/>
      <c r="K749" s="247"/>
      <c r="L749" s="247"/>
      <c r="M749" s="253"/>
      <c r="N749" s="253"/>
      <c r="O749" s="253"/>
      <c r="P749" s="253"/>
      <c r="Q749" s="253"/>
      <c r="R749" s="253"/>
      <c r="S749" s="253"/>
      <c r="T749" s="253"/>
      <c r="U749" s="253"/>
      <c r="V749" s="247"/>
      <c r="W749" s="247"/>
      <c r="X749" s="247"/>
      <c r="Y749" s="247"/>
      <c r="Z749" s="247"/>
    </row>
    <row r="750">
      <c r="A750" s="247"/>
      <c r="B750" s="247"/>
      <c r="C750" s="247"/>
      <c r="D750" s="247"/>
      <c r="E750" s="247"/>
      <c r="F750" s="247"/>
      <c r="G750" s="247"/>
      <c r="H750" s="247"/>
      <c r="I750" s="247"/>
      <c r="J750" s="247"/>
      <c r="K750" s="247"/>
      <c r="L750" s="247"/>
      <c r="M750" s="253"/>
      <c r="N750" s="253"/>
      <c r="O750" s="253"/>
      <c r="P750" s="253"/>
      <c r="Q750" s="253"/>
      <c r="R750" s="253"/>
      <c r="S750" s="253"/>
      <c r="T750" s="253"/>
      <c r="U750" s="253"/>
      <c r="V750" s="247"/>
      <c r="W750" s="247"/>
      <c r="X750" s="247"/>
      <c r="Y750" s="247"/>
      <c r="Z750" s="247"/>
    </row>
    <row r="751">
      <c r="A751" s="247"/>
      <c r="B751" s="247"/>
      <c r="C751" s="247"/>
      <c r="D751" s="247"/>
      <c r="E751" s="247"/>
      <c r="F751" s="247"/>
      <c r="G751" s="247"/>
      <c r="H751" s="247"/>
      <c r="I751" s="247"/>
      <c r="J751" s="247"/>
      <c r="K751" s="247"/>
      <c r="L751" s="247"/>
      <c r="M751" s="253"/>
      <c r="N751" s="253"/>
      <c r="O751" s="253"/>
      <c r="P751" s="253"/>
      <c r="Q751" s="253"/>
      <c r="R751" s="253"/>
      <c r="S751" s="253"/>
      <c r="T751" s="253"/>
      <c r="U751" s="253"/>
      <c r="V751" s="247"/>
      <c r="W751" s="247"/>
      <c r="X751" s="247"/>
      <c r="Y751" s="247"/>
      <c r="Z751" s="247"/>
    </row>
    <row r="752">
      <c r="A752" s="247"/>
      <c r="B752" s="247"/>
      <c r="C752" s="247"/>
      <c r="D752" s="247"/>
      <c r="E752" s="247"/>
      <c r="F752" s="247"/>
      <c r="G752" s="247"/>
      <c r="H752" s="247"/>
      <c r="I752" s="247"/>
      <c r="J752" s="247"/>
      <c r="K752" s="247"/>
      <c r="L752" s="247"/>
      <c r="M752" s="253"/>
      <c r="N752" s="253"/>
      <c r="O752" s="253"/>
      <c r="P752" s="253"/>
      <c r="Q752" s="253"/>
      <c r="R752" s="253"/>
      <c r="S752" s="253"/>
      <c r="T752" s="253"/>
      <c r="U752" s="253"/>
      <c r="V752" s="247"/>
      <c r="W752" s="247"/>
      <c r="X752" s="247"/>
      <c r="Y752" s="247"/>
      <c r="Z752" s="247"/>
    </row>
    <row r="753">
      <c r="A753" s="247"/>
      <c r="B753" s="247"/>
      <c r="C753" s="247"/>
      <c r="D753" s="247"/>
      <c r="E753" s="247"/>
      <c r="F753" s="247"/>
      <c r="G753" s="247"/>
      <c r="H753" s="247"/>
      <c r="I753" s="247"/>
      <c r="J753" s="247"/>
      <c r="K753" s="247"/>
      <c r="L753" s="247"/>
      <c r="M753" s="253"/>
      <c r="N753" s="253"/>
      <c r="O753" s="253"/>
      <c r="P753" s="253"/>
      <c r="Q753" s="253"/>
      <c r="R753" s="253"/>
      <c r="S753" s="253"/>
      <c r="T753" s="253"/>
      <c r="U753" s="253"/>
      <c r="V753" s="247"/>
      <c r="W753" s="247"/>
      <c r="X753" s="247"/>
      <c r="Y753" s="247"/>
      <c r="Z753" s="247"/>
    </row>
    <row r="754">
      <c r="A754" s="247"/>
      <c r="B754" s="247"/>
      <c r="C754" s="247"/>
      <c r="D754" s="247"/>
      <c r="E754" s="247"/>
      <c r="F754" s="247"/>
      <c r="G754" s="247"/>
      <c r="H754" s="247"/>
      <c r="I754" s="247"/>
      <c r="J754" s="247"/>
      <c r="K754" s="247"/>
      <c r="L754" s="247"/>
      <c r="M754" s="253"/>
      <c r="N754" s="253"/>
      <c r="O754" s="253"/>
      <c r="P754" s="253"/>
      <c r="Q754" s="253"/>
      <c r="R754" s="253"/>
      <c r="S754" s="253"/>
      <c r="T754" s="253"/>
      <c r="U754" s="253"/>
      <c r="V754" s="247"/>
      <c r="W754" s="247"/>
      <c r="X754" s="247"/>
      <c r="Y754" s="247"/>
      <c r="Z754" s="247"/>
    </row>
    <row r="755">
      <c r="A755" s="247"/>
      <c r="B755" s="247"/>
      <c r="C755" s="247"/>
      <c r="D755" s="247"/>
      <c r="E755" s="247"/>
      <c r="F755" s="247"/>
      <c r="G755" s="247"/>
      <c r="H755" s="247"/>
      <c r="I755" s="247"/>
      <c r="J755" s="247"/>
      <c r="K755" s="247"/>
      <c r="L755" s="247"/>
      <c r="M755" s="253"/>
      <c r="N755" s="253"/>
      <c r="O755" s="253"/>
      <c r="P755" s="253"/>
      <c r="Q755" s="253"/>
      <c r="R755" s="253"/>
      <c r="S755" s="253"/>
      <c r="T755" s="253"/>
      <c r="U755" s="253"/>
      <c r="V755" s="247"/>
      <c r="W755" s="247"/>
      <c r="X755" s="247"/>
      <c r="Y755" s="247"/>
      <c r="Z755" s="247"/>
    </row>
    <row r="756">
      <c r="A756" s="247"/>
      <c r="B756" s="247"/>
      <c r="C756" s="247"/>
      <c r="D756" s="247"/>
      <c r="E756" s="247"/>
      <c r="F756" s="247"/>
      <c r="G756" s="247"/>
      <c r="H756" s="247"/>
      <c r="I756" s="247"/>
      <c r="J756" s="247"/>
      <c r="K756" s="247"/>
      <c r="L756" s="247"/>
      <c r="M756" s="253"/>
      <c r="N756" s="253"/>
      <c r="O756" s="253"/>
      <c r="P756" s="253"/>
      <c r="Q756" s="253"/>
      <c r="R756" s="253"/>
      <c r="S756" s="253"/>
      <c r="T756" s="253"/>
      <c r="U756" s="253"/>
      <c r="V756" s="247"/>
      <c r="W756" s="247"/>
      <c r="X756" s="247"/>
      <c r="Y756" s="247"/>
      <c r="Z756" s="247"/>
    </row>
    <row r="757">
      <c r="A757" s="247"/>
      <c r="B757" s="247"/>
      <c r="C757" s="247"/>
      <c r="D757" s="247"/>
      <c r="E757" s="247"/>
      <c r="F757" s="247"/>
      <c r="G757" s="247"/>
      <c r="H757" s="247"/>
      <c r="I757" s="247"/>
      <c r="J757" s="247"/>
      <c r="K757" s="247"/>
      <c r="L757" s="247"/>
      <c r="M757" s="253"/>
      <c r="N757" s="253"/>
      <c r="O757" s="253"/>
      <c r="P757" s="253"/>
      <c r="Q757" s="253"/>
      <c r="R757" s="253"/>
      <c r="S757" s="253"/>
      <c r="T757" s="253"/>
      <c r="U757" s="253"/>
      <c r="V757" s="247"/>
      <c r="W757" s="247"/>
      <c r="X757" s="247"/>
      <c r="Y757" s="247"/>
      <c r="Z757" s="247"/>
    </row>
    <row r="758">
      <c r="A758" s="247"/>
      <c r="B758" s="247"/>
      <c r="C758" s="247"/>
      <c r="D758" s="247"/>
      <c r="E758" s="247"/>
      <c r="F758" s="247"/>
      <c r="G758" s="247"/>
      <c r="H758" s="247"/>
      <c r="I758" s="247"/>
      <c r="J758" s="247"/>
      <c r="K758" s="247"/>
      <c r="L758" s="247"/>
      <c r="M758" s="253"/>
      <c r="N758" s="253"/>
      <c r="O758" s="253"/>
      <c r="P758" s="253"/>
      <c r="Q758" s="253"/>
      <c r="R758" s="253"/>
      <c r="S758" s="253"/>
      <c r="T758" s="253"/>
      <c r="U758" s="253"/>
      <c r="V758" s="247"/>
      <c r="W758" s="247"/>
      <c r="X758" s="247"/>
      <c r="Y758" s="247"/>
      <c r="Z758" s="247"/>
    </row>
    <row r="759">
      <c r="A759" s="247"/>
      <c r="B759" s="247"/>
      <c r="C759" s="247"/>
      <c r="D759" s="247"/>
      <c r="E759" s="247"/>
      <c r="F759" s="247"/>
      <c r="G759" s="247"/>
      <c r="H759" s="247"/>
      <c r="I759" s="247"/>
      <c r="J759" s="247"/>
      <c r="K759" s="247"/>
      <c r="L759" s="247"/>
      <c r="M759" s="253"/>
      <c r="N759" s="253"/>
      <c r="O759" s="253"/>
      <c r="P759" s="253"/>
      <c r="Q759" s="253"/>
      <c r="R759" s="253"/>
      <c r="S759" s="253"/>
      <c r="T759" s="253"/>
      <c r="U759" s="253"/>
      <c r="V759" s="247"/>
      <c r="W759" s="247"/>
      <c r="X759" s="247"/>
      <c r="Y759" s="247"/>
      <c r="Z759" s="247"/>
    </row>
    <row r="760">
      <c r="A760" s="247"/>
      <c r="B760" s="247"/>
      <c r="C760" s="247"/>
      <c r="D760" s="247"/>
      <c r="E760" s="247"/>
      <c r="F760" s="247"/>
      <c r="G760" s="247"/>
      <c r="H760" s="247"/>
      <c r="I760" s="247"/>
      <c r="J760" s="247"/>
      <c r="K760" s="247"/>
      <c r="L760" s="247"/>
      <c r="M760" s="253"/>
      <c r="N760" s="253"/>
      <c r="O760" s="253"/>
      <c r="P760" s="253"/>
      <c r="Q760" s="253"/>
      <c r="R760" s="253"/>
      <c r="S760" s="253"/>
      <c r="T760" s="253"/>
      <c r="U760" s="253"/>
      <c r="V760" s="247"/>
      <c r="W760" s="247"/>
      <c r="X760" s="247"/>
      <c r="Y760" s="247"/>
      <c r="Z760" s="247"/>
    </row>
    <row r="761">
      <c r="A761" s="247"/>
      <c r="B761" s="247"/>
      <c r="C761" s="247"/>
      <c r="D761" s="247"/>
      <c r="E761" s="247"/>
      <c r="F761" s="247"/>
      <c r="G761" s="247"/>
      <c r="H761" s="247"/>
      <c r="I761" s="247"/>
      <c r="J761" s="247"/>
      <c r="K761" s="247"/>
      <c r="L761" s="247"/>
      <c r="M761" s="253"/>
      <c r="N761" s="253"/>
      <c r="O761" s="253"/>
      <c r="P761" s="253"/>
      <c r="Q761" s="253"/>
      <c r="R761" s="253"/>
      <c r="S761" s="253"/>
      <c r="T761" s="253"/>
      <c r="U761" s="253"/>
      <c r="V761" s="247"/>
      <c r="W761" s="247"/>
      <c r="X761" s="247"/>
      <c r="Y761" s="247"/>
      <c r="Z761" s="247"/>
    </row>
    <row r="762">
      <c r="A762" s="247"/>
      <c r="B762" s="247"/>
      <c r="C762" s="247"/>
      <c r="D762" s="247"/>
      <c r="E762" s="247"/>
      <c r="F762" s="247"/>
      <c r="G762" s="247"/>
      <c r="H762" s="247"/>
      <c r="I762" s="247"/>
      <c r="J762" s="247"/>
      <c r="K762" s="247"/>
      <c r="L762" s="247"/>
      <c r="M762" s="253"/>
      <c r="N762" s="253"/>
      <c r="O762" s="253"/>
      <c r="P762" s="253"/>
      <c r="Q762" s="253"/>
      <c r="R762" s="253"/>
      <c r="S762" s="253"/>
      <c r="T762" s="253"/>
      <c r="U762" s="253"/>
      <c r="V762" s="247"/>
      <c r="W762" s="247"/>
      <c r="X762" s="247"/>
      <c r="Y762" s="247"/>
      <c r="Z762" s="247"/>
    </row>
    <row r="763">
      <c r="A763" s="247"/>
      <c r="B763" s="247"/>
      <c r="C763" s="247"/>
      <c r="D763" s="247"/>
      <c r="E763" s="247"/>
      <c r="F763" s="247"/>
      <c r="G763" s="247"/>
      <c r="H763" s="247"/>
      <c r="I763" s="247"/>
      <c r="J763" s="247"/>
      <c r="K763" s="247"/>
      <c r="L763" s="247"/>
      <c r="M763" s="253"/>
      <c r="N763" s="253"/>
      <c r="O763" s="253"/>
      <c r="P763" s="253"/>
      <c r="Q763" s="253"/>
      <c r="R763" s="253"/>
      <c r="S763" s="253"/>
      <c r="T763" s="253"/>
      <c r="U763" s="253"/>
      <c r="V763" s="247"/>
      <c r="W763" s="247"/>
      <c r="X763" s="247"/>
      <c r="Y763" s="247"/>
      <c r="Z763" s="247"/>
    </row>
    <row r="764">
      <c r="A764" s="247"/>
      <c r="B764" s="247"/>
      <c r="C764" s="247"/>
      <c r="D764" s="247"/>
      <c r="E764" s="247"/>
      <c r="F764" s="247"/>
      <c r="G764" s="247"/>
      <c r="H764" s="247"/>
      <c r="I764" s="247"/>
      <c r="J764" s="247"/>
      <c r="K764" s="247"/>
      <c r="L764" s="247"/>
      <c r="M764" s="253"/>
      <c r="N764" s="253"/>
      <c r="O764" s="253"/>
      <c r="P764" s="253"/>
      <c r="Q764" s="253"/>
      <c r="R764" s="253"/>
      <c r="S764" s="253"/>
      <c r="T764" s="253"/>
      <c r="U764" s="253"/>
      <c r="V764" s="247"/>
      <c r="W764" s="247"/>
      <c r="X764" s="247"/>
      <c r="Y764" s="247"/>
      <c r="Z764" s="247"/>
    </row>
    <row r="765">
      <c r="A765" s="247"/>
      <c r="B765" s="247"/>
      <c r="C765" s="247"/>
      <c r="D765" s="247"/>
      <c r="E765" s="247"/>
      <c r="F765" s="247"/>
      <c r="G765" s="247"/>
      <c r="H765" s="247"/>
      <c r="I765" s="247"/>
      <c r="J765" s="247"/>
      <c r="K765" s="247"/>
      <c r="L765" s="247"/>
      <c r="M765" s="253"/>
      <c r="N765" s="253"/>
      <c r="O765" s="253"/>
      <c r="P765" s="253"/>
      <c r="Q765" s="253"/>
      <c r="R765" s="253"/>
      <c r="S765" s="253"/>
      <c r="T765" s="253"/>
      <c r="U765" s="253"/>
      <c r="V765" s="247"/>
      <c r="W765" s="247"/>
      <c r="X765" s="247"/>
      <c r="Y765" s="247"/>
      <c r="Z765" s="247"/>
    </row>
    <row r="766">
      <c r="A766" s="247"/>
      <c r="B766" s="247"/>
      <c r="C766" s="247"/>
      <c r="D766" s="247"/>
      <c r="E766" s="247"/>
      <c r="F766" s="247"/>
      <c r="G766" s="247"/>
      <c r="H766" s="247"/>
      <c r="I766" s="247"/>
      <c r="J766" s="247"/>
      <c r="K766" s="247"/>
      <c r="L766" s="247"/>
      <c r="M766" s="253"/>
      <c r="N766" s="253"/>
      <c r="O766" s="253"/>
      <c r="P766" s="253"/>
      <c r="Q766" s="253"/>
      <c r="R766" s="253"/>
      <c r="S766" s="253"/>
      <c r="T766" s="253"/>
      <c r="U766" s="253"/>
      <c r="V766" s="247"/>
      <c r="W766" s="247"/>
      <c r="X766" s="247"/>
      <c r="Y766" s="247"/>
      <c r="Z766" s="247"/>
    </row>
    <row r="767">
      <c r="A767" s="247"/>
      <c r="B767" s="247"/>
      <c r="C767" s="247"/>
      <c r="D767" s="247"/>
      <c r="E767" s="247"/>
      <c r="F767" s="247"/>
      <c r="G767" s="247"/>
      <c r="H767" s="247"/>
      <c r="I767" s="247"/>
      <c r="J767" s="247"/>
      <c r="K767" s="247"/>
      <c r="L767" s="247"/>
      <c r="M767" s="253"/>
      <c r="N767" s="253"/>
      <c r="O767" s="253"/>
      <c r="P767" s="253"/>
      <c r="Q767" s="253"/>
      <c r="R767" s="253"/>
      <c r="S767" s="253"/>
      <c r="T767" s="253"/>
      <c r="U767" s="253"/>
      <c r="V767" s="247"/>
      <c r="W767" s="247"/>
      <c r="X767" s="247"/>
      <c r="Y767" s="247"/>
      <c r="Z767" s="247"/>
    </row>
    <row r="768">
      <c r="A768" s="247"/>
      <c r="B768" s="247"/>
      <c r="C768" s="247"/>
      <c r="D768" s="247"/>
      <c r="E768" s="247"/>
      <c r="F768" s="247"/>
      <c r="G768" s="247"/>
      <c r="H768" s="247"/>
      <c r="I768" s="247"/>
      <c r="J768" s="247"/>
      <c r="K768" s="247"/>
      <c r="L768" s="247"/>
      <c r="M768" s="253"/>
      <c r="N768" s="253"/>
      <c r="O768" s="253"/>
      <c r="P768" s="253"/>
      <c r="Q768" s="253"/>
      <c r="R768" s="253"/>
      <c r="S768" s="253"/>
      <c r="T768" s="253"/>
      <c r="U768" s="253"/>
      <c r="V768" s="247"/>
      <c r="W768" s="247"/>
      <c r="X768" s="247"/>
      <c r="Y768" s="247"/>
      <c r="Z768" s="247"/>
    </row>
    <row r="769">
      <c r="A769" s="247"/>
      <c r="B769" s="247"/>
      <c r="C769" s="247"/>
      <c r="D769" s="247"/>
      <c r="E769" s="247"/>
      <c r="F769" s="247"/>
      <c r="G769" s="247"/>
      <c r="H769" s="247"/>
      <c r="I769" s="247"/>
      <c r="J769" s="247"/>
      <c r="K769" s="247"/>
      <c r="L769" s="247"/>
      <c r="M769" s="253"/>
      <c r="N769" s="253"/>
      <c r="O769" s="253"/>
      <c r="P769" s="253"/>
      <c r="Q769" s="253"/>
      <c r="R769" s="253"/>
      <c r="S769" s="253"/>
      <c r="T769" s="253"/>
      <c r="U769" s="253"/>
      <c r="V769" s="247"/>
      <c r="W769" s="247"/>
      <c r="X769" s="247"/>
      <c r="Y769" s="247"/>
      <c r="Z769" s="247"/>
    </row>
    <row r="770">
      <c r="A770" s="247"/>
      <c r="B770" s="247"/>
      <c r="C770" s="247"/>
      <c r="D770" s="247"/>
      <c r="E770" s="247"/>
      <c r="F770" s="247"/>
      <c r="G770" s="247"/>
      <c r="H770" s="247"/>
      <c r="I770" s="247"/>
      <c r="J770" s="247"/>
      <c r="K770" s="247"/>
      <c r="L770" s="247"/>
      <c r="M770" s="253"/>
      <c r="N770" s="253"/>
      <c r="O770" s="253"/>
      <c r="P770" s="253"/>
      <c r="Q770" s="253"/>
      <c r="R770" s="253"/>
      <c r="S770" s="253"/>
      <c r="T770" s="253"/>
      <c r="U770" s="253"/>
      <c r="V770" s="247"/>
      <c r="W770" s="247"/>
      <c r="X770" s="247"/>
      <c r="Y770" s="247"/>
      <c r="Z770" s="247"/>
    </row>
    <row r="771">
      <c r="A771" s="247"/>
      <c r="B771" s="247"/>
      <c r="C771" s="247"/>
      <c r="D771" s="247"/>
      <c r="E771" s="247"/>
      <c r="F771" s="247"/>
      <c r="G771" s="247"/>
      <c r="H771" s="247"/>
      <c r="I771" s="247"/>
      <c r="J771" s="247"/>
      <c r="K771" s="247"/>
      <c r="L771" s="247"/>
      <c r="M771" s="253"/>
      <c r="N771" s="253"/>
      <c r="O771" s="253"/>
      <c r="P771" s="253"/>
      <c r="Q771" s="253"/>
      <c r="R771" s="253"/>
      <c r="S771" s="253"/>
      <c r="T771" s="253"/>
      <c r="U771" s="253"/>
      <c r="V771" s="247"/>
      <c r="W771" s="247"/>
      <c r="X771" s="247"/>
      <c r="Y771" s="247"/>
      <c r="Z771" s="247"/>
    </row>
    <row r="772">
      <c r="A772" s="247"/>
      <c r="B772" s="247"/>
      <c r="C772" s="247"/>
      <c r="D772" s="247"/>
      <c r="E772" s="247"/>
      <c r="F772" s="247"/>
      <c r="G772" s="247"/>
      <c r="H772" s="247"/>
      <c r="I772" s="247"/>
      <c r="J772" s="247"/>
      <c r="K772" s="247"/>
      <c r="L772" s="247"/>
      <c r="M772" s="253"/>
      <c r="N772" s="253"/>
      <c r="O772" s="253"/>
      <c r="P772" s="253"/>
      <c r="Q772" s="253"/>
      <c r="R772" s="253"/>
      <c r="S772" s="253"/>
      <c r="T772" s="253"/>
      <c r="U772" s="253"/>
      <c r="V772" s="247"/>
      <c r="W772" s="247"/>
      <c r="X772" s="247"/>
      <c r="Y772" s="247"/>
      <c r="Z772" s="247"/>
    </row>
    <row r="773">
      <c r="A773" s="247"/>
      <c r="B773" s="247"/>
      <c r="C773" s="247"/>
      <c r="D773" s="247"/>
      <c r="E773" s="247"/>
      <c r="F773" s="247"/>
      <c r="G773" s="247"/>
      <c r="H773" s="247"/>
      <c r="I773" s="247"/>
      <c r="J773" s="247"/>
      <c r="K773" s="247"/>
      <c r="L773" s="247"/>
      <c r="M773" s="253"/>
      <c r="N773" s="253"/>
      <c r="O773" s="253"/>
      <c r="P773" s="253"/>
      <c r="Q773" s="253"/>
      <c r="R773" s="253"/>
      <c r="S773" s="253"/>
      <c r="T773" s="253"/>
      <c r="U773" s="253"/>
      <c r="V773" s="247"/>
      <c r="W773" s="247"/>
      <c r="X773" s="247"/>
      <c r="Y773" s="247"/>
      <c r="Z773" s="247"/>
    </row>
    <row r="774">
      <c r="A774" s="247"/>
      <c r="B774" s="247"/>
      <c r="C774" s="247"/>
      <c r="D774" s="247"/>
      <c r="E774" s="247"/>
      <c r="F774" s="247"/>
      <c r="G774" s="247"/>
      <c r="H774" s="247"/>
      <c r="I774" s="247"/>
      <c r="J774" s="247"/>
      <c r="K774" s="247"/>
      <c r="L774" s="247"/>
      <c r="M774" s="253"/>
      <c r="N774" s="253"/>
      <c r="O774" s="253"/>
      <c r="P774" s="253"/>
      <c r="Q774" s="253"/>
      <c r="R774" s="253"/>
      <c r="S774" s="253"/>
      <c r="T774" s="253"/>
      <c r="U774" s="253"/>
      <c r="V774" s="247"/>
      <c r="W774" s="247"/>
      <c r="X774" s="247"/>
      <c r="Y774" s="247"/>
      <c r="Z774" s="247"/>
    </row>
    <row r="775">
      <c r="A775" s="247"/>
      <c r="B775" s="247"/>
      <c r="C775" s="247"/>
      <c r="D775" s="247"/>
      <c r="E775" s="247"/>
      <c r="F775" s="247"/>
      <c r="G775" s="247"/>
      <c r="H775" s="247"/>
      <c r="I775" s="247"/>
      <c r="J775" s="247"/>
      <c r="K775" s="247"/>
      <c r="L775" s="247"/>
      <c r="M775" s="253"/>
      <c r="N775" s="253"/>
      <c r="O775" s="253"/>
      <c r="P775" s="253"/>
      <c r="Q775" s="253"/>
      <c r="R775" s="253"/>
      <c r="S775" s="253"/>
      <c r="T775" s="253"/>
      <c r="U775" s="253"/>
      <c r="V775" s="247"/>
      <c r="W775" s="247"/>
      <c r="X775" s="247"/>
      <c r="Y775" s="247"/>
      <c r="Z775" s="247"/>
    </row>
    <row r="776">
      <c r="A776" s="247"/>
      <c r="B776" s="247"/>
      <c r="C776" s="247"/>
      <c r="D776" s="247"/>
      <c r="E776" s="247"/>
      <c r="F776" s="247"/>
      <c r="G776" s="247"/>
      <c r="H776" s="247"/>
      <c r="I776" s="247"/>
      <c r="J776" s="247"/>
      <c r="K776" s="247"/>
      <c r="L776" s="247"/>
      <c r="M776" s="253"/>
      <c r="N776" s="253"/>
      <c r="O776" s="253"/>
      <c r="P776" s="253"/>
      <c r="Q776" s="253"/>
      <c r="R776" s="253"/>
      <c r="S776" s="253"/>
      <c r="T776" s="253"/>
      <c r="U776" s="253"/>
      <c r="V776" s="247"/>
      <c r="W776" s="247"/>
      <c r="X776" s="247"/>
      <c r="Y776" s="247"/>
      <c r="Z776" s="247"/>
    </row>
    <row r="777">
      <c r="A777" s="247"/>
      <c r="B777" s="247"/>
      <c r="C777" s="247"/>
      <c r="D777" s="247"/>
      <c r="E777" s="247"/>
      <c r="F777" s="247"/>
      <c r="G777" s="247"/>
      <c r="H777" s="247"/>
      <c r="I777" s="247"/>
      <c r="J777" s="247"/>
      <c r="K777" s="247"/>
      <c r="L777" s="247"/>
      <c r="M777" s="253"/>
      <c r="N777" s="253"/>
      <c r="O777" s="253"/>
      <c r="P777" s="253"/>
      <c r="Q777" s="253"/>
      <c r="R777" s="253"/>
      <c r="S777" s="253"/>
      <c r="T777" s="253"/>
      <c r="U777" s="253"/>
      <c r="V777" s="247"/>
      <c r="W777" s="247"/>
      <c r="X777" s="247"/>
      <c r="Y777" s="247"/>
      <c r="Z777" s="247"/>
    </row>
    <row r="778">
      <c r="A778" s="247"/>
      <c r="B778" s="247"/>
      <c r="C778" s="247"/>
      <c r="D778" s="247"/>
      <c r="E778" s="247"/>
      <c r="F778" s="247"/>
      <c r="G778" s="247"/>
      <c r="H778" s="247"/>
      <c r="I778" s="247"/>
      <c r="J778" s="247"/>
      <c r="K778" s="247"/>
      <c r="L778" s="247"/>
      <c r="M778" s="253"/>
      <c r="N778" s="253"/>
      <c r="O778" s="253"/>
      <c r="P778" s="253"/>
      <c r="Q778" s="253"/>
      <c r="R778" s="253"/>
      <c r="S778" s="253"/>
      <c r="T778" s="253"/>
      <c r="U778" s="253"/>
      <c r="V778" s="247"/>
      <c r="W778" s="247"/>
      <c r="X778" s="247"/>
      <c r="Y778" s="247"/>
      <c r="Z778" s="247"/>
    </row>
    <row r="779">
      <c r="A779" s="247"/>
      <c r="B779" s="247"/>
      <c r="C779" s="247"/>
      <c r="D779" s="247"/>
      <c r="E779" s="247"/>
      <c r="F779" s="247"/>
      <c r="G779" s="247"/>
      <c r="H779" s="247"/>
      <c r="I779" s="247"/>
      <c r="J779" s="247"/>
      <c r="K779" s="247"/>
      <c r="L779" s="247"/>
      <c r="M779" s="253"/>
      <c r="N779" s="253"/>
      <c r="O779" s="253"/>
      <c r="P779" s="253"/>
      <c r="Q779" s="253"/>
      <c r="R779" s="253"/>
      <c r="S779" s="253"/>
      <c r="T779" s="253"/>
      <c r="U779" s="253"/>
      <c r="V779" s="247"/>
      <c r="W779" s="247"/>
      <c r="X779" s="247"/>
      <c r="Y779" s="247"/>
      <c r="Z779" s="247"/>
    </row>
    <row r="780">
      <c r="A780" s="247"/>
      <c r="B780" s="247"/>
      <c r="C780" s="247"/>
      <c r="D780" s="247"/>
      <c r="E780" s="247"/>
      <c r="F780" s="247"/>
      <c r="G780" s="247"/>
      <c r="H780" s="247"/>
      <c r="I780" s="247"/>
      <c r="J780" s="247"/>
      <c r="K780" s="247"/>
      <c r="L780" s="247"/>
      <c r="M780" s="253"/>
      <c r="N780" s="253"/>
      <c r="O780" s="253"/>
      <c r="P780" s="253"/>
      <c r="Q780" s="253"/>
      <c r="R780" s="253"/>
      <c r="S780" s="253"/>
      <c r="T780" s="253"/>
      <c r="U780" s="253"/>
      <c r="V780" s="247"/>
      <c r="W780" s="247"/>
      <c r="X780" s="247"/>
      <c r="Y780" s="247"/>
      <c r="Z780" s="247"/>
    </row>
    <row r="781">
      <c r="A781" s="247"/>
      <c r="B781" s="247"/>
      <c r="C781" s="247"/>
      <c r="D781" s="247"/>
      <c r="E781" s="247"/>
      <c r="F781" s="247"/>
      <c r="G781" s="247"/>
      <c r="H781" s="247"/>
      <c r="I781" s="247"/>
      <c r="J781" s="247"/>
      <c r="K781" s="247"/>
      <c r="L781" s="247"/>
      <c r="M781" s="253"/>
      <c r="N781" s="253"/>
      <c r="O781" s="253"/>
      <c r="P781" s="253"/>
      <c r="Q781" s="253"/>
      <c r="R781" s="253"/>
      <c r="S781" s="253"/>
      <c r="T781" s="253"/>
      <c r="U781" s="253"/>
      <c r="V781" s="247"/>
      <c r="W781" s="247"/>
      <c r="X781" s="247"/>
      <c r="Y781" s="247"/>
      <c r="Z781" s="247"/>
    </row>
    <row r="782">
      <c r="A782" s="247"/>
      <c r="B782" s="247"/>
      <c r="C782" s="247"/>
      <c r="D782" s="247"/>
      <c r="E782" s="247"/>
      <c r="F782" s="247"/>
      <c r="G782" s="247"/>
      <c r="H782" s="247"/>
      <c r="I782" s="247"/>
      <c r="J782" s="247"/>
      <c r="K782" s="247"/>
      <c r="L782" s="247"/>
      <c r="M782" s="253"/>
      <c r="N782" s="253"/>
      <c r="O782" s="253"/>
      <c r="P782" s="253"/>
      <c r="Q782" s="253"/>
      <c r="R782" s="253"/>
      <c r="S782" s="253"/>
      <c r="T782" s="253"/>
      <c r="U782" s="253"/>
      <c r="V782" s="247"/>
      <c r="W782" s="247"/>
      <c r="X782" s="247"/>
      <c r="Y782" s="247"/>
      <c r="Z782" s="247"/>
    </row>
    <row r="783">
      <c r="A783" s="247"/>
      <c r="B783" s="247"/>
      <c r="C783" s="247"/>
      <c r="D783" s="247"/>
      <c r="E783" s="247"/>
      <c r="F783" s="247"/>
      <c r="G783" s="247"/>
      <c r="H783" s="247"/>
      <c r="I783" s="247"/>
      <c r="J783" s="247"/>
      <c r="K783" s="247"/>
      <c r="L783" s="247"/>
      <c r="M783" s="253"/>
      <c r="N783" s="253"/>
      <c r="O783" s="253"/>
      <c r="P783" s="253"/>
      <c r="Q783" s="253"/>
      <c r="R783" s="253"/>
      <c r="S783" s="253"/>
      <c r="T783" s="253"/>
      <c r="U783" s="253"/>
      <c r="V783" s="247"/>
      <c r="W783" s="247"/>
      <c r="X783" s="247"/>
      <c r="Y783" s="247"/>
      <c r="Z783" s="247"/>
    </row>
    <row r="784">
      <c r="A784" s="247"/>
      <c r="B784" s="247"/>
      <c r="C784" s="247"/>
      <c r="D784" s="247"/>
      <c r="E784" s="247"/>
      <c r="F784" s="247"/>
      <c r="G784" s="247"/>
      <c r="H784" s="247"/>
      <c r="I784" s="247"/>
      <c r="J784" s="247"/>
      <c r="K784" s="247"/>
      <c r="L784" s="247"/>
      <c r="M784" s="253"/>
      <c r="N784" s="253"/>
      <c r="O784" s="253"/>
      <c r="P784" s="253"/>
      <c r="Q784" s="253"/>
      <c r="R784" s="253"/>
      <c r="S784" s="253"/>
      <c r="T784" s="253"/>
      <c r="U784" s="253"/>
      <c r="V784" s="247"/>
      <c r="W784" s="247"/>
      <c r="X784" s="247"/>
      <c r="Y784" s="247"/>
      <c r="Z784" s="247"/>
    </row>
    <row r="785">
      <c r="A785" s="247"/>
      <c r="B785" s="247"/>
      <c r="C785" s="247"/>
      <c r="D785" s="247"/>
      <c r="E785" s="247"/>
      <c r="F785" s="247"/>
      <c r="G785" s="247"/>
      <c r="H785" s="247"/>
      <c r="I785" s="247"/>
      <c r="J785" s="247"/>
      <c r="K785" s="247"/>
      <c r="L785" s="247"/>
      <c r="M785" s="253"/>
      <c r="N785" s="253"/>
      <c r="O785" s="253"/>
      <c r="P785" s="253"/>
      <c r="Q785" s="253"/>
      <c r="R785" s="253"/>
      <c r="S785" s="253"/>
      <c r="T785" s="253"/>
      <c r="U785" s="253"/>
      <c r="V785" s="247"/>
      <c r="W785" s="247"/>
      <c r="X785" s="247"/>
      <c r="Y785" s="247"/>
      <c r="Z785" s="247"/>
    </row>
    <row r="786">
      <c r="A786" s="247"/>
      <c r="B786" s="247"/>
      <c r="C786" s="247"/>
      <c r="D786" s="247"/>
      <c r="E786" s="247"/>
      <c r="F786" s="247"/>
      <c r="G786" s="247"/>
      <c r="H786" s="247"/>
      <c r="I786" s="247"/>
      <c r="J786" s="247"/>
      <c r="K786" s="247"/>
      <c r="L786" s="247"/>
      <c r="M786" s="253"/>
      <c r="N786" s="253"/>
      <c r="O786" s="253"/>
      <c r="P786" s="253"/>
      <c r="Q786" s="253"/>
      <c r="R786" s="253"/>
      <c r="S786" s="253"/>
      <c r="T786" s="253"/>
      <c r="U786" s="253"/>
      <c r="V786" s="247"/>
      <c r="W786" s="247"/>
      <c r="X786" s="247"/>
      <c r="Y786" s="247"/>
      <c r="Z786" s="247"/>
    </row>
    <row r="787">
      <c r="A787" s="247"/>
      <c r="B787" s="247"/>
      <c r="C787" s="247"/>
      <c r="D787" s="247"/>
      <c r="E787" s="247"/>
      <c r="F787" s="247"/>
      <c r="G787" s="247"/>
      <c r="H787" s="247"/>
      <c r="I787" s="247"/>
      <c r="J787" s="247"/>
      <c r="K787" s="247"/>
      <c r="L787" s="247"/>
      <c r="M787" s="253"/>
      <c r="N787" s="253"/>
      <c r="O787" s="253"/>
      <c r="P787" s="253"/>
      <c r="Q787" s="253"/>
      <c r="R787" s="253"/>
      <c r="S787" s="253"/>
      <c r="T787" s="253"/>
      <c r="U787" s="253"/>
      <c r="V787" s="247"/>
      <c r="W787" s="247"/>
      <c r="X787" s="247"/>
      <c r="Y787" s="247"/>
      <c r="Z787" s="247"/>
    </row>
    <row r="788">
      <c r="A788" s="247"/>
      <c r="B788" s="247"/>
      <c r="C788" s="247"/>
      <c r="D788" s="247"/>
      <c r="E788" s="247"/>
      <c r="F788" s="247"/>
      <c r="G788" s="247"/>
      <c r="H788" s="247"/>
      <c r="I788" s="247"/>
      <c r="J788" s="247"/>
      <c r="K788" s="247"/>
      <c r="L788" s="247"/>
      <c r="M788" s="253"/>
      <c r="N788" s="253"/>
      <c r="O788" s="253"/>
      <c r="P788" s="253"/>
      <c r="Q788" s="253"/>
      <c r="R788" s="253"/>
      <c r="S788" s="253"/>
      <c r="T788" s="253"/>
      <c r="U788" s="253"/>
      <c r="V788" s="247"/>
      <c r="W788" s="247"/>
      <c r="X788" s="247"/>
      <c r="Y788" s="247"/>
      <c r="Z788" s="247"/>
    </row>
    <row r="789">
      <c r="A789" s="247"/>
      <c r="B789" s="247"/>
      <c r="C789" s="247"/>
      <c r="D789" s="247"/>
      <c r="E789" s="247"/>
      <c r="F789" s="247"/>
      <c r="G789" s="247"/>
      <c r="H789" s="247"/>
      <c r="I789" s="247"/>
      <c r="J789" s="247"/>
      <c r="K789" s="247"/>
      <c r="L789" s="247"/>
      <c r="M789" s="253"/>
      <c r="N789" s="253"/>
      <c r="O789" s="253"/>
      <c r="P789" s="253"/>
      <c r="Q789" s="253"/>
      <c r="R789" s="253"/>
      <c r="S789" s="253"/>
      <c r="T789" s="253"/>
      <c r="U789" s="253"/>
      <c r="V789" s="247"/>
      <c r="W789" s="247"/>
      <c r="X789" s="247"/>
      <c r="Y789" s="247"/>
      <c r="Z789" s="247"/>
    </row>
    <row r="790">
      <c r="A790" s="247"/>
      <c r="B790" s="247"/>
      <c r="C790" s="247"/>
      <c r="D790" s="247"/>
      <c r="E790" s="247"/>
      <c r="F790" s="247"/>
      <c r="G790" s="247"/>
      <c r="H790" s="247"/>
      <c r="I790" s="247"/>
      <c r="J790" s="247"/>
      <c r="K790" s="247"/>
      <c r="L790" s="247"/>
      <c r="M790" s="253"/>
      <c r="N790" s="253"/>
      <c r="O790" s="253"/>
      <c r="P790" s="253"/>
      <c r="Q790" s="253"/>
      <c r="R790" s="253"/>
      <c r="S790" s="253"/>
      <c r="T790" s="253"/>
      <c r="U790" s="253"/>
      <c r="V790" s="247"/>
      <c r="W790" s="247"/>
      <c r="X790" s="247"/>
      <c r="Y790" s="247"/>
      <c r="Z790" s="247"/>
    </row>
    <row r="791">
      <c r="A791" s="247"/>
      <c r="B791" s="247"/>
      <c r="C791" s="247"/>
      <c r="D791" s="247"/>
      <c r="E791" s="247"/>
      <c r="F791" s="247"/>
      <c r="G791" s="247"/>
      <c r="H791" s="247"/>
      <c r="I791" s="247"/>
      <c r="J791" s="247"/>
      <c r="K791" s="247"/>
      <c r="L791" s="247"/>
      <c r="M791" s="253"/>
      <c r="N791" s="253"/>
      <c r="O791" s="253"/>
      <c r="P791" s="253"/>
      <c r="Q791" s="253"/>
      <c r="R791" s="253"/>
      <c r="S791" s="253"/>
      <c r="T791" s="253"/>
      <c r="U791" s="253"/>
      <c r="V791" s="247"/>
      <c r="W791" s="247"/>
      <c r="X791" s="247"/>
      <c r="Y791" s="247"/>
      <c r="Z791" s="247"/>
    </row>
    <row r="792">
      <c r="A792" s="247"/>
      <c r="B792" s="247"/>
      <c r="C792" s="247"/>
      <c r="D792" s="247"/>
      <c r="E792" s="247"/>
      <c r="F792" s="247"/>
      <c r="G792" s="247"/>
      <c r="H792" s="247"/>
      <c r="I792" s="247"/>
      <c r="J792" s="247"/>
      <c r="K792" s="247"/>
      <c r="L792" s="247"/>
      <c r="M792" s="253"/>
      <c r="N792" s="253"/>
      <c r="O792" s="253"/>
      <c r="P792" s="253"/>
      <c r="Q792" s="253"/>
      <c r="R792" s="253"/>
      <c r="S792" s="253"/>
      <c r="T792" s="253"/>
      <c r="U792" s="253"/>
      <c r="V792" s="247"/>
      <c r="W792" s="247"/>
      <c r="X792" s="247"/>
      <c r="Y792" s="247"/>
      <c r="Z792" s="247"/>
    </row>
    <row r="793">
      <c r="A793" s="247"/>
      <c r="B793" s="247"/>
      <c r="C793" s="247"/>
      <c r="D793" s="247"/>
      <c r="E793" s="247"/>
      <c r="F793" s="247"/>
      <c r="G793" s="247"/>
      <c r="H793" s="247"/>
      <c r="I793" s="247"/>
      <c r="J793" s="247"/>
      <c r="K793" s="247"/>
      <c r="L793" s="247"/>
      <c r="M793" s="253"/>
      <c r="N793" s="253"/>
      <c r="O793" s="253"/>
      <c r="P793" s="253"/>
      <c r="Q793" s="253"/>
      <c r="R793" s="253"/>
      <c r="S793" s="253"/>
      <c r="T793" s="253"/>
      <c r="U793" s="253"/>
      <c r="V793" s="247"/>
      <c r="W793" s="247"/>
      <c r="X793" s="247"/>
      <c r="Y793" s="247"/>
      <c r="Z793" s="247"/>
    </row>
    <row r="794">
      <c r="A794" s="247"/>
      <c r="B794" s="247"/>
      <c r="C794" s="247"/>
      <c r="D794" s="247"/>
      <c r="E794" s="247"/>
      <c r="F794" s="247"/>
      <c r="G794" s="247"/>
      <c r="H794" s="247"/>
      <c r="I794" s="247"/>
      <c r="J794" s="247"/>
      <c r="K794" s="247"/>
      <c r="L794" s="247"/>
      <c r="M794" s="253"/>
      <c r="N794" s="253"/>
      <c r="O794" s="253"/>
      <c r="P794" s="253"/>
      <c r="Q794" s="253"/>
      <c r="R794" s="253"/>
      <c r="S794" s="253"/>
      <c r="T794" s="253"/>
      <c r="U794" s="253"/>
      <c r="V794" s="247"/>
      <c r="W794" s="247"/>
      <c r="X794" s="247"/>
      <c r="Y794" s="247"/>
      <c r="Z794" s="247"/>
    </row>
    <row r="795">
      <c r="A795" s="247"/>
      <c r="B795" s="247"/>
      <c r="C795" s="247"/>
      <c r="D795" s="247"/>
      <c r="E795" s="247"/>
      <c r="F795" s="247"/>
      <c r="G795" s="247"/>
      <c r="H795" s="247"/>
      <c r="I795" s="247"/>
      <c r="J795" s="247"/>
      <c r="K795" s="247"/>
      <c r="L795" s="247"/>
      <c r="M795" s="253"/>
      <c r="N795" s="253"/>
      <c r="O795" s="253"/>
      <c r="P795" s="253"/>
      <c r="Q795" s="253"/>
      <c r="R795" s="253"/>
      <c r="S795" s="253"/>
      <c r="T795" s="253"/>
      <c r="U795" s="253"/>
      <c r="V795" s="247"/>
      <c r="W795" s="247"/>
      <c r="X795" s="247"/>
      <c r="Y795" s="247"/>
      <c r="Z795" s="247"/>
    </row>
    <row r="796">
      <c r="A796" s="247"/>
      <c r="B796" s="247"/>
      <c r="C796" s="247"/>
      <c r="D796" s="247"/>
      <c r="E796" s="247"/>
      <c r="F796" s="247"/>
      <c r="G796" s="247"/>
      <c r="H796" s="247"/>
      <c r="I796" s="247"/>
      <c r="J796" s="247"/>
      <c r="K796" s="247"/>
      <c r="L796" s="247"/>
      <c r="M796" s="253"/>
      <c r="N796" s="253"/>
      <c r="O796" s="253"/>
      <c r="P796" s="253"/>
      <c r="Q796" s="253"/>
      <c r="R796" s="253"/>
      <c r="S796" s="253"/>
      <c r="T796" s="253"/>
      <c r="U796" s="253"/>
      <c r="V796" s="247"/>
      <c r="W796" s="247"/>
      <c r="X796" s="247"/>
      <c r="Y796" s="247"/>
      <c r="Z796" s="247"/>
    </row>
    <row r="797">
      <c r="A797" s="247"/>
      <c r="B797" s="247"/>
      <c r="C797" s="247"/>
      <c r="D797" s="247"/>
      <c r="E797" s="247"/>
      <c r="F797" s="247"/>
      <c r="G797" s="247"/>
      <c r="H797" s="247"/>
      <c r="I797" s="247"/>
      <c r="J797" s="247"/>
      <c r="K797" s="247"/>
      <c r="L797" s="247"/>
      <c r="M797" s="253"/>
      <c r="N797" s="253"/>
      <c r="O797" s="253"/>
      <c r="P797" s="253"/>
      <c r="Q797" s="253"/>
      <c r="R797" s="253"/>
      <c r="S797" s="253"/>
      <c r="T797" s="253"/>
      <c r="U797" s="253"/>
      <c r="V797" s="247"/>
      <c r="W797" s="247"/>
      <c r="X797" s="247"/>
      <c r="Y797" s="247"/>
      <c r="Z797" s="247"/>
    </row>
    <row r="798">
      <c r="A798" s="247"/>
      <c r="B798" s="247"/>
      <c r="C798" s="247"/>
      <c r="D798" s="247"/>
      <c r="E798" s="247"/>
      <c r="F798" s="247"/>
      <c r="G798" s="247"/>
      <c r="H798" s="247"/>
      <c r="I798" s="247"/>
      <c r="J798" s="247"/>
      <c r="K798" s="247"/>
      <c r="L798" s="247"/>
      <c r="M798" s="253"/>
      <c r="N798" s="253"/>
      <c r="O798" s="253"/>
      <c r="P798" s="253"/>
      <c r="Q798" s="253"/>
      <c r="R798" s="253"/>
      <c r="S798" s="253"/>
      <c r="T798" s="253"/>
      <c r="U798" s="253"/>
      <c r="V798" s="247"/>
      <c r="W798" s="247"/>
      <c r="X798" s="247"/>
      <c r="Y798" s="247"/>
      <c r="Z798" s="247"/>
    </row>
    <row r="799">
      <c r="A799" s="247"/>
      <c r="B799" s="247"/>
      <c r="C799" s="247"/>
      <c r="D799" s="247"/>
      <c r="E799" s="247"/>
      <c r="F799" s="247"/>
      <c r="G799" s="247"/>
      <c r="H799" s="247"/>
      <c r="I799" s="247"/>
      <c r="J799" s="247"/>
      <c r="K799" s="247"/>
      <c r="L799" s="247"/>
      <c r="M799" s="253"/>
      <c r="N799" s="253"/>
      <c r="O799" s="253"/>
      <c r="P799" s="253"/>
      <c r="Q799" s="253"/>
      <c r="R799" s="253"/>
      <c r="S799" s="253"/>
      <c r="T799" s="253"/>
      <c r="U799" s="253"/>
      <c r="V799" s="247"/>
      <c r="W799" s="247"/>
      <c r="X799" s="247"/>
      <c r="Y799" s="247"/>
      <c r="Z799" s="247"/>
    </row>
    <row r="800">
      <c r="A800" s="247"/>
      <c r="B800" s="247"/>
      <c r="C800" s="247"/>
      <c r="D800" s="247"/>
      <c r="E800" s="247"/>
      <c r="F800" s="247"/>
      <c r="G800" s="247"/>
      <c r="H800" s="247"/>
      <c r="I800" s="247"/>
      <c r="J800" s="247"/>
      <c r="K800" s="247"/>
      <c r="L800" s="247"/>
      <c r="M800" s="253"/>
      <c r="N800" s="253"/>
      <c r="O800" s="253"/>
      <c r="P800" s="253"/>
      <c r="Q800" s="253"/>
      <c r="R800" s="253"/>
      <c r="S800" s="253"/>
      <c r="T800" s="253"/>
      <c r="U800" s="253"/>
      <c r="V800" s="247"/>
      <c r="W800" s="247"/>
      <c r="X800" s="247"/>
      <c r="Y800" s="247"/>
      <c r="Z800" s="247"/>
    </row>
    <row r="801">
      <c r="A801" s="247"/>
      <c r="B801" s="247"/>
      <c r="C801" s="247"/>
      <c r="D801" s="247"/>
      <c r="E801" s="247"/>
      <c r="F801" s="247"/>
      <c r="G801" s="247"/>
      <c r="H801" s="247"/>
      <c r="I801" s="247"/>
      <c r="J801" s="247"/>
      <c r="K801" s="247"/>
      <c r="L801" s="247"/>
      <c r="M801" s="253"/>
      <c r="N801" s="253"/>
      <c r="O801" s="253"/>
      <c r="P801" s="253"/>
      <c r="Q801" s="253"/>
      <c r="R801" s="253"/>
      <c r="S801" s="253"/>
      <c r="T801" s="253"/>
      <c r="U801" s="253"/>
      <c r="V801" s="247"/>
      <c r="W801" s="247"/>
      <c r="X801" s="247"/>
      <c r="Y801" s="247"/>
      <c r="Z801" s="247"/>
    </row>
    <row r="802">
      <c r="A802" s="247"/>
      <c r="B802" s="247"/>
      <c r="C802" s="247"/>
      <c r="D802" s="247"/>
      <c r="E802" s="247"/>
      <c r="F802" s="247"/>
      <c r="G802" s="247"/>
      <c r="H802" s="247"/>
      <c r="I802" s="247"/>
      <c r="J802" s="247"/>
      <c r="K802" s="247"/>
      <c r="L802" s="247"/>
      <c r="M802" s="253"/>
      <c r="N802" s="253"/>
      <c r="O802" s="253"/>
      <c r="P802" s="253"/>
      <c r="Q802" s="253"/>
      <c r="R802" s="253"/>
      <c r="S802" s="253"/>
      <c r="T802" s="253"/>
      <c r="U802" s="253"/>
      <c r="V802" s="247"/>
      <c r="W802" s="247"/>
      <c r="X802" s="247"/>
      <c r="Y802" s="247"/>
      <c r="Z802" s="247"/>
    </row>
    <row r="803">
      <c r="A803" s="247"/>
      <c r="B803" s="247"/>
      <c r="C803" s="247"/>
      <c r="D803" s="247"/>
      <c r="E803" s="247"/>
      <c r="F803" s="247"/>
      <c r="G803" s="247"/>
      <c r="H803" s="247"/>
      <c r="I803" s="247"/>
      <c r="J803" s="247"/>
      <c r="K803" s="247"/>
      <c r="L803" s="247"/>
      <c r="M803" s="253"/>
      <c r="N803" s="253"/>
      <c r="O803" s="253"/>
      <c r="P803" s="253"/>
      <c r="Q803" s="253"/>
      <c r="R803" s="253"/>
      <c r="S803" s="253"/>
      <c r="T803" s="253"/>
      <c r="U803" s="253"/>
      <c r="V803" s="247"/>
      <c r="W803" s="247"/>
      <c r="X803" s="247"/>
      <c r="Y803" s="247"/>
      <c r="Z803" s="247"/>
    </row>
    <row r="804">
      <c r="A804" s="247"/>
      <c r="B804" s="247"/>
      <c r="C804" s="247"/>
      <c r="D804" s="247"/>
      <c r="E804" s="247"/>
      <c r="F804" s="247"/>
      <c r="G804" s="247"/>
      <c r="H804" s="247"/>
      <c r="I804" s="247"/>
      <c r="J804" s="247"/>
      <c r="K804" s="247"/>
      <c r="L804" s="247"/>
      <c r="M804" s="253"/>
      <c r="N804" s="253"/>
      <c r="O804" s="253"/>
      <c r="P804" s="253"/>
      <c r="Q804" s="253"/>
      <c r="R804" s="253"/>
      <c r="S804" s="253"/>
      <c r="T804" s="253"/>
      <c r="U804" s="253"/>
      <c r="V804" s="247"/>
      <c r="W804" s="247"/>
      <c r="X804" s="247"/>
      <c r="Y804" s="247"/>
      <c r="Z804" s="247"/>
    </row>
    <row r="805">
      <c r="A805" s="247"/>
      <c r="B805" s="247"/>
      <c r="C805" s="247"/>
      <c r="D805" s="247"/>
      <c r="E805" s="247"/>
      <c r="F805" s="247"/>
      <c r="G805" s="247"/>
      <c r="H805" s="247"/>
      <c r="I805" s="247"/>
      <c r="J805" s="247"/>
      <c r="K805" s="247"/>
      <c r="L805" s="247"/>
      <c r="M805" s="253"/>
      <c r="N805" s="253"/>
      <c r="O805" s="253"/>
      <c r="P805" s="253"/>
      <c r="Q805" s="253"/>
      <c r="R805" s="253"/>
      <c r="S805" s="253"/>
      <c r="T805" s="253"/>
      <c r="U805" s="253"/>
      <c r="V805" s="247"/>
      <c r="W805" s="247"/>
      <c r="X805" s="247"/>
      <c r="Y805" s="247"/>
      <c r="Z805" s="247"/>
    </row>
    <row r="806">
      <c r="A806" s="247"/>
      <c r="B806" s="247"/>
      <c r="C806" s="247"/>
      <c r="D806" s="247"/>
      <c r="E806" s="247"/>
      <c r="F806" s="247"/>
      <c r="G806" s="247"/>
      <c r="H806" s="247"/>
      <c r="I806" s="247"/>
      <c r="J806" s="247"/>
      <c r="K806" s="247"/>
      <c r="L806" s="247"/>
      <c r="M806" s="253"/>
      <c r="N806" s="253"/>
      <c r="O806" s="253"/>
      <c r="P806" s="253"/>
      <c r="Q806" s="253"/>
      <c r="R806" s="253"/>
      <c r="S806" s="253"/>
      <c r="T806" s="253"/>
      <c r="U806" s="253"/>
      <c r="V806" s="247"/>
      <c r="W806" s="247"/>
      <c r="X806" s="247"/>
      <c r="Y806" s="247"/>
      <c r="Z806" s="247"/>
    </row>
    <row r="807">
      <c r="A807" s="247"/>
      <c r="B807" s="247"/>
      <c r="C807" s="247"/>
      <c r="D807" s="247"/>
      <c r="E807" s="247"/>
      <c r="F807" s="247"/>
      <c r="G807" s="247"/>
      <c r="H807" s="247"/>
      <c r="I807" s="247"/>
      <c r="J807" s="247"/>
      <c r="K807" s="247"/>
      <c r="L807" s="247"/>
      <c r="M807" s="253"/>
      <c r="N807" s="253"/>
      <c r="O807" s="253"/>
      <c r="P807" s="253"/>
      <c r="Q807" s="253"/>
      <c r="R807" s="253"/>
      <c r="S807" s="253"/>
      <c r="T807" s="253"/>
      <c r="U807" s="253"/>
      <c r="V807" s="247"/>
      <c r="W807" s="247"/>
      <c r="X807" s="247"/>
      <c r="Y807" s="247"/>
      <c r="Z807" s="247"/>
    </row>
    <row r="808">
      <c r="A808" s="247"/>
      <c r="B808" s="247"/>
      <c r="C808" s="247"/>
      <c r="D808" s="247"/>
      <c r="E808" s="247"/>
      <c r="F808" s="247"/>
      <c r="G808" s="247"/>
      <c r="H808" s="247"/>
      <c r="I808" s="247"/>
      <c r="J808" s="247"/>
      <c r="K808" s="247"/>
      <c r="L808" s="247"/>
      <c r="M808" s="253"/>
      <c r="N808" s="253"/>
      <c r="O808" s="253"/>
      <c r="P808" s="253"/>
      <c r="Q808" s="253"/>
      <c r="R808" s="253"/>
      <c r="S808" s="253"/>
      <c r="T808" s="253"/>
      <c r="U808" s="253"/>
      <c r="V808" s="247"/>
      <c r="W808" s="247"/>
      <c r="X808" s="247"/>
      <c r="Y808" s="247"/>
      <c r="Z808" s="247"/>
    </row>
    <row r="809">
      <c r="A809" s="247"/>
      <c r="B809" s="247"/>
      <c r="C809" s="247"/>
      <c r="D809" s="247"/>
      <c r="E809" s="247"/>
      <c r="F809" s="247"/>
      <c r="G809" s="247"/>
      <c r="H809" s="247"/>
      <c r="I809" s="247"/>
      <c r="J809" s="247"/>
      <c r="K809" s="247"/>
      <c r="L809" s="247"/>
      <c r="M809" s="253"/>
      <c r="N809" s="253"/>
      <c r="O809" s="253"/>
      <c r="P809" s="253"/>
      <c r="Q809" s="253"/>
      <c r="R809" s="253"/>
      <c r="S809" s="253"/>
      <c r="T809" s="253"/>
      <c r="U809" s="253"/>
      <c r="V809" s="247"/>
      <c r="W809" s="247"/>
      <c r="X809" s="247"/>
      <c r="Y809" s="247"/>
      <c r="Z809" s="247"/>
    </row>
    <row r="810">
      <c r="A810" s="247"/>
      <c r="B810" s="247"/>
      <c r="C810" s="247"/>
      <c r="D810" s="247"/>
      <c r="E810" s="247"/>
      <c r="F810" s="247"/>
      <c r="G810" s="247"/>
      <c r="H810" s="247"/>
      <c r="I810" s="247"/>
      <c r="J810" s="247"/>
      <c r="K810" s="247"/>
      <c r="L810" s="247"/>
      <c r="M810" s="253"/>
      <c r="N810" s="253"/>
      <c r="O810" s="253"/>
      <c r="P810" s="253"/>
      <c r="Q810" s="253"/>
      <c r="R810" s="253"/>
      <c r="S810" s="253"/>
      <c r="T810" s="253"/>
      <c r="U810" s="253"/>
      <c r="V810" s="247"/>
      <c r="W810" s="247"/>
      <c r="X810" s="247"/>
      <c r="Y810" s="247"/>
      <c r="Z810" s="247"/>
    </row>
    <row r="811">
      <c r="A811" s="247"/>
      <c r="B811" s="247"/>
      <c r="C811" s="247"/>
      <c r="D811" s="247"/>
      <c r="E811" s="247"/>
      <c r="F811" s="247"/>
      <c r="G811" s="247"/>
      <c r="H811" s="247"/>
      <c r="I811" s="247"/>
      <c r="J811" s="247"/>
      <c r="K811" s="247"/>
      <c r="L811" s="247"/>
      <c r="M811" s="253"/>
      <c r="N811" s="253"/>
      <c r="O811" s="253"/>
      <c r="P811" s="253"/>
      <c r="Q811" s="253"/>
      <c r="R811" s="253"/>
      <c r="S811" s="253"/>
      <c r="T811" s="253"/>
      <c r="U811" s="253"/>
      <c r="V811" s="247"/>
      <c r="W811" s="247"/>
      <c r="X811" s="247"/>
      <c r="Y811" s="247"/>
      <c r="Z811" s="247"/>
    </row>
    <row r="812">
      <c r="A812" s="247"/>
      <c r="B812" s="247"/>
      <c r="C812" s="247"/>
      <c r="D812" s="247"/>
      <c r="E812" s="247"/>
      <c r="F812" s="247"/>
      <c r="G812" s="247"/>
      <c r="H812" s="247"/>
      <c r="I812" s="247"/>
      <c r="J812" s="247"/>
      <c r="K812" s="247"/>
      <c r="L812" s="247"/>
      <c r="M812" s="253"/>
      <c r="N812" s="253"/>
      <c r="O812" s="253"/>
      <c r="P812" s="253"/>
      <c r="Q812" s="253"/>
      <c r="R812" s="253"/>
      <c r="S812" s="253"/>
      <c r="T812" s="253"/>
      <c r="U812" s="253"/>
      <c r="V812" s="247"/>
      <c r="W812" s="247"/>
      <c r="X812" s="247"/>
      <c r="Y812" s="247"/>
      <c r="Z812" s="247"/>
    </row>
    <row r="813">
      <c r="A813" s="247"/>
      <c r="B813" s="247"/>
      <c r="C813" s="247"/>
      <c r="D813" s="247"/>
      <c r="E813" s="247"/>
      <c r="F813" s="247"/>
      <c r="G813" s="247"/>
      <c r="H813" s="247"/>
      <c r="I813" s="247"/>
      <c r="J813" s="247"/>
      <c r="K813" s="247"/>
      <c r="L813" s="247"/>
      <c r="M813" s="253"/>
      <c r="N813" s="253"/>
      <c r="O813" s="253"/>
      <c r="P813" s="253"/>
      <c r="Q813" s="253"/>
      <c r="R813" s="253"/>
      <c r="S813" s="253"/>
      <c r="T813" s="253"/>
      <c r="U813" s="253"/>
      <c r="V813" s="247"/>
      <c r="W813" s="247"/>
      <c r="X813" s="247"/>
      <c r="Y813" s="247"/>
      <c r="Z813" s="247"/>
    </row>
    <row r="814">
      <c r="A814" s="247"/>
      <c r="B814" s="247"/>
      <c r="C814" s="247"/>
      <c r="D814" s="247"/>
      <c r="E814" s="247"/>
      <c r="F814" s="247"/>
      <c r="G814" s="247"/>
      <c r="H814" s="247"/>
      <c r="I814" s="247"/>
      <c r="J814" s="247"/>
      <c r="K814" s="247"/>
      <c r="L814" s="247"/>
      <c r="M814" s="253"/>
      <c r="N814" s="253"/>
      <c r="O814" s="253"/>
      <c r="P814" s="253"/>
      <c r="Q814" s="253"/>
      <c r="R814" s="253"/>
      <c r="S814" s="253"/>
      <c r="T814" s="253"/>
      <c r="U814" s="253"/>
      <c r="V814" s="247"/>
      <c r="W814" s="247"/>
      <c r="X814" s="247"/>
      <c r="Y814" s="247"/>
      <c r="Z814" s="247"/>
    </row>
    <row r="815">
      <c r="A815" s="247"/>
      <c r="B815" s="247"/>
      <c r="C815" s="247"/>
      <c r="D815" s="247"/>
      <c r="E815" s="247"/>
      <c r="F815" s="247"/>
      <c r="G815" s="247"/>
      <c r="H815" s="247"/>
      <c r="I815" s="247"/>
      <c r="J815" s="247"/>
      <c r="K815" s="247"/>
      <c r="L815" s="247"/>
      <c r="M815" s="253"/>
      <c r="N815" s="253"/>
      <c r="O815" s="253"/>
      <c r="P815" s="253"/>
      <c r="Q815" s="253"/>
      <c r="R815" s="253"/>
      <c r="S815" s="253"/>
      <c r="T815" s="253"/>
      <c r="U815" s="253"/>
      <c r="V815" s="247"/>
      <c r="W815" s="247"/>
      <c r="X815" s="247"/>
      <c r="Y815" s="247"/>
      <c r="Z815" s="247"/>
    </row>
    <row r="816">
      <c r="A816" s="247"/>
      <c r="B816" s="247"/>
      <c r="C816" s="247"/>
      <c r="D816" s="247"/>
      <c r="E816" s="247"/>
      <c r="F816" s="247"/>
      <c r="G816" s="247"/>
      <c r="H816" s="247"/>
      <c r="I816" s="247"/>
      <c r="J816" s="247"/>
      <c r="K816" s="247"/>
      <c r="L816" s="247"/>
      <c r="M816" s="253"/>
      <c r="N816" s="253"/>
      <c r="O816" s="253"/>
      <c r="P816" s="253"/>
      <c r="Q816" s="253"/>
      <c r="R816" s="253"/>
      <c r="S816" s="253"/>
      <c r="T816" s="253"/>
      <c r="U816" s="253"/>
      <c r="V816" s="247"/>
      <c r="W816" s="247"/>
      <c r="X816" s="247"/>
      <c r="Y816" s="247"/>
      <c r="Z816" s="247"/>
    </row>
    <row r="817">
      <c r="A817" s="247"/>
      <c r="B817" s="247"/>
      <c r="C817" s="247"/>
      <c r="D817" s="247"/>
      <c r="E817" s="247"/>
      <c r="F817" s="247"/>
      <c r="G817" s="247"/>
      <c r="H817" s="247"/>
      <c r="I817" s="247"/>
      <c r="J817" s="247"/>
      <c r="K817" s="247"/>
      <c r="L817" s="247"/>
      <c r="M817" s="253"/>
      <c r="N817" s="253"/>
      <c r="O817" s="253"/>
      <c r="P817" s="253"/>
      <c r="Q817" s="253"/>
      <c r="R817" s="253"/>
      <c r="S817" s="253"/>
      <c r="T817" s="253"/>
      <c r="U817" s="253"/>
      <c r="V817" s="247"/>
      <c r="W817" s="247"/>
      <c r="X817" s="247"/>
      <c r="Y817" s="247"/>
      <c r="Z817" s="247"/>
    </row>
    <row r="818">
      <c r="A818" s="247"/>
      <c r="B818" s="247"/>
      <c r="C818" s="247"/>
      <c r="D818" s="247"/>
      <c r="E818" s="247"/>
      <c r="F818" s="247"/>
      <c r="G818" s="247"/>
      <c r="H818" s="247"/>
      <c r="I818" s="247"/>
      <c r="J818" s="247"/>
      <c r="K818" s="247"/>
      <c r="L818" s="247"/>
      <c r="M818" s="253"/>
      <c r="N818" s="253"/>
      <c r="O818" s="253"/>
      <c r="P818" s="253"/>
      <c r="Q818" s="253"/>
      <c r="R818" s="253"/>
      <c r="S818" s="253"/>
      <c r="T818" s="253"/>
      <c r="U818" s="253"/>
      <c r="V818" s="247"/>
      <c r="W818" s="247"/>
      <c r="X818" s="247"/>
      <c r="Y818" s="247"/>
      <c r="Z818" s="247"/>
    </row>
    <row r="819">
      <c r="A819" s="247"/>
      <c r="B819" s="247"/>
      <c r="C819" s="247"/>
      <c r="D819" s="247"/>
      <c r="E819" s="247"/>
      <c r="F819" s="247"/>
      <c r="G819" s="247"/>
      <c r="H819" s="247"/>
      <c r="I819" s="247"/>
      <c r="J819" s="247"/>
      <c r="K819" s="247"/>
      <c r="L819" s="247"/>
      <c r="M819" s="253"/>
      <c r="N819" s="253"/>
      <c r="O819" s="253"/>
      <c r="P819" s="253"/>
      <c r="Q819" s="253"/>
      <c r="R819" s="253"/>
      <c r="S819" s="253"/>
      <c r="T819" s="253"/>
      <c r="U819" s="253"/>
      <c r="V819" s="247"/>
      <c r="W819" s="247"/>
      <c r="X819" s="247"/>
      <c r="Y819" s="247"/>
      <c r="Z819" s="247"/>
    </row>
    <row r="820">
      <c r="A820" s="247"/>
      <c r="B820" s="247"/>
      <c r="C820" s="247"/>
      <c r="D820" s="247"/>
      <c r="E820" s="247"/>
      <c r="F820" s="247"/>
      <c r="G820" s="247"/>
      <c r="H820" s="247"/>
      <c r="I820" s="247"/>
      <c r="J820" s="247"/>
      <c r="K820" s="247"/>
      <c r="L820" s="247"/>
      <c r="M820" s="253"/>
      <c r="N820" s="253"/>
      <c r="O820" s="253"/>
      <c r="P820" s="253"/>
      <c r="Q820" s="253"/>
      <c r="R820" s="253"/>
      <c r="S820" s="253"/>
      <c r="T820" s="253"/>
      <c r="U820" s="253"/>
      <c r="V820" s="247"/>
      <c r="W820" s="247"/>
      <c r="X820" s="247"/>
      <c r="Y820" s="247"/>
      <c r="Z820" s="247"/>
    </row>
    <row r="821">
      <c r="A821" s="247"/>
      <c r="B821" s="247"/>
      <c r="C821" s="247"/>
      <c r="D821" s="247"/>
      <c r="E821" s="247"/>
      <c r="F821" s="247"/>
      <c r="G821" s="247"/>
      <c r="H821" s="247"/>
      <c r="I821" s="247"/>
      <c r="J821" s="247"/>
      <c r="K821" s="247"/>
      <c r="L821" s="247"/>
      <c r="M821" s="253"/>
      <c r="N821" s="253"/>
      <c r="O821" s="253"/>
      <c r="P821" s="253"/>
      <c r="Q821" s="253"/>
      <c r="R821" s="253"/>
      <c r="S821" s="253"/>
      <c r="T821" s="253"/>
      <c r="U821" s="253"/>
      <c r="V821" s="247"/>
      <c r="W821" s="247"/>
      <c r="X821" s="247"/>
      <c r="Y821" s="247"/>
      <c r="Z821" s="247"/>
    </row>
    <row r="822">
      <c r="A822" s="247"/>
      <c r="B822" s="247"/>
      <c r="C822" s="247"/>
      <c r="D822" s="247"/>
      <c r="E822" s="247"/>
      <c r="F822" s="247"/>
      <c r="G822" s="247"/>
      <c r="H822" s="247"/>
      <c r="I822" s="247"/>
      <c r="J822" s="247"/>
      <c r="K822" s="247"/>
      <c r="L822" s="247"/>
      <c r="M822" s="253"/>
      <c r="N822" s="253"/>
      <c r="O822" s="253"/>
      <c r="P822" s="253"/>
      <c r="Q822" s="253"/>
      <c r="R822" s="253"/>
      <c r="S822" s="253"/>
      <c r="T822" s="253"/>
      <c r="U822" s="253"/>
      <c r="V822" s="247"/>
      <c r="W822" s="247"/>
      <c r="X822" s="247"/>
      <c r="Y822" s="247"/>
      <c r="Z822" s="247"/>
    </row>
    <row r="823">
      <c r="A823" s="247"/>
      <c r="B823" s="247"/>
      <c r="C823" s="247"/>
      <c r="D823" s="247"/>
      <c r="E823" s="247"/>
      <c r="F823" s="247"/>
      <c r="G823" s="247"/>
      <c r="H823" s="247"/>
      <c r="I823" s="247"/>
      <c r="J823" s="247"/>
      <c r="K823" s="247"/>
      <c r="L823" s="247"/>
      <c r="M823" s="253"/>
      <c r="N823" s="253"/>
      <c r="O823" s="253"/>
      <c r="P823" s="253"/>
      <c r="Q823" s="253"/>
      <c r="R823" s="253"/>
      <c r="S823" s="253"/>
      <c r="T823" s="253"/>
      <c r="U823" s="253"/>
      <c r="V823" s="247"/>
      <c r="W823" s="247"/>
      <c r="X823" s="247"/>
      <c r="Y823" s="247"/>
      <c r="Z823" s="247"/>
    </row>
    <row r="824">
      <c r="A824" s="247"/>
      <c r="B824" s="247"/>
      <c r="C824" s="247"/>
      <c r="D824" s="247"/>
      <c r="E824" s="247"/>
      <c r="F824" s="247"/>
      <c r="G824" s="247"/>
      <c r="H824" s="247"/>
      <c r="I824" s="247"/>
      <c r="J824" s="247"/>
      <c r="K824" s="247"/>
      <c r="L824" s="247"/>
      <c r="M824" s="253"/>
      <c r="N824" s="253"/>
      <c r="O824" s="253"/>
      <c r="P824" s="253"/>
      <c r="Q824" s="253"/>
      <c r="R824" s="253"/>
      <c r="S824" s="253"/>
      <c r="T824" s="253"/>
      <c r="U824" s="253"/>
      <c r="V824" s="247"/>
      <c r="W824" s="247"/>
      <c r="X824" s="247"/>
      <c r="Y824" s="247"/>
      <c r="Z824" s="247"/>
    </row>
    <row r="825">
      <c r="A825" s="247"/>
      <c r="B825" s="247"/>
      <c r="C825" s="247"/>
      <c r="D825" s="247"/>
      <c r="E825" s="247"/>
      <c r="F825" s="247"/>
      <c r="G825" s="247"/>
      <c r="H825" s="247"/>
      <c r="I825" s="247"/>
      <c r="J825" s="247"/>
      <c r="K825" s="247"/>
      <c r="L825" s="247"/>
      <c r="M825" s="253"/>
      <c r="N825" s="253"/>
      <c r="O825" s="253"/>
      <c r="P825" s="253"/>
      <c r="Q825" s="253"/>
      <c r="R825" s="253"/>
      <c r="S825" s="253"/>
      <c r="T825" s="253"/>
      <c r="U825" s="253"/>
      <c r="V825" s="247"/>
      <c r="W825" s="247"/>
      <c r="X825" s="247"/>
      <c r="Y825" s="247"/>
      <c r="Z825" s="247"/>
    </row>
    <row r="826">
      <c r="A826" s="247"/>
      <c r="B826" s="247"/>
      <c r="C826" s="247"/>
      <c r="D826" s="247"/>
      <c r="E826" s="247"/>
      <c r="F826" s="247"/>
      <c r="G826" s="247"/>
      <c r="H826" s="247"/>
      <c r="I826" s="247"/>
      <c r="J826" s="247"/>
      <c r="K826" s="247"/>
      <c r="L826" s="247"/>
      <c r="M826" s="253"/>
      <c r="N826" s="253"/>
      <c r="O826" s="253"/>
      <c r="P826" s="253"/>
      <c r="Q826" s="253"/>
      <c r="R826" s="253"/>
      <c r="S826" s="253"/>
      <c r="T826" s="253"/>
      <c r="U826" s="253"/>
      <c r="V826" s="247"/>
      <c r="W826" s="247"/>
      <c r="X826" s="247"/>
      <c r="Y826" s="247"/>
      <c r="Z826" s="247"/>
    </row>
    <row r="827">
      <c r="A827" s="247"/>
      <c r="B827" s="247"/>
      <c r="C827" s="247"/>
      <c r="D827" s="247"/>
      <c r="E827" s="247"/>
      <c r="F827" s="247"/>
      <c r="G827" s="247"/>
      <c r="H827" s="247"/>
      <c r="I827" s="247"/>
      <c r="J827" s="247"/>
      <c r="K827" s="247"/>
      <c r="L827" s="247"/>
      <c r="M827" s="253"/>
      <c r="N827" s="253"/>
      <c r="O827" s="253"/>
      <c r="P827" s="253"/>
      <c r="Q827" s="253"/>
      <c r="R827" s="253"/>
      <c r="S827" s="253"/>
      <c r="T827" s="253"/>
      <c r="U827" s="253"/>
      <c r="V827" s="247"/>
      <c r="W827" s="247"/>
      <c r="X827" s="247"/>
      <c r="Y827" s="247"/>
      <c r="Z827" s="247"/>
    </row>
    <row r="828">
      <c r="A828" s="247"/>
      <c r="B828" s="247"/>
      <c r="C828" s="247"/>
      <c r="D828" s="247"/>
      <c r="E828" s="247"/>
      <c r="F828" s="247"/>
      <c r="G828" s="247"/>
      <c r="H828" s="247"/>
      <c r="I828" s="247"/>
      <c r="J828" s="247"/>
      <c r="K828" s="247"/>
      <c r="L828" s="247"/>
      <c r="M828" s="253"/>
      <c r="N828" s="253"/>
      <c r="O828" s="253"/>
      <c r="P828" s="253"/>
      <c r="Q828" s="253"/>
      <c r="R828" s="253"/>
      <c r="S828" s="253"/>
      <c r="T828" s="253"/>
      <c r="U828" s="253"/>
      <c r="V828" s="247"/>
      <c r="W828" s="247"/>
      <c r="X828" s="247"/>
      <c r="Y828" s="247"/>
      <c r="Z828" s="247"/>
    </row>
    <row r="829">
      <c r="A829" s="247"/>
      <c r="B829" s="247"/>
      <c r="C829" s="247"/>
      <c r="D829" s="247"/>
      <c r="E829" s="247"/>
      <c r="F829" s="247"/>
      <c r="G829" s="247"/>
      <c r="H829" s="247"/>
      <c r="I829" s="247"/>
      <c r="J829" s="247"/>
      <c r="K829" s="247"/>
      <c r="L829" s="247"/>
      <c r="M829" s="253"/>
      <c r="N829" s="253"/>
      <c r="O829" s="253"/>
      <c r="P829" s="253"/>
      <c r="Q829" s="253"/>
      <c r="R829" s="253"/>
      <c r="S829" s="253"/>
      <c r="T829" s="253"/>
      <c r="U829" s="253"/>
      <c r="V829" s="247"/>
      <c r="W829" s="247"/>
      <c r="X829" s="247"/>
      <c r="Y829" s="247"/>
      <c r="Z829" s="247"/>
    </row>
    <row r="830">
      <c r="A830" s="247"/>
      <c r="B830" s="247"/>
      <c r="C830" s="247"/>
      <c r="D830" s="247"/>
      <c r="E830" s="247"/>
      <c r="F830" s="247"/>
      <c r="G830" s="247"/>
      <c r="H830" s="247"/>
      <c r="I830" s="247"/>
      <c r="J830" s="247"/>
      <c r="K830" s="247"/>
      <c r="L830" s="247"/>
      <c r="M830" s="253"/>
      <c r="N830" s="253"/>
      <c r="O830" s="253"/>
      <c r="P830" s="253"/>
      <c r="Q830" s="253"/>
      <c r="R830" s="253"/>
      <c r="S830" s="253"/>
      <c r="T830" s="253"/>
      <c r="U830" s="253"/>
      <c r="V830" s="247"/>
      <c r="W830" s="247"/>
      <c r="X830" s="247"/>
      <c r="Y830" s="247"/>
      <c r="Z830" s="247"/>
    </row>
    <row r="831">
      <c r="A831" s="247"/>
      <c r="B831" s="247"/>
      <c r="C831" s="247"/>
      <c r="D831" s="247"/>
      <c r="E831" s="247"/>
      <c r="F831" s="247"/>
      <c r="G831" s="247"/>
      <c r="H831" s="247"/>
      <c r="I831" s="247"/>
      <c r="J831" s="247"/>
      <c r="K831" s="247"/>
      <c r="L831" s="247"/>
      <c r="M831" s="253"/>
      <c r="N831" s="253"/>
      <c r="O831" s="253"/>
      <c r="P831" s="253"/>
      <c r="Q831" s="253"/>
      <c r="R831" s="253"/>
      <c r="S831" s="253"/>
      <c r="T831" s="253"/>
      <c r="U831" s="253"/>
      <c r="V831" s="247"/>
      <c r="W831" s="247"/>
      <c r="X831" s="247"/>
      <c r="Y831" s="247"/>
      <c r="Z831" s="247"/>
    </row>
    <row r="832">
      <c r="A832" s="247"/>
      <c r="B832" s="247"/>
      <c r="C832" s="247"/>
      <c r="D832" s="247"/>
      <c r="E832" s="247"/>
      <c r="F832" s="247"/>
      <c r="G832" s="247"/>
      <c r="H832" s="247"/>
      <c r="I832" s="247"/>
      <c r="J832" s="247"/>
      <c r="K832" s="247"/>
      <c r="L832" s="247"/>
      <c r="M832" s="253"/>
      <c r="N832" s="253"/>
      <c r="O832" s="253"/>
      <c r="P832" s="253"/>
      <c r="Q832" s="253"/>
      <c r="R832" s="253"/>
      <c r="S832" s="253"/>
      <c r="T832" s="253"/>
      <c r="U832" s="253"/>
      <c r="V832" s="247"/>
      <c r="W832" s="247"/>
      <c r="X832" s="247"/>
      <c r="Y832" s="247"/>
      <c r="Z832" s="247"/>
    </row>
    <row r="833">
      <c r="A833" s="247"/>
      <c r="B833" s="247"/>
      <c r="C833" s="247"/>
      <c r="D833" s="247"/>
      <c r="E833" s="247"/>
      <c r="F833" s="247"/>
      <c r="G833" s="247"/>
      <c r="H833" s="247"/>
      <c r="I833" s="247"/>
      <c r="J833" s="247"/>
      <c r="K833" s="247"/>
      <c r="L833" s="247"/>
      <c r="M833" s="253"/>
      <c r="N833" s="253"/>
      <c r="O833" s="253"/>
      <c r="P833" s="253"/>
      <c r="Q833" s="253"/>
      <c r="R833" s="253"/>
      <c r="S833" s="253"/>
      <c r="T833" s="253"/>
      <c r="U833" s="253"/>
      <c r="V833" s="247"/>
      <c r="W833" s="247"/>
      <c r="X833" s="247"/>
      <c r="Y833" s="247"/>
      <c r="Z833" s="247"/>
    </row>
    <row r="834">
      <c r="A834" s="247"/>
      <c r="B834" s="247"/>
      <c r="C834" s="247"/>
      <c r="D834" s="247"/>
      <c r="E834" s="247"/>
      <c r="F834" s="247"/>
      <c r="G834" s="247"/>
      <c r="H834" s="247"/>
      <c r="I834" s="247"/>
      <c r="J834" s="247"/>
      <c r="K834" s="247"/>
      <c r="L834" s="247"/>
      <c r="M834" s="253"/>
      <c r="N834" s="253"/>
      <c r="O834" s="253"/>
      <c r="P834" s="253"/>
      <c r="Q834" s="253"/>
      <c r="R834" s="253"/>
      <c r="S834" s="253"/>
      <c r="T834" s="253"/>
      <c r="U834" s="253"/>
      <c r="V834" s="247"/>
      <c r="W834" s="247"/>
      <c r="X834" s="247"/>
      <c r="Y834" s="247"/>
      <c r="Z834" s="247"/>
    </row>
    <row r="835">
      <c r="A835" s="247"/>
      <c r="B835" s="247"/>
      <c r="C835" s="247"/>
      <c r="D835" s="247"/>
      <c r="E835" s="247"/>
      <c r="F835" s="247"/>
      <c r="G835" s="247"/>
      <c r="H835" s="247"/>
      <c r="I835" s="247"/>
      <c r="J835" s="247"/>
      <c r="K835" s="247"/>
      <c r="L835" s="247"/>
      <c r="M835" s="253"/>
      <c r="N835" s="253"/>
      <c r="O835" s="253"/>
      <c r="P835" s="253"/>
      <c r="Q835" s="253"/>
      <c r="R835" s="253"/>
      <c r="S835" s="253"/>
      <c r="T835" s="253"/>
      <c r="U835" s="253"/>
      <c r="V835" s="247"/>
      <c r="W835" s="247"/>
      <c r="X835" s="247"/>
      <c r="Y835" s="247"/>
      <c r="Z835" s="247"/>
    </row>
    <row r="836">
      <c r="A836" s="247"/>
      <c r="B836" s="247"/>
      <c r="C836" s="247"/>
      <c r="D836" s="247"/>
      <c r="E836" s="247"/>
      <c r="F836" s="247"/>
      <c r="G836" s="247"/>
      <c r="H836" s="247"/>
      <c r="I836" s="247"/>
      <c r="J836" s="247"/>
      <c r="K836" s="247"/>
      <c r="L836" s="247"/>
      <c r="M836" s="253"/>
      <c r="N836" s="253"/>
      <c r="O836" s="253"/>
      <c r="P836" s="253"/>
      <c r="Q836" s="253"/>
      <c r="R836" s="253"/>
      <c r="S836" s="253"/>
      <c r="T836" s="253"/>
      <c r="U836" s="253"/>
      <c r="V836" s="247"/>
      <c r="W836" s="247"/>
      <c r="X836" s="247"/>
      <c r="Y836" s="247"/>
      <c r="Z836" s="247"/>
    </row>
    <row r="837">
      <c r="A837" s="247"/>
      <c r="B837" s="247"/>
      <c r="C837" s="247"/>
      <c r="D837" s="247"/>
      <c r="E837" s="247"/>
      <c r="F837" s="247"/>
      <c r="G837" s="247"/>
      <c r="H837" s="247"/>
      <c r="I837" s="247"/>
      <c r="J837" s="247"/>
      <c r="K837" s="247"/>
      <c r="L837" s="247"/>
      <c r="M837" s="253"/>
      <c r="N837" s="253"/>
      <c r="O837" s="253"/>
      <c r="P837" s="253"/>
      <c r="Q837" s="253"/>
      <c r="R837" s="253"/>
      <c r="S837" s="253"/>
      <c r="T837" s="253"/>
      <c r="U837" s="253"/>
      <c r="V837" s="247"/>
      <c r="W837" s="247"/>
      <c r="X837" s="247"/>
      <c r="Y837" s="247"/>
      <c r="Z837" s="247"/>
    </row>
    <row r="838">
      <c r="A838" s="247"/>
      <c r="B838" s="247"/>
      <c r="C838" s="247"/>
      <c r="D838" s="247"/>
      <c r="E838" s="247"/>
      <c r="F838" s="247"/>
      <c r="G838" s="247"/>
      <c r="H838" s="247"/>
      <c r="I838" s="247"/>
      <c r="J838" s="247"/>
      <c r="K838" s="247"/>
      <c r="L838" s="247"/>
      <c r="M838" s="253"/>
      <c r="N838" s="253"/>
      <c r="O838" s="253"/>
      <c r="P838" s="253"/>
      <c r="Q838" s="253"/>
      <c r="R838" s="253"/>
      <c r="S838" s="253"/>
      <c r="T838" s="253"/>
      <c r="U838" s="253"/>
      <c r="V838" s="247"/>
      <c r="W838" s="247"/>
      <c r="X838" s="247"/>
      <c r="Y838" s="247"/>
      <c r="Z838" s="247"/>
    </row>
    <row r="839">
      <c r="A839" s="247"/>
      <c r="B839" s="247"/>
      <c r="C839" s="247"/>
      <c r="D839" s="247"/>
      <c r="E839" s="247"/>
      <c r="F839" s="247"/>
      <c r="G839" s="247"/>
      <c r="H839" s="247"/>
      <c r="I839" s="247"/>
      <c r="J839" s="247"/>
      <c r="K839" s="247"/>
      <c r="L839" s="247"/>
      <c r="M839" s="253"/>
      <c r="N839" s="253"/>
      <c r="O839" s="253"/>
      <c r="P839" s="253"/>
      <c r="Q839" s="253"/>
      <c r="R839" s="253"/>
      <c r="S839" s="253"/>
      <c r="T839" s="253"/>
      <c r="U839" s="253"/>
      <c r="V839" s="247"/>
      <c r="W839" s="247"/>
      <c r="X839" s="247"/>
      <c r="Y839" s="247"/>
      <c r="Z839" s="247"/>
    </row>
    <row r="840">
      <c r="A840" s="247"/>
      <c r="B840" s="247"/>
      <c r="C840" s="247"/>
      <c r="D840" s="247"/>
      <c r="E840" s="247"/>
      <c r="F840" s="247"/>
      <c r="G840" s="247"/>
      <c r="H840" s="247"/>
      <c r="I840" s="247"/>
      <c r="J840" s="247"/>
      <c r="K840" s="247"/>
      <c r="L840" s="247"/>
      <c r="M840" s="253"/>
      <c r="N840" s="253"/>
      <c r="O840" s="253"/>
      <c r="P840" s="253"/>
      <c r="Q840" s="253"/>
      <c r="R840" s="253"/>
      <c r="S840" s="253"/>
      <c r="T840" s="253"/>
      <c r="U840" s="253"/>
      <c r="V840" s="247"/>
      <c r="W840" s="247"/>
      <c r="X840" s="247"/>
      <c r="Y840" s="247"/>
      <c r="Z840" s="247"/>
    </row>
    <row r="841">
      <c r="A841" s="247"/>
      <c r="B841" s="247"/>
      <c r="C841" s="247"/>
      <c r="D841" s="247"/>
      <c r="E841" s="247"/>
      <c r="F841" s="247"/>
      <c r="G841" s="247"/>
      <c r="H841" s="247"/>
      <c r="I841" s="247"/>
      <c r="J841" s="247"/>
      <c r="K841" s="247"/>
      <c r="L841" s="247"/>
      <c r="M841" s="253"/>
      <c r="N841" s="253"/>
      <c r="O841" s="253"/>
      <c r="P841" s="253"/>
      <c r="Q841" s="253"/>
      <c r="R841" s="253"/>
      <c r="S841" s="253"/>
      <c r="T841" s="253"/>
      <c r="U841" s="253"/>
      <c r="V841" s="247"/>
      <c r="W841" s="247"/>
      <c r="X841" s="247"/>
      <c r="Y841" s="247"/>
      <c r="Z841" s="247"/>
    </row>
    <row r="842">
      <c r="A842" s="247"/>
      <c r="B842" s="247"/>
      <c r="C842" s="247"/>
      <c r="D842" s="247"/>
      <c r="E842" s="247"/>
      <c r="F842" s="247"/>
      <c r="G842" s="247"/>
      <c r="H842" s="247"/>
      <c r="I842" s="247"/>
      <c r="J842" s="247"/>
      <c r="K842" s="247"/>
      <c r="L842" s="247"/>
      <c r="M842" s="253"/>
      <c r="N842" s="253"/>
      <c r="O842" s="253"/>
      <c r="P842" s="253"/>
      <c r="Q842" s="253"/>
      <c r="R842" s="253"/>
      <c r="S842" s="253"/>
      <c r="T842" s="253"/>
      <c r="U842" s="253"/>
      <c r="V842" s="247"/>
      <c r="W842" s="247"/>
      <c r="X842" s="247"/>
      <c r="Y842" s="247"/>
      <c r="Z842" s="247"/>
    </row>
    <row r="843">
      <c r="A843" s="247"/>
      <c r="B843" s="247"/>
      <c r="C843" s="247"/>
      <c r="D843" s="247"/>
      <c r="E843" s="247"/>
      <c r="F843" s="247"/>
      <c r="G843" s="247"/>
      <c r="H843" s="247"/>
      <c r="I843" s="247"/>
      <c r="J843" s="247"/>
      <c r="K843" s="247"/>
      <c r="L843" s="247"/>
      <c r="M843" s="253"/>
      <c r="N843" s="253"/>
      <c r="O843" s="253"/>
      <c r="P843" s="253"/>
      <c r="Q843" s="253"/>
      <c r="R843" s="253"/>
      <c r="S843" s="253"/>
      <c r="T843" s="253"/>
      <c r="U843" s="253"/>
      <c r="V843" s="247"/>
      <c r="W843" s="247"/>
      <c r="X843" s="247"/>
      <c r="Y843" s="247"/>
      <c r="Z843" s="247"/>
    </row>
    <row r="844">
      <c r="A844" s="247"/>
      <c r="B844" s="247"/>
      <c r="C844" s="247"/>
      <c r="D844" s="247"/>
      <c r="E844" s="247"/>
      <c r="F844" s="247"/>
      <c r="G844" s="247"/>
      <c r="H844" s="247"/>
      <c r="I844" s="247"/>
      <c r="J844" s="247"/>
      <c r="K844" s="247"/>
      <c r="L844" s="247"/>
      <c r="M844" s="253"/>
      <c r="N844" s="253"/>
      <c r="O844" s="253"/>
      <c r="P844" s="253"/>
      <c r="Q844" s="253"/>
      <c r="R844" s="253"/>
      <c r="S844" s="253"/>
      <c r="T844" s="253"/>
      <c r="U844" s="253"/>
      <c r="V844" s="247"/>
      <c r="W844" s="247"/>
      <c r="X844" s="247"/>
      <c r="Y844" s="247"/>
      <c r="Z844" s="247"/>
    </row>
    <row r="845">
      <c r="A845" s="247"/>
      <c r="B845" s="247"/>
      <c r="C845" s="247"/>
      <c r="D845" s="247"/>
      <c r="E845" s="247"/>
      <c r="F845" s="247"/>
      <c r="G845" s="247"/>
      <c r="H845" s="247"/>
      <c r="I845" s="247"/>
      <c r="J845" s="247"/>
      <c r="K845" s="247"/>
      <c r="L845" s="247"/>
      <c r="M845" s="253"/>
      <c r="N845" s="253"/>
      <c r="O845" s="253"/>
      <c r="P845" s="253"/>
      <c r="Q845" s="253"/>
      <c r="R845" s="253"/>
      <c r="S845" s="253"/>
      <c r="T845" s="253"/>
      <c r="U845" s="253"/>
      <c r="V845" s="247"/>
      <c r="W845" s="247"/>
      <c r="X845" s="247"/>
      <c r="Y845" s="247"/>
      <c r="Z845" s="247"/>
    </row>
    <row r="846">
      <c r="A846" s="247"/>
      <c r="B846" s="247"/>
      <c r="C846" s="247"/>
      <c r="D846" s="247"/>
      <c r="E846" s="247"/>
      <c r="F846" s="247"/>
      <c r="G846" s="247"/>
      <c r="H846" s="247"/>
      <c r="I846" s="247"/>
      <c r="J846" s="247"/>
      <c r="K846" s="247"/>
      <c r="L846" s="247"/>
      <c r="M846" s="253"/>
      <c r="N846" s="253"/>
      <c r="O846" s="253"/>
      <c r="P846" s="253"/>
      <c r="Q846" s="253"/>
      <c r="R846" s="253"/>
      <c r="S846" s="253"/>
      <c r="T846" s="253"/>
      <c r="U846" s="253"/>
      <c r="V846" s="247"/>
      <c r="W846" s="247"/>
      <c r="X846" s="247"/>
      <c r="Y846" s="247"/>
      <c r="Z846" s="247"/>
    </row>
    <row r="847">
      <c r="A847" s="247"/>
      <c r="B847" s="247"/>
      <c r="C847" s="247"/>
      <c r="D847" s="247"/>
      <c r="E847" s="247"/>
      <c r="F847" s="247"/>
      <c r="G847" s="247"/>
      <c r="H847" s="247"/>
      <c r="I847" s="247"/>
      <c r="J847" s="247"/>
      <c r="K847" s="247"/>
      <c r="L847" s="247"/>
      <c r="M847" s="253"/>
      <c r="N847" s="253"/>
      <c r="O847" s="253"/>
      <c r="P847" s="253"/>
      <c r="Q847" s="253"/>
      <c r="R847" s="253"/>
      <c r="S847" s="253"/>
      <c r="T847" s="253"/>
      <c r="U847" s="253"/>
      <c r="V847" s="247"/>
      <c r="W847" s="247"/>
      <c r="X847" s="247"/>
      <c r="Y847" s="247"/>
      <c r="Z847" s="247"/>
    </row>
    <row r="848">
      <c r="A848" s="247"/>
      <c r="B848" s="247"/>
      <c r="C848" s="247"/>
      <c r="D848" s="247"/>
      <c r="E848" s="247"/>
      <c r="F848" s="247"/>
      <c r="G848" s="247"/>
      <c r="H848" s="247"/>
      <c r="I848" s="247"/>
      <c r="J848" s="247"/>
      <c r="K848" s="247"/>
      <c r="L848" s="247"/>
      <c r="M848" s="253"/>
      <c r="N848" s="253"/>
      <c r="O848" s="253"/>
      <c r="P848" s="253"/>
      <c r="Q848" s="253"/>
      <c r="R848" s="253"/>
      <c r="S848" s="253"/>
      <c r="T848" s="253"/>
      <c r="U848" s="253"/>
      <c r="V848" s="247"/>
      <c r="W848" s="247"/>
      <c r="X848" s="247"/>
      <c r="Y848" s="247"/>
      <c r="Z848" s="247"/>
    </row>
    <row r="849">
      <c r="A849" s="247"/>
      <c r="B849" s="247"/>
      <c r="C849" s="247"/>
      <c r="D849" s="247"/>
      <c r="E849" s="247"/>
      <c r="F849" s="247"/>
      <c r="G849" s="247"/>
      <c r="H849" s="247"/>
      <c r="I849" s="247"/>
      <c r="J849" s="247"/>
      <c r="K849" s="247"/>
      <c r="L849" s="247"/>
      <c r="M849" s="253"/>
      <c r="N849" s="253"/>
      <c r="O849" s="253"/>
      <c r="P849" s="253"/>
      <c r="Q849" s="253"/>
      <c r="R849" s="253"/>
      <c r="S849" s="253"/>
      <c r="T849" s="253"/>
      <c r="U849" s="253"/>
      <c r="V849" s="247"/>
      <c r="W849" s="247"/>
      <c r="X849" s="247"/>
      <c r="Y849" s="247"/>
      <c r="Z849" s="247"/>
    </row>
    <row r="850">
      <c r="A850" s="247"/>
      <c r="B850" s="247"/>
      <c r="C850" s="247"/>
      <c r="D850" s="247"/>
      <c r="E850" s="247"/>
      <c r="F850" s="247"/>
      <c r="G850" s="247"/>
      <c r="H850" s="247"/>
      <c r="I850" s="247"/>
      <c r="J850" s="247"/>
      <c r="K850" s="247"/>
      <c r="L850" s="247"/>
      <c r="M850" s="253"/>
      <c r="N850" s="253"/>
      <c r="O850" s="253"/>
      <c r="P850" s="253"/>
      <c r="Q850" s="253"/>
      <c r="R850" s="253"/>
      <c r="S850" s="253"/>
      <c r="T850" s="253"/>
      <c r="U850" s="253"/>
      <c r="V850" s="247"/>
      <c r="W850" s="247"/>
      <c r="X850" s="247"/>
      <c r="Y850" s="247"/>
      <c r="Z850" s="247"/>
    </row>
    <row r="851">
      <c r="A851" s="247"/>
      <c r="B851" s="247"/>
      <c r="C851" s="247"/>
      <c r="D851" s="247"/>
      <c r="E851" s="247"/>
      <c r="F851" s="247"/>
      <c r="G851" s="247"/>
      <c r="H851" s="247"/>
      <c r="I851" s="247"/>
      <c r="J851" s="247"/>
      <c r="K851" s="247"/>
      <c r="L851" s="247"/>
      <c r="M851" s="253"/>
      <c r="N851" s="253"/>
      <c r="O851" s="253"/>
      <c r="P851" s="253"/>
      <c r="Q851" s="253"/>
      <c r="R851" s="253"/>
      <c r="S851" s="253"/>
      <c r="T851" s="253"/>
      <c r="U851" s="253"/>
      <c r="V851" s="247"/>
      <c r="W851" s="247"/>
      <c r="X851" s="247"/>
      <c r="Y851" s="247"/>
      <c r="Z851" s="247"/>
    </row>
    <row r="852">
      <c r="A852" s="247"/>
      <c r="B852" s="247"/>
      <c r="C852" s="247"/>
      <c r="D852" s="247"/>
      <c r="E852" s="247"/>
      <c r="F852" s="247"/>
      <c r="G852" s="247"/>
      <c r="H852" s="247"/>
      <c r="I852" s="247"/>
      <c r="J852" s="247"/>
      <c r="K852" s="247"/>
      <c r="L852" s="247"/>
      <c r="M852" s="253"/>
      <c r="N852" s="253"/>
      <c r="O852" s="253"/>
      <c r="P852" s="253"/>
      <c r="Q852" s="253"/>
      <c r="R852" s="253"/>
      <c r="S852" s="253"/>
      <c r="T852" s="253"/>
      <c r="U852" s="253"/>
      <c r="V852" s="247"/>
      <c r="W852" s="247"/>
      <c r="X852" s="247"/>
      <c r="Y852" s="247"/>
      <c r="Z852" s="247"/>
    </row>
    <row r="853">
      <c r="A853" s="247"/>
      <c r="B853" s="247"/>
      <c r="C853" s="247"/>
      <c r="D853" s="247"/>
      <c r="E853" s="247"/>
      <c r="F853" s="247"/>
      <c r="G853" s="247"/>
      <c r="H853" s="247"/>
      <c r="I853" s="247"/>
      <c r="J853" s="247"/>
      <c r="K853" s="247"/>
      <c r="L853" s="247"/>
      <c r="M853" s="253"/>
      <c r="N853" s="253"/>
      <c r="O853" s="253"/>
      <c r="P853" s="253"/>
      <c r="Q853" s="253"/>
      <c r="R853" s="253"/>
      <c r="S853" s="253"/>
      <c r="T853" s="253"/>
      <c r="U853" s="253"/>
      <c r="V853" s="247"/>
      <c r="W853" s="247"/>
      <c r="X853" s="247"/>
      <c r="Y853" s="247"/>
      <c r="Z853" s="247"/>
    </row>
    <row r="854">
      <c r="A854" s="247"/>
      <c r="B854" s="247"/>
      <c r="C854" s="247"/>
      <c r="D854" s="247"/>
      <c r="E854" s="247"/>
      <c r="F854" s="247"/>
      <c r="G854" s="247"/>
      <c r="H854" s="247"/>
      <c r="I854" s="247"/>
      <c r="J854" s="247"/>
      <c r="K854" s="247"/>
      <c r="L854" s="247"/>
      <c r="M854" s="253"/>
      <c r="N854" s="253"/>
      <c r="O854" s="253"/>
      <c r="P854" s="253"/>
      <c r="Q854" s="253"/>
      <c r="R854" s="253"/>
      <c r="S854" s="253"/>
      <c r="T854" s="253"/>
      <c r="U854" s="253"/>
      <c r="V854" s="247"/>
      <c r="W854" s="247"/>
      <c r="X854" s="247"/>
      <c r="Y854" s="247"/>
      <c r="Z854" s="247"/>
    </row>
    <row r="855">
      <c r="A855" s="247"/>
      <c r="B855" s="247"/>
      <c r="C855" s="247"/>
      <c r="D855" s="247"/>
      <c r="E855" s="247"/>
      <c r="F855" s="247"/>
      <c r="G855" s="247"/>
      <c r="H855" s="247"/>
      <c r="I855" s="247"/>
      <c r="J855" s="247"/>
      <c r="K855" s="247"/>
      <c r="L855" s="247"/>
      <c r="M855" s="253"/>
      <c r="N855" s="253"/>
      <c r="O855" s="253"/>
      <c r="P855" s="253"/>
      <c r="Q855" s="253"/>
      <c r="R855" s="253"/>
      <c r="S855" s="253"/>
      <c r="T855" s="253"/>
      <c r="U855" s="253"/>
      <c r="V855" s="247"/>
      <c r="W855" s="247"/>
      <c r="X855" s="247"/>
      <c r="Y855" s="247"/>
      <c r="Z855" s="247"/>
    </row>
    <row r="856">
      <c r="A856" s="247"/>
      <c r="B856" s="247"/>
      <c r="C856" s="247"/>
      <c r="D856" s="247"/>
      <c r="E856" s="247"/>
      <c r="F856" s="247"/>
      <c r="G856" s="247"/>
      <c r="H856" s="247"/>
      <c r="I856" s="247"/>
      <c r="J856" s="247"/>
      <c r="K856" s="247"/>
      <c r="L856" s="247"/>
      <c r="M856" s="253"/>
      <c r="N856" s="253"/>
      <c r="O856" s="253"/>
      <c r="P856" s="253"/>
      <c r="Q856" s="253"/>
      <c r="R856" s="253"/>
      <c r="S856" s="253"/>
      <c r="T856" s="253"/>
      <c r="U856" s="253"/>
      <c r="V856" s="247"/>
      <c r="W856" s="247"/>
      <c r="X856" s="247"/>
      <c r="Y856" s="247"/>
      <c r="Z856" s="247"/>
    </row>
    <row r="857">
      <c r="A857" s="247"/>
      <c r="B857" s="247"/>
      <c r="C857" s="247"/>
      <c r="D857" s="247"/>
      <c r="E857" s="247"/>
      <c r="F857" s="247"/>
      <c r="G857" s="247"/>
      <c r="H857" s="247"/>
      <c r="I857" s="247"/>
      <c r="J857" s="247"/>
      <c r="K857" s="247"/>
      <c r="L857" s="247"/>
      <c r="M857" s="253"/>
      <c r="N857" s="253"/>
      <c r="O857" s="253"/>
      <c r="P857" s="253"/>
      <c r="Q857" s="253"/>
      <c r="R857" s="253"/>
      <c r="S857" s="253"/>
      <c r="T857" s="253"/>
      <c r="U857" s="253"/>
      <c r="V857" s="247"/>
      <c r="W857" s="247"/>
      <c r="X857" s="247"/>
      <c r="Y857" s="247"/>
      <c r="Z857" s="247"/>
    </row>
    <row r="858">
      <c r="A858" s="247"/>
      <c r="B858" s="247"/>
      <c r="C858" s="247"/>
      <c r="D858" s="247"/>
      <c r="E858" s="247"/>
      <c r="F858" s="247"/>
      <c r="G858" s="247"/>
      <c r="H858" s="247"/>
      <c r="I858" s="247"/>
      <c r="J858" s="247"/>
      <c r="K858" s="247"/>
      <c r="L858" s="247"/>
      <c r="M858" s="253"/>
      <c r="N858" s="253"/>
      <c r="O858" s="253"/>
      <c r="P858" s="253"/>
      <c r="Q858" s="253"/>
      <c r="R858" s="253"/>
      <c r="S858" s="253"/>
      <c r="T858" s="253"/>
      <c r="U858" s="253"/>
      <c r="V858" s="247"/>
      <c r="W858" s="247"/>
      <c r="X858" s="247"/>
      <c r="Y858" s="247"/>
      <c r="Z858" s="247"/>
    </row>
    <row r="859">
      <c r="A859" s="247"/>
      <c r="B859" s="247"/>
      <c r="C859" s="247"/>
      <c r="D859" s="247"/>
      <c r="E859" s="247"/>
      <c r="F859" s="247"/>
      <c r="G859" s="247"/>
      <c r="H859" s="247"/>
      <c r="I859" s="247"/>
      <c r="J859" s="247"/>
      <c r="K859" s="247"/>
      <c r="L859" s="247"/>
      <c r="M859" s="253"/>
      <c r="N859" s="253"/>
      <c r="O859" s="253"/>
      <c r="P859" s="253"/>
      <c r="Q859" s="253"/>
      <c r="R859" s="253"/>
      <c r="S859" s="253"/>
      <c r="T859" s="253"/>
      <c r="U859" s="253"/>
      <c r="V859" s="247"/>
      <c r="W859" s="247"/>
      <c r="X859" s="247"/>
      <c r="Y859" s="247"/>
      <c r="Z859" s="247"/>
    </row>
    <row r="860">
      <c r="A860" s="247"/>
      <c r="B860" s="247"/>
      <c r="C860" s="247"/>
      <c r="D860" s="247"/>
      <c r="E860" s="247"/>
      <c r="F860" s="247"/>
      <c r="G860" s="247"/>
      <c r="H860" s="247"/>
      <c r="I860" s="247"/>
      <c r="J860" s="247"/>
      <c r="K860" s="247"/>
      <c r="L860" s="247"/>
      <c r="M860" s="253"/>
      <c r="N860" s="253"/>
      <c r="O860" s="253"/>
      <c r="P860" s="253"/>
      <c r="Q860" s="253"/>
      <c r="R860" s="253"/>
      <c r="S860" s="253"/>
      <c r="T860" s="253"/>
      <c r="U860" s="253"/>
      <c r="V860" s="247"/>
      <c r="W860" s="247"/>
      <c r="X860" s="247"/>
      <c r="Y860" s="247"/>
      <c r="Z860" s="247"/>
    </row>
    <row r="861">
      <c r="A861" s="247"/>
      <c r="B861" s="247"/>
      <c r="C861" s="247"/>
      <c r="D861" s="247"/>
      <c r="E861" s="247"/>
      <c r="F861" s="247"/>
      <c r="G861" s="247"/>
      <c r="H861" s="247"/>
      <c r="I861" s="247"/>
      <c r="J861" s="247"/>
      <c r="K861" s="247"/>
      <c r="L861" s="247"/>
      <c r="M861" s="253"/>
      <c r="N861" s="253"/>
      <c r="O861" s="253"/>
      <c r="P861" s="253"/>
      <c r="Q861" s="253"/>
      <c r="R861" s="253"/>
      <c r="S861" s="253"/>
      <c r="T861" s="253"/>
      <c r="U861" s="253"/>
      <c r="V861" s="247"/>
      <c r="W861" s="247"/>
      <c r="X861" s="247"/>
      <c r="Y861" s="247"/>
      <c r="Z861" s="247"/>
    </row>
    <row r="862">
      <c r="A862" s="247"/>
      <c r="B862" s="247"/>
      <c r="C862" s="247"/>
      <c r="D862" s="247"/>
      <c r="E862" s="247"/>
      <c r="F862" s="247"/>
      <c r="G862" s="247"/>
      <c r="H862" s="247"/>
      <c r="I862" s="247"/>
      <c r="J862" s="247"/>
      <c r="K862" s="247"/>
      <c r="L862" s="247"/>
      <c r="M862" s="253"/>
      <c r="N862" s="253"/>
      <c r="O862" s="253"/>
      <c r="P862" s="253"/>
      <c r="Q862" s="253"/>
      <c r="R862" s="253"/>
      <c r="S862" s="253"/>
      <c r="T862" s="253"/>
      <c r="U862" s="253"/>
      <c r="V862" s="247"/>
      <c r="W862" s="247"/>
      <c r="X862" s="247"/>
      <c r="Y862" s="247"/>
      <c r="Z862" s="247"/>
    </row>
    <row r="863">
      <c r="A863" s="247"/>
      <c r="B863" s="247"/>
      <c r="C863" s="247"/>
      <c r="D863" s="247"/>
      <c r="E863" s="247"/>
      <c r="F863" s="247"/>
      <c r="G863" s="247"/>
      <c r="H863" s="247"/>
      <c r="I863" s="247"/>
      <c r="J863" s="247"/>
      <c r="K863" s="247"/>
      <c r="L863" s="247"/>
      <c r="M863" s="253"/>
      <c r="N863" s="253"/>
      <c r="O863" s="253"/>
      <c r="P863" s="253"/>
      <c r="Q863" s="253"/>
      <c r="R863" s="253"/>
      <c r="S863" s="253"/>
      <c r="T863" s="253"/>
      <c r="U863" s="253"/>
      <c r="V863" s="247"/>
      <c r="W863" s="247"/>
      <c r="X863" s="247"/>
      <c r="Y863" s="247"/>
      <c r="Z863" s="247"/>
    </row>
    <row r="864">
      <c r="A864" s="247"/>
      <c r="B864" s="247"/>
      <c r="C864" s="247"/>
      <c r="D864" s="247"/>
      <c r="E864" s="247"/>
      <c r="F864" s="247"/>
      <c r="G864" s="247"/>
      <c r="H864" s="247"/>
      <c r="I864" s="247"/>
      <c r="J864" s="247"/>
      <c r="K864" s="247"/>
      <c r="L864" s="247"/>
      <c r="M864" s="253"/>
      <c r="N864" s="253"/>
      <c r="O864" s="253"/>
      <c r="P864" s="253"/>
      <c r="Q864" s="253"/>
      <c r="R864" s="253"/>
      <c r="S864" s="253"/>
      <c r="T864" s="253"/>
      <c r="U864" s="253"/>
      <c r="V864" s="247"/>
      <c r="W864" s="247"/>
      <c r="X864" s="247"/>
      <c r="Y864" s="247"/>
      <c r="Z864" s="247"/>
    </row>
    <row r="865">
      <c r="A865" s="247"/>
      <c r="B865" s="247"/>
      <c r="C865" s="247"/>
      <c r="D865" s="247"/>
      <c r="E865" s="247"/>
      <c r="F865" s="247"/>
      <c r="G865" s="247"/>
      <c r="H865" s="247"/>
      <c r="I865" s="247"/>
      <c r="J865" s="247"/>
      <c r="K865" s="247"/>
      <c r="L865" s="247"/>
      <c r="M865" s="253"/>
      <c r="N865" s="253"/>
      <c r="O865" s="253"/>
      <c r="P865" s="253"/>
      <c r="Q865" s="253"/>
      <c r="R865" s="253"/>
      <c r="S865" s="253"/>
      <c r="T865" s="253"/>
      <c r="U865" s="253"/>
      <c r="V865" s="247"/>
      <c r="W865" s="247"/>
      <c r="X865" s="247"/>
      <c r="Y865" s="247"/>
      <c r="Z865" s="247"/>
    </row>
    <row r="866">
      <c r="A866" s="247"/>
      <c r="B866" s="247"/>
      <c r="C866" s="247"/>
      <c r="D866" s="247"/>
      <c r="E866" s="247"/>
      <c r="F866" s="247"/>
      <c r="G866" s="247"/>
      <c r="H866" s="247"/>
      <c r="I866" s="247"/>
      <c r="J866" s="247"/>
      <c r="K866" s="247"/>
      <c r="L866" s="247"/>
      <c r="M866" s="253"/>
      <c r="N866" s="253"/>
      <c r="O866" s="253"/>
      <c r="P866" s="253"/>
      <c r="Q866" s="253"/>
      <c r="R866" s="253"/>
      <c r="S866" s="253"/>
      <c r="T866" s="253"/>
      <c r="U866" s="253"/>
      <c r="V866" s="247"/>
      <c r="W866" s="247"/>
      <c r="X866" s="247"/>
      <c r="Y866" s="247"/>
      <c r="Z866" s="247"/>
    </row>
    <row r="867">
      <c r="A867" s="247"/>
      <c r="B867" s="247"/>
      <c r="C867" s="247"/>
      <c r="D867" s="247"/>
      <c r="E867" s="247"/>
      <c r="F867" s="247"/>
      <c r="G867" s="247"/>
      <c r="H867" s="247"/>
      <c r="I867" s="247"/>
      <c r="J867" s="247"/>
      <c r="K867" s="247"/>
      <c r="L867" s="247"/>
      <c r="M867" s="253"/>
      <c r="N867" s="253"/>
      <c r="O867" s="253"/>
      <c r="P867" s="253"/>
      <c r="Q867" s="253"/>
      <c r="R867" s="253"/>
      <c r="S867" s="253"/>
      <c r="T867" s="253"/>
      <c r="U867" s="253"/>
      <c r="V867" s="247"/>
      <c r="W867" s="247"/>
      <c r="X867" s="247"/>
      <c r="Y867" s="247"/>
      <c r="Z867" s="247"/>
    </row>
    <row r="868">
      <c r="A868" s="247"/>
      <c r="B868" s="247"/>
      <c r="C868" s="247"/>
      <c r="D868" s="247"/>
      <c r="E868" s="247"/>
      <c r="F868" s="247"/>
      <c r="G868" s="247"/>
      <c r="H868" s="247"/>
      <c r="I868" s="247"/>
      <c r="J868" s="247"/>
      <c r="K868" s="247"/>
      <c r="L868" s="247"/>
      <c r="M868" s="253"/>
      <c r="N868" s="253"/>
      <c r="O868" s="253"/>
      <c r="P868" s="253"/>
      <c r="Q868" s="253"/>
      <c r="R868" s="253"/>
      <c r="S868" s="253"/>
      <c r="T868" s="253"/>
      <c r="U868" s="253"/>
      <c r="V868" s="247"/>
      <c r="W868" s="247"/>
      <c r="X868" s="247"/>
      <c r="Y868" s="247"/>
      <c r="Z868" s="247"/>
    </row>
    <row r="869">
      <c r="A869" s="247"/>
      <c r="B869" s="247"/>
      <c r="C869" s="247"/>
      <c r="D869" s="247"/>
      <c r="E869" s="247"/>
      <c r="F869" s="247"/>
      <c r="G869" s="247"/>
      <c r="H869" s="247"/>
      <c r="I869" s="247"/>
      <c r="J869" s="247"/>
      <c r="K869" s="247"/>
      <c r="L869" s="247"/>
      <c r="M869" s="253"/>
      <c r="N869" s="253"/>
      <c r="O869" s="253"/>
      <c r="P869" s="253"/>
      <c r="Q869" s="253"/>
      <c r="R869" s="253"/>
      <c r="S869" s="253"/>
      <c r="T869" s="253"/>
      <c r="U869" s="253"/>
      <c r="V869" s="247"/>
      <c r="W869" s="247"/>
      <c r="X869" s="247"/>
      <c r="Y869" s="247"/>
      <c r="Z869" s="247"/>
    </row>
    <row r="870">
      <c r="A870" s="247"/>
      <c r="B870" s="247"/>
      <c r="C870" s="247"/>
      <c r="D870" s="247"/>
      <c r="E870" s="247"/>
      <c r="F870" s="247"/>
      <c r="G870" s="247"/>
      <c r="H870" s="247"/>
      <c r="I870" s="247"/>
      <c r="J870" s="247"/>
      <c r="K870" s="247"/>
      <c r="L870" s="247"/>
      <c r="M870" s="253"/>
      <c r="N870" s="253"/>
      <c r="O870" s="253"/>
      <c r="P870" s="253"/>
      <c r="Q870" s="253"/>
      <c r="R870" s="253"/>
      <c r="S870" s="253"/>
      <c r="T870" s="253"/>
      <c r="U870" s="253"/>
      <c r="V870" s="247"/>
      <c r="W870" s="247"/>
      <c r="X870" s="247"/>
      <c r="Y870" s="247"/>
      <c r="Z870" s="247"/>
    </row>
    <row r="871">
      <c r="A871" s="247"/>
      <c r="B871" s="247"/>
      <c r="C871" s="247"/>
      <c r="D871" s="247"/>
      <c r="E871" s="247"/>
      <c r="F871" s="247"/>
      <c r="G871" s="247"/>
      <c r="H871" s="247"/>
      <c r="I871" s="247"/>
      <c r="J871" s="247"/>
      <c r="K871" s="247"/>
      <c r="L871" s="247"/>
      <c r="M871" s="253"/>
      <c r="N871" s="253"/>
      <c r="O871" s="253"/>
      <c r="P871" s="253"/>
      <c r="Q871" s="253"/>
      <c r="R871" s="253"/>
      <c r="S871" s="253"/>
      <c r="T871" s="253"/>
      <c r="U871" s="253"/>
      <c r="V871" s="247"/>
      <c r="W871" s="247"/>
      <c r="X871" s="247"/>
      <c r="Y871" s="247"/>
      <c r="Z871" s="247"/>
    </row>
    <row r="872">
      <c r="A872" s="247"/>
      <c r="B872" s="247"/>
      <c r="C872" s="247"/>
      <c r="D872" s="247"/>
      <c r="E872" s="247"/>
      <c r="F872" s="247"/>
      <c r="G872" s="247"/>
      <c r="H872" s="247"/>
      <c r="I872" s="247"/>
      <c r="J872" s="247"/>
      <c r="K872" s="247"/>
      <c r="L872" s="247"/>
      <c r="M872" s="253"/>
      <c r="N872" s="253"/>
      <c r="O872" s="253"/>
      <c r="P872" s="253"/>
      <c r="Q872" s="253"/>
      <c r="R872" s="253"/>
      <c r="S872" s="253"/>
      <c r="T872" s="253"/>
      <c r="U872" s="253"/>
      <c r="V872" s="247"/>
      <c r="W872" s="247"/>
      <c r="X872" s="247"/>
      <c r="Y872" s="247"/>
      <c r="Z872" s="247"/>
    </row>
    <row r="873">
      <c r="A873" s="247"/>
      <c r="B873" s="247"/>
      <c r="C873" s="247"/>
      <c r="D873" s="247"/>
      <c r="E873" s="247"/>
      <c r="F873" s="247"/>
      <c r="G873" s="247"/>
      <c r="H873" s="247"/>
      <c r="I873" s="247"/>
      <c r="J873" s="247"/>
      <c r="K873" s="247"/>
      <c r="L873" s="247"/>
      <c r="M873" s="253"/>
      <c r="N873" s="253"/>
      <c r="O873" s="253"/>
      <c r="P873" s="253"/>
      <c r="Q873" s="253"/>
      <c r="R873" s="253"/>
      <c r="S873" s="253"/>
      <c r="T873" s="253"/>
      <c r="U873" s="253"/>
      <c r="V873" s="247"/>
      <c r="W873" s="247"/>
      <c r="X873" s="247"/>
      <c r="Y873" s="247"/>
      <c r="Z873" s="247"/>
    </row>
    <row r="874">
      <c r="A874" s="247"/>
      <c r="B874" s="247"/>
      <c r="C874" s="247"/>
      <c r="D874" s="247"/>
      <c r="E874" s="247"/>
      <c r="F874" s="247"/>
      <c r="G874" s="247"/>
      <c r="H874" s="247"/>
      <c r="I874" s="247"/>
      <c r="J874" s="247"/>
      <c r="K874" s="247"/>
      <c r="L874" s="247"/>
      <c r="M874" s="253"/>
      <c r="N874" s="253"/>
      <c r="O874" s="253"/>
      <c r="P874" s="253"/>
      <c r="Q874" s="253"/>
      <c r="R874" s="253"/>
      <c r="S874" s="253"/>
      <c r="T874" s="253"/>
      <c r="U874" s="253"/>
      <c r="V874" s="247"/>
      <c r="W874" s="247"/>
      <c r="X874" s="247"/>
      <c r="Y874" s="247"/>
      <c r="Z874" s="247"/>
    </row>
    <row r="875">
      <c r="A875" s="247"/>
      <c r="B875" s="247"/>
      <c r="C875" s="247"/>
      <c r="D875" s="247"/>
      <c r="E875" s="247"/>
      <c r="F875" s="247"/>
      <c r="G875" s="247"/>
      <c r="H875" s="247"/>
      <c r="I875" s="247"/>
      <c r="J875" s="247"/>
      <c r="K875" s="247"/>
      <c r="L875" s="247"/>
      <c r="M875" s="253"/>
      <c r="N875" s="253"/>
      <c r="O875" s="253"/>
      <c r="P875" s="253"/>
      <c r="Q875" s="253"/>
      <c r="R875" s="253"/>
      <c r="S875" s="253"/>
      <c r="T875" s="253"/>
      <c r="U875" s="253"/>
      <c r="V875" s="247"/>
      <c r="W875" s="247"/>
      <c r="X875" s="247"/>
      <c r="Y875" s="247"/>
      <c r="Z875" s="247"/>
    </row>
    <row r="876">
      <c r="A876" s="247"/>
      <c r="B876" s="247"/>
      <c r="C876" s="247"/>
      <c r="D876" s="247"/>
      <c r="E876" s="247"/>
      <c r="F876" s="247"/>
      <c r="G876" s="247"/>
      <c r="H876" s="247"/>
      <c r="I876" s="247"/>
      <c r="J876" s="247"/>
      <c r="K876" s="247"/>
      <c r="L876" s="247"/>
      <c r="M876" s="253"/>
      <c r="N876" s="253"/>
      <c r="O876" s="253"/>
      <c r="P876" s="253"/>
      <c r="Q876" s="253"/>
      <c r="R876" s="253"/>
      <c r="S876" s="253"/>
      <c r="T876" s="253"/>
      <c r="U876" s="253"/>
      <c r="V876" s="247"/>
      <c r="W876" s="247"/>
      <c r="X876" s="247"/>
      <c r="Y876" s="247"/>
      <c r="Z876" s="247"/>
    </row>
    <row r="877">
      <c r="A877" s="247"/>
      <c r="B877" s="247"/>
      <c r="C877" s="247"/>
      <c r="D877" s="247"/>
      <c r="E877" s="247"/>
      <c r="F877" s="247"/>
      <c r="G877" s="247"/>
      <c r="H877" s="247"/>
      <c r="I877" s="247"/>
      <c r="J877" s="247"/>
      <c r="K877" s="247"/>
      <c r="L877" s="247"/>
      <c r="M877" s="253"/>
      <c r="N877" s="253"/>
      <c r="O877" s="253"/>
      <c r="P877" s="253"/>
      <c r="Q877" s="253"/>
      <c r="R877" s="253"/>
      <c r="S877" s="253"/>
      <c r="T877" s="253"/>
      <c r="U877" s="253"/>
      <c r="V877" s="247"/>
      <c r="W877" s="247"/>
      <c r="X877" s="247"/>
      <c r="Y877" s="247"/>
      <c r="Z877" s="247"/>
    </row>
    <row r="878">
      <c r="A878" s="247"/>
      <c r="B878" s="247"/>
      <c r="C878" s="247"/>
      <c r="D878" s="247"/>
      <c r="E878" s="247"/>
      <c r="F878" s="247"/>
      <c r="G878" s="247"/>
      <c r="H878" s="247"/>
      <c r="I878" s="247"/>
      <c r="J878" s="247"/>
      <c r="K878" s="247"/>
      <c r="L878" s="247"/>
      <c r="M878" s="253"/>
      <c r="N878" s="253"/>
      <c r="O878" s="253"/>
      <c r="P878" s="253"/>
      <c r="Q878" s="253"/>
      <c r="R878" s="253"/>
      <c r="S878" s="253"/>
      <c r="T878" s="253"/>
      <c r="U878" s="253"/>
      <c r="V878" s="247"/>
      <c r="W878" s="247"/>
      <c r="X878" s="247"/>
      <c r="Y878" s="247"/>
      <c r="Z878" s="247"/>
    </row>
    <row r="879">
      <c r="A879" s="247"/>
      <c r="B879" s="247"/>
      <c r="C879" s="247"/>
      <c r="D879" s="247"/>
      <c r="E879" s="247"/>
      <c r="F879" s="247"/>
      <c r="G879" s="247"/>
      <c r="H879" s="247"/>
      <c r="I879" s="247"/>
      <c r="J879" s="247"/>
      <c r="K879" s="247"/>
      <c r="L879" s="247"/>
      <c r="M879" s="253"/>
      <c r="N879" s="253"/>
      <c r="O879" s="253"/>
      <c r="P879" s="253"/>
      <c r="Q879" s="253"/>
      <c r="R879" s="253"/>
      <c r="S879" s="253"/>
      <c r="T879" s="253"/>
      <c r="U879" s="253"/>
      <c r="V879" s="247"/>
      <c r="W879" s="247"/>
      <c r="X879" s="247"/>
      <c r="Y879" s="247"/>
      <c r="Z879" s="247"/>
    </row>
    <row r="880">
      <c r="A880" s="247"/>
      <c r="B880" s="247"/>
      <c r="C880" s="247"/>
      <c r="D880" s="247"/>
      <c r="E880" s="247"/>
      <c r="F880" s="247"/>
      <c r="G880" s="247"/>
      <c r="H880" s="247"/>
      <c r="I880" s="247"/>
      <c r="J880" s="247"/>
      <c r="K880" s="247"/>
      <c r="L880" s="247"/>
      <c r="M880" s="253"/>
      <c r="N880" s="253"/>
      <c r="O880" s="253"/>
      <c r="P880" s="253"/>
      <c r="Q880" s="253"/>
      <c r="R880" s="253"/>
      <c r="S880" s="253"/>
      <c r="T880" s="253"/>
      <c r="U880" s="253"/>
      <c r="V880" s="247"/>
      <c r="W880" s="247"/>
      <c r="X880" s="247"/>
      <c r="Y880" s="247"/>
      <c r="Z880" s="247"/>
    </row>
    <row r="881">
      <c r="A881" s="247"/>
      <c r="B881" s="247"/>
      <c r="C881" s="247"/>
      <c r="D881" s="247"/>
      <c r="E881" s="247"/>
      <c r="F881" s="247"/>
      <c r="G881" s="247"/>
      <c r="H881" s="247"/>
      <c r="I881" s="247"/>
      <c r="J881" s="247"/>
      <c r="K881" s="247"/>
      <c r="L881" s="247"/>
      <c r="M881" s="253"/>
      <c r="N881" s="253"/>
      <c r="O881" s="253"/>
      <c r="P881" s="253"/>
      <c r="Q881" s="253"/>
      <c r="R881" s="253"/>
      <c r="S881" s="253"/>
      <c r="T881" s="253"/>
      <c r="U881" s="253"/>
      <c r="V881" s="247"/>
      <c r="W881" s="247"/>
      <c r="X881" s="247"/>
      <c r="Y881" s="247"/>
      <c r="Z881" s="247"/>
    </row>
    <row r="882">
      <c r="A882" s="247"/>
      <c r="B882" s="247"/>
      <c r="C882" s="247"/>
      <c r="D882" s="247"/>
      <c r="E882" s="247"/>
      <c r="F882" s="247"/>
      <c r="G882" s="247"/>
      <c r="H882" s="247"/>
      <c r="I882" s="247"/>
      <c r="J882" s="247"/>
      <c r="K882" s="247"/>
      <c r="L882" s="247"/>
      <c r="M882" s="253"/>
      <c r="N882" s="253"/>
      <c r="O882" s="253"/>
      <c r="P882" s="253"/>
      <c r="Q882" s="253"/>
      <c r="R882" s="253"/>
      <c r="S882" s="253"/>
      <c r="T882" s="253"/>
      <c r="U882" s="253"/>
      <c r="V882" s="247"/>
      <c r="W882" s="247"/>
      <c r="X882" s="247"/>
      <c r="Y882" s="247"/>
      <c r="Z882" s="247"/>
    </row>
    <row r="883">
      <c r="A883" s="247"/>
      <c r="B883" s="247"/>
      <c r="C883" s="247"/>
      <c r="D883" s="247"/>
      <c r="E883" s="247"/>
      <c r="F883" s="247"/>
      <c r="G883" s="247"/>
      <c r="H883" s="247"/>
      <c r="I883" s="247"/>
      <c r="J883" s="247"/>
      <c r="K883" s="247"/>
      <c r="L883" s="247"/>
      <c r="M883" s="253"/>
      <c r="N883" s="253"/>
      <c r="O883" s="253"/>
      <c r="P883" s="253"/>
      <c r="Q883" s="253"/>
      <c r="R883" s="253"/>
      <c r="S883" s="253"/>
      <c r="T883" s="253"/>
      <c r="U883" s="253"/>
      <c r="V883" s="247"/>
      <c r="W883" s="247"/>
      <c r="X883" s="247"/>
      <c r="Y883" s="247"/>
      <c r="Z883" s="247"/>
    </row>
    <row r="884">
      <c r="A884" s="247"/>
      <c r="B884" s="247"/>
      <c r="C884" s="247"/>
      <c r="D884" s="247"/>
      <c r="E884" s="247"/>
      <c r="F884" s="247"/>
      <c r="G884" s="247"/>
      <c r="H884" s="247"/>
      <c r="I884" s="247"/>
      <c r="J884" s="247"/>
      <c r="K884" s="247"/>
      <c r="L884" s="247"/>
      <c r="M884" s="253"/>
      <c r="N884" s="253"/>
      <c r="O884" s="253"/>
      <c r="P884" s="253"/>
      <c r="Q884" s="253"/>
      <c r="R884" s="253"/>
      <c r="S884" s="253"/>
      <c r="T884" s="253"/>
      <c r="U884" s="253"/>
      <c r="V884" s="247"/>
      <c r="W884" s="247"/>
      <c r="X884" s="247"/>
      <c r="Y884" s="247"/>
      <c r="Z884" s="247"/>
    </row>
    <row r="885">
      <c r="A885" s="247"/>
      <c r="B885" s="247"/>
      <c r="C885" s="247"/>
      <c r="D885" s="247"/>
      <c r="E885" s="247"/>
      <c r="F885" s="247"/>
      <c r="G885" s="247"/>
      <c r="H885" s="247"/>
      <c r="I885" s="247"/>
      <c r="J885" s="247"/>
      <c r="K885" s="247"/>
      <c r="L885" s="247"/>
      <c r="M885" s="253"/>
      <c r="N885" s="253"/>
      <c r="O885" s="253"/>
      <c r="P885" s="253"/>
      <c r="Q885" s="253"/>
      <c r="R885" s="253"/>
      <c r="S885" s="253"/>
      <c r="T885" s="253"/>
      <c r="U885" s="253"/>
      <c r="V885" s="247"/>
      <c r="W885" s="247"/>
      <c r="X885" s="247"/>
      <c r="Y885" s="247"/>
      <c r="Z885" s="247"/>
    </row>
    <row r="886">
      <c r="A886" s="247"/>
      <c r="B886" s="247"/>
      <c r="C886" s="247"/>
      <c r="D886" s="247"/>
      <c r="E886" s="247"/>
      <c r="F886" s="247"/>
      <c r="G886" s="247"/>
      <c r="H886" s="247"/>
      <c r="I886" s="247"/>
      <c r="J886" s="247"/>
      <c r="K886" s="247"/>
      <c r="L886" s="247"/>
      <c r="M886" s="253"/>
      <c r="N886" s="253"/>
      <c r="O886" s="253"/>
      <c r="P886" s="253"/>
      <c r="Q886" s="253"/>
      <c r="R886" s="253"/>
      <c r="S886" s="253"/>
      <c r="T886" s="253"/>
      <c r="U886" s="253"/>
      <c r="V886" s="247"/>
      <c r="W886" s="247"/>
      <c r="X886" s="247"/>
      <c r="Y886" s="247"/>
      <c r="Z886" s="247"/>
    </row>
    <row r="887">
      <c r="A887" s="247"/>
      <c r="B887" s="247"/>
      <c r="C887" s="247"/>
      <c r="D887" s="247"/>
      <c r="E887" s="247"/>
      <c r="F887" s="247"/>
      <c r="G887" s="247"/>
      <c r="H887" s="247"/>
      <c r="I887" s="247"/>
      <c r="J887" s="247"/>
      <c r="K887" s="247"/>
      <c r="L887" s="247"/>
      <c r="M887" s="253"/>
      <c r="N887" s="253"/>
      <c r="O887" s="253"/>
      <c r="P887" s="253"/>
      <c r="Q887" s="253"/>
      <c r="R887" s="253"/>
      <c r="S887" s="253"/>
      <c r="T887" s="253"/>
      <c r="U887" s="253"/>
      <c r="V887" s="247"/>
      <c r="W887" s="247"/>
      <c r="X887" s="247"/>
      <c r="Y887" s="247"/>
      <c r="Z887" s="247"/>
    </row>
    <row r="888">
      <c r="A888" s="247"/>
      <c r="B888" s="247"/>
      <c r="C888" s="247"/>
      <c r="D888" s="247"/>
      <c r="E888" s="247"/>
      <c r="F888" s="247"/>
      <c r="G888" s="247"/>
      <c r="H888" s="247"/>
      <c r="I888" s="247"/>
      <c r="J888" s="247"/>
      <c r="K888" s="247"/>
      <c r="L888" s="247"/>
      <c r="M888" s="253"/>
      <c r="N888" s="253"/>
      <c r="O888" s="253"/>
      <c r="P888" s="253"/>
      <c r="Q888" s="253"/>
      <c r="R888" s="253"/>
      <c r="S888" s="253"/>
      <c r="T888" s="253"/>
      <c r="U888" s="253"/>
      <c r="V888" s="247"/>
      <c r="W888" s="247"/>
      <c r="X888" s="247"/>
      <c r="Y888" s="247"/>
      <c r="Z888" s="247"/>
    </row>
    <row r="889">
      <c r="A889" s="247"/>
      <c r="B889" s="247"/>
      <c r="C889" s="247"/>
      <c r="D889" s="247"/>
      <c r="E889" s="247"/>
      <c r="F889" s="247"/>
      <c r="G889" s="247"/>
      <c r="H889" s="247"/>
      <c r="I889" s="247"/>
      <c r="J889" s="247"/>
      <c r="K889" s="247"/>
      <c r="L889" s="247"/>
      <c r="M889" s="253"/>
      <c r="N889" s="253"/>
      <c r="O889" s="253"/>
      <c r="P889" s="253"/>
      <c r="Q889" s="253"/>
      <c r="R889" s="253"/>
      <c r="S889" s="253"/>
      <c r="T889" s="253"/>
      <c r="U889" s="253"/>
      <c r="V889" s="247"/>
      <c r="W889" s="247"/>
      <c r="X889" s="247"/>
      <c r="Y889" s="247"/>
      <c r="Z889" s="247"/>
    </row>
    <row r="890">
      <c r="A890" s="247"/>
      <c r="B890" s="247"/>
      <c r="C890" s="247"/>
      <c r="D890" s="247"/>
      <c r="E890" s="247"/>
      <c r="F890" s="247"/>
      <c r="G890" s="247"/>
      <c r="H890" s="247"/>
      <c r="I890" s="247"/>
      <c r="J890" s="247"/>
      <c r="K890" s="247"/>
      <c r="L890" s="247"/>
      <c r="M890" s="253"/>
      <c r="N890" s="253"/>
      <c r="O890" s="253"/>
      <c r="P890" s="253"/>
      <c r="Q890" s="253"/>
      <c r="R890" s="253"/>
      <c r="S890" s="253"/>
      <c r="T890" s="253"/>
      <c r="U890" s="253"/>
      <c r="V890" s="247"/>
      <c r="W890" s="247"/>
      <c r="X890" s="247"/>
      <c r="Y890" s="247"/>
      <c r="Z890" s="247"/>
    </row>
    <row r="891">
      <c r="A891" s="247"/>
      <c r="B891" s="247"/>
      <c r="C891" s="247"/>
      <c r="D891" s="247"/>
      <c r="E891" s="247"/>
      <c r="F891" s="247"/>
      <c r="G891" s="247"/>
      <c r="H891" s="247"/>
      <c r="I891" s="247"/>
      <c r="J891" s="247"/>
      <c r="K891" s="247"/>
      <c r="L891" s="247"/>
      <c r="M891" s="253"/>
      <c r="N891" s="253"/>
      <c r="O891" s="253"/>
      <c r="P891" s="253"/>
      <c r="Q891" s="253"/>
      <c r="R891" s="253"/>
      <c r="S891" s="253"/>
      <c r="T891" s="253"/>
      <c r="U891" s="253"/>
      <c r="V891" s="247"/>
      <c r="W891" s="247"/>
      <c r="X891" s="247"/>
      <c r="Y891" s="247"/>
      <c r="Z891" s="247"/>
    </row>
    <row r="892">
      <c r="A892" s="247"/>
      <c r="B892" s="247"/>
      <c r="C892" s="247"/>
      <c r="D892" s="247"/>
      <c r="E892" s="247"/>
      <c r="F892" s="247"/>
      <c r="G892" s="247"/>
      <c r="H892" s="247"/>
      <c r="I892" s="247"/>
      <c r="J892" s="247"/>
      <c r="K892" s="247"/>
      <c r="L892" s="247"/>
      <c r="M892" s="253"/>
      <c r="N892" s="253"/>
      <c r="O892" s="253"/>
      <c r="P892" s="253"/>
      <c r="Q892" s="253"/>
      <c r="R892" s="253"/>
      <c r="S892" s="253"/>
      <c r="T892" s="253"/>
      <c r="U892" s="253"/>
      <c r="V892" s="247"/>
      <c r="W892" s="247"/>
      <c r="X892" s="247"/>
      <c r="Y892" s="247"/>
      <c r="Z892" s="247"/>
    </row>
    <row r="893">
      <c r="A893" s="247"/>
      <c r="B893" s="247"/>
      <c r="C893" s="247"/>
      <c r="D893" s="247"/>
      <c r="E893" s="247"/>
      <c r="F893" s="247"/>
      <c r="G893" s="247"/>
      <c r="H893" s="247"/>
      <c r="I893" s="247"/>
      <c r="J893" s="247"/>
      <c r="K893" s="247"/>
      <c r="L893" s="247"/>
      <c r="M893" s="253"/>
      <c r="N893" s="253"/>
      <c r="O893" s="253"/>
      <c r="P893" s="253"/>
      <c r="Q893" s="253"/>
      <c r="R893" s="253"/>
      <c r="S893" s="253"/>
      <c r="T893" s="253"/>
      <c r="U893" s="253"/>
      <c r="V893" s="247"/>
      <c r="W893" s="247"/>
      <c r="X893" s="247"/>
      <c r="Y893" s="247"/>
      <c r="Z893" s="247"/>
    </row>
    <row r="894">
      <c r="A894" s="247"/>
      <c r="B894" s="247"/>
      <c r="C894" s="247"/>
      <c r="D894" s="247"/>
      <c r="E894" s="247"/>
      <c r="F894" s="247"/>
      <c r="G894" s="247"/>
      <c r="H894" s="247"/>
      <c r="I894" s="247"/>
      <c r="J894" s="247"/>
      <c r="K894" s="247"/>
      <c r="L894" s="247"/>
      <c r="M894" s="253"/>
      <c r="N894" s="253"/>
      <c r="O894" s="253"/>
      <c r="P894" s="253"/>
      <c r="Q894" s="253"/>
      <c r="R894" s="253"/>
      <c r="S894" s="253"/>
      <c r="T894" s="253"/>
      <c r="U894" s="253"/>
      <c r="V894" s="247"/>
      <c r="W894" s="247"/>
      <c r="X894" s="247"/>
      <c r="Y894" s="247"/>
      <c r="Z894" s="247"/>
    </row>
    <row r="895">
      <c r="A895" s="247"/>
      <c r="B895" s="247"/>
      <c r="C895" s="247"/>
      <c r="D895" s="247"/>
      <c r="E895" s="247"/>
      <c r="F895" s="247"/>
      <c r="G895" s="247"/>
      <c r="H895" s="247"/>
      <c r="I895" s="247"/>
      <c r="J895" s="247"/>
      <c r="K895" s="247"/>
      <c r="L895" s="247"/>
      <c r="M895" s="253"/>
      <c r="N895" s="253"/>
      <c r="O895" s="253"/>
      <c r="P895" s="253"/>
      <c r="Q895" s="253"/>
      <c r="R895" s="253"/>
      <c r="S895" s="253"/>
      <c r="T895" s="253"/>
      <c r="U895" s="253"/>
      <c r="V895" s="247"/>
      <c r="W895" s="247"/>
      <c r="X895" s="247"/>
      <c r="Y895" s="247"/>
      <c r="Z895" s="247"/>
    </row>
    <row r="896">
      <c r="A896" s="247"/>
      <c r="B896" s="247"/>
      <c r="C896" s="247"/>
      <c r="D896" s="247"/>
      <c r="E896" s="247"/>
      <c r="F896" s="247"/>
      <c r="G896" s="247"/>
      <c r="H896" s="247"/>
      <c r="I896" s="247"/>
      <c r="J896" s="247"/>
      <c r="K896" s="247"/>
      <c r="L896" s="247"/>
      <c r="M896" s="253"/>
      <c r="N896" s="253"/>
      <c r="O896" s="253"/>
      <c r="P896" s="253"/>
      <c r="Q896" s="253"/>
      <c r="R896" s="253"/>
      <c r="S896" s="253"/>
      <c r="T896" s="253"/>
      <c r="U896" s="253"/>
      <c r="V896" s="247"/>
      <c r="W896" s="247"/>
      <c r="X896" s="247"/>
      <c r="Y896" s="247"/>
      <c r="Z896" s="247"/>
    </row>
    <row r="897">
      <c r="A897" s="247"/>
      <c r="B897" s="247"/>
      <c r="C897" s="247"/>
      <c r="D897" s="247"/>
      <c r="E897" s="247"/>
      <c r="F897" s="247"/>
      <c r="G897" s="247"/>
      <c r="H897" s="247"/>
      <c r="I897" s="247"/>
      <c r="J897" s="247"/>
      <c r="K897" s="247"/>
      <c r="L897" s="247"/>
      <c r="M897" s="253"/>
      <c r="N897" s="253"/>
      <c r="O897" s="253"/>
      <c r="P897" s="253"/>
      <c r="Q897" s="253"/>
      <c r="R897" s="253"/>
      <c r="S897" s="253"/>
      <c r="T897" s="253"/>
      <c r="U897" s="253"/>
      <c r="V897" s="247"/>
      <c r="W897" s="247"/>
      <c r="X897" s="247"/>
      <c r="Y897" s="247"/>
      <c r="Z897" s="247"/>
    </row>
    <row r="898">
      <c r="A898" s="247"/>
      <c r="B898" s="247"/>
      <c r="C898" s="247"/>
      <c r="D898" s="247"/>
      <c r="E898" s="247"/>
      <c r="F898" s="247"/>
      <c r="G898" s="247"/>
      <c r="H898" s="247"/>
      <c r="I898" s="247"/>
      <c r="J898" s="247"/>
      <c r="K898" s="247"/>
      <c r="L898" s="247"/>
      <c r="M898" s="253"/>
      <c r="N898" s="253"/>
      <c r="O898" s="253"/>
      <c r="P898" s="253"/>
      <c r="Q898" s="253"/>
      <c r="R898" s="253"/>
      <c r="S898" s="253"/>
      <c r="T898" s="253"/>
      <c r="U898" s="253"/>
      <c r="V898" s="247"/>
      <c r="W898" s="247"/>
      <c r="X898" s="247"/>
      <c r="Y898" s="247"/>
      <c r="Z898" s="247"/>
    </row>
    <row r="899">
      <c r="A899" s="247"/>
      <c r="B899" s="247"/>
      <c r="C899" s="247"/>
      <c r="D899" s="247"/>
      <c r="E899" s="247"/>
      <c r="F899" s="247"/>
      <c r="G899" s="247"/>
      <c r="H899" s="247"/>
      <c r="I899" s="247"/>
      <c r="J899" s="247"/>
      <c r="K899" s="247"/>
      <c r="L899" s="247"/>
      <c r="M899" s="253"/>
      <c r="N899" s="253"/>
      <c r="O899" s="253"/>
      <c r="P899" s="253"/>
      <c r="Q899" s="253"/>
      <c r="R899" s="253"/>
      <c r="S899" s="253"/>
      <c r="T899" s="253"/>
      <c r="U899" s="253"/>
      <c r="V899" s="247"/>
      <c r="W899" s="247"/>
      <c r="X899" s="247"/>
      <c r="Y899" s="247"/>
      <c r="Z899" s="247"/>
    </row>
    <row r="900">
      <c r="A900" s="247"/>
      <c r="B900" s="247"/>
      <c r="C900" s="247"/>
      <c r="D900" s="247"/>
      <c r="E900" s="247"/>
      <c r="F900" s="247"/>
      <c r="G900" s="247"/>
      <c r="H900" s="247"/>
      <c r="I900" s="247"/>
      <c r="J900" s="247"/>
      <c r="K900" s="247"/>
      <c r="L900" s="247"/>
      <c r="M900" s="253"/>
      <c r="N900" s="253"/>
      <c r="O900" s="253"/>
      <c r="P900" s="253"/>
      <c r="Q900" s="253"/>
      <c r="R900" s="253"/>
      <c r="S900" s="253"/>
      <c r="T900" s="253"/>
      <c r="U900" s="253"/>
      <c r="V900" s="247"/>
      <c r="W900" s="247"/>
      <c r="X900" s="247"/>
      <c r="Y900" s="247"/>
      <c r="Z900" s="247"/>
    </row>
    <row r="901">
      <c r="A901" s="247"/>
      <c r="B901" s="247"/>
      <c r="C901" s="247"/>
      <c r="D901" s="247"/>
      <c r="E901" s="247"/>
      <c r="F901" s="247"/>
      <c r="G901" s="247"/>
      <c r="H901" s="247"/>
      <c r="I901" s="247"/>
      <c r="J901" s="247"/>
      <c r="K901" s="247"/>
      <c r="L901" s="247"/>
      <c r="M901" s="253"/>
      <c r="N901" s="253"/>
      <c r="O901" s="253"/>
      <c r="P901" s="253"/>
      <c r="Q901" s="253"/>
      <c r="R901" s="253"/>
      <c r="S901" s="253"/>
      <c r="T901" s="253"/>
      <c r="U901" s="253"/>
      <c r="V901" s="247"/>
      <c r="W901" s="247"/>
      <c r="X901" s="247"/>
      <c r="Y901" s="247"/>
      <c r="Z901" s="247"/>
    </row>
    <row r="902">
      <c r="A902" s="247"/>
      <c r="B902" s="247"/>
      <c r="C902" s="247"/>
      <c r="D902" s="247"/>
      <c r="E902" s="247"/>
      <c r="F902" s="247"/>
      <c r="G902" s="247"/>
      <c r="H902" s="247"/>
      <c r="I902" s="247"/>
      <c r="J902" s="247"/>
      <c r="K902" s="247"/>
      <c r="L902" s="247"/>
      <c r="M902" s="253"/>
      <c r="N902" s="253"/>
      <c r="O902" s="253"/>
      <c r="P902" s="253"/>
      <c r="Q902" s="253"/>
      <c r="R902" s="253"/>
      <c r="S902" s="253"/>
      <c r="T902" s="253"/>
      <c r="U902" s="253"/>
      <c r="V902" s="247"/>
      <c r="W902" s="247"/>
      <c r="X902" s="247"/>
      <c r="Y902" s="247"/>
      <c r="Z902" s="247"/>
    </row>
    <row r="903">
      <c r="A903" s="247"/>
      <c r="B903" s="247"/>
      <c r="C903" s="247"/>
      <c r="D903" s="247"/>
      <c r="E903" s="247"/>
      <c r="F903" s="247"/>
      <c r="G903" s="247"/>
      <c r="H903" s="247"/>
      <c r="I903" s="247"/>
      <c r="J903" s="247"/>
      <c r="K903" s="247"/>
      <c r="L903" s="247"/>
      <c r="M903" s="253"/>
      <c r="N903" s="253"/>
      <c r="O903" s="253"/>
      <c r="P903" s="253"/>
      <c r="Q903" s="253"/>
      <c r="R903" s="253"/>
      <c r="S903" s="253"/>
      <c r="T903" s="253"/>
      <c r="U903" s="253"/>
      <c r="V903" s="247"/>
      <c r="W903" s="247"/>
      <c r="X903" s="247"/>
      <c r="Y903" s="247"/>
      <c r="Z903" s="247"/>
    </row>
    <row r="904">
      <c r="A904" s="247"/>
      <c r="B904" s="247"/>
      <c r="C904" s="247"/>
      <c r="D904" s="247"/>
      <c r="E904" s="247"/>
      <c r="F904" s="247"/>
      <c r="G904" s="247"/>
      <c r="H904" s="247"/>
      <c r="I904" s="247"/>
      <c r="J904" s="247"/>
      <c r="K904" s="247"/>
      <c r="L904" s="247"/>
      <c r="M904" s="253"/>
      <c r="N904" s="253"/>
      <c r="O904" s="253"/>
      <c r="P904" s="253"/>
      <c r="Q904" s="253"/>
      <c r="R904" s="253"/>
      <c r="S904" s="253"/>
      <c r="T904" s="253"/>
      <c r="U904" s="253"/>
      <c r="V904" s="247"/>
      <c r="W904" s="247"/>
      <c r="X904" s="247"/>
      <c r="Y904" s="247"/>
      <c r="Z904" s="247"/>
    </row>
    <row r="905">
      <c r="A905" s="247"/>
      <c r="B905" s="247"/>
      <c r="C905" s="247"/>
      <c r="D905" s="247"/>
      <c r="E905" s="247"/>
      <c r="F905" s="247"/>
      <c r="G905" s="247"/>
      <c r="H905" s="247"/>
      <c r="I905" s="247"/>
      <c r="J905" s="247"/>
      <c r="K905" s="247"/>
      <c r="L905" s="247"/>
      <c r="M905" s="253"/>
      <c r="N905" s="253"/>
      <c r="O905" s="253"/>
      <c r="P905" s="253"/>
      <c r="Q905" s="253"/>
      <c r="R905" s="253"/>
      <c r="S905" s="253"/>
      <c r="T905" s="253"/>
      <c r="U905" s="253"/>
      <c r="V905" s="247"/>
      <c r="W905" s="247"/>
      <c r="X905" s="247"/>
      <c r="Y905" s="247"/>
      <c r="Z905" s="247"/>
    </row>
    <row r="906">
      <c r="A906" s="247"/>
      <c r="B906" s="247"/>
      <c r="C906" s="247"/>
      <c r="D906" s="247"/>
      <c r="E906" s="247"/>
      <c r="F906" s="247"/>
      <c r="G906" s="247"/>
      <c r="H906" s="247"/>
      <c r="I906" s="247"/>
      <c r="J906" s="247"/>
      <c r="K906" s="247"/>
      <c r="L906" s="247"/>
      <c r="M906" s="253"/>
      <c r="N906" s="253"/>
      <c r="O906" s="253"/>
      <c r="P906" s="253"/>
      <c r="Q906" s="253"/>
      <c r="R906" s="253"/>
      <c r="S906" s="253"/>
      <c r="T906" s="253"/>
      <c r="U906" s="253"/>
      <c r="V906" s="247"/>
      <c r="W906" s="247"/>
      <c r="X906" s="247"/>
      <c r="Y906" s="247"/>
      <c r="Z906" s="247"/>
    </row>
    <row r="907">
      <c r="A907" s="247"/>
      <c r="B907" s="247"/>
      <c r="C907" s="247"/>
      <c r="D907" s="247"/>
      <c r="E907" s="247"/>
      <c r="F907" s="247"/>
      <c r="G907" s="247"/>
      <c r="H907" s="247"/>
      <c r="I907" s="247"/>
      <c r="J907" s="247"/>
      <c r="K907" s="247"/>
      <c r="L907" s="247"/>
      <c r="M907" s="253"/>
      <c r="N907" s="253"/>
      <c r="O907" s="253"/>
      <c r="P907" s="253"/>
      <c r="Q907" s="253"/>
      <c r="R907" s="253"/>
      <c r="S907" s="253"/>
      <c r="T907" s="253"/>
      <c r="U907" s="253"/>
      <c r="V907" s="247"/>
      <c r="W907" s="247"/>
      <c r="X907" s="247"/>
      <c r="Y907" s="247"/>
      <c r="Z907" s="247"/>
    </row>
    <row r="908">
      <c r="A908" s="247"/>
      <c r="B908" s="247"/>
      <c r="C908" s="247"/>
      <c r="D908" s="247"/>
      <c r="E908" s="247"/>
      <c r="F908" s="247"/>
      <c r="G908" s="247"/>
      <c r="H908" s="247"/>
      <c r="I908" s="247"/>
      <c r="J908" s="247"/>
      <c r="K908" s="247"/>
      <c r="L908" s="247"/>
      <c r="M908" s="253"/>
      <c r="N908" s="253"/>
      <c r="O908" s="253"/>
      <c r="P908" s="253"/>
      <c r="Q908" s="253"/>
      <c r="R908" s="253"/>
      <c r="S908" s="253"/>
      <c r="T908" s="253"/>
      <c r="U908" s="253"/>
      <c r="V908" s="247"/>
      <c r="W908" s="247"/>
      <c r="X908" s="247"/>
      <c r="Y908" s="247"/>
      <c r="Z908" s="247"/>
    </row>
    <row r="909">
      <c r="A909" s="247"/>
      <c r="B909" s="247"/>
      <c r="C909" s="247"/>
      <c r="D909" s="247"/>
      <c r="E909" s="247"/>
      <c r="F909" s="247"/>
      <c r="G909" s="247"/>
      <c r="H909" s="247"/>
      <c r="I909" s="247"/>
      <c r="J909" s="247"/>
      <c r="K909" s="247"/>
      <c r="L909" s="247"/>
      <c r="M909" s="253"/>
      <c r="N909" s="253"/>
      <c r="O909" s="253"/>
      <c r="P909" s="253"/>
      <c r="Q909" s="253"/>
      <c r="R909" s="253"/>
      <c r="S909" s="253"/>
      <c r="T909" s="253"/>
      <c r="U909" s="253"/>
      <c r="V909" s="247"/>
      <c r="W909" s="247"/>
      <c r="X909" s="247"/>
      <c r="Y909" s="247"/>
      <c r="Z909" s="247"/>
    </row>
    <row r="910">
      <c r="A910" s="247"/>
      <c r="B910" s="247"/>
      <c r="C910" s="247"/>
      <c r="D910" s="247"/>
      <c r="E910" s="247"/>
      <c r="F910" s="247"/>
      <c r="G910" s="247"/>
      <c r="H910" s="247"/>
      <c r="I910" s="247"/>
      <c r="J910" s="247"/>
      <c r="K910" s="247"/>
      <c r="L910" s="247"/>
      <c r="M910" s="253"/>
      <c r="N910" s="253"/>
      <c r="O910" s="253"/>
      <c r="P910" s="253"/>
      <c r="Q910" s="253"/>
      <c r="R910" s="253"/>
      <c r="S910" s="253"/>
      <c r="T910" s="253"/>
      <c r="U910" s="253"/>
      <c r="V910" s="247"/>
      <c r="W910" s="247"/>
      <c r="X910" s="247"/>
      <c r="Y910" s="247"/>
      <c r="Z910" s="247"/>
    </row>
    <row r="911">
      <c r="A911" s="247"/>
      <c r="B911" s="247"/>
      <c r="C911" s="247"/>
      <c r="D911" s="247"/>
      <c r="E911" s="247"/>
      <c r="F911" s="247"/>
      <c r="G911" s="247"/>
      <c r="H911" s="247"/>
      <c r="I911" s="247"/>
      <c r="J911" s="247"/>
      <c r="K911" s="247"/>
      <c r="L911" s="247"/>
      <c r="M911" s="253"/>
      <c r="N911" s="253"/>
      <c r="O911" s="253"/>
      <c r="P911" s="253"/>
      <c r="Q911" s="253"/>
      <c r="R911" s="253"/>
      <c r="S911" s="253"/>
      <c r="T911" s="253"/>
      <c r="U911" s="253"/>
      <c r="V911" s="247"/>
      <c r="W911" s="247"/>
      <c r="X911" s="247"/>
      <c r="Y911" s="247"/>
      <c r="Z911" s="247"/>
    </row>
    <row r="912">
      <c r="A912" s="247"/>
      <c r="B912" s="247"/>
      <c r="C912" s="247"/>
      <c r="D912" s="247"/>
      <c r="E912" s="247"/>
      <c r="F912" s="247"/>
      <c r="G912" s="247"/>
      <c r="H912" s="247"/>
      <c r="I912" s="247"/>
      <c r="J912" s="247"/>
      <c r="K912" s="247"/>
      <c r="L912" s="247"/>
      <c r="M912" s="253"/>
      <c r="N912" s="253"/>
      <c r="O912" s="253"/>
      <c r="P912" s="253"/>
      <c r="Q912" s="253"/>
      <c r="R912" s="253"/>
      <c r="S912" s="253"/>
      <c r="T912" s="253"/>
      <c r="U912" s="253"/>
      <c r="V912" s="247"/>
      <c r="W912" s="247"/>
      <c r="X912" s="247"/>
      <c r="Y912" s="247"/>
      <c r="Z912" s="247"/>
    </row>
    <row r="913">
      <c r="A913" s="247"/>
      <c r="B913" s="247"/>
      <c r="C913" s="247"/>
      <c r="D913" s="247"/>
      <c r="E913" s="247"/>
      <c r="F913" s="247"/>
      <c r="G913" s="247"/>
      <c r="H913" s="247"/>
      <c r="I913" s="247"/>
      <c r="J913" s="247"/>
      <c r="K913" s="247"/>
      <c r="L913" s="247"/>
      <c r="M913" s="253"/>
      <c r="N913" s="253"/>
      <c r="O913" s="253"/>
      <c r="P913" s="253"/>
      <c r="Q913" s="253"/>
      <c r="R913" s="253"/>
      <c r="S913" s="253"/>
      <c r="T913" s="253"/>
      <c r="U913" s="253"/>
      <c r="V913" s="247"/>
      <c r="W913" s="247"/>
      <c r="X913" s="247"/>
      <c r="Y913" s="247"/>
      <c r="Z913" s="247"/>
    </row>
    <row r="914">
      <c r="A914" s="247"/>
      <c r="B914" s="247"/>
      <c r="C914" s="247"/>
      <c r="D914" s="247"/>
      <c r="E914" s="247"/>
      <c r="F914" s="247"/>
      <c r="G914" s="247"/>
      <c r="H914" s="247"/>
      <c r="I914" s="247"/>
      <c r="J914" s="247"/>
      <c r="K914" s="247"/>
      <c r="L914" s="247"/>
      <c r="M914" s="253"/>
      <c r="N914" s="253"/>
      <c r="O914" s="253"/>
      <c r="P914" s="253"/>
      <c r="Q914" s="253"/>
      <c r="R914" s="253"/>
      <c r="S914" s="253"/>
      <c r="T914" s="253"/>
      <c r="U914" s="253"/>
      <c r="V914" s="247"/>
      <c r="W914" s="247"/>
      <c r="X914" s="247"/>
      <c r="Y914" s="247"/>
      <c r="Z914" s="247"/>
    </row>
    <row r="915">
      <c r="A915" s="247"/>
      <c r="B915" s="247"/>
      <c r="C915" s="247"/>
      <c r="D915" s="247"/>
      <c r="E915" s="247"/>
      <c r="F915" s="247"/>
      <c r="G915" s="247"/>
      <c r="H915" s="247"/>
      <c r="I915" s="247"/>
      <c r="J915" s="247"/>
      <c r="K915" s="247"/>
      <c r="L915" s="247"/>
      <c r="M915" s="253"/>
      <c r="N915" s="253"/>
      <c r="O915" s="253"/>
      <c r="P915" s="253"/>
      <c r="Q915" s="253"/>
      <c r="R915" s="253"/>
      <c r="S915" s="253"/>
      <c r="T915" s="253"/>
      <c r="U915" s="253"/>
      <c r="V915" s="247"/>
      <c r="W915" s="247"/>
      <c r="X915" s="247"/>
      <c r="Y915" s="247"/>
      <c r="Z915" s="247"/>
    </row>
    <row r="916">
      <c r="A916" s="247"/>
      <c r="B916" s="247"/>
      <c r="C916" s="247"/>
      <c r="D916" s="247"/>
      <c r="E916" s="247"/>
      <c r="F916" s="247"/>
      <c r="G916" s="247"/>
      <c r="H916" s="247"/>
      <c r="I916" s="247"/>
      <c r="J916" s="247"/>
      <c r="K916" s="247"/>
      <c r="L916" s="247"/>
      <c r="M916" s="253"/>
      <c r="N916" s="253"/>
      <c r="O916" s="253"/>
      <c r="P916" s="253"/>
      <c r="Q916" s="253"/>
      <c r="R916" s="253"/>
      <c r="S916" s="253"/>
      <c r="T916" s="253"/>
      <c r="U916" s="253"/>
      <c r="V916" s="247"/>
      <c r="W916" s="247"/>
      <c r="X916" s="247"/>
      <c r="Y916" s="247"/>
      <c r="Z916" s="247"/>
    </row>
    <row r="917">
      <c r="A917" s="247"/>
      <c r="B917" s="247"/>
      <c r="C917" s="247"/>
      <c r="D917" s="247"/>
      <c r="E917" s="247"/>
      <c r="F917" s="247"/>
      <c r="G917" s="247"/>
      <c r="H917" s="247"/>
      <c r="I917" s="247"/>
      <c r="J917" s="247"/>
      <c r="K917" s="247"/>
      <c r="L917" s="247"/>
      <c r="M917" s="253"/>
      <c r="N917" s="253"/>
      <c r="O917" s="253"/>
      <c r="P917" s="253"/>
      <c r="Q917" s="253"/>
      <c r="R917" s="253"/>
      <c r="S917" s="253"/>
      <c r="T917" s="253"/>
      <c r="U917" s="253"/>
      <c r="V917" s="247"/>
      <c r="W917" s="247"/>
      <c r="X917" s="247"/>
      <c r="Y917" s="247"/>
      <c r="Z917" s="247"/>
    </row>
    <row r="918">
      <c r="A918" s="247"/>
      <c r="B918" s="247"/>
      <c r="C918" s="247"/>
      <c r="D918" s="247"/>
      <c r="E918" s="247"/>
      <c r="F918" s="247"/>
      <c r="G918" s="247"/>
      <c r="H918" s="247"/>
      <c r="I918" s="247"/>
      <c r="J918" s="247"/>
      <c r="K918" s="247"/>
      <c r="L918" s="247"/>
      <c r="M918" s="253"/>
      <c r="N918" s="253"/>
      <c r="O918" s="253"/>
      <c r="P918" s="253"/>
      <c r="Q918" s="253"/>
      <c r="R918" s="253"/>
      <c r="S918" s="253"/>
      <c r="T918" s="253"/>
      <c r="U918" s="253"/>
      <c r="V918" s="247"/>
      <c r="W918" s="247"/>
      <c r="X918" s="247"/>
      <c r="Y918" s="247"/>
      <c r="Z918" s="247"/>
    </row>
    <row r="919">
      <c r="A919" s="247"/>
      <c r="B919" s="247"/>
      <c r="C919" s="247"/>
      <c r="D919" s="247"/>
      <c r="E919" s="247"/>
      <c r="F919" s="247"/>
      <c r="G919" s="247"/>
      <c r="H919" s="247"/>
      <c r="I919" s="247"/>
      <c r="J919" s="247"/>
      <c r="K919" s="247"/>
      <c r="L919" s="247"/>
      <c r="M919" s="253"/>
      <c r="N919" s="253"/>
      <c r="O919" s="253"/>
      <c r="P919" s="253"/>
      <c r="Q919" s="253"/>
      <c r="R919" s="253"/>
      <c r="S919" s="253"/>
      <c r="T919" s="253"/>
      <c r="U919" s="253"/>
      <c r="V919" s="247"/>
      <c r="W919" s="247"/>
      <c r="X919" s="247"/>
      <c r="Y919" s="247"/>
      <c r="Z919" s="247"/>
    </row>
    <row r="920">
      <c r="A920" s="247"/>
      <c r="B920" s="247"/>
      <c r="C920" s="247"/>
      <c r="D920" s="247"/>
      <c r="E920" s="247"/>
      <c r="F920" s="247"/>
      <c r="G920" s="247"/>
      <c r="H920" s="247"/>
      <c r="I920" s="247"/>
      <c r="J920" s="247"/>
      <c r="K920" s="247"/>
      <c r="L920" s="247"/>
      <c r="M920" s="253"/>
      <c r="N920" s="253"/>
      <c r="O920" s="253"/>
      <c r="P920" s="253"/>
      <c r="Q920" s="253"/>
      <c r="R920" s="253"/>
      <c r="S920" s="253"/>
      <c r="T920" s="253"/>
      <c r="U920" s="253"/>
      <c r="V920" s="247"/>
      <c r="W920" s="247"/>
      <c r="X920" s="247"/>
      <c r="Y920" s="247"/>
      <c r="Z920" s="247"/>
    </row>
    <row r="921">
      <c r="A921" s="247"/>
      <c r="B921" s="247"/>
      <c r="C921" s="247"/>
      <c r="D921" s="247"/>
      <c r="E921" s="247"/>
      <c r="F921" s="247"/>
      <c r="G921" s="247"/>
      <c r="H921" s="247"/>
      <c r="I921" s="247"/>
      <c r="J921" s="247"/>
      <c r="K921" s="247"/>
      <c r="L921" s="247"/>
      <c r="M921" s="253"/>
      <c r="N921" s="253"/>
      <c r="O921" s="253"/>
      <c r="P921" s="253"/>
      <c r="Q921" s="253"/>
      <c r="R921" s="253"/>
      <c r="S921" s="253"/>
      <c r="T921" s="253"/>
      <c r="U921" s="253"/>
      <c r="V921" s="247"/>
      <c r="W921" s="247"/>
      <c r="X921" s="247"/>
      <c r="Y921" s="247"/>
      <c r="Z921" s="247"/>
    </row>
    <row r="922">
      <c r="A922" s="247"/>
      <c r="B922" s="247"/>
      <c r="C922" s="247"/>
      <c r="D922" s="247"/>
      <c r="E922" s="247"/>
      <c r="F922" s="247"/>
      <c r="G922" s="247"/>
      <c r="H922" s="247"/>
      <c r="I922" s="247"/>
      <c r="J922" s="247"/>
      <c r="K922" s="247"/>
      <c r="L922" s="247"/>
      <c r="M922" s="253"/>
      <c r="N922" s="253"/>
      <c r="O922" s="253"/>
      <c r="P922" s="253"/>
      <c r="Q922" s="253"/>
      <c r="R922" s="253"/>
      <c r="S922" s="253"/>
      <c r="T922" s="253"/>
      <c r="U922" s="253"/>
      <c r="V922" s="247"/>
      <c r="W922" s="247"/>
      <c r="X922" s="247"/>
      <c r="Y922" s="247"/>
      <c r="Z922" s="247"/>
    </row>
    <row r="923">
      <c r="A923" s="247"/>
      <c r="B923" s="247"/>
      <c r="C923" s="247"/>
      <c r="D923" s="247"/>
      <c r="E923" s="247"/>
      <c r="F923" s="247"/>
      <c r="G923" s="247"/>
      <c r="H923" s="247"/>
      <c r="I923" s="247"/>
      <c r="J923" s="247"/>
      <c r="K923" s="247"/>
      <c r="L923" s="247"/>
      <c r="M923" s="253"/>
      <c r="N923" s="253"/>
      <c r="O923" s="253"/>
      <c r="P923" s="253"/>
      <c r="Q923" s="253"/>
      <c r="R923" s="253"/>
      <c r="S923" s="253"/>
      <c r="T923" s="253"/>
      <c r="U923" s="253"/>
      <c r="V923" s="247"/>
      <c r="W923" s="247"/>
      <c r="X923" s="247"/>
      <c r="Y923" s="247"/>
      <c r="Z923" s="247"/>
    </row>
    <row r="924">
      <c r="A924" s="247"/>
      <c r="B924" s="247"/>
      <c r="C924" s="247"/>
      <c r="D924" s="247"/>
      <c r="E924" s="247"/>
      <c r="F924" s="247"/>
      <c r="G924" s="247"/>
      <c r="H924" s="247"/>
      <c r="I924" s="247"/>
      <c r="J924" s="247"/>
      <c r="K924" s="247"/>
      <c r="L924" s="247"/>
      <c r="M924" s="253"/>
      <c r="N924" s="253"/>
      <c r="O924" s="253"/>
      <c r="P924" s="253"/>
      <c r="Q924" s="253"/>
      <c r="R924" s="253"/>
      <c r="S924" s="253"/>
      <c r="T924" s="253"/>
      <c r="U924" s="253"/>
      <c r="V924" s="247"/>
      <c r="W924" s="247"/>
      <c r="X924" s="247"/>
      <c r="Y924" s="247"/>
      <c r="Z924" s="247"/>
    </row>
    <row r="925">
      <c r="A925" s="247"/>
      <c r="B925" s="247"/>
      <c r="C925" s="247"/>
      <c r="D925" s="247"/>
      <c r="E925" s="247"/>
      <c r="F925" s="247"/>
      <c r="G925" s="247"/>
      <c r="H925" s="247"/>
      <c r="I925" s="247"/>
      <c r="J925" s="247"/>
      <c r="K925" s="247"/>
      <c r="L925" s="247"/>
      <c r="M925" s="253"/>
      <c r="N925" s="253"/>
      <c r="O925" s="253"/>
      <c r="P925" s="253"/>
      <c r="Q925" s="253"/>
      <c r="R925" s="253"/>
      <c r="S925" s="253"/>
      <c r="T925" s="253"/>
      <c r="U925" s="253"/>
      <c r="V925" s="247"/>
      <c r="W925" s="247"/>
      <c r="X925" s="247"/>
      <c r="Y925" s="247"/>
      <c r="Z925" s="247"/>
    </row>
    <row r="926">
      <c r="A926" s="247"/>
      <c r="B926" s="247"/>
      <c r="C926" s="247"/>
      <c r="D926" s="247"/>
      <c r="E926" s="247"/>
      <c r="F926" s="247"/>
      <c r="G926" s="247"/>
      <c r="H926" s="247"/>
      <c r="I926" s="247"/>
      <c r="J926" s="247"/>
      <c r="K926" s="247"/>
      <c r="L926" s="247"/>
      <c r="M926" s="253"/>
      <c r="N926" s="253"/>
      <c r="O926" s="253"/>
      <c r="P926" s="253"/>
      <c r="Q926" s="253"/>
      <c r="R926" s="253"/>
      <c r="S926" s="253"/>
      <c r="T926" s="253"/>
      <c r="U926" s="253"/>
      <c r="V926" s="247"/>
      <c r="W926" s="247"/>
      <c r="X926" s="247"/>
      <c r="Y926" s="247"/>
      <c r="Z926" s="247"/>
    </row>
    <row r="927">
      <c r="A927" s="247"/>
      <c r="B927" s="247"/>
      <c r="C927" s="247"/>
      <c r="D927" s="247"/>
      <c r="E927" s="247"/>
      <c r="F927" s="247"/>
      <c r="G927" s="247"/>
      <c r="H927" s="247"/>
      <c r="I927" s="247"/>
      <c r="J927" s="247"/>
      <c r="K927" s="247"/>
      <c r="L927" s="247"/>
      <c r="M927" s="253"/>
      <c r="N927" s="253"/>
      <c r="O927" s="253"/>
      <c r="P927" s="253"/>
      <c r="Q927" s="253"/>
      <c r="R927" s="253"/>
      <c r="S927" s="253"/>
      <c r="T927" s="253"/>
      <c r="U927" s="253"/>
      <c r="V927" s="247"/>
      <c r="W927" s="247"/>
      <c r="X927" s="247"/>
      <c r="Y927" s="247"/>
      <c r="Z927" s="247"/>
    </row>
    <row r="928">
      <c r="A928" s="247"/>
      <c r="B928" s="247"/>
      <c r="C928" s="247"/>
      <c r="D928" s="247"/>
      <c r="E928" s="247"/>
      <c r="F928" s="247"/>
      <c r="G928" s="247"/>
      <c r="H928" s="247"/>
      <c r="I928" s="247"/>
      <c r="J928" s="247"/>
      <c r="K928" s="247"/>
      <c r="L928" s="247"/>
      <c r="M928" s="253"/>
      <c r="N928" s="253"/>
      <c r="O928" s="253"/>
      <c r="P928" s="253"/>
      <c r="Q928" s="253"/>
      <c r="R928" s="253"/>
      <c r="S928" s="253"/>
      <c r="T928" s="253"/>
      <c r="U928" s="253"/>
      <c r="V928" s="247"/>
      <c r="W928" s="247"/>
      <c r="X928" s="247"/>
      <c r="Y928" s="247"/>
      <c r="Z928" s="247"/>
    </row>
    <row r="929">
      <c r="A929" s="247"/>
      <c r="B929" s="247"/>
      <c r="C929" s="247"/>
      <c r="D929" s="247"/>
      <c r="E929" s="247"/>
      <c r="F929" s="247"/>
      <c r="G929" s="247"/>
      <c r="H929" s="247"/>
      <c r="I929" s="247"/>
      <c r="J929" s="247"/>
      <c r="K929" s="247"/>
      <c r="L929" s="247"/>
      <c r="M929" s="253"/>
      <c r="N929" s="253"/>
      <c r="O929" s="253"/>
      <c r="P929" s="253"/>
      <c r="Q929" s="253"/>
      <c r="R929" s="253"/>
      <c r="S929" s="253"/>
      <c r="T929" s="253"/>
      <c r="U929" s="253"/>
      <c r="V929" s="247"/>
      <c r="W929" s="247"/>
      <c r="X929" s="247"/>
      <c r="Y929" s="247"/>
      <c r="Z929" s="247"/>
    </row>
    <row r="930">
      <c r="A930" s="247"/>
      <c r="B930" s="247"/>
      <c r="C930" s="247"/>
      <c r="D930" s="247"/>
      <c r="E930" s="247"/>
      <c r="F930" s="247"/>
      <c r="G930" s="247"/>
      <c r="H930" s="247"/>
      <c r="I930" s="247"/>
      <c r="J930" s="247"/>
      <c r="K930" s="247"/>
      <c r="L930" s="247"/>
      <c r="M930" s="253"/>
      <c r="N930" s="253"/>
      <c r="O930" s="253"/>
      <c r="P930" s="253"/>
      <c r="Q930" s="253"/>
      <c r="R930" s="253"/>
      <c r="S930" s="253"/>
      <c r="T930" s="253"/>
      <c r="U930" s="253"/>
      <c r="V930" s="247"/>
      <c r="W930" s="247"/>
      <c r="X930" s="247"/>
      <c r="Y930" s="247"/>
      <c r="Z930" s="247"/>
    </row>
    <row r="931">
      <c r="A931" s="247"/>
      <c r="B931" s="247"/>
      <c r="C931" s="247"/>
      <c r="D931" s="247"/>
      <c r="E931" s="247"/>
      <c r="F931" s="247"/>
      <c r="G931" s="247"/>
      <c r="H931" s="247"/>
      <c r="I931" s="247"/>
      <c r="J931" s="247"/>
      <c r="K931" s="247"/>
      <c r="L931" s="247"/>
      <c r="M931" s="253"/>
      <c r="N931" s="253"/>
      <c r="O931" s="253"/>
      <c r="P931" s="253"/>
      <c r="Q931" s="253"/>
      <c r="R931" s="253"/>
      <c r="S931" s="253"/>
      <c r="T931" s="253"/>
      <c r="U931" s="253"/>
      <c r="V931" s="247"/>
      <c r="W931" s="247"/>
      <c r="X931" s="247"/>
      <c r="Y931" s="247"/>
      <c r="Z931" s="247"/>
    </row>
    <row r="932">
      <c r="A932" s="247"/>
      <c r="B932" s="247"/>
      <c r="C932" s="247"/>
      <c r="D932" s="247"/>
      <c r="E932" s="247"/>
      <c r="F932" s="247"/>
      <c r="G932" s="247"/>
      <c r="H932" s="247"/>
      <c r="I932" s="247"/>
      <c r="J932" s="247"/>
      <c r="K932" s="247"/>
      <c r="L932" s="247"/>
      <c r="M932" s="253"/>
      <c r="N932" s="253"/>
      <c r="O932" s="253"/>
      <c r="P932" s="253"/>
      <c r="Q932" s="253"/>
      <c r="R932" s="253"/>
      <c r="S932" s="253"/>
      <c r="T932" s="253"/>
      <c r="U932" s="253"/>
      <c r="V932" s="247"/>
      <c r="W932" s="247"/>
      <c r="X932" s="247"/>
      <c r="Y932" s="247"/>
      <c r="Z932" s="247"/>
    </row>
    <row r="933">
      <c r="A933" s="247"/>
      <c r="B933" s="247"/>
      <c r="C933" s="247"/>
      <c r="D933" s="247"/>
      <c r="E933" s="247"/>
      <c r="F933" s="247"/>
      <c r="G933" s="247"/>
      <c r="H933" s="247"/>
      <c r="I933" s="247"/>
      <c r="J933" s="247"/>
      <c r="K933" s="247"/>
      <c r="L933" s="247"/>
      <c r="M933" s="253"/>
      <c r="N933" s="253"/>
      <c r="O933" s="253"/>
      <c r="P933" s="253"/>
      <c r="Q933" s="253"/>
      <c r="R933" s="253"/>
      <c r="S933" s="253"/>
      <c r="T933" s="253"/>
      <c r="U933" s="253"/>
      <c r="V933" s="247"/>
      <c r="W933" s="247"/>
      <c r="X933" s="247"/>
      <c r="Y933" s="247"/>
      <c r="Z933" s="247"/>
    </row>
    <row r="934">
      <c r="A934" s="247"/>
      <c r="B934" s="247"/>
      <c r="C934" s="247"/>
      <c r="D934" s="247"/>
      <c r="E934" s="247"/>
      <c r="F934" s="247"/>
      <c r="G934" s="247"/>
      <c r="H934" s="247"/>
      <c r="I934" s="247"/>
      <c r="J934" s="247"/>
      <c r="K934" s="247"/>
      <c r="L934" s="247"/>
      <c r="M934" s="253"/>
      <c r="N934" s="253"/>
      <c r="O934" s="253"/>
      <c r="P934" s="253"/>
      <c r="Q934" s="253"/>
      <c r="R934" s="253"/>
      <c r="S934" s="253"/>
      <c r="T934" s="253"/>
      <c r="U934" s="253"/>
      <c r="V934" s="247"/>
      <c r="W934" s="247"/>
      <c r="X934" s="247"/>
      <c r="Y934" s="247"/>
      <c r="Z934" s="247"/>
    </row>
    <row r="935">
      <c r="A935" s="247"/>
      <c r="B935" s="247"/>
      <c r="C935" s="247"/>
      <c r="D935" s="247"/>
      <c r="E935" s="247"/>
      <c r="F935" s="247"/>
      <c r="G935" s="247"/>
      <c r="H935" s="247"/>
      <c r="I935" s="247"/>
      <c r="J935" s="247"/>
      <c r="K935" s="247"/>
      <c r="L935" s="247"/>
      <c r="M935" s="253"/>
      <c r="N935" s="253"/>
      <c r="O935" s="253"/>
      <c r="P935" s="253"/>
      <c r="Q935" s="253"/>
      <c r="R935" s="253"/>
      <c r="S935" s="253"/>
      <c r="T935" s="253"/>
      <c r="U935" s="253"/>
      <c r="V935" s="247"/>
      <c r="W935" s="247"/>
      <c r="X935" s="247"/>
      <c r="Y935" s="247"/>
      <c r="Z935" s="247"/>
    </row>
    <row r="936">
      <c r="A936" s="247"/>
      <c r="B936" s="247"/>
      <c r="C936" s="247"/>
      <c r="D936" s="247"/>
      <c r="E936" s="247"/>
      <c r="F936" s="247"/>
      <c r="G936" s="247"/>
      <c r="H936" s="247"/>
      <c r="I936" s="247"/>
      <c r="J936" s="247"/>
      <c r="K936" s="247"/>
      <c r="L936" s="247"/>
      <c r="M936" s="253"/>
      <c r="N936" s="253"/>
      <c r="O936" s="253"/>
      <c r="P936" s="253"/>
      <c r="Q936" s="253"/>
      <c r="R936" s="253"/>
      <c r="S936" s="253"/>
      <c r="T936" s="253"/>
      <c r="U936" s="253"/>
      <c r="V936" s="247"/>
      <c r="W936" s="247"/>
      <c r="X936" s="247"/>
      <c r="Y936" s="247"/>
      <c r="Z936" s="247"/>
    </row>
    <row r="937">
      <c r="A937" s="247"/>
      <c r="B937" s="247"/>
      <c r="C937" s="247"/>
      <c r="D937" s="247"/>
      <c r="E937" s="247"/>
      <c r="F937" s="247"/>
      <c r="G937" s="247"/>
      <c r="H937" s="247"/>
      <c r="I937" s="247"/>
      <c r="J937" s="247"/>
      <c r="K937" s="247"/>
      <c r="L937" s="247"/>
      <c r="M937" s="253"/>
      <c r="N937" s="253"/>
      <c r="O937" s="253"/>
      <c r="P937" s="253"/>
      <c r="Q937" s="253"/>
      <c r="R937" s="253"/>
      <c r="S937" s="253"/>
      <c r="T937" s="253"/>
      <c r="U937" s="253"/>
      <c r="V937" s="247"/>
      <c r="W937" s="247"/>
      <c r="X937" s="247"/>
      <c r="Y937" s="247"/>
      <c r="Z937" s="247"/>
    </row>
    <row r="938">
      <c r="A938" s="247"/>
      <c r="B938" s="247"/>
      <c r="C938" s="247"/>
      <c r="D938" s="247"/>
      <c r="E938" s="247"/>
      <c r="F938" s="247"/>
      <c r="G938" s="247"/>
      <c r="H938" s="247"/>
      <c r="I938" s="247"/>
      <c r="J938" s="247"/>
      <c r="K938" s="247"/>
      <c r="L938" s="247"/>
      <c r="M938" s="253"/>
      <c r="N938" s="253"/>
      <c r="O938" s="253"/>
      <c r="P938" s="253"/>
      <c r="Q938" s="253"/>
      <c r="R938" s="253"/>
      <c r="S938" s="253"/>
      <c r="T938" s="253"/>
      <c r="U938" s="253"/>
      <c r="V938" s="247"/>
      <c r="W938" s="247"/>
      <c r="X938" s="247"/>
      <c r="Y938" s="247"/>
      <c r="Z938" s="247"/>
    </row>
    <row r="939">
      <c r="A939" s="247"/>
      <c r="B939" s="247"/>
      <c r="C939" s="247"/>
      <c r="D939" s="247"/>
      <c r="E939" s="247"/>
      <c r="F939" s="247"/>
      <c r="G939" s="247"/>
      <c r="H939" s="247"/>
      <c r="I939" s="247"/>
      <c r="J939" s="247"/>
      <c r="K939" s="247"/>
      <c r="L939" s="247"/>
      <c r="M939" s="253"/>
      <c r="N939" s="253"/>
      <c r="O939" s="253"/>
      <c r="P939" s="253"/>
      <c r="Q939" s="253"/>
      <c r="R939" s="253"/>
      <c r="S939" s="253"/>
      <c r="T939" s="253"/>
      <c r="U939" s="253"/>
      <c r="V939" s="247"/>
      <c r="W939" s="247"/>
      <c r="X939" s="247"/>
      <c r="Y939" s="247"/>
      <c r="Z939" s="247"/>
    </row>
    <row r="940">
      <c r="A940" s="247"/>
      <c r="B940" s="247"/>
      <c r="C940" s="247"/>
      <c r="D940" s="247"/>
      <c r="E940" s="247"/>
      <c r="F940" s="247"/>
      <c r="G940" s="247"/>
      <c r="H940" s="247"/>
      <c r="I940" s="247"/>
      <c r="J940" s="247"/>
      <c r="K940" s="247"/>
      <c r="L940" s="247"/>
      <c r="M940" s="253"/>
      <c r="N940" s="253"/>
      <c r="O940" s="253"/>
      <c r="P940" s="253"/>
      <c r="Q940" s="253"/>
      <c r="R940" s="253"/>
      <c r="S940" s="253"/>
      <c r="T940" s="253"/>
      <c r="U940" s="253"/>
      <c r="V940" s="247"/>
      <c r="W940" s="247"/>
      <c r="X940" s="247"/>
      <c r="Y940" s="247"/>
      <c r="Z940" s="247"/>
    </row>
    <row r="941">
      <c r="A941" s="247"/>
      <c r="B941" s="247"/>
      <c r="C941" s="247"/>
      <c r="D941" s="247"/>
      <c r="E941" s="247"/>
      <c r="F941" s="247"/>
      <c r="G941" s="247"/>
      <c r="H941" s="247"/>
      <c r="I941" s="247"/>
      <c r="J941" s="247"/>
      <c r="K941" s="247"/>
      <c r="L941" s="247"/>
      <c r="M941" s="253"/>
      <c r="N941" s="253"/>
      <c r="O941" s="253"/>
      <c r="P941" s="253"/>
      <c r="Q941" s="253"/>
      <c r="R941" s="253"/>
      <c r="S941" s="253"/>
      <c r="T941" s="253"/>
      <c r="U941" s="253"/>
      <c r="V941" s="247"/>
      <c r="W941" s="247"/>
      <c r="X941" s="247"/>
      <c r="Y941" s="247"/>
      <c r="Z941" s="247"/>
    </row>
    <row r="942">
      <c r="A942" s="247"/>
      <c r="B942" s="247"/>
      <c r="C942" s="247"/>
      <c r="D942" s="247"/>
      <c r="E942" s="247"/>
      <c r="F942" s="247"/>
      <c r="G942" s="247"/>
      <c r="H942" s="247"/>
      <c r="I942" s="247"/>
      <c r="J942" s="247"/>
      <c r="K942" s="247"/>
      <c r="L942" s="247"/>
      <c r="M942" s="253"/>
      <c r="N942" s="253"/>
      <c r="O942" s="253"/>
      <c r="P942" s="253"/>
      <c r="Q942" s="253"/>
      <c r="R942" s="253"/>
      <c r="S942" s="253"/>
      <c r="T942" s="253"/>
      <c r="U942" s="253"/>
      <c r="V942" s="247"/>
      <c r="W942" s="247"/>
      <c r="X942" s="247"/>
      <c r="Y942" s="247"/>
      <c r="Z942" s="247"/>
    </row>
    <row r="943">
      <c r="A943" s="247"/>
      <c r="B943" s="247"/>
      <c r="C943" s="247"/>
      <c r="D943" s="247"/>
      <c r="E943" s="247"/>
      <c r="F943" s="247"/>
      <c r="G943" s="247"/>
      <c r="H943" s="247"/>
      <c r="I943" s="247"/>
      <c r="J943" s="247"/>
      <c r="K943" s="247"/>
      <c r="L943" s="247"/>
      <c r="M943" s="253"/>
      <c r="N943" s="253"/>
      <c r="O943" s="253"/>
      <c r="P943" s="253"/>
      <c r="Q943" s="253"/>
      <c r="R943" s="253"/>
      <c r="S943" s="253"/>
      <c r="T943" s="253"/>
      <c r="U943" s="253"/>
      <c r="V943" s="247"/>
      <c r="W943" s="247"/>
      <c r="X943" s="247"/>
      <c r="Y943" s="247"/>
      <c r="Z943" s="247"/>
    </row>
    <row r="944">
      <c r="A944" s="247"/>
      <c r="B944" s="247"/>
      <c r="C944" s="247"/>
      <c r="D944" s="247"/>
      <c r="E944" s="247"/>
      <c r="F944" s="247"/>
      <c r="G944" s="247"/>
      <c r="H944" s="247"/>
      <c r="I944" s="247"/>
      <c r="J944" s="247"/>
      <c r="K944" s="247"/>
      <c r="L944" s="247"/>
      <c r="M944" s="253"/>
      <c r="N944" s="253"/>
      <c r="O944" s="253"/>
      <c r="P944" s="253"/>
      <c r="Q944" s="253"/>
      <c r="R944" s="253"/>
      <c r="S944" s="253"/>
      <c r="T944" s="253"/>
      <c r="U944" s="253"/>
      <c r="V944" s="247"/>
      <c r="W944" s="247"/>
      <c r="X944" s="247"/>
      <c r="Y944" s="247"/>
      <c r="Z944" s="247"/>
    </row>
    <row r="945">
      <c r="A945" s="247"/>
      <c r="B945" s="247"/>
      <c r="C945" s="247"/>
      <c r="D945" s="247"/>
      <c r="E945" s="247"/>
      <c r="F945" s="247"/>
      <c r="G945" s="247"/>
      <c r="H945" s="247"/>
      <c r="I945" s="247"/>
      <c r="J945" s="247"/>
      <c r="K945" s="247"/>
      <c r="L945" s="247"/>
      <c r="M945" s="253"/>
      <c r="N945" s="253"/>
      <c r="O945" s="253"/>
      <c r="P945" s="253"/>
      <c r="Q945" s="253"/>
      <c r="R945" s="253"/>
      <c r="S945" s="253"/>
      <c r="T945" s="253"/>
      <c r="U945" s="253"/>
      <c r="V945" s="247"/>
      <c r="W945" s="247"/>
      <c r="X945" s="247"/>
      <c r="Y945" s="247"/>
      <c r="Z945" s="247"/>
    </row>
    <row r="946">
      <c r="A946" s="247"/>
      <c r="B946" s="247"/>
      <c r="C946" s="247"/>
      <c r="D946" s="247"/>
      <c r="E946" s="247"/>
      <c r="F946" s="247"/>
      <c r="G946" s="247"/>
      <c r="H946" s="247"/>
      <c r="I946" s="247"/>
      <c r="J946" s="247"/>
      <c r="K946" s="247"/>
      <c r="L946" s="247"/>
      <c r="M946" s="253"/>
      <c r="N946" s="253"/>
      <c r="O946" s="253"/>
      <c r="P946" s="253"/>
      <c r="Q946" s="253"/>
      <c r="R946" s="253"/>
      <c r="S946" s="253"/>
      <c r="T946" s="253"/>
      <c r="U946" s="253"/>
      <c r="V946" s="247"/>
      <c r="W946" s="247"/>
      <c r="X946" s="247"/>
      <c r="Y946" s="247"/>
      <c r="Z946" s="247"/>
    </row>
    <row r="947">
      <c r="A947" s="247"/>
      <c r="B947" s="247"/>
      <c r="C947" s="247"/>
      <c r="D947" s="247"/>
      <c r="E947" s="247"/>
      <c r="F947" s="247"/>
      <c r="G947" s="247"/>
      <c r="H947" s="247"/>
      <c r="I947" s="247"/>
      <c r="J947" s="247"/>
      <c r="K947" s="247"/>
      <c r="L947" s="247"/>
      <c r="M947" s="253"/>
      <c r="N947" s="253"/>
      <c r="O947" s="253"/>
      <c r="P947" s="253"/>
      <c r="Q947" s="253"/>
      <c r="R947" s="253"/>
      <c r="S947" s="253"/>
      <c r="T947" s="253"/>
      <c r="U947" s="253"/>
      <c r="V947" s="247"/>
      <c r="W947" s="247"/>
      <c r="X947" s="247"/>
      <c r="Y947" s="247"/>
      <c r="Z947" s="247"/>
    </row>
    <row r="948">
      <c r="A948" s="247"/>
      <c r="B948" s="247"/>
      <c r="C948" s="247"/>
      <c r="D948" s="247"/>
      <c r="E948" s="247"/>
      <c r="F948" s="247"/>
      <c r="G948" s="247"/>
      <c r="H948" s="247"/>
      <c r="I948" s="247"/>
      <c r="J948" s="247"/>
      <c r="K948" s="247"/>
      <c r="L948" s="247"/>
      <c r="M948" s="253"/>
      <c r="N948" s="253"/>
      <c r="O948" s="253"/>
      <c r="P948" s="253"/>
      <c r="Q948" s="253"/>
      <c r="R948" s="253"/>
      <c r="S948" s="253"/>
      <c r="T948" s="253"/>
      <c r="U948" s="253"/>
      <c r="V948" s="247"/>
      <c r="W948" s="247"/>
      <c r="X948" s="247"/>
      <c r="Y948" s="247"/>
      <c r="Z948" s="247"/>
    </row>
    <row r="949">
      <c r="A949" s="247"/>
      <c r="B949" s="247"/>
      <c r="C949" s="247"/>
      <c r="D949" s="247"/>
      <c r="E949" s="247"/>
      <c r="F949" s="247"/>
      <c r="G949" s="247"/>
      <c r="H949" s="247"/>
      <c r="I949" s="247"/>
      <c r="J949" s="247"/>
      <c r="K949" s="247"/>
      <c r="L949" s="247"/>
      <c r="M949" s="253"/>
      <c r="N949" s="253"/>
      <c r="O949" s="253"/>
      <c r="P949" s="253"/>
      <c r="Q949" s="253"/>
      <c r="R949" s="253"/>
      <c r="S949" s="253"/>
      <c r="T949" s="253"/>
      <c r="U949" s="253"/>
      <c r="V949" s="247"/>
      <c r="W949" s="247"/>
      <c r="X949" s="247"/>
      <c r="Y949" s="247"/>
      <c r="Z949" s="247"/>
    </row>
    <row r="950">
      <c r="A950" s="247"/>
      <c r="B950" s="247"/>
      <c r="C950" s="247"/>
      <c r="D950" s="247"/>
      <c r="E950" s="247"/>
      <c r="F950" s="247"/>
      <c r="G950" s="247"/>
      <c r="H950" s="247"/>
      <c r="I950" s="247"/>
      <c r="J950" s="247"/>
      <c r="K950" s="247"/>
      <c r="L950" s="247"/>
      <c r="M950" s="253"/>
      <c r="N950" s="253"/>
      <c r="O950" s="253"/>
      <c r="P950" s="253"/>
      <c r="Q950" s="253"/>
      <c r="R950" s="253"/>
      <c r="S950" s="253"/>
      <c r="T950" s="253"/>
      <c r="U950" s="253"/>
      <c r="V950" s="247"/>
      <c r="W950" s="247"/>
      <c r="X950" s="247"/>
      <c r="Y950" s="247"/>
      <c r="Z950" s="247"/>
    </row>
    <row r="951">
      <c r="A951" s="247"/>
      <c r="B951" s="247"/>
      <c r="C951" s="247"/>
      <c r="D951" s="247"/>
      <c r="E951" s="247"/>
      <c r="F951" s="247"/>
      <c r="G951" s="247"/>
      <c r="H951" s="247"/>
      <c r="I951" s="247"/>
      <c r="J951" s="247"/>
      <c r="K951" s="247"/>
      <c r="L951" s="247"/>
      <c r="M951" s="253"/>
      <c r="N951" s="253"/>
      <c r="O951" s="253"/>
      <c r="P951" s="253"/>
      <c r="Q951" s="253"/>
      <c r="R951" s="253"/>
      <c r="S951" s="253"/>
      <c r="T951" s="253"/>
      <c r="U951" s="253"/>
      <c r="V951" s="247"/>
      <c r="W951" s="247"/>
      <c r="X951" s="247"/>
      <c r="Y951" s="247"/>
      <c r="Z951" s="247"/>
    </row>
    <row r="952">
      <c r="A952" s="247"/>
      <c r="B952" s="247"/>
      <c r="C952" s="247"/>
      <c r="D952" s="247"/>
      <c r="E952" s="247"/>
      <c r="F952" s="247"/>
      <c r="G952" s="247"/>
      <c r="H952" s="247"/>
      <c r="I952" s="247"/>
      <c r="J952" s="247"/>
      <c r="K952" s="247"/>
      <c r="L952" s="247"/>
      <c r="M952" s="253"/>
      <c r="N952" s="253"/>
      <c r="O952" s="253"/>
      <c r="P952" s="253"/>
      <c r="Q952" s="253"/>
      <c r="R952" s="253"/>
      <c r="S952" s="253"/>
      <c r="T952" s="253"/>
      <c r="U952" s="253"/>
      <c r="V952" s="247"/>
      <c r="W952" s="247"/>
      <c r="X952" s="247"/>
      <c r="Y952" s="247"/>
      <c r="Z952" s="247"/>
    </row>
    <row r="953">
      <c r="A953" s="247"/>
      <c r="B953" s="247"/>
      <c r="C953" s="247"/>
      <c r="D953" s="247"/>
      <c r="E953" s="247"/>
      <c r="F953" s="247"/>
      <c r="G953" s="247"/>
      <c r="H953" s="247"/>
      <c r="I953" s="247"/>
      <c r="J953" s="247"/>
      <c r="K953" s="247"/>
      <c r="L953" s="247"/>
      <c r="M953" s="253"/>
      <c r="N953" s="253"/>
      <c r="O953" s="253"/>
      <c r="P953" s="253"/>
      <c r="Q953" s="253"/>
      <c r="R953" s="253"/>
      <c r="S953" s="253"/>
      <c r="T953" s="253"/>
      <c r="U953" s="253"/>
      <c r="V953" s="247"/>
      <c r="W953" s="247"/>
      <c r="X953" s="247"/>
      <c r="Y953" s="247"/>
      <c r="Z953" s="247"/>
    </row>
    <row r="954">
      <c r="A954" s="247"/>
      <c r="B954" s="247"/>
      <c r="C954" s="247"/>
      <c r="D954" s="247"/>
      <c r="E954" s="247"/>
      <c r="F954" s="247"/>
      <c r="G954" s="247"/>
      <c r="H954" s="247"/>
      <c r="I954" s="247"/>
      <c r="J954" s="247"/>
      <c r="K954" s="247"/>
      <c r="L954" s="247"/>
      <c r="M954" s="253"/>
      <c r="N954" s="253"/>
      <c r="O954" s="253"/>
      <c r="P954" s="253"/>
      <c r="Q954" s="253"/>
      <c r="R954" s="253"/>
      <c r="S954" s="253"/>
      <c r="T954" s="253"/>
      <c r="U954" s="253"/>
      <c r="V954" s="247"/>
      <c r="W954" s="247"/>
      <c r="X954" s="247"/>
      <c r="Y954" s="247"/>
      <c r="Z954" s="247"/>
    </row>
    <row r="955">
      <c r="A955" s="247"/>
      <c r="B955" s="247"/>
      <c r="C955" s="247"/>
      <c r="D955" s="247"/>
      <c r="E955" s="247"/>
      <c r="F955" s="247"/>
      <c r="G955" s="247"/>
      <c r="H955" s="247"/>
      <c r="I955" s="247"/>
      <c r="J955" s="247"/>
      <c r="K955" s="247"/>
      <c r="L955" s="247"/>
      <c r="M955" s="253"/>
      <c r="N955" s="253"/>
      <c r="O955" s="253"/>
      <c r="P955" s="253"/>
      <c r="Q955" s="253"/>
      <c r="R955" s="253"/>
      <c r="S955" s="253"/>
      <c r="T955" s="253"/>
      <c r="U955" s="253"/>
      <c r="V955" s="247"/>
      <c r="W955" s="247"/>
      <c r="X955" s="247"/>
      <c r="Y955" s="247"/>
      <c r="Z955" s="247"/>
    </row>
    <row r="956">
      <c r="A956" s="247"/>
      <c r="B956" s="247"/>
      <c r="C956" s="247"/>
      <c r="D956" s="247"/>
      <c r="E956" s="247"/>
      <c r="F956" s="247"/>
      <c r="G956" s="247"/>
      <c r="H956" s="247"/>
      <c r="I956" s="247"/>
      <c r="J956" s="247"/>
      <c r="K956" s="247"/>
      <c r="L956" s="247"/>
      <c r="M956" s="253"/>
      <c r="N956" s="253"/>
      <c r="O956" s="253"/>
      <c r="P956" s="253"/>
      <c r="Q956" s="253"/>
      <c r="R956" s="253"/>
      <c r="S956" s="253"/>
      <c r="T956" s="253"/>
      <c r="U956" s="253"/>
      <c r="V956" s="247"/>
      <c r="W956" s="247"/>
      <c r="X956" s="247"/>
      <c r="Y956" s="247"/>
      <c r="Z956" s="247"/>
    </row>
    <row r="957">
      <c r="A957" s="247"/>
      <c r="B957" s="247"/>
      <c r="C957" s="247"/>
      <c r="D957" s="247"/>
      <c r="E957" s="247"/>
      <c r="F957" s="247"/>
      <c r="G957" s="247"/>
      <c r="H957" s="247"/>
      <c r="I957" s="247"/>
      <c r="J957" s="247"/>
      <c r="K957" s="247"/>
      <c r="L957" s="247"/>
      <c r="M957" s="253"/>
      <c r="N957" s="253"/>
      <c r="O957" s="253"/>
      <c r="P957" s="253"/>
      <c r="Q957" s="253"/>
      <c r="R957" s="253"/>
      <c r="S957" s="253"/>
      <c r="T957" s="253"/>
      <c r="U957" s="253"/>
      <c r="V957" s="247"/>
      <c r="W957" s="247"/>
      <c r="X957" s="247"/>
      <c r="Y957" s="247"/>
      <c r="Z957" s="247"/>
    </row>
    <row r="958">
      <c r="A958" s="247"/>
      <c r="B958" s="247"/>
      <c r="C958" s="247"/>
      <c r="D958" s="247"/>
      <c r="E958" s="247"/>
      <c r="F958" s="247"/>
      <c r="G958" s="247"/>
      <c r="H958" s="247"/>
      <c r="I958" s="247"/>
      <c r="J958" s="247"/>
      <c r="K958" s="247"/>
      <c r="L958" s="247"/>
      <c r="M958" s="253"/>
      <c r="N958" s="253"/>
      <c r="O958" s="253"/>
      <c r="P958" s="253"/>
      <c r="Q958" s="253"/>
      <c r="R958" s="253"/>
      <c r="S958" s="253"/>
      <c r="T958" s="253"/>
      <c r="U958" s="253"/>
      <c r="V958" s="247"/>
      <c r="W958" s="247"/>
      <c r="X958" s="247"/>
      <c r="Y958" s="247"/>
      <c r="Z958" s="247"/>
    </row>
    <row r="959">
      <c r="A959" s="247"/>
      <c r="B959" s="247"/>
      <c r="C959" s="247"/>
      <c r="D959" s="247"/>
      <c r="E959" s="247"/>
      <c r="F959" s="247"/>
      <c r="G959" s="247"/>
      <c r="H959" s="247"/>
      <c r="I959" s="247"/>
      <c r="J959" s="247"/>
      <c r="K959" s="247"/>
      <c r="L959" s="247"/>
      <c r="M959" s="253"/>
      <c r="N959" s="253"/>
      <c r="O959" s="253"/>
      <c r="P959" s="253"/>
      <c r="Q959" s="253"/>
      <c r="R959" s="253"/>
      <c r="S959" s="253"/>
      <c r="T959" s="253"/>
      <c r="U959" s="253"/>
      <c r="V959" s="247"/>
      <c r="W959" s="247"/>
      <c r="X959" s="247"/>
      <c r="Y959" s="247"/>
      <c r="Z959" s="247"/>
    </row>
    <row r="960">
      <c r="A960" s="247"/>
      <c r="B960" s="247"/>
      <c r="C960" s="247"/>
      <c r="D960" s="247"/>
      <c r="E960" s="247"/>
      <c r="F960" s="247"/>
      <c r="G960" s="247"/>
      <c r="H960" s="247"/>
      <c r="I960" s="247"/>
      <c r="J960" s="247"/>
      <c r="K960" s="247"/>
      <c r="L960" s="247"/>
      <c r="M960" s="253"/>
      <c r="N960" s="253"/>
      <c r="O960" s="253"/>
      <c r="P960" s="253"/>
      <c r="Q960" s="253"/>
      <c r="R960" s="253"/>
      <c r="S960" s="253"/>
      <c r="T960" s="253"/>
      <c r="U960" s="253"/>
      <c r="V960" s="247"/>
      <c r="W960" s="247"/>
      <c r="X960" s="247"/>
      <c r="Y960" s="247"/>
      <c r="Z960" s="247"/>
    </row>
    <row r="961">
      <c r="A961" s="247"/>
      <c r="B961" s="247"/>
      <c r="C961" s="247"/>
      <c r="D961" s="247"/>
      <c r="E961" s="247"/>
      <c r="F961" s="247"/>
      <c r="G961" s="247"/>
      <c r="H961" s="247"/>
      <c r="I961" s="247"/>
      <c r="J961" s="247"/>
      <c r="K961" s="247"/>
      <c r="L961" s="247"/>
      <c r="M961" s="253"/>
      <c r="N961" s="253"/>
      <c r="O961" s="253"/>
      <c r="P961" s="253"/>
      <c r="Q961" s="253"/>
      <c r="R961" s="253"/>
      <c r="S961" s="253"/>
      <c r="T961" s="253"/>
      <c r="U961" s="253"/>
      <c r="V961" s="247"/>
      <c r="W961" s="247"/>
      <c r="X961" s="247"/>
      <c r="Y961" s="247"/>
      <c r="Z961" s="247"/>
    </row>
    <row r="962">
      <c r="A962" s="247"/>
      <c r="B962" s="247"/>
      <c r="C962" s="247"/>
      <c r="D962" s="247"/>
      <c r="E962" s="247"/>
      <c r="F962" s="247"/>
      <c r="G962" s="247"/>
      <c r="H962" s="247"/>
      <c r="I962" s="247"/>
      <c r="J962" s="247"/>
      <c r="K962" s="247"/>
      <c r="L962" s="247"/>
      <c r="M962" s="253"/>
      <c r="N962" s="253"/>
      <c r="O962" s="253"/>
      <c r="P962" s="253"/>
      <c r="Q962" s="253"/>
      <c r="R962" s="253"/>
      <c r="S962" s="253"/>
      <c r="T962" s="253"/>
      <c r="U962" s="253"/>
      <c r="V962" s="247"/>
      <c r="W962" s="247"/>
      <c r="X962" s="247"/>
      <c r="Y962" s="247"/>
      <c r="Z962" s="247"/>
    </row>
    <row r="963">
      <c r="A963" s="247"/>
      <c r="B963" s="247"/>
      <c r="C963" s="247"/>
      <c r="D963" s="247"/>
      <c r="E963" s="247"/>
      <c r="F963" s="247"/>
      <c r="G963" s="247"/>
      <c r="H963" s="247"/>
      <c r="I963" s="247"/>
      <c r="J963" s="247"/>
      <c r="K963" s="247"/>
      <c r="L963" s="247"/>
      <c r="M963" s="253"/>
      <c r="N963" s="253"/>
      <c r="O963" s="253"/>
      <c r="P963" s="253"/>
      <c r="Q963" s="253"/>
      <c r="R963" s="253"/>
      <c r="S963" s="253"/>
      <c r="T963" s="253"/>
      <c r="U963" s="253"/>
      <c r="V963" s="247"/>
      <c r="W963" s="247"/>
      <c r="X963" s="247"/>
      <c r="Y963" s="247"/>
      <c r="Z963" s="247"/>
    </row>
    <row r="964">
      <c r="A964" s="247"/>
      <c r="B964" s="247"/>
      <c r="C964" s="247"/>
      <c r="D964" s="247"/>
      <c r="E964" s="247"/>
      <c r="F964" s="247"/>
      <c r="G964" s="247"/>
      <c r="H964" s="247"/>
      <c r="I964" s="247"/>
      <c r="J964" s="247"/>
      <c r="K964" s="247"/>
      <c r="L964" s="247"/>
      <c r="M964" s="253"/>
      <c r="N964" s="253"/>
      <c r="O964" s="253"/>
      <c r="P964" s="253"/>
      <c r="Q964" s="253"/>
      <c r="R964" s="253"/>
      <c r="S964" s="253"/>
      <c r="T964" s="253"/>
      <c r="U964" s="253"/>
      <c r="V964" s="247"/>
      <c r="W964" s="247"/>
      <c r="X964" s="247"/>
      <c r="Y964" s="247"/>
      <c r="Z964" s="247"/>
    </row>
    <row r="965">
      <c r="A965" s="247"/>
      <c r="B965" s="247"/>
      <c r="C965" s="247"/>
      <c r="D965" s="247"/>
      <c r="E965" s="247"/>
      <c r="F965" s="247"/>
      <c r="G965" s="247"/>
      <c r="H965" s="247"/>
      <c r="I965" s="247"/>
      <c r="J965" s="247"/>
      <c r="K965" s="247"/>
      <c r="L965" s="247"/>
      <c r="M965" s="253"/>
      <c r="N965" s="253"/>
      <c r="O965" s="253"/>
      <c r="P965" s="253"/>
      <c r="Q965" s="253"/>
      <c r="R965" s="253"/>
      <c r="S965" s="253"/>
      <c r="T965" s="253"/>
      <c r="U965" s="253"/>
      <c r="V965" s="247"/>
      <c r="W965" s="247"/>
      <c r="X965" s="247"/>
      <c r="Y965" s="247"/>
      <c r="Z965" s="247"/>
    </row>
    <row r="966">
      <c r="A966" s="247"/>
      <c r="B966" s="247"/>
      <c r="C966" s="247"/>
      <c r="D966" s="247"/>
      <c r="E966" s="247"/>
      <c r="F966" s="247"/>
      <c r="G966" s="247"/>
      <c r="H966" s="247"/>
      <c r="I966" s="247"/>
      <c r="J966" s="247"/>
      <c r="K966" s="247"/>
      <c r="L966" s="247"/>
      <c r="M966" s="253"/>
      <c r="N966" s="253"/>
      <c r="O966" s="253"/>
      <c r="P966" s="253"/>
      <c r="Q966" s="253"/>
      <c r="R966" s="253"/>
      <c r="S966" s="253"/>
      <c r="T966" s="253"/>
      <c r="U966" s="253"/>
      <c r="V966" s="247"/>
      <c r="W966" s="247"/>
      <c r="X966" s="247"/>
      <c r="Y966" s="247"/>
      <c r="Z966" s="247"/>
    </row>
    <row r="967">
      <c r="A967" s="247"/>
      <c r="B967" s="247"/>
      <c r="C967" s="247"/>
      <c r="D967" s="247"/>
      <c r="E967" s="247"/>
      <c r="F967" s="247"/>
      <c r="G967" s="247"/>
      <c r="H967" s="247"/>
      <c r="I967" s="247"/>
      <c r="J967" s="247"/>
      <c r="K967" s="247"/>
      <c r="L967" s="247"/>
      <c r="M967" s="253"/>
      <c r="N967" s="253"/>
      <c r="O967" s="253"/>
      <c r="P967" s="253"/>
      <c r="Q967" s="253"/>
      <c r="R967" s="253"/>
      <c r="S967" s="253"/>
      <c r="T967" s="253"/>
      <c r="U967" s="253"/>
      <c r="V967" s="247"/>
      <c r="W967" s="247"/>
      <c r="X967" s="247"/>
      <c r="Y967" s="247"/>
      <c r="Z967" s="247"/>
    </row>
    <row r="968">
      <c r="A968" s="247"/>
      <c r="B968" s="247"/>
      <c r="C968" s="247"/>
      <c r="D968" s="247"/>
      <c r="E968" s="247"/>
      <c r="F968" s="247"/>
      <c r="G968" s="247"/>
      <c r="H968" s="247"/>
      <c r="I968" s="247"/>
      <c r="J968" s="247"/>
      <c r="K968" s="247"/>
      <c r="L968" s="247"/>
      <c r="M968" s="253"/>
      <c r="N968" s="253"/>
      <c r="O968" s="253"/>
      <c r="P968" s="253"/>
      <c r="Q968" s="253"/>
      <c r="R968" s="253"/>
      <c r="S968" s="253"/>
      <c r="T968" s="253"/>
      <c r="U968" s="253"/>
      <c r="V968" s="247"/>
      <c r="W968" s="247"/>
      <c r="X968" s="247"/>
      <c r="Y968" s="247"/>
      <c r="Z968" s="247"/>
    </row>
    <row r="969">
      <c r="A969" s="247"/>
      <c r="B969" s="247"/>
      <c r="C969" s="247"/>
      <c r="D969" s="247"/>
      <c r="E969" s="247"/>
      <c r="F969" s="247"/>
      <c r="G969" s="247"/>
      <c r="H969" s="247"/>
      <c r="I969" s="247"/>
      <c r="J969" s="247"/>
      <c r="K969" s="247"/>
      <c r="L969" s="247"/>
      <c r="M969" s="253"/>
      <c r="N969" s="253"/>
      <c r="O969" s="253"/>
      <c r="P969" s="253"/>
      <c r="Q969" s="253"/>
      <c r="R969" s="253"/>
      <c r="S969" s="253"/>
      <c r="T969" s="253"/>
      <c r="U969" s="253"/>
      <c r="V969" s="247"/>
      <c r="W969" s="247"/>
      <c r="X969" s="247"/>
      <c r="Y969" s="247"/>
      <c r="Z969" s="247"/>
    </row>
    <row r="970">
      <c r="A970" s="247"/>
      <c r="B970" s="247"/>
      <c r="C970" s="247"/>
      <c r="D970" s="247"/>
      <c r="E970" s="247"/>
      <c r="F970" s="247"/>
      <c r="G970" s="247"/>
      <c r="H970" s="247"/>
      <c r="I970" s="247"/>
      <c r="J970" s="247"/>
      <c r="K970" s="247"/>
      <c r="L970" s="247"/>
      <c r="M970" s="253"/>
      <c r="N970" s="253"/>
      <c r="O970" s="253"/>
      <c r="P970" s="253"/>
      <c r="Q970" s="253"/>
      <c r="R970" s="253"/>
      <c r="S970" s="253"/>
      <c r="T970" s="253"/>
      <c r="U970" s="253"/>
      <c r="V970" s="247"/>
      <c r="W970" s="247"/>
      <c r="X970" s="247"/>
      <c r="Y970" s="247"/>
      <c r="Z970" s="247"/>
    </row>
    <row r="971">
      <c r="A971" s="247"/>
      <c r="B971" s="247"/>
      <c r="C971" s="247"/>
      <c r="D971" s="247"/>
      <c r="E971" s="247"/>
      <c r="F971" s="247"/>
      <c r="G971" s="247"/>
      <c r="H971" s="247"/>
      <c r="I971" s="247"/>
      <c r="J971" s="247"/>
      <c r="K971" s="247"/>
      <c r="L971" s="247"/>
      <c r="M971" s="253"/>
      <c r="N971" s="253"/>
      <c r="O971" s="253"/>
      <c r="P971" s="253"/>
      <c r="Q971" s="253"/>
      <c r="R971" s="253"/>
      <c r="S971" s="253"/>
      <c r="T971" s="253"/>
      <c r="U971" s="253"/>
      <c r="V971" s="247"/>
      <c r="W971" s="247"/>
      <c r="X971" s="247"/>
      <c r="Y971" s="247"/>
      <c r="Z971" s="247"/>
    </row>
    <row r="972">
      <c r="A972" s="247"/>
      <c r="B972" s="247"/>
      <c r="C972" s="247"/>
      <c r="D972" s="247"/>
      <c r="E972" s="247"/>
      <c r="F972" s="247"/>
      <c r="G972" s="247"/>
      <c r="H972" s="247"/>
      <c r="I972" s="247"/>
      <c r="J972" s="247"/>
      <c r="K972" s="247"/>
      <c r="L972" s="247"/>
      <c r="M972" s="253"/>
      <c r="N972" s="253"/>
      <c r="O972" s="253"/>
      <c r="P972" s="253"/>
      <c r="Q972" s="253"/>
      <c r="R972" s="253"/>
      <c r="S972" s="253"/>
      <c r="T972" s="253"/>
      <c r="U972" s="253"/>
      <c r="V972" s="247"/>
      <c r="W972" s="247"/>
      <c r="X972" s="247"/>
      <c r="Y972" s="247"/>
      <c r="Z972" s="247"/>
    </row>
    <row r="973">
      <c r="A973" s="247"/>
      <c r="B973" s="247"/>
      <c r="C973" s="247"/>
      <c r="D973" s="247"/>
      <c r="E973" s="247"/>
      <c r="F973" s="247"/>
      <c r="G973" s="247"/>
      <c r="H973" s="247"/>
      <c r="I973" s="247"/>
      <c r="J973" s="247"/>
      <c r="K973" s="247"/>
      <c r="L973" s="247"/>
      <c r="M973" s="253"/>
      <c r="N973" s="253"/>
      <c r="O973" s="253"/>
      <c r="P973" s="253"/>
      <c r="Q973" s="253"/>
      <c r="R973" s="253"/>
      <c r="S973" s="253"/>
      <c r="T973" s="253"/>
      <c r="U973" s="253"/>
      <c r="V973" s="247"/>
      <c r="W973" s="247"/>
      <c r="X973" s="247"/>
      <c r="Y973" s="247"/>
      <c r="Z973" s="247"/>
    </row>
    <row r="974">
      <c r="A974" s="247"/>
      <c r="B974" s="247"/>
      <c r="C974" s="247"/>
      <c r="D974" s="247"/>
      <c r="E974" s="247"/>
      <c r="F974" s="247"/>
      <c r="G974" s="247"/>
      <c r="H974" s="247"/>
      <c r="I974" s="247"/>
      <c r="J974" s="247"/>
      <c r="K974" s="247"/>
      <c r="L974" s="247"/>
      <c r="M974" s="253"/>
      <c r="N974" s="253"/>
      <c r="O974" s="253"/>
      <c r="P974" s="253"/>
      <c r="Q974" s="253"/>
      <c r="R974" s="253"/>
      <c r="S974" s="253"/>
      <c r="T974" s="253"/>
      <c r="U974" s="253"/>
      <c r="V974" s="247"/>
      <c r="W974" s="247"/>
      <c r="X974" s="247"/>
      <c r="Y974" s="247"/>
      <c r="Z974" s="247"/>
    </row>
    <row r="975">
      <c r="A975" s="247"/>
      <c r="B975" s="247"/>
      <c r="C975" s="247"/>
      <c r="D975" s="247"/>
      <c r="E975" s="247"/>
      <c r="F975" s="247"/>
      <c r="G975" s="247"/>
      <c r="H975" s="247"/>
      <c r="I975" s="247"/>
      <c r="J975" s="247"/>
      <c r="K975" s="247"/>
      <c r="L975" s="247"/>
      <c r="M975" s="253"/>
      <c r="N975" s="253"/>
      <c r="O975" s="253"/>
      <c r="P975" s="253"/>
      <c r="Q975" s="253"/>
      <c r="R975" s="253"/>
      <c r="S975" s="253"/>
      <c r="T975" s="253"/>
      <c r="U975" s="253"/>
      <c r="V975" s="247"/>
      <c r="W975" s="247"/>
      <c r="X975" s="247"/>
      <c r="Y975" s="247"/>
      <c r="Z975" s="247"/>
    </row>
    <row r="976">
      <c r="A976" s="247"/>
      <c r="B976" s="247"/>
      <c r="C976" s="247"/>
      <c r="D976" s="247"/>
      <c r="E976" s="247"/>
      <c r="F976" s="247"/>
      <c r="G976" s="247"/>
      <c r="H976" s="247"/>
      <c r="I976" s="247"/>
      <c r="J976" s="247"/>
      <c r="K976" s="247"/>
      <c r="L976" s="247"/>
      <c r="M976" s="253"/>
      <c r="N976" s="253"/>
      <c r="O976" s="253"/>
      <c r="P976" s="253"/>
      <c r="Q976" s="253"/>
      <c r="R976" s="253"/>
      <c r="S976" s="253"/>
      <c r="T976" s="253"/>
      <c r="U976" s="253"/>
      <c r="V976" s="247"/>
      <c r="W976" s="247"/>
      <c r="X976" s="247"/>
      <c r="Y976" s="247"/>
      <c r="Z976" s="247"/>
    </row>
    <row r="977">
      <c r="A977" s="247"/>
      <c r="B977" s="247"/>
      <c r="C977" s="247"/>
      <c r="D977" s="247"/>
      <c r="E977" s="247"/>
      <c r="F977" s="247"/>
      <c r="G977" s="247"/>
      <c r="H977" s="247"/>
      <c r="I977" s="247"/>
      <c r="J977" s="247"/>
      <c r="K977" s="247"/>
      <c r="L977" s="247"/>
      <c r="M977" s="253"/>
      <c r="N977" s="253"/>
      <c r="O977" s="253"/>
      <c r="P977" s="253"/>
      <c r="Q977" s="253"/>
      <c r="R977" s="253"/>
      <c r="S977" s="253"/>
      <c r="T977" s="253"/>
      <c r="U977" s="253"/>
      <c r="V977" s="247"/>
      <c r="W977" s="247"/>
      <c r="X977" s="247"/>
      <c r="Y977" s="247"/>
      <c r="Z977" s="247"/>
    </row>
    <row r="978">
      <c r="A978" s="247"/>
      <c r="B978" s="247"/>
      <c r="C978" s="247"/>
      <c r="D978" s="247"/>
      <c r="E978" s="247"/>
      <c r="F978" s="247"/>
      <c r="G978" s="247"/>
      <c r="H978" s="247"/>
      <c r="I978" s="247"/>
      <c r="J978" s="247"/>
      <c r="K978" s="247"/>
      <c r="L978" s="247"/>
      <c r="M978" s="253"/>
      <c r="N978" s="253"/>
      <c r="O978" s="253"/>
      <c r="P978" s="253"/>
      <c r="Q978" s="253"/>
      <c r="R978" s="253"/>
      <c r="S978" s="253"/>
      <c r="T978" s="253"/>
      <c r="U978" s="253"/>
      <c r="V978" s="247"/>
      <c r="W978" s="247"/>
      <c r="X978" s="247"/>
      <c r="Y978" s="247"/>
      <c r="Z978" s="247"/>
    </row>
    <row r="979">
      <c r="A979" s="247"/>
      <c r="B979" s="247"/>
      <c r="C979" s="247"/>
      <c r="D979" s="247"/>
      <c r="E979" s="247"/>
      <c r="F979" s="247"/>
      <c r="G979" s="247"/>
      <c r="H979" s="247"/>
      <c r="I979" s="247"/>
      <c r="J979" s="247"/>
      <c r="K979" s="247"/>
      <c r="L979" s="247"/>
      <c r="M979" s="253"/>
      <c r="N979" s="253"/>
      <c r="O979" s="253"/>
      <c r="P979" s="253"/>
      <c r="Q979" s="253"/>
      <c r="R979" s="253"/>
      <c r="S979" s="253"/>
      <c r="T979" s="253"/>
      <c r="U979" s="253"/>
      <c r="V979" s="247"/>
      <c r="W979" s="247"/>
      <c r="X979" s="247"/>
      <c r="Y979" s="247"/>
      <c r="Z979" s="247"/>
    </row>
    <row r="980">
      <c r="A980" s="247"/>
      <c r="B980" s="247"/>
      <c r="C980" s="247"/>
      <c r="D980" s="247"/>
      <c r="E980" s="247"/>
      <c r="F980" s="247"/>
      <c r="G980" s="247"/>
      <c r="H980" s="247"/>
      <c r="I980" s="247"/>
      <c r="J980" s="247"/>
      <c r="K980" s="247"/>
      <c r="L980" s="247"/>
      <c r="M980" s="253"/>
      <c r="N980" s="253"/>
      <c r="O980" s="253"/>
      <c r="P980" s="253"/>
      <c r="Q980" s="253"/>
      <c r="R980" s="253"/>
      <c r="S980" s="253"/>
      <c r="T980" s="253"/>
      <c r="U980" s="253"/>
      <c r="V980" s="247"/>
      <c r="W980" s="247"/>
      <c r="X980" s="247"/>
      <c r="Y980" s="247"/>
      <c r="Z980" s="247"/>
    </row>
    <row r="981">
      <c r="A981" s="247"/>
      <c r="B981" s="247"/>
      <c r="C981" s="247"/>
      <c r="D981" s="247"/>
      <c r="E981" s="247"/>
      <c r="F981" s="247"/>
      <c r="G981" s="247"/>
      <c r="H981" s="247"/>
      <c r="I981" s="247"/>
      <c r="J981" s="247"/>
      <c r="K981" s="247"/>
      <c r="L981" s="247"/>
      <c r="M981" s="253"/>
      <c r="N981" s="253"/>
      <c r="O981" s="253"/>
      <c r="P981" s="253"/>
      <c r="Q981" s="253"/>
      <c r="R981" s="253"/>
      <c r="S981" s="253"/>
      <c r="T981" s="253"/>
      <c r="U981" s="253"/>
      <c r="V981" s="247"/>
      <c r="W981" s="247"/>
      <c r="X981" s="247"/>
      <c r="Y981" s="247"/>
      <c r="Z981" s="247"/>
    </row>
    <row r="982">
      <c r="A982" s="247"/>
      <c r="B982" s="247"/>
      <c r="C982" s="247"/>
      <c r="D982" s="247"/>
      <c r="E982" s="247"/>
      <c r="F982" s="247"/>
      <c r="G982" s="247"/>
      <c r="H982" s="247"/>
      <c r="I982" s="247"/>
      <c r="J982" s="247"/>
      <c r="K982" s="247"/>
      <c r="L982" s="247"/>
      <c r="M982" s="253"/>
      <c r="N982" s="253"/>
      <c r="O982" s="253"/>
      <c r="P982" s="253"/>
      <c r="Q982" s="253"/>
      <c r="R982" s="253"/>
      <c r="S982" s="253"/>
      <c r="T982" s="253"/>
      <c r="U982" s="253"/>
      <c r="V982" s="247"/>
      <c r="W982" s="247"/>
      <c r="X982" s="247"/>
      <c r="Y982" s="247"/>
      <c r="Z982" s="247"/>
    </row>
    <row r="983">
      <c r="A983" s="247"/>
      <c r="B983" s="247"/>
      <c r="C983" s="247"/>
      <c r="D983" s="247"/>
      <c r="E983" s="247"/>
      <c r="F983" s="247"/>
      <c r="G983" s="247"/>
      <c r="H983" s="247"/>
      <c r="I983" s="247"/>
      <c r="J983" s="247"/>
      <c r="K983" s="247"/>
      <c r="L983" s="247"/>
      <c r="M983" s="253"/>
      <c r="N983" s="253"/>
      <c r="O983" s="253"/>
      <c r="P983" s="253"/>
      <c r="Q983" s="253"/>
      <c r="R983" s="253"/>
      <c r="S983" s="253"/>
      <c r="T983" s="253"/>
      <c r="U983" s="253"/>
      <c r="V983" s="247"/>
      <c r="W983" s="247"/>
      <c r="X983" s="247"/>
      <c r="Y983" s="247"/>
      <c r="Z983" s="247"/>
    </row>
    <row r="984">
      <c r="A984" s="247"/>
      <c r="B984" s="247"/>
      <c r="C984" s="247"/>
      <c r="D984" s="247"/>
      <c r="E984" s="247"/>
      <c r="F984" s="247"/>
      <c r="G984" s="247"/>
      <c r="H984" s="247"/>
      <c r="I984" s="247"/>
      <c r="J984" s="247"/>
      <c r="K984" s="247"/>
      <c r="L984" s="247"/>
      <c r="M984" s="253"/>
      <c r="N984" s="253"/>
      <c r="O984" s="253"/>
      <c r="P984" s="253"/>
      <c r="Q984" s="253"/>
      <c r="R984" s="253"/>
      <c r="S984" s="253"/>
      <c r="T984" s="253"/>
      <c r="U984" s="253"/>
      <c r="V984" s="247"/>
      <c r="W984" s="247"/>
      <c r="X984" s="247"/>
      <c r="Y984" s="247"/>
      <c r="Z984" s="247"/>
    </row>
    <row r="985">
      <c r="A985" s="247"/>
      <c r="B985" s="247"/>
      <c r="C985" s="247"/>
      <c r="D985" s="247"/>
      <c r="E985" s="247"/>
      <c r="F985" s="247"/>
      <c r="G985" s="247"/>
      <c r="H985" s="247"/>
      <c r="I985" s="247"/>
      <c r="J985" s="247"/>
      <c r="K985" s="247"/>
      <c r="L985" s="247"/>
      <c r="M985" s="253"/>
      <c r="N985" s="253"/>
      <c r="O985" s="253"/>
      <c r="P985" s="253"/>
      <c r="Q985" s="253"/>
      <c r="R985" s="253"/>
      <c r="S985" s="253"/>
      <c r="T985" s="253"/>
      <c r="U985" s="253"/>
      <c r="V985" s="247"/>
      <c r="W985" s="247"/>
      <c r="X985" s="247"/>
      <c r="Y985" s="247"/>
      <c r="Z985" s="247"/>
    </row>
    <row r="986">
      <c r="A986" s="247"/>
      <c r="B986" s="247"/>
      <c r="C986" s="247"/>
      <c r="D986" s="247"/>
      <c r="E986" s="247"/>
      <c r="F986" s="247"/>
      <c r="G986" s="247"/>
      <c r="H986" s="247"/>
      <c r="I986" s="247"/>
      <c r="J986" s="247"/>
      <c r="K986" s="247"/>
      <c r="L986" s="247"/>
      <c r="M986" s="253"/>
      <c r="N986" s="253"/>
      <c r="O986" s="253"/>
      <c r="P986" s="253"/>
      <c r="Q986" s="253"/>
      <c r="R986" s="253"/>
      <c r="S986" s="253"/>
      <c r="T986" s="253"/>
      <c r="U986" s="253"/>
      <c r="V986" s="247"/>
      <c r="W986" s="247"/>
      <c r="X986" s="247"/>
      <c r="Y986" s="247"/>
      <c r="Z986" s="247"/>
    </row>
    <row r="987">
      <c r="A987" s="247"/>
      <c r="B987" s="247"/>
      <c r="C987" s="247"/>
      <c r="D987" s="247"/>
      <c r="E987" s="247"/>
      <c r="F987" s="247"/>
      <c r="G987" s="247"/>
      <c r="H987" s="247"/>
      <c r="I987" s="247"/>
      <c r="J987" s="247"/>
      <c r="K987" s="247"/>
      <c r="L987" s="247"/>
      <c r="M987" s="253"/>
      <c r="N987" s="253"/>
      <c r="O987" s="253"/>
      <c r="P987" s="253"/>
      <c r="Q987" s="253"/>
      <c r="R987" s="253"/>
      <c r="S987" s="253"/>
      <c r="T987" s="253"/>
      <c r="U987" s="253"/>
      <c r="V987" s="247"/>
      <c r="W987" s="247"/>
      <c r="X987" s="247"/>
      <c r="Y987" s="247"/>
      <c r="Z987" s="247"/>
    </row>
    <row r="988">
      <c r="A988" s="247"/>
      <c r="B988" s="247"/>
      <c r="C988" s="247"/>
      <c r="D988" s="247"/>
      <c r="E988" s="247"/>
      <c r="F988" s="247"/>
      <c r="G988" s="247"/>
      <c r="H988" s="247"/>
      <c r="I988" s="247"/>
      <c r="J988" s="247"/>
      <c r="K988" s="247"/>
      <c r="L988" s="247"/>
      <c r="M988" s="253"/>
      <c r="N988" s="253"/>
      <c r="O988" s="253"/>
      <c r="P988" s="253"/>
      <c r="Q988" s="253"/>
      <c r="R988" s="253"/>
      <c r="S988" s="253"/>
      <c r="T988" s="253"/>
      <c r="U988" s="253"/>
      <c r="V988" s="247"/>
      <c r="W988" s="247"/>
      <c r="X988" s="247"/>
      <c r="Y988" s="247"/>
      <c r="Z988" s="247"/>
    </row>
    <row r="989">
      <c r="A989" s="247"/>
      <c r="B989" s="247"/>
      <c r="C989" s="247"/>
      <c r="D989" s="247"/>
      <c r="E989" s="247"/>
      <c r="F989" s="247"/>
      <c r="G989" s="247"/>
      <c r="H989" s="247"/>
      <c r="I989" s="247"/>
      <c r="J989" s="247"/>
      <c r="K989" s="247"/>
      <c r="L989" s="247"/>
      <c r="M989" s="253"/>
      <c r="N989" s="253"/>
      <c r="O989" s="253"/>
      <c r="P989" s="253"/>
      <c r="Q989" s="253"/>
      <c r="R989" s="253"/>
      <c r="S989" s="253"/>
      <c r="T989" s="253"/>
      <c r="U989" s="253"/>
      <c r="V989" s="247"/>
      <c r="W989" s="247"/>
      <c r="X989" s="247"/>
      <c r="Y989" s="247"/>
      <c r="Z989" s="247"/>
    </row>
    <row r="990">
      <c r="A990" s="247"/>
      <c r="B990" s="247"/>
      <c r="C990" s="247"/>
      <c r="D990" s="247"/>
      <c r="E990" s="247"/>
      <c r="F990" s="247"/>
      <c r="G990" s="247"/>
      <c r="H990" s="247"/>
      <c r="I990" s="247"/>
      <c r="J990" s="247"/>
      <c r="K990" s="247"/>
      <c r="L990" s="247"/>
      <c r="M990" s="253"/>
      <c r="N990" s="253"/>
      <c r="O990" s="253"/>
      <c r="P990" s="253"/>
      <c r="Q990" s="253"/>
      <c r="R990" s="253"/>
      <c r="S990" s="253"/>
      <c r="T990" s="253"/>
      <c r="U990" s="253"/>
      <c r="V990" s="247"/>
      <c r="W990" s="247"/>
      <c r="X990" s="247"/>
      <c r="Y990" s="247"/>
      <c r="Z990" s="247"/>
    </row>
    <row r="991">
      <c r="A991" s="247"/>
      <c r="B991" s="247"/>
      <c r="C991" s="247"/>
      <c r="D991" s="247"/>
      <c r="E991" s="247"/>
      <c r="F991" s="247"/>
      <c r="G991" s="247"/>
      <c r="H991" s="247"/>
      <c r="I991" s="247"/>
      <c r="J991" s="247"/>
      <c r="K991" s="247"/>
      <c r="L991" s="247"/>
      <c r="M991" s="253"/>
      <c r="N991" s="253"/>
      <c r="O991" s="253"/>
      <c r="P991" s="253"/>
      <c r="Q991" s="253"/>
      <c r="R991" s="253"/>
      <c r="S991" s="253"/>
      <c r="T991" s="253"/>
      <c r="U991" s="253"/>
      <c r="V991" s="247"/>
      <c r="W991" s="247"/>
      <c r="X991" s="247"/>
      <c r="Y991" s="247"/>
      <c r="Z991" s="247"/>
    </row>
    <row r="992">
      <c r="A992" s="247"/>
      <c r="B992" s="247"/>
      <c r="C992" s="247"/>
      <c r="D992" s="247"/>
      <c r="E992" s="247"/>
      <c r="F992" s="247"/>
      <c r="G992" s="247"/>
      <c r="H992" s="247"/>
      <c r="I992" s="247"/>
      <c r="J992" s="247"/>
      <c r="K992" s="247"/>
      <c r="L992" s="247"/>
      <c r="M992" s="253"/>
      <c r="N992" s="253"/>
      <c r="O992" s="253"/>
      <c r="P992" s="253"/>
      <c r="Q992" s="253"/>
      <c r="R992" s="253"/>
      <c r="S992" s="253"/>
      <c r="T992" s="253"/>
      <c r="U992" s="253"/>
      <c r="V992" s="247"/>
      <c r="W992" s="247"/>
      <c r="X992" s="247"/>
      <c r="Y992" s="247"/>
      <c r="Z992" s="247"/>
    </row>
    <row r="993">
      <c r="A993" s="247"/>
      <c r="B993" s="247"/>
      <c r="C993" s="247"/>
      <c r="D993" s="247"/>
      <c r="E993" s="247"/>
      <c r="F993" s="247"/>
      <c r="G993" s="247"/>
      <c r="H993" s="247"/>
      <c r="I993" s="247"/>
      <c r="J993" s="247"/>
      <c r="K993" s="247"/>
      <c r="L993" s="247"/>
      <c r="M993" s="253"/>
      <c r="N993" s="253"/>
      <c r="O993" s="253"/>
      <c r="P993" s="253"/>
      <c r="Q993" s="253"/>
      <c r="R993" s="253"/>
      <c r="S993" s="253"/>
      <c r="T993" s="253"/>
      <c r="U993" s="253"/>
      <c r="V993" s="247"/>
      <c r="W993" s="247"/>
      <c r="X993" s="247"/>
      <c r="Y993" s="247"/>
      <c r="Z993" s="247"/>
    </row>
    <row r="994">
      <c r="A994" s="247"/>
      <c r="B994" s="247"/>
      <c r="C994" s="247"/>
      <c r="D994" s="247"/>
      <c r="E994" s="247"/>
      <c r="F994" s="247"/>
      <c r="G994" s="247"/>
      <c r="H994" s="247"/>
      <c r="I994" s="247"/>
      <c r="J994" s="247"/>
      <c r="K994" s="247"/>
      <c r="L994" s="247"/>
      <c r="M994" s="253"/>
      <c r="N994" s="253"/>
      <c r="O994" s="253"/>
      <c r="P994" s="253"/>
      <c r="Q994" s="253"/>
      <c r="R994" s="253"/>
      <c r="S994" s="253"/>
      <c r="T994" s="253"/>
      <c r="U994" s="253"/>
      <c r="V994" s="247"/>
      <c r="W994" s="247"/>
      <c r="X994" s="247"/>
      <c r="Y994" s="247"/>
      <c r="Z994" s="247"/>
    </row>
    <row r="995">
      <c r="A995" s="247"/>
      <c r="B995" s="247"/>
      <c r="C995" s="247"/>
      <c r="D995" s="247"/>
      <c r="E995" s="247"/>
      <c r="F995" s="247"/>
      <c r="G995" s="247"/>
      <c r="H995" s="247"/>
      <c r="I995" s="247"/>
      <c r="J995" s="247"/>
      <c r="K995" s="247"/>
      <c r="L995" s="247"/>
      <c r="M995" s="253"/>
      <c r="N995" s="253"/>
      <c r="O995" s="253"/>
      <c r="P995" s="253"/>
      <c r="Q995" s="253"/>
      <c r="R995" s="253"/>
      <c r="S995" s="253"/>
      <c r="T995" s="253"/>
      <c r="U995" s="253"/>
      <c r="V995" s="247"/>
      <c r="W995" s="247"/>
      <c r="X995" s="247"/>
      <c r="Y995" s="247"/>
      <c r="Z995" s="247"/>
    </row>
    <row r="996">
      <c r="A996" s="247"/>
      <c r="B996" s="247"/>
      <c r="C996" s="247"/>
      <c r="D996" s="247"/>
      <c r="E996" s="247"/>
      <c r="F996" s="247"/>
      <c r="G996" s="247"/>
      <c r="H996" s="247"/>
      <c r="I996" s="247"/>
      <c r="J996" s="247"/>
      <c r="K996" s="247"/>
      <c r="L996" s="247"/>
      <c r="M996" s="253"/>
      <c r="N996" s="253"/>
      <c r="O996" s="253"/>
      <c r="P996" s="253"/>
      <c r="Q996" s="253"/>
      <c r="R996" s="253"/>
      <c r="S996" s="253"/>
      <c r="T996" s="253"/>
      <c r="U996" s="253"/>
      <c r="V996" s="247"/>
      <c r="W996" s="247"/>
      <c r="X996" s="247"/>
      <c r="Y996" s="247"/>
      <c r="Z996" s="247"/>
    </row>
    <row r="997">
      <c r="A997" s="247"/>
      <c r="B997" s="247"/>
      <c r="C997" s="247"/>
      <c r="D997" s="247"/>
      <c r="E997" s="247"/>
      <c r="F997" s="247"/>
      <c r="G997" s="247"/>
      <c r="H997" s="247"/>
      <c r="I997" s="247"/>
      <c r="J997" s="247"/>
      <c r="K997" s="247"/>
      <c r="L997" s="247"/>
      <c r="M997" s="253"/>
      <c r="N997" s="253"/>
      <c r="O997" s="253"/>
      <c r="P997" s="253"/>
      <c r="Q997" s="253"/>
      <c r="R997" s="253"/>
      <c r="S997" s="253"/>
      <c r="T997" s="253"/>
      <c r="U997" s="253"/>
      <c r="V997" s="247"/>
      <c r="W997" s="247"/>
      <c r="X997" s="247"/>
      <c r="Y997" s="247"/>
      <c r="Z997" s="247"/>
    </row>
    <row r="998">
      <c r="A998" s="247"/>
      <c r="B998" s="247"/>
      <c r="C998" s="247"/>
      <c r="D998" s="247"/>
      <c r="E998" s="247"/>
      <c r="F998" s="247"/>
      <c r="G998" s="247"/>
      <c r="H998" s="247"/>
      <c r="I998" s="247"/>
      <c r="J998" s="247"/>
      <c r="K998" s="247"/>
      <c r="L998" s="247"/>
      <c r="M998" s="253"/>
      <c r="N998" s="253"/>
      <c r="O998" s="253"/>
      <c r="P998" s="253"/>
      <c r="Q998" s="253"/>
      <c r="R998" s="253"/>
      <c r="S998" s="253"/>
      <c r="T998" s="253"/>
      <c r="U998" s="253"/>
      <c r="V998" s="247"/>
      <c r="W998" s="247"/>
      <c r="X998" s="247"/>
      <c r="Y998" s="247"/>
      <c r="Z998" s="247"/>
    </row>
    <row r="999">
      <c r="A999" s="247"/>
      <c r="B999" s="247"/>
      <c r="C999" s="247"/>
      <c r="D999" s="247"/>
      <c r="E999" s="247"/>
      <c r="F999" s="247"/>
      <c r="G999" s="247"/>
      <c r="H999" s="247"/>
      <c r="I999" s="247"/>
      <c r="J999" s="247"/>
      <c r="K999" s="247"/>
      <c r="L999" s="247"/>
      <c r="M999" s="253"/>
      <c r="N999" s="253"/>
      <c r="O999" s="253"/>
      <c r="P999" s="253"/>
      <c r="Q999" s="253"/>
      <c r="R999" s="253"/>
      <c r="S999" s="253"/>
      <c r="T999" s="253"/>
      <c r="U999" s="253"/>
      <c r="V999" s="247"/>
      <c r="W999" s="247"/>
      <c r="X999" s="247"/>
      <c r="Y999" s="247"/>
      <c r="Z999" s="247"/>
    </row>
  </sheetData>
  <hyperlinks>
    <hyperlink r:id="rId1" ref="U2"/>
    <hyperlink r:id="rId2" ref="N6"/>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38"/>
    <col customWidth="1" min="8" max="8" width="17.25"/>
  </cols>
  <sheetData>
    <row r="1">
      <c r="A1" s="1" t="s">
        <v>0</v>
      </c>
      <c r="B1" s="1" t="s">
        <v>1</v>
      </c>
      <c r="C1" s="4" t="s">
        <v>3752</v>
      </c>
      <c r="D1" s="1" t="s">
        <v>2</v>
      </c>
      <c r="E1" s="1" t="s">
        <v>3</v>
      </c>
      <c r="F1" s="1" t="s">
        <v>4</v>
      </c>
      <c r="G1" s="1" t="s">
        <v>5</v>
      </c>
      <c r="H1" s="3" t="s">
        <v>6</v>
      </c>
      <c r="I1" s="4" t="s">
        <v>7</v>
      </c>
      <c r="J1" s="4" t="s">
        <v>8</v>
      </c>
      <c r="K1" s="4" t="s">
        <v>3877</v>
      </c>
      <c r="L1" s="1" t="s">
        <v>11</v>
      </c>
      <c r="M1" s="1" t="s">
        <v>12</v>
      </c>
      <c r="N1" s="1" t="s">
        <v>41</v>
      </c>
      <c r="O1" s="5" t="s">
        <v>42</v>
      </c>
      <c r="P1" s="1" t="s">
        <v>43</v>
      </c>
      <c r="Q1" s="1" t="s">
        <v>44</v>
      </c>
      <c r="R1" s="1" t="s">
        <v>45</v>
      </c>
      <c r="S1" s="1" t="s">
        <v>46</v>
      </c>
      <c r="T1" s="1" t="s">
        <v>47</v>
      </c>
      <c r="U1" s="5" t="s">
        <v>48</v>
      </c>
    </row>
    <row r="2">
      <c r="A2" s="9" t="s">
        <v>3878</v>
      </c>
      <c r="B2" s="256" t="s">
        <v>3879</v>
      </c>
      <c r="C2" s="257" t="s">
        <v>3880</v>
      </c>
      <c r="D2" s="258" t="s">
        <v>3881</v>
      </c>
      <c r="E2" s="258" t="s">
        <v>99</v>
      </c>
      <c r="F2" s="258" t="s">
        <v>3882</v>
      </c>
      <c r="G2" s="29" t="s">
        <v>3883</v>
      </c>
      <c r="H2" s="28">
        <f>349+499+349</f>
        <v>1197</v>
      </c>
      <c r="I2" s="256"/>
      <c r="J2" s="103" t="s">
        <v>55</v>
      </c>
      <c r="K2" s="256" t="s">
        <v>3884</v>
      </c>
      <c r="L2" s="98" t="s">
        <v>3885</v>
      </c>
      <c r="M2" s="98" t="s">
        <v>3886</v>
      </c>
      <c r="N2" s="98" t="s">
        <v>3887</v>
      </c>
      <c r="O2" s="98" t="s">
        <v>3888</v>
      </c>
      <c r="P2" s="98" t="s">
        <v>3889</v>
      </c>
      <c r="Q2" s="98" t="s">
        <v>3890</v>
      </c>
      <c r="R2" s="98" t="s">
        <v>3891</v>
      </c>
      <c r="S2" s="98" t="s">
        <v>3892</v>
      </c>
      <c r="T2" s="98" t="s">
        <v>3893</v>
      </c>
    </row>
    <row r="3">
      <c r="A3" s="9" t="s">
        <v>3894</v>
      </c>
      <c r="B3" s="256" t="s">
        <v>3895</v>
      </c>
      <c r="C3" s="257" t="s">
        <v>3896</v>
      </c>
      <c r="D3" s="258" t="s">
        <v>3897</v>
      </c>
      <c r="E3" s="258" t="s">
        <v>99</v>
      </c>
      <c r="F3" s="258" t="s">
        <v>3882</v>
      </c>
      <c r="G3" s="29" t="s">
        <v>3898</v>
      </c>
      <c r="H3" s="29">
        <f>499+299+349</f>
        <v>1147</v>
      </c>
      <c r="I3" s="256"/>
      <c r="J3" s="103" t="s">
        <v>55</v>
      </c>
      <c r="K3" s="256" t="s">
        <v>3884</v>
      </c>
      <c r="L3" s="98" t="s">
        <v>3899</v>
      </c>
      <c r="M3" s="98" t="s">
        <v>3900</v>
      </c>
      <c r="N3" s="98" t="s">
        <v>3901</v>
      </c>
      <c r="O3" s="98" t="s">
        <v>3902</v>
      </c>
      <c r="P3" s="98" t="s">
        <v>3903</v>
      </c>
      <c r="Q3" s="98" t="s">
        <v>3904</v>
      </c>
      <c r="R3" s="98" t="s">
        <v>3905</v>
      </c>
      <c r="S3" s="98" t="s">
        <v>3906</v>
      </c>
      <c r="T3" s="98" t="s">
        <v>3907</v>
      </c>
    </row>
    <row r="4">
      <c r="A4" s="259"/>
      <c r="B4" s="260"/>
      <c r="C4" s="260"/>
      <c r="D4" s="260"/>
      <c r="E4" s="260"/>
      <c r="F4" s="260"/>
      <c r="G4" s="260"/>
      <c r="H4" s="260"/>
      <c r="I4" s="260"/>
      <c r="J4" s="260"/>
      <c r="K4" s="260"/>
      <c r="L4" s="260"/>
    </row>
    <row r="5">
      <c r="A5" s="136"/>
      <c r="B5" s="260"/>
      <c r="C5" s="260"/>
      <c r="D5" s="260"/>
      <c r="E5" s="260"/>
      <c r="F5" s="260"/>
      <c r="G5" s="260"/>
      <c r="H5" s="27"/>
      <c r="I5" s="29"/>
      <c r="J5" s="260"/>
      <c r="K5" s="260"/>
      <c r="L5" s="260"/>
    </row>
    <row r="6">
      <c r="A6" s="259"/>
      <c r="B6" s="261"/>
      <c r="C6" s="260"/>
      <c r="D6" s="260"/>
      <c r="E6" s="260"/>
      <c r="F6" s="260"/>
      <c r="G6" s="12"/>
      <c r="H6" s="36"/>
      <c r="I6" s="260"/>
      <c r="J6" s="260"/>
      <c r="K6" s="260"/>
      <c r="L6" s="260"/>
      <c r="M6" s="52"/>
      <c r="N6" s="52"/>
      <c r="O6" s="52"/>
    </row>
    <row r="7">
      <c r="A7" s="259"/>
      <c r="B7" s="262"/>
      <c r="C7" s="260"/>
      <c r="D7" s="260"/>
      <c r="E7" s="260"/>
      <c r="F7" s="260"/>
      <c r="G7" s="260"/>
      <c r="H7" s="260"/>
      <c r="I7" s="260"/>
      <c r="J7" s="260"/>
      <c r="K7" s="260"/>
      <c r="L7" s="260"/>
      <c r="M7" s="52"/>
      <c r="N7" s="52"/>
      <c r="O7" s="52"/>
    </row>
    <row r="8">
      <c r="A8" s="259"/>
      <c r="B8" s="262"/>
      <c r="C8" s="260"/>
      <c r="D8" s="260"/>
      <c r="E8" s="260"/>
      <c r="F8" s="260"/>
      <c r="G8" s="260"/>
      <c r="H8" s="260"/>
      <c r="I8" s="260"/>
      <c r="J8" s="260"/>
      <c r="K8" s="260"/>
      <c r="L8" s="260"/>
      <c r="M8" s="52"/>
      <c r="N8" s="52"/>
      <c r="O8" s="52"/>
    </row>
    <row r="9">
      <c r="A9" s="259"/>
      <c r="B9" s="262"/>
      <c r="C9" s="260"/>
      <c r="D9" s="55"/>
      <c r="E9" s="55"/>
      <c r="F9" s="260"/>
      <c r="G9" s="260"/>
      <c r="H9" s="260"/>
      <c r="I9" s="260"/>
      <c r="J9" s="260"/>
      <c r="K9" s="260"/>
      <c r="L9" s="260"/>
      <c r="M9" s="52"/>
      <c r="N9" s="52"/>
      <c r="O9" s="52"/>
    </row>
    <row r="10">
      <c r="A10" s="259"/>
      <c r="B10" s="263"/>
      <c r="C10" s="260"/>
      <c r="F10" s="260"/>
      <c r="G10" s="260"/>
      <c r="H10" s="260"/>
      <c r="I10" s="260"/>
      <c r="J10" s="260"/>
      <c r="K10" s="260"/>
      <c r="L10" s="55"/>
      <c r="M10" s="55"/>
      <c r="N10" s="52"/>
      <c r="O10" s="52"/>
    </row>
    <row r="11">
      <c r="A11" s="259"/>
      <c r="B11" s="263"/>
      <c r="C11" s="260"/>
      <c r="F11" s="260"/>
      <c r="G11" s="260"/>
      <c r="H11" s="260"/>
      <c r="I11" s="260"/>
      <c r="J11" s="260"/>
      <c r="K11" s="260"/>
      <c r="N11" s="52"/>
      <c r="O11" s="52"/>
    </row>
    <row r="12">
      <c r="A12" s="259"/>
      <c r="B12" s="263"/>
      <c r="C12" s="260"/>
      <c r="F12" s="260"/>
      <c r="G12" s="260"/>
      <c r="H12" s="260"/>
      <c r="I12" s="260"/>
      <c r="J12" s="260"/>
      <c r="K12" s="260"/>
      <c r="N12" s="52"/>
      <c r="O12" s="52"/>
    </row>
    <row r="13">
      <c r="A13" s="259"/>
      <c r="B13" s="263"/>
      <c r="C13" s="52"/>
      <c r="F13" s="52"/>
      <c r="G13" s="52"/>
      <c r="H13" s="52"/>
      <c r="I13" s="52"/>
      <c r="J13" s="52"/>
      <c r="K13" s="52"/>
      <c r="N13" s="52"/>
      <c r="O13" s="52"/>
    </row>
    <row r="14">
      <c r="A14" s="259"/>
      <c r="B14" s="263"/>
      <c r="C14" s="52"/>
      <c r="F14" s="52"/>
      <c r="G14" s="52"/>
      <c r="H14" s="52"/>
      <c r="I14" s="52"/>
      <c r="J14" s="52"/>
      <c r="K14" s="52"/>
      <c r="N14" s="52"/>
      <c r="O14" s="52"/>
    </row>
    <row r="15">
      <c r="A15" s="259"/>
      <c r="B15" s="263"/>
      <c r="C15" s="52"/>
      <c r="F15" s="52"/>
      <c r="G15" s="52"/>
      <c r="H15" s="52"/>
      <c r="I15" s="52"/>
      <c r="J15" s="52"/>
      <c r="K15" s="52"/>
      <c r="N15" s="52"/>
      <c r="O15" s="52"/>
    </row>
    <row r="16">
      <c r="A16" s="259"/>
      <c r="B16" s="263"/>
      <c r="C16" s="52"/>
      <c r="F16" s="52"/>
      <c r="G16" s="52"/>
      <c r="H16" s="52"/>
      <c r="I16" s="52"/>
      <c r="J16" s="52"/>
      <c r="K16" s="52"/>
      <c r="N16" s="52"/>
      <c r="O16" s="52"/>
    </row>
    <row r="17">
      <c r="A17" s="259"/>
      <c r="B17" s="263"/>
      <c r="C17" s="52"/>
      <c r="F17" s="52"/>
      <c r="G17" s="52"/>
      <c r="H17" s="52"/>
      <c r="I17" s="52"/>
      <c r="J17" s="52"/>
      <c r="K17" s="52"/>
      <c r="N17" s="52"/>
      <c r="O17" s="52"/>
    </row>
    <row r="18">
      <c r="A18" s="259"/>
      <c r="C18" s="52"/>
      <c r="F18" s="52"/>
      <c r="G18" s="52"/>
      <c r="H18" s="52"/>
      <c r="I18" s="52"/>
      <c r="J18" s="52"/>
      <c r="K18" s="52"/>
      <c r="N18" s="52"/>
      <c r="O18" s="52"/>
    </row>
    <row r="19">
      <c r="A19" s="259"/>
      <c r="B19" s="52"/>
      <c r="C19" s="52"/>
      <c r="D19" s="52"/>
      <c r="E19" s="52"/>
      <c r="F19" s="52"/>
      <c r="G19" s="52"/>
      <c r="H19" s="52"/>
      <c r="I19" s="52"/>
      <c r="J19" s="52"/>
      <c r="K19" s="52"/>
      <c r="N19" s="52"/>
      <c r="O19" s="52"/>
    </row>
    <row r="20">
      <c r="A20" s="259"/>
      <c r="C20" s="52"/>
      <c r="D20" s="52"/>
      <c r="E20" s="52"/>
      <c r="F20" s="52"/>
      <c r="G20" s="52"/>
      <c r="H20" s="52"/>
      <c r="I20" s="52"/>
      <c r="J20" s="52"/>
      <c r="K20" s="52"/>
      <c r="L20" s="52"/>
      <c r="M20" s="52"/>
      <c r="N20" s="52"/>
      <c r="O20" s="52"/>
    </row>
    <row r="21">
      <c r="A21" s="259"/>
      <c r="B21" s="52"/>
      <c r="C21" s="52"/>
      <c r="D21" s="52"/>
      <c r="E21" s="52"/>
      <c r="F21" s="52"/>
      <c r="G21" s="52"/>
      <c r="H21" s="52"/>
      <c r="I21" s="52"/>
      <c r="J21" s="52"/>
      <c r="K21" s="52"/>
      <c r="L21" s="52"/>
      <c r="M21" s="52"/>
      <c r="N21" s="52"/>
      <c r="O21" s="52"/>
    </row>
    <row r="22">
      <c r="A22" s="264"/>
      <c r="C22" s="52"/>
      <c r="D22" s="52"/>
      <c r="E22" s="52"/>
      <c r="F22" s="52"/>
      <c r="G22" s="52"/>
      <c r="H22" s="52"/>
      <c r="I22" s="52"/>
      <c r="J22" s="52"/>
      <c r="K22" s="52"/>
      <c r="L22" s="52"/>
      <c r="M22" s="52"/>
      <c r="N22" s="52"/>
      <c r="O22" s="52"/>
    </row>
    <row r="23">
      <c r="B23" s="52"/>
      <c r="C23" s="52"/>
      <c r="D23" s="52"/>
      <c r="E23" s="52"/>
      <c r="F23" s="52"/>
      <c r="G23" s="52"/>
      <c r="H23" s="52"/>
      <c r="I23" s="52"/>
      <c r="J23" s="52"/>
      <c r="K23" s="52"/>
      <c r="L23" s="52"/>
      <c r="M23" s="52"/>
      <c r="N23" s="52"/>
      <c r="O23" s="52"/>
    </row>
    <row r="24">
      <c r="C24" s="52"/>
      <c r="D24" s="52"/>
      <c r="E24" s="52"/>
      <c r="F24" s="52"/>
      <c r="G24" s="52"/>
      <c r="H24" s="52"/>
      <c r="I24" s="52"/>
      <c r="J24" s="52"/>
      <c r="K24" s="52"/>
      <c r="L24" s="52"/>
      <c r="M24" s="52"/>
      <c r="N24" s="52"/>
      <c r="O24" s="52"/>
    </row>
    <row r="25">
      <c r="B25" s="52"/>
      <c r="C25" s="52"/>
      <c r="D25" s="52"/>
      <c r="E25" s="52"/>
      <c r="F25" s="52"/>
      <c r="G25" s="52"/>
      <c r="H25" s="52"/>
      <c r="I25" s="52"/>
      <c r="J25" s="52"/>
      <c r="K25" s="52"/>
      <c r="L25" s="52"/>
      <c r="M25" s="52"/>
      <c r="N25" s="52"/>
      <c r="O25" s="52"/>
    </row>
    <row r="26">
      <c r="C26" s="52"/>
      <c r="D26" s="52"/>
      <c r="E26" s="52"/>
      <c r="F26" s="52"/>
      <c r="G26" s="52"/>
      <c r="H26" s="52"/>
      <c r="I26" s="52"/>
      <c r="J26" s="52"/>
      <c r="K26" s="52"/>
      <c r="L26" s="52"/>
      <c r="M26" s="52"/>
      <c r="N26" s="52"/>
      <c r="O26" s="52"/>
    </row>
    <row r="27">
      <c r="B27" s="52"/>
      <c r="C27" s="52"/>
      <c r="D27" s="52"/>
      <c r="E27" s="52"/>
      <c r="F27" s="52"/>
      <c r="G27" s="52"/>
      <c r="H27" s="52"/>
      <c r="I27" s="52"/>
      <c r="J27" s="52"/>
      <c r="K27" s="52"/>
      <c r="L27" s="52"/>
      <c r="M27" s="52"/>
      <c r="N27" s="52"/>
      <c r="O27" s="52"/>
    </row>
    <row r="28">
      <c r="B28" s="52"/>
      <c r="C28" s="52"/>
      <c r="D28" s="52"/>
      <c r="E28" s="52"/>
      <c r="F28" s="52"/>
      <c r="G28" s="52"/>
      <c r="H28" s="52"/>
      <c r="I28" s="52"/>
      <c r="J28" s="52"/>
      <c r="K28" s="52"/>
      <c r="L28" s="52"/>
      <c r="M28" s="52"/>
      <c r="N28" s="52"/>
      <c r="O28" s="52"/>
    </row>
    <row r="29">
      <c r="C29" s="52"/>
      <c r="D29" s="52"/>
      <c r="E29" s="52"/>
      <c r="F29" s="52"/>
      <c r="G29" s="52"/>
      <c r="H29" s="52"/>
      <c r="I29" s="52"/>
      <c r="J29" s="52"/>
      <c r="K29" s="52"/>
      <c r="L29" s="52"/>
      <c r="M29" s="52"/>
      <c r="N29" s="52"/>
      <c r="O29" s="52"/>
    </row>
    <row r="30">
      <c r="B30" s="52"/>
      <c r="C30" s="52"/>
      <c r="D30" s="52"/>
      <c r="E30" s="52"/>
      <c r="F30" s="52"/>
      <c r="G30" s="52"/>
      <c r="H30" s="52"/>
      <c r="I30" s="52"/>
      <c r="J30" s="52"/>
      <c r="K30" s="52"/>
      <c r="L30" s="52"/>
      <c r="M30" s="52"/>
      <c r="N30" s="52"/>
      <c r="O30" s="52"/>
    </row>
    <row r="31">
      <c r="B31" s="52"/>
      <c r="C31" s="52"/>
      <c r="D31" s="52"/>
      <c r="E31" s="52"/>
      <c r="F31" s="52"/>
      <c r="G31" s="52"/>
      <c r="H31" s="52"/>
      <c r="I31" s="52"/>
      <c r="J31" s="52"/>
      <c r="K31" s="52"/>
      <c r="L31" s="52"/>
      <c r="M31" s="52"/>
      <c r="N31" s="52"/>
      <c r="O31" s="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25"/>
    <col customWidth="1" min="5" max="5" width="11.13"/>
    <col customWidth="1" min="6" max="6" width="12.13"/>
    <col customWidth="1" min="7" max="7" width="13.38"/>
    <col customWidth="1" min="8" max="8" width="22.0"/>
    <col customWidth="1" min="9" max="9" width="23.13"/>
    <col customWidth="1" min="10" max="10" width="11.13"/>
    <col customWidth="1" min="11" max="11" width="13.38"/>
    <col customWidth="1" min="12" max="12" width="20.5"/>
    <col customWidth="1" min="13" max="13" width="20.63"/>
    <col customWidth="1" min="14" max="16" width="16.5"/>
    <col customWidth="1" min="17" max="17" width="18.63"/>
    <col customWidth="1" min="18" max="19" width="16.5"/>
    <col customWidth="1" min="21" max="26" width="16.5"/>
  </cols>
  <sheetData>
    <row r="1">
      <c r="A1" s="1" t="s">
        <v>0</v>
      </c>
      <c r="B1" s="1" t="s">
        <v>1</v>
      </c>
      <c r="C1" s="4" t="s">
        <v>3752</v>
      </c>
      <c r="D1" s="1" t="s">
        <v>2</v>
      </c>
      <c r="E1" s="1" t="s">
        <v>3</v>
      </c>
      <c r="F1" s="1" t="s">
        <v>4</v>
      </c>
      <c r="G1" s="1" t="s">
        <v>5</v>
      </c>
      <c r="H1" s="3" t="s">
        <v>6</v>
      </c>
      <c r="I1" s="4" t="s">
        <v>7</v>
      </c>
      <c r="J1" s="4" t="s">
        <v>8</v>
      </c>
      <c r="K1" s="1" t="s">
        <v>11</v>
      </c>
      <c r="L1" s="1" t="s">
        <v>12</v>
      </c>
      <c r="M1" s="1" t="s">
        <v>41</v>
      </c>
      <c r="N1" s="5" t="s">
        <v>42</v>
      </c>
      <c r="O1" s="1" t="s">
        <v>43</v>
      </c>
      <c r="P1" s="1" t="s">
        <v>44</v>
      </c>
      <c r="Q1" s="1" t="s">
        <v>45</v>
      </c>
      <c r="R1" s="1" t="s">
        <v>46</v>
      </c>
      <c r="S1" s="1" t="s">
        <v>47</v>
      </c>
      <c r="T1" s="5" t="s">
        <v>48</v>
      </c>
      <c r="U1" s="265"/>
      <c r="V1" s="265"/>
      <c r="W1" s="266"/>
      <c r="X1" s="266"/>
      <c r="Y1" s="266"/>
      <c r="Z1" s="265"/>
    </row>
    <row r="2">
      <c r="A2" s="9" t="s">
        <v>3908</v>
      </c>
      <c r="B2" s="98" t="s">
        <v>3909</v>
      </c>
      <c r="C2" s="258" t="s">
        <v>3910</v>
      </c>
      <c r="D2" s="258" t="s">
        <v>3911</v>
      </c>
      <c r="E2" s="267" t="s">
        <v>3912</v>
      </c>
      <c r="F2" s="268" t="s">
        <v>3882</v>
      </c>
      <c r="G2" s="269" t="s">
        <v>3913</v>
      </c>
      <c r="H2" s="267">
        <f>438+280+164</f>
        <v>882</v>
      </c>
      <c r="I2" s="258"/>
      <c r="J2" s="267" t="s">
        <v>55</v>
      </c>
      <c r="K2" s="98" t="s">
        <v>3914</v>
      </c>
      <c r="L2" s="98" t="s">
        <v>3915</v>
      </c>
      <c r="M2" s="98" t="s">
        <v>3916</v>
      </c>
      <c r="N2" s="98" t="s">
        <v>3917</v>
      </c>
      <c r="O2" s="98" t="s">
        <v>3918</v>
      </c>
      <c r="P2" s="98" t="s">
        <v>3919</v>
      </c>
      <c r="Q2" s="98" t="s">
        <v>3920</v>
      </c>
      <c r="R2" s="98" t="s">
        <v>3921</v>
      </c>
      <c r="S2" s="98" t="s">
        <v>3922</v>
      </c>
      <c r="T2" s="258"/>
      <c r="U2" s="270"/>
      <c r="V2" s="270"/>
      <c r="W2" s="270"/>
      <c r="X2" s="270"/>
      <c r="Y2" s="270"/>
      <c r="Z2" s="270"/>
    </row>
    <row r="3">
      <c r="A3" s="9" t="s">
        <v>3923</v>
      </c>
      <c r="B3" s="271" t="s">
        <v>3924</v>
      </c>
      <c r="C3" s="258" t="s">
        <v>3925</v>
      </c>
      <c r="D3" s="258" t="s">
        <v>3926</v>
      </c>
      <c r="E3" s="267" t="s">
        <v>3912</v>
      </c>
      <c r="F3" s="268" t="s">
        <v>3882</v>
      </c>
      <c r="G3" s="269" t="s">
        <v>3927</v>
      </c>
      <c r="H3" s="267">
        <f>244+280+250</f>
        <v>774</v>
      </c>
      <c r="I3" s="258"/>
      <c r="J3" s="267" t="s">
        <v>55</v>
      </c>
      <c r="K3" s="98" t="s">
        <v>3914</v>
      </c>
      <c r="L3" s="98" t="s">
        <v>3928</v>
      </c>
      <c r="M3" s="98" t="s">
        <v>3929</v>
      </c>
      <c r="N3" s="98" t="s">
        <v>3930</v>
      </c>
      <c r="O3" s="98" t="s">
        <v>3931</v>
      </c>
      <c r="P3" s="98" t="s">
        <v>3932</v>
      </c>
      <c r="Q3" s="98" t="s">
        <v>3933</v>
      </c>
      <c r="R3" s="98" t="s">
        <v>3934</v>
      </c>
      <c r="S3" s="98" t="s">
        <v>3935</v>
      </c>
      <c r="T3" s="258"/>
      <c r="U3" s="270"/>
      <c r="V3" s="270"/>
      <c r="W3" s="270"/>
      <c r="X3" s="270"/>
      <c r="Y3" s="270"/>
      <c r="Z3" s="270"/>
    </row>
    <row r="4">
      <c r="A4" s="59"/>
      <c r="B4" s="272"/>
      <c r="C4" s="272"/>
      <c r="D4" s="272"/>
      <c r="E4" s="273"/>
      <c r="F4" s="273"/>
      <c r="G4" s="273"/>
      <c r="H4" s="273"/>
      <c r="I4" s="272"/>
      <c r="J4" s="273"/>
      <c r="K4" s="273"/>
      <c r="L4" s="272"/>
      <c r="M4" s="272"/>
      <c r="N4" s="272"/>
      <c r="O4" s="272"/>
      <c r="P4" s="272"/>
      <c r="Q4" s="272"/>
      <c r="R4" s="272"/>
      <c r="S4" s="272"/>
      <c r="T4" s="59"/>
      <c r="U4" s="272"/>
      <c r="V4" s="272"/>
      <c r="W4" s="272"/>
      <c r="X4" s="272"/>
      <c r="Y4" s="272"/>
      <c r="Z4" s="272"/>
    </row>
    <row r="5">
      <c r="A5" s="274"/>
      <c r="B5" s="274"/>
      <c r="C5" s="274"/>
      <c r="D5" s="274"/>
      <c r="E5" s="275"/>
      <c r="F5" s="275"/>
      <c r="G5" s="275"/>
      <c r="H5" s="275"/>
      <c r="I5" s="274"/>
      <c r="J5" s="275"/>
      <c r="K5" s="275"/>
      <c r="L5" s="274"/>
      <c r="M5" s="274"/>
      <c r="N5" s="274"/>
      <c r="O5" s="274"/>
      <c r="P5" s="274"/>
      <c r="Q5" s="274"/>
      <c r="R5" s="274"/>
      <c r="S5" s="274"/>
      <c r="T5" s="274"/>
      <c r="U5" s="274"/>
      <c r="V5" s="274"/>
      <c r="W5" s="274"/>
      <c r="X5" s="274"/>
      <c r="Y5" s="274"/>
      <c r="Z5" s="274"/>
    </row>
    <row r="6">
      <c r="A6" s="274"/>
      <c r="B6" s="274"/>
      <c r="C6" s="274"/>
      <c r="D6" s="274"/>
      <c r="E6" s="275"/>
      <c r="F6" s="275"/>
      <c r="G6" s="275"/>
      <c r="H6" s="275"/>
      <c r="I6" s="274"/>
      <c r="J6" s="275"/>
      <c r="K6" s="275"/>
      <c r="L6" s="274"/>
      <c r="M6" s="274"/>
      <c r="N6" s="274"/>
      <c r="O6" s="274"/>
      <c r="P6" s="274"/>
      <c r="Q6" s="274"/>
      <c r="R6" s="274"/>
      <c r="S6" s="274"/>
      <c r="T6" s="274"/>
      <c r="U6" s="274"/>
      <c r="V6" s="274"/>
      <c r="W6" s="274"/>
      <c r="X6" s="274"/>
      <c r="Y6" s="274"/>
      <c r="Z6" s="274"/>
    </row>
    <row r="7">
      <c r="A7" s="274"/>
      <c r="B7" s="274"/>
      <c r="C7" s="274"/>
      <c r="D7" s="274"/>
      <c r="E7" s="275"/>
      <c r="F7" s="275"/>
      <c r="G7" s="275"/>
      <c r="H7" s="275"/>
      <c r="I7" s="274"/>
      <c r="J7" s="275"/>
      <c r="K7" s="275"/>
      <c r="L7" s="274"/>
      <c r="M7" s="274"/>
      <c r="N7" s="274"/>
      <c r="O7" s="274"/>
      <c r="P7" s="274"/>
      <c r="Q7" s="274"/>
      <c r="R7" s="274"/>
      <c r="S7" s="274"/>
      <c r="T7" s="274"/>
      <c r="U7" s="274"/>
      <c r="V7" s="274"/>
      <c r="W7" s="274"/>
      <c r="X7" s="274"/>
      <c r="Y7" s="274"/>
      <c r="Z7" s="274"/>
    </row>
    <row r="8">
      <c r="A8" s="276"/>
      <c r="B8" s="277"/>
      <c r="C8" s="277"/>
      <c r="D8" s="274"/>
      <c r="E8" s="275"/>
      <c r="F8" s="275"/>
      <c r="G8" s="275"/>
      <c r="H8" s="55"/>
      <c r="I8" s="55"/>
      <c r="J8" s="275"/>
      <c r="K8" s="275"/>
      <c r="L8" s="274"/>
      <c r="M8" s="274"/>
      <c r="N8" s="274"/>
      <c r="O8" s="274"/>
      <c r="P8" s="274"/>
      <c r="Q8" s="274"/>
      <c r="R8" s="274"/>
      <c r="S8" s="274"/>
      <c r="T8" s="276"/>
      <c r="U8" s="274"/>
      <c r="V8" s="274"/>
      <c r="W8" s="274"/>
      <c r="X8" s="274"/>
      <c r="Y8" s="274"/>
      <c r="Z8" s="274"/>
    </row>
    <row r="9">
      <c r="A9" s="278"/>
      <c r="E9" s="279"/>
      <c r="F9" s="55"/>
      <c r="G9" s="55"/>
      <c r="J9" s="279"/>
      <c r="K9" s="279"/>
      <c r="T9" s="278"/>
    </row>
    <row r="10">
      <c r="A10" s="278"/>
      <c r="E10" s="279"/>
      <c r="J10" s="279"/>
      <c r="K10" s="279"/>
      <c r="T10" s="278"/>
    </row>
    <row r="11">
      <c r="A11" s="278"/>
      <c r="E11" s="279"/>
      <c r="J11" s="279"/>
      <c r="K11" s="279"/>
      <c r="T11" s="278"/>
    </row>
    <row r="12">
      <c r="A12" s="278"/>
      <c r="E12" s="279"/>
      <c r="J12" s="279"/>
      <c r="K12" s="279"/>
      <c r="T12" s="278"/>
    </row>
    <row r="13">
      <c r="A13" s="278"/>
      <c r="E13" s="279"/>
      <c r="J13" s="279"/>
      <c r="K13" s="279"/>
      <c r="T13" s="278"/>
    </row>
    <row r="14">
      <c r="E14" s="279"/>
      <c r="J14" s="279"/>
      <c r="K14" s="279"/>
    </row>
    <row r="15">
      <c r="E15" s="279"/>
      <c r="J15" s="279"/>
      <c r="K15" s="279"/>
    </row>
    <row r="16">
      <c r="E16" s="279"/>
      <c r="J16" s="279"/>
      <c r="K16" s="279"/>
    </row>
    <row r="17">
      <c r="E17" s="279"/>
      <c r="J17" s="279"/>
      <c r="K17" s="279"/>
    </row>
    <row r="18">
      <c r="E18" s="279"/>
      <c r="J18" s="279"/>
      <c r="K18" s="279"/>
    </row>
    <row r="19">
      <c r="E19" s="279"/>
      <c r="H19" s="279"/>
      <c r="J19" s="279"/>
      <c r="K19" s="279"/>
    </row>
    <row r="20">
      <c r="E20" s="279"/>
      <c r="F20" s="279"/>
      <c r="G20" s="279"/>
      <c r="H20" s="279"/>
      <c r="J20" s="279"/>
      <c r="K20" s="279"/>
    </row>
    <row r="21">
      <c r="E21" s="279"/>
      <c r="F21" s="279"/>
      <c r="G21" s="279"/>
      <c r="H21" s="279"/>
      <c r="J21" s="279"/>
      <c r="K21" s="279"/>
    </row>
    <row r="22">
      <c r="E22" s="279"/>
      <c r="F22" s="279"/>
      <c r="G22" s="279"/>
      <c r="H22" s="279"/>
      <c r="J22" s="279"/>
      <c r="K22" s="279"/>
    </row>
    <row r="23">
      <c r="E23" s="279"/>
      <c r="F23" s="279"/>
      <c r="G23" s="279"/>
      <c r="H23" s="279"/>
      <c r="J23" s="279"/>
      <c r="K23" s="279"/>
    </row>
    <row r="24">
      <c r="E24" s="279"/>
      <c r="F24" s="279"/>
      <c r="G24" s="279"/>
      <c r="H24" s="279"/>
      <c r="J24" s="279"/>
      <c r="K24" s="279"/>
    </row>
    <row r="25">
      <c r="E25" s="279"/>
      <c r="F25" s="279"/>
      <c r="G25" s="279"/>
      <c r="H25" s="279"/>
      <c r="J25" s="279"/>
      <c r="K25" s="279"/>
    </row>
    <row r="26">
      <c r="E26" s="279"/>
      <c r="F26" s="279"/>
      <c r="G26" s="279"/>
      <c r="H26" s="279"/>
      <c r="J26" s="279"/>
      <c r="K26" s="279"/>
    </row>
    <row r="27">
      <c r="E27" s="279"/>
      <c r="F27" s="279"/>
      <c r="G27" s="279"/>
      <c r="H27" s="279"/>
      <c r="J27" s="279"/>
      <c r="K27" s="279"/>
    </row>
    <row r="28">
      <c r="E28" s="279"/>
      <c r="F28" s="279"/>
      <c r="G28" s="279"/>
      <c r="H28" s="279"/>
      <c r="J28" s="279"/>
      <c r="K28" s="279"/>
    </row>
    <row r="29">
      <c r="E29" s="279"/>
      <c r="F29" s="279"/>
      <c r="G29" s="279"/>
      <c r="H29" s="279"/>
      <c r="J29" s="279"/>
      <c r="K29" s="279"/>
    </row>
    <row r="30">
      <c r="E30" s="279"/>
      <c r="F30" s="279"/>
      <c r="G30" s="279"/>
      <c r="H30" s="279"/>
      <c r="J30" s="279"/>
      <c r="K30" s="279"/>
    </row>
    <row r="31">
      <c r="E31" s="279"/>
      <c r="F31" s="279"/>
      <c r="G31" s="279"/>
      <c r="H31" s="279"/>
      <c r="J31" s="279"/>
      <c r="K31" s="279"/>
    </row>
    <row r="32">
      <c r="E32" s="279"/>
      <c r="F32" s="279"/>
      <c r="G32" s="279"/>
      <c r="H32" s="279"/>
      <c r="J32" s="279"/>
      <c r="K32" s="279"/>
    </row>
    <row r="33">
      <c r="E33" s="279"/>
      <c r="F33" s="279"/>
      <c r="G33" s="279"/>
      <c r="H33" s="279"/>
      <c r="J33" s="279"/>
      <c r="K33" s="279"/>
    </row>
    <row r="34">
      <c r="E34" s="279"/>
      <c r="F34" s="279"/>
      <c r="G34" s="279"/>
      <c r="H34" s="279"/>
      <c r="J34" s="279"/>
      <c r="K34" s="279"/>
    </row>
    <row r="35">
      <c r="E35" s="279"/>
      <c r="F35" s="279"/>
      <c r="G35" s="279"/>
      <c r="H35" s="279"/>
      <c r="J35" s="279"/>
      <c r="K35" s="279"/>
    </row>
    <row r="36">
      <c r="E36" s="279"/>
      <c r="F36" s="279"/>
      <c r="G36" s="279"/>
      <c r="H36" s="279"/>
      <c r="J36" s="279"/>
      <c r="K36" s="279"/>
    </row>
    <row r="37">
      <c r="E37" s="279"/>
      <c r="F37" s="279"/>
      <c r="G37" s="279"/>
      <c r="H37" s="279"/>
      <c r="J37" s="279"/>
      <c r="K37" s="279"/>
    </row>
    <row r="38">
      <c r="E38" s="279"/>
      <c r="F38" s="279"/>
      <c r="G38" s="279"/>
      <c r="H38" s="279"/>
      <c r="J38" s="279"/>
      <c r="K38" s="279"/>
    </row>
    <row r="39">
      <c r="E39" s="279"/>
      <c r="F39" s="279"/>
      <c r="G39" s="279"/>
      <c r="H39" s="279"/>
      <c r="J39" s="279"/>
      <c r="K39" s="279"/>
    </row>
    <row r="40">
      <c r="E40" s="279"/>
      <c r="F40" s="279"/>
      <c r="G40" s="279"/>
      <c r="H40" s="279"/>
      <c r="J40" s="279"/>
      <c r="K40" s="279"/>
    </row>
    <row r="41">
      <c r="E41" s="279"/>
      <c r="F41" s="279"/>
      <c r="G41" s="279"/>
      <c r="H41" s="279"/>
      <c r="J41" s="279"/>
      <c r="K41" s="279"/>
    </row>
    <row r="42">
      <c r="E42" s="279"/>
      <c r="F42" s="279"/>
      <c r="G42" s="279"/>
      <c r="H42" s="279"/>
      <c r="J42" s="279"/>
      <c r="K42" s="279"/>
    </row>
    <row r="43">
      <c r="E43" s="279"/>
      <c r="F43" s="279"/>
      <c r="G43" s="279"/>
      <c r="H43" s="279"/>
      <c r="J43" s="279"/>
      <c r="K43" s="279"/>
    </row>
    <row r="44">
      <c r="E44" s="279"/>
      <c r="F44" s="279"/>
      <c r="G44" s="279"/>
      <c r="H44" s="279"/>
      <c r="J44" s="279"/>
      <c r="K44" s="279"/>
    </row>
    <row r="45">
      <c r="E45" s="279"/>
      <c r="F45" s="279"/>
      <c r="G45" s="279"/>
      <c r="H45" s="279"/>
      <c r="J45" s="279"/>
      <c r="K45" s="279"/>
    </row>
    <row r="46">
      <c r="E46" s="279"/>
      <c r="F46" s="279"/>
      <c r="G46" s="279"/>
      <c r="H46" s="279"/>
      <c r="J46" s="279"/>
      <c r="K46" s="279"/>
    </row>
    <row r="47">
      <c r="E47" s="279"/>
      <c r="F47" s="279"/>
      <c r="G47" s="279"/>
      <c r="H47" s="279"/>
      <c r="J47" s="279"/>
      <c r="K47" s="279"/>
    </row>
    <row r="48">
      <c r="E48" s="279"/>
      <c r="F48" s="279"/>
      <c r="G48" s="279"/>
      <c r="H48" s="279"/>
      <c r="J48" s="279"/>
      <c r="K48" s="279"/>
    </row>
    <row r="49">
      <c r="E49" s="279"/>
      <c r="F49" s="279"/>
      <c r="G49" s="279"/>
      <c r="H49" s="279"/>
      <c r="J49" s="279"/>
      <c r="K49" s="279"/>
    </row>
    <row r="50">
      <c r="E50" s="279"/>
      <c r="F50" s="279"/>
      <c r="G50" s="279"/>
      <c r="H50" s="279"/>
      <c r="J50" s="279"/>
      <c r="K50" s="279"/>
    </row>
    <row r="51">
      <c r="E51" s="279"/>
      <c r="F51" s="279"/>
      <c r="G51" s="279"/>
      <c r="H51" s="279"/>
      <c r="J51" s="279"/>
      <c r="K51" s="279"/>
    </row>
    <row r="52">
      <c r="E52" s="279"/>
      <c r="F52" s="279"/>
      <c r="G52" s="279"/>
      <c r="H52" s="279"/>
      <c r="J52" s="279"/>
      <c r="K52" s="279"/>
    </row>
    <row r="53">
      <c r="E53" s="279"/>
      <c r="F53" s="279"/>
      <c r="G53" s="279"/>
      <c r="H53" s="279"/>
      <c r="J53" s="279"/>
      <c r="K53" s="279"/>
    </row>
    <row r="54">
      <c r="E54" s="279"/>
      <c r="F54" s="279"/>
      <c r="G54" s="279"/>
      <c r="H54" s="279"/>
      <c r="J54" s="279"/>
      <c r="K54" s="279"/>
    </row>
    <row r="55">
      <c r="E55" s="279"/>
      <c r="F55" s="279"/>
      <c r="G55" s="279"/>
      <c r="H55" s="279"/>
      <c r="J55" s="279"/>
      <c r="K55" s="279"/>
    </row>
    <row r="56">
      <c r="E56" s="279"/>
      <c r="F56" s="279"/>
      <c r="G56" s="279"/>
      <c r="H56" s="279"/>
      <c r="J56" s="279"/>
      <c r="K56" s="279"/>
    </row>
    <row r="57">
      <c r="E57" s="279"/>
      <c r="F57" s="279"/>
      <c r="G57" s="279"/>
      <c r="H57" s="279"/>
      <c r="J57" s="279"/>
      <c r="K57" s="279"/>
    </row>
    <row r="58">
      <c r="E58" s="279"/>
      <c r="F58" s="279"/>
      <c r="G58" s="279"/>
      <c r="H58" s="279"/>
      <c r="J58" s="279"/>
      <c r="K58" s="279"/>
    </row>
    <row r="59">
      <c r="E59" s="279"/>
      <c r="F59" s="279"/>
      <c r="G59" s="279"/>
      <c r="H59" s="279"/>
      <c r="J59" s="279"/>
      <c r="K59" s="279"/>
    </row>
    <row r="60">
      <c r="E60" s="279"/>
      <c r="F60" s="279"/>
      <c r="G60" s="279"/>
      <c r="H60" s="279"/>
      <c r="J60" s="279"/>
      <c r="K60" s="279"/>
    </row>
    <row r="61">
      <c r="E61" s="279"/>
      <c r="F61" s="279"/>
      <c r="G61" s="279"/>
      <c r="H61" s="279"/>
      <c r="J61" s="279"/>
      <c r="K61" s="279"/>
    </row>
    <row r="62">
      <c r="E62" s="279"/>
      <c r="F62" s="279"/>
      <c r="G62" s="279"/>
      <c r="H62" s="279"/>
      <c r="J62" s="279"/>
      <c r="K62" s="279"/>
    </row>
    <row r="63">
      <c r="E63" s="279"/>
      <c r="F63" s="279"/>
      <c r="G63" s="279"/>
      <c r="H63" s="279"/>
      <c r="J63" s="279"/>
      <c r="K63" s="279"/>
    </row>
    <row r="64">
      <c r="E64" s="279"/>
      <c r="F64" s="279"/>
      <c r="G64" s="279"/>
      <c r="H64" s="279"/>
      <c r="J64" s="279"/>
      <c r="K64" s="279"/>
    </row>
    <row r="65">
      <c r="E65" s="279"/>
      <c r="F65" s="279"/>
      <c r="G65" s="279"/>
      <c r="H65" s="279"/>
      <c r="J65" s="279"/>
      <c r="K65" s="279"/>
    </row>
    <row r="66">
      <c r="E66" s="279"/>
      <c r="F66" s="279"/>
      <c r="G66" s="279"/>
      <c r="H66" s="279"/>
      <c r="J66" s="279"/>
      <c r="K66" s="279"/>
    </row>
    <row r="67">
      <c r="E67" s="279"/>
      <c r="F67" s="279"/>
      <c r="G67" s="279"/>
      <c r="H67" s="279"/>
      <c r="J67" s="279"/>
      <c r="K67" s="279"/>
    </row>
    <row r="68">
      <c r="E68" s="279"/>
      <c r="F68" s="279"/>
      <c r="G68" s="279"/>
      <c r="H68" s="279"/>
      <c r="J68" s="279"/>
      <c r="K68" s="279"/>
    </row>
    <row r="69">
      <c r="E69" s="279"/>
      <c r="F69" s="279"/>
      <c r="G69" s="279"/>
      <c r="H69" s="279"/>
      <c r="J69" s="279"/>
      <c r="K69" s="279"/>
    </row>
    <row r="70">
      <c r="E70" s="279"/>
      <c r="F70" s="279"/>
      <c r="G70" s="279"/>
      <c r="H70" s="279"/>
      <c r="J70" s="279"/>
      <c r="K70" s="279"/>
    </row>
    <row r="71">
      <c r="E71" s="279"/>
      <c r="F71" s="279"/>
      <c r="G71" s="279"/>
      <c r="H71" s="279"/>
      <c r="J71" s="279"/>
      <c r="K71" s="279"/>
    </row>
    <row r="72">
      <c r="E72" s="279"/>
      <c r="F72" s="279"/>
      <c r="G72" s="279"/>
      <c r="H72" s="279"/>
      <c r="J72" s="279"/>
      <c r="K72" s="279"/>
    </row>
    <row r="73">
      <c r="E73" s="279"/>
      <c r="F73" s="279"/>
      <c r="G73" s="279"/>
      <c r="H73" s="279"/>
      <c r="J73" s="279"/>
      <c r="K73" s="279"/>
    </row>
    <row r="74">
      <c r="E74" s="279"/>
      <c r="F74" s="279"/>
      <c r="G74" s="279"/>
      <c r="H74" s="279"/>
      <c r="J74" s="279"/>
      <c r="K74" s="279"/>
    </row>
    <row r="75">
      <c r="E75" s="279"/>
      <c r="F75" s="279"/>
      <c r="G75" s="279"/>
      <c r="H75" s="279"/>
      <c r="J75" s="279"/>
      <c r="K75" s="279"/>
    </row>
    <row r="76">
      <c r="E76" s="279"/>
      <c r="F76" s="279"/>
      <c r="G76" s="279"/>
      <c r="H76" s="279"/>
      <c r="J76" s="279"/>
      <c r="K76" s="279"/>
    </row>
    <row r="77">
      <c r="E77" s="279"/>
      <c r="F77" s="279"/>
      <c r="G77" s="279"/>
      <c r="H77" s="279"/>
      <c r="J77" s="279"/>
      <c r="K77" s="279"/>
    </row>
    <row r="78">
      <c r="E78" s="279"/>
      <c r="F78" s="279"/>
      <c r="G78" s="279"/>
      <c r="H78" s="279"/>
      <c r="J78" s="279"/>
      <c r="K78" s="279"/>
    </row>
    <row r="79">
      <c r="E79" s="279"/>
      <c r="F79" s="279"/>
      <c r="G79" s="279"/>
      <c r="H79" s="279"/>
      <c r="J79" s="279"/>
      <c r="K79" s="279"/>
    </row>
    <row r="80">
      <c r="E80" s="279"/>
      <c r="F80" s="279"/>
      <c r="G80" s="279"/>
      <c r="H80" s="279"/>
      <c r="J80" s="279"/>
      <c r="K80" s="279"/>
    </row>
    <row r="81">
      <c r="E81" s="279"/>
      <c r="F81" s="279"/>
      <c r="G81" s="279"/>
      <c r="H81" s="279"/>
      <c r="J81" s="279"/>
      <c r="K81" s="279"/>
    </row>
    <row r="82">
      <c r="E82" s="279"/>
      <c r="F82" s="279"/>
      <c r="G82" s="279"/>
      <c r="H82" s="279"/>
      <c r="J82" s="279"/>
      <c r="K82" s="279"/>
    </row>
    <row r="83">
      <c r="E83" s="279"/>
      <c r="F83" s="279"/>
      <c r="G83" s="279"/>
      <c r="H83" s="279"/>
      <c r="J83" s="279"/>
      <c r="K83" s="279"/>
    </row>
    <row r="84">
      <c r="E84" s="279"/>
      <c r="F84" s="279"/>
      <c r="G84" s="279"/>
      <c r="H84" s="279"/>
      <c r="J84" s="279"/>
      <c r="K84" s="279"/>
    </row>
    <row r="85">
      <c r="E85" s="279"/>
      <c r="F85" s="279"/>
      <c r="G85" s="279"/>
      <c r="H85" s="279"/>
      <c r="J85" s="279"/>
      <c r="K85" s="279"/>
    </row>
    <row r="86">
      <c r="E86" s="279"/>
      <c r="F86" s="279"/>
      <c r="G86" s="279"/>
      <c r="H86" s="279"/>
      <c r="J86" s="279"/>
      <c r="K86" s="279"/>
    </row>
    <row r="87">
      <c r="E87" s="279"/>
      <c r="F87" s="279"/>
      <c r="G87" s="279"/>
      <c r="H87" s="279"/>
      <c r="J87" s="279"/>
      <c r="K87" s="279"/>
    </row>
    <row r="88">
      <c r="E88" s="279"/>
      <c r="F88" s="279"/>
      <c r="G88" s="279"/>
      <c r="H88" s="279"/>
      <c r="J88" s="279"/>
      <c r="K88" s="279"/>
    </row>
    <row r="89">
      <c r="E89" s="279"/>
      <c r="F89" s="279"/>
      <c r="G89" s="279"/>
      <c r="H89" s="279"/>
      <c r="J89" s="279"/>
      <c r="K89" s="279"/>
    </row>
    <row r="90">
      <c r="E90" s="279"/>
      <c r="F90" s="279"/>
      <c r="G90" s="279"/>
      <c r="H90" s="279"/>
      <c r="J90" s="279"/>
      <c r="K90" s="279"/>
    </row>
    <row r="91">
      <c r="E91" s="279"/>
      <c r="F91" s="279"/>
      <c r="G91" s="279"/>
      <c r="H91" s="279"/>
      <c r="J91" s="279"/>
      <c r="K91" s="279"/>
    </row>
    <row r="92">
      <c r="E92" s="279"/>
      <c r="F92" s="279"/>
      <c r="G92" s="279"/>
      <c r="H92" s="279"/>
      <c r="J92" s="279"/>
      <c r="K92" s="279"/>
    </row>
    <row r="93">
      <c r="E93" s="279"/>
      <c r="F93" s="279"/>
      <c r="G93" s="279"/>
      <c r="H93" s="279"/>
      <c r="J93" s="279"/>
      <c r="K93" s="279"/>
    </row>
    <row r="94">
      <c r="E94" s="279"/>
      <c r="F94" s="279"/>
      <c r="G94" s="279"/>
      <c r="H94" s="279"/>
      <c r="J94" s="279"/>
      <c r="K94" s="279"/>
    </row>
    <row r="95">
      <c r="E95" s="279"/>
      <c r="F95" s="279"/>
      <c r="G95" s="279"/>
      <c r="H95" s="279"/>
      <c r="J95" s="279"/>
      <c r="K95" s="279"/>
    </row>
    <row r="96">
      <c r="E96" s="279"/>
      <c r="F96" s="279"/>
      <c r="G96" s="279"/>
      <c r="H96" s="279"/>
      <c r="J96" s="279"/>
      <c r="K96" s="279"/>
    </row>
    <row r="97">
      <c r="E97" s="279"/>
      <c r="F97" s="279"/>
      <c r="G97" s="279"/>
      <c r="H97" s="279"/>
      <c r="J97" s="279"/>
      <c r="K97" s="279"/>
    </row>
    <row r="98">
      <c r="E98" s="279"/>
      <c r="F98" s="279"/>
      <c r="G98" s="279"/>
      <c r="H98" s="279"/>
      <c r="J98" s="279"/>
      <c r="K98" s="279"/>
    </row>
    <row r="99">
      <c r="E99" s="279"/>
      <c r="F99" s="279"/>
      <c r="G99" s="279"/>
      <c r="H99" s="279"/>
      <c r="J99" s="279"/>
      <c r="K99" s="279"/>
    </row>
    <row r="100">
      <c r="E100" s="279"/>
      <c r="F100" s="279"/>
      <c r="G100" s="279"/>
      <c r="H100" s="279"/>
      <c r="J100" s="279"/>
      <c r="K100" s="279"/>
    </row>
    <row r="101">
      <c r="E101" s="279"/>
      <c r="F101" s="279"/>
      <c r="G101" s="279"/>
      <c r="H101" s="279"/>
      <c r="J101" s="279"/>
      <c r="K101" s="279"/>
    </row>
    <row r="102">
      <c r="E102" s="279"/>
      <c r="F102" s="279"/>
      <c r="G102" s="279"/>
      <c r="H102" s="279"/>
      <c r="J102" s="279"/>
      <c r="K102" s="279"/>
    </row>
    <row r="103">
      <c r="E103" s="279"/>
      <c r="F103" s="279"/>
      <c r="G103" s="279"/>
      <c r="H103" s="279"/>
      <c r="J103" s="279"/>
      <c r="K103" s="279"/>
    </row>
    <row r="104">
      <c r="E104" s="279"/>
      <c r="F104" s="279"/>
      <c r="G104" s="279"/>
      <c r="H104" s="279"/>
      <c r="J104" s="279"/>
      <c r="K104" s="279"/>
    </row>
    <row r="105">
      <c r="E105" s="279"/>
      <c r="F105" s="279"/>
      <c r="G105" s="279"/>
      <c r="H105" s="279"/>
      <c r="J105" s="279"/>
      <c r="K105" s="279"/>
    </row>
    <row r="106">
      <c r="E106" s="279"/>
      <c r="F106" s="279"/>
      <c r="G106" s="279"/>
      <c r="H106" s="279"/>
      <c r="J106" s="279"/>
      <c r="K106" s="279"/>
    </row>
    <row r="107">
      <c r="E107" s="279"/>
      <c r="F107" s="279"/>
      <c r="G107" s="279"/>
      <c r="H107" s="279"/>
      <c r="J107" s="279"/>
      <c r="K107" s="279"/>
    </row>
    <row r="108">
      <c r="E108" s="279"/>
      <c r="F108" s="279"/>
      <c r="G108" s="279"/>
      <c r="H108" s="279"/>
      <c r="J108" s="279"/>
      <c r="K108" s="279"/>
    </row>
    <row r="109">
      <c r="E109" s="279"/>
      <c r="F109" s="279"/>
      <c r="G109" s="279"/>
      <c r="H109" s="279"/>
      <c r="J109" s="279"/>
      <c r="K109" s="279"/>
    </row>
    <row r="110">
      <c r="E110" s="279"/>
      <c r="F110" s="279"/>
      <c r="G110" s="279"/>
      <c r="H110" s="279"/>
      <c r="J110" s="279"/>
      <c r="K110" s="279"/>
    </row>
    <row r="111">
      <c r="E111" s="279"/>
      <c r="F111" s="279"/>
      <c r="G111" s="279"/>
      <c r="H111" s="279"/>
      <c r="J111" s="279"/>
      <c r="K111" s="279"/>
    </row>
    <row r="112">
      <c r="E112" s="279"/>
      <c r="F112" s="279"/>
      <c r="G112" s="279"/>
      <c r="H112" s="279"/>
      <c r="J112" s="279"/>
      <c r="K112" s="279"/>
    </row>
    <row r="113">
      <c r="E113" s="279"/>
      <c r="F113" s="279"/>
      <c r="G113" s="279"/>
      <c r="H113" s="279"/>
      <c r="J113" s="279"/>
      <c r="K113" s="279"/>
    </row>
    <row r="114">
      <c r="E114" s="279"/>
      <c r="F114" s="279"/>
      <c r="G114" s="279"/>
      <c r="H114" s="279"/>
      <c r="J114" s="279"/>
      <c r="K114" s="279"/>
    </row>
    <row r="115">
      <c r="E115" s="279"/>
      <c r="F115" s="279"/>
      <c r="G115" s="279"/>
      <c r="H115" s="279"/>
      <c r="J115" s="279"/>
      <c r="K115" s="279"/>
    </row>
    <row r="116">
      <c r="E116" s="279"/>
      <c r="F116" s="279"/>
      <c r="G116" s="279"/>
      <c r="H116" s="279"/>
      <c r="J116" s="279"/>
      <c r="K116" s="279"/>
    </row>
    <row r="117">
      <c r="E117" s="279"/>
      <c r="F117" s="279"/>
      <c r="G117" s="279"/>
      <c r="H117" s="279"/>
      <c r="J117" s="279"/>
      <c r="K117" s="279"/>
    </row>
    <row r="118">
      <c r="E118" s="279"/>
      <c r="F118" s="279"/>
      <c r="G118" s="279"/>
      <c r="H118" s="279"/>
      <c r="J118" s="279"/>
      <c r="K118" s="279"/>
    </row>
    <row r="119">
      <c r="E119" s="279"/>
      <c r="F119" s="279"/>
      <c r="G119" s="279"/>
      <c r="H119" s="279"/>
      <c r="J119" s="279"/>
      <c r="K119" s="279"/>
    </row>
    <row r="120">
      <c r="E120" s="279"/>
      <c r="F120" s="279"/>
      <c r="G120" s="279"/>
      <c r="H120" s="279"/>
      <c r="J120" s="279"/>
      <c r="K120" s="279"/>
    </row>
    <row r="121">
      <c r="E121" s="279"/>
      <c r="F121" s="279"/>
      <c r="G121" s="279"/>
      <c r="H121" s="279"/>
      <c r="J121" s="279"/>
      <c r="K121" s="279"/>
    </row>
    <row r="122">
      <c r="E122" s="279"/>
      <c r="F122" s="279"/>
      <c r="G122" s="279"/>
      <c r="H122" s="279"/>
      <c r="J122" s="279"/>
      <c r="K122" s="279"/>
    </row>
    <row r="123">
      <c r="E123" s="279"/>
      <c r="F123" s="279"/>
      <c r="G123" s="279"/>
      <c r="H123" s="279"/>
      <c r="J123" s="279"/>
      <c r="K123" s="279"/>
    </row>
    <row r="124">
      <c r="E124" s="279"/>
      <c r="F124" s="279"/>
      <c r="G124" s="279"/>
      <c r="H124" s="279"/>
      <c r="J124" s="279"/>
      <c r="K124" s="279"/>
    </row>
    <row r="125">
      <c r="E125" s="279"/>
      <c r="F125" s="279"/>
      <c r="G125" s="279"/>
      <c r="H125" s="279"/>
      <c r="J125" s="279"/>
      <c r="K125" s="279"/>
    </row>
    <row r="126">
      <c r="E126" s="279"/>
      <c r="F126" s="279"/>
      <c r="G126" s="279"/>
      <c r="H126" s="279"/>
      <c r="J126" s="279"/>
      <c r="K126" s="279"/>
    </row>
    <row r="127">
      <c r="E127" s="279"/>
      <c r="F127" s="279"/>
      <c r="G127" s="279"/>
      <c r="H127" s="279"/>
      <c r="J127" s="279"/>
      <c r="K127" s="279"/>
    </row>
    <row r="128">
      <c r="E128" s="279"/>
      <c r="F128" s="279"/>
      <c r="G128" s="279"/>
      <c r="H128" s="279"/>
      <c r="J128" s="279"/>
      <c r="K128" s="279"/>
    </row>
    <row r="129">
      <c r="E129" s="279"/>
      <c r="F129" s="279"/>
      <c r="G129" s="279"/>
      <c r="H129" s="279"/>
      <c r="J129" s="279"/>
      <c r="K129" s="279"/>
    </row>
    <row r="130">
      <c r="E130" s="279"/>
      <c r="F130" s="279"/>
      <c r="G130" s="279"/>
      <c r="H130" s="279"/>
      <c r="J130" s="279"/>
      <c r="K130" s="279"/>
    </row>
    <row r="131">
      <c r="E131" s="279"/>
      <c r="F131" s="279"/>
      <c r="G131" s="279"/>
      <c r="H131" s="279"/>
      <c r="J131" s="279"/>
      <c r="K131" s="279"/>
    </row>
    <row r="132">
      <c r="E132" s="279"/>
      <c r="F132" s="279"/>
      <c r="G132" s="279"/>
      <c r="H132" s="279"/>
      <c r="J132" s="279"/>
      <c r="K132" s="279"/>
    </row>
    <row r="133">
      <c r="E133" s="279"/>
      <c r="F133" s="279"/>
      <c r="G133" s="279"/>
      <c r="H133" s="279"/>
      <c r="J133" s="279"/>
      <c r="K133" s="279"/>
    </row>
    <row r="134">
      <c r="E134" s="279"/>
      <c r="F134" s="279"/>
      <c r="G134" s="279"/>
      <c r="H134" s="279"/>
      <c r="J134" s="279"/>
      <c r="K134" s="279"/>
    </row>
    <row r="135">
      <c r="E135" s="279"/>
      <c r="F135" s="279"/>
      <c r="G135" s="279"/>
      <c r="H135" s="279"/>
      <c r="J135" s="279"/>
      <c r="K135" s="279"/>
    </row>
    <row r="136">
      <c r="E136" s="279"/>
      <c r="F136" s="279"/>
      <c r="G136" s="279"/>
      <c r="H136" s="279"/>
      <c r="J136" s="279"/>
      <c r="K136" s="279"/>
    </row>
    <row r="137">
      <c r="E137" s="279"/>
      <c r="F137" s="279"/>
      <c r="G137" s="279"/>
      <c r="H137" s="279"/>
      <c r="J137" s="279"/>
      <c r="K137" s="279"/>
    </row>
    <row r="138">
      <c r="E138" s="279"/>
      <c r="F138" s="279"/>
      <c r="G138" s="279"/>
      <c r="H138" s="279"/>
      <c r="J138" s="279"/>
      <c r="K138" s="279"/>
    </row>
    <row r="139">
      <c r="E139" s="279"/>
      <c r="F139" s="279"/>
      <c r="G139" s="279"/>
      <c r="H139" s="279"/>
      <c r="J139" s="279"/>
      <c r="K139" s="279"/>
    </row>
    <row r="140">
      <c r="E140" s="279"/>
      <c r="F140" s="279"/>
      <c r="G140" s="279"/>
      <c r="H140" s="279"/>
      <c r="J140" s="279"/>
      <c r="K140" s="279"/>
    </row>
    <row r="141">
      <c r="E141" s="279"/>
      <c r="F141" s="279"/>
      <c r="G141" s="279"/>
      <c r="H141" s="279"/>
      <c r="J141" s="279"/>
      <c r="K141" s="279"/>
    </row>
    <row r="142">
      <c r="E142" s="279"/>
      <c r="F142" s="279"/>
      <c r="G142" s="279"/>
      <c r="H142" s="279"/>
      <c r="J142" s="279"/>
      <c r="K142" s="279"/>
    </row>
    <row r="143">
      <c r="E143" s="279"/>
      <c r="F143" s="279"/>
      <c r="G143" s="279"/>
      <c r="H143" s="279"/>
      <c r="J143" s="279"/>
      <c r="K143" s="279"/>
    </row>
    <row r="144">
      <c r="E144" s="279"/>
      <c r="F144" s="279"/>
      <c r="G144" s="279"/>
      <c r="H144" s="279"/>
      <c r="J144" s="279"/>
      <c r="K144" s="279"/>
    </row>
    <row r="145">
      <c r="E145" s="279"/>
      <c r="F145" s="279"/>
      <c r="G145" s="279"/>
      <c r="H145" s="279"/>
      <c r="J145" s="279"/>
      <c r="K145" s="279"/>
    </row>
    <row r="146">
      <c r="E146" s="279"/>
      <c r="F146" s="279"/>
      <c r="G146" s="279"/>
      <c r="H146" s="279"/>
      <c r="J146" s="279"/>
      <c r="K146" s="279"/>
    </row>
    <row r="147">
      <c r="E147" s="279"/>
      <c r="F147" s="279"/>
      <c r="G147" s="279"/>
      <c r="H147" s="279"/>
      <c r="J147" s="279"/>
      <c r="K147" s="279"/>
    </row>
    <row r="148">
      <c r="E148" s="279"/>
      <c r="F148" s="279"/>
      <c r="G148" s="279"/>
      <c r="H148" s="279"/>
      <c r="J148" s="279"/>
      <c r="K148" s="279"/>
    </row>
    <row r="149">
      <c r="E149" s="279"/>
      <c r="F149" s="279"/>
      <c r="G149" s="279"/>
      <c r="H149" s="279"/>
      <c r="J149" s="279"/>
      <c r="K149" s="279"/>
    </row>
    <row r="150">
      <c r="E150" s="279"/>
      <c r="F150" s="279"/>
      <c r="G150" s="279"/>
      <c r="H150" s="279"/>
      <c r="J150" s="279"/>
      <c r="K150" s="279"/>
    </row>
    <row r="151">
      <c r="E151" s="279"/>
      <c r="F151" s="279"/>
      <c r="G151" s="279"/>
      <c r="H151" s="279"/>
      <c r="J151" s="279"/>
      <c r="K151" s="279"/>
    </row>
    <row r="152">
      <c r="E152" s="279"/>
      <c r="F152" s="279"/>
      <c r="G152" s="279"/>
      <c r="H152" s="279"/>
      <c r="J152" s="279"/>
      <c r="K152" s="279"/>
    </row>
    <row r="153">
      <c r="E153" s="279"/>
      <c r="F153" s="279"/>
      <c r="G153" s="279"/>
      <c r="H153" s="279"/>
      <c r="J153" s="279"/>
      <c r="K153" s="279"/>
    </row>
    <row r="154">
      <c r="E154" s="279"/>
      <c r="F154" s="279"/>
      <c r="G154" s="279"/>
      <c r="H154" s="279"/>
      <c r="J154" s="279"/>
      <c r="K154" s="279"/>
    </row>
    <row r="155">
      <c r="E155" s="279"/>
      <c r="F155" s="279"/>
      <c r="G155" s="279"/>
      <c r="H155" s="279"/>
      <c r="J155" s="279"/>
      <c r="K155" s="279"/>
    </row>
    <row r="156">
      <c r="E156" s="279"/>
      <c r="F156" s="279"/>
      <c r="G156" s="279"/>
      <c r="H156" s="279"/>
      <c r="J156" s="279"/>
      <c r="K156" s="279"/>
    </row>
    <row r="157">
      <c r="E157" s="279"/>
      <c r="F157" s="279"/>
      <c r="G157" s="279"/>
      <c r="H157" s="279"/>
      <c r="J157" s="279"/>
      <c r="K157" s="279"/>
    </row>
    <row r="158">
      <c r="E158" s="279"/>
      <c r="F158" s="279"/>
      <c r="G158" s="279"/>
      <c r="H158" s="279"/>
      <c r="J158" s="279"/>
      <c r="K158" s="279"/>
    </row>
    <row r="159">
      <c r="E159" s="279"/>
      <c r="F159" s="279"/>
      <c r="G159" s="279"/>
      <c r="H159" s="279"/>
      <c r="J159" s="279"/>
      <c r="K159" s="279"/>
    </row>
    <row r="160">
      <c r="E160" s="279"/>
      <c r="F160" s="279"/>
      <c r="G160" s="279"/>
      <c r="H160" s="279"/>
      <c r="J160" s="279"/>
      <c r="K160" s="279"/>
    </row>
    <row r="161">
      <c r="E161" s="279"/>
      <c r="F161" s="279"/>
      <c r="G161" s="279"/>
      <c r="H161" s="279"/>
      <c r="J161" s="279"/>
      <c r="K161" s="279"/>
    </row>
    <row r="162">
      <c r="E162" s="279"/>
      <c r="F162" s="279"/>
      <c r="G162" s="279"/>
      <c r="H162" s="279"/>
      <c r="J162" s="279"/>
      <c r="K162" s="279"/>
    </row>
    <row r="163">
      <c r="E163" s="279"/>
      <c r="F163" s="279"/>
      <c r="G163" s="279"/>
      <c r="H163" s="279"/>
      <c r="J163" s="279"/>
      <c r="K163" s="279"/>
    </row>
    <row r="164">
      <c r="E164" s="279"/>
      <c r="F164" s="279"/>
      <c r="G164" s="279"/>
      <c r="H164" s="279"/>
      <c r="J164" s="279"/>
      <c r="K164" s="279"/>
    </row>
    <row r="165">
      <c r="E165" s="279"/>
      <c r="F165" s="279"/>
      <c r="G165" s="279"/>
      <c r="H165" s="279"/>
      <c r="J165" s="279"/>
      <c r="K165" s="279"/>
    </row>
    <row r="166">
      <c r="E166" s="279"/>
      <c r="F166" s="279"/>
      <c r="G166" s="279"/>
      <c r="H166" s="279"/>
      <c r="J166" s="279"/>
      <c r="K166" s="279"/>
    </row>
    <row r="167">
      <c r="E167" s="279"/>
      <c r="F167" s="279"/>
      <c r="G167" s="279"/>
      <c r="H167" s="279"/>
      <c r="J167" s="279"/>
      <c r="K167" s="279"/>
    </row>
    <row r="168">
      <c r="E168" s="279"/>
      <c r="F168" s="279"/>
      <c r="G168" s="279"/>
      <c r="H168" s="279"/>
      <c r="J168" s="279"/>
      <c r="K168" s="279"/>
    </row>
    <row r="169">
      <c r="E169" s="279"/>
      <c r="F169" s="279"/>
      <c r="G169" s="279"/>
      <c r="H169" s="279"/>
      <c r="J169" s="279"/>
      <c r="K169" s="279"/>
    </row>
    <row r="170">
      <c r="E170" s="279"/>
      <c r="F170" s="279"/>
      <c r="G170" s="279"/>
      <c r="H170" s="279"/>
      <c r="J170" s="279"/>
      <c r="K170" s="279"/>
    </row>
    <row r="171">
      <c r="E171" s="279"/>
      <c r="F171" s="279"/>
      <c r="G171" s="279"/>
      <c r="H171" s="279"/>
      <c r="J171" s="279"/>
      <c r="K171" s="279"/>
    </row>
    <row r="172">
      <c r="E172" s="279"/>
      <c r="F172" s="279"/>
      <c r="G172" s="279"/>
      <c r="H172" s="279"/>
      <c r="J172" s="279"/>
      <c r="K172" s="279"/>
    </row>
    <row r="173">
      <c r="E173" s="279"/>
      <c r="F173" s="279"/>
      <c r="G173" s="279"/>
      <c r="H173" s="279"/>
      <c r="J173" s="279"/>
      <c r="K173" s="279"/>
    </row>
    <row r="174">
      <c r="E174" s="279"/>
      <c r="F174" s="279"/>
      <c r="G174" s="279"/>
      <c r="H174" s="279"/>
      <c r="J174" s="279"/>
      <c r="K174" s="279"/>
    </row>
    <row r="175">
      <c r="E175" s="279"/>
      <c r="F175" s="279"/>
      <c r="G175" s="279"/>
      <c r="H175" s="279"/>
      <c r="J175" s="279"/>
      <c r="K175" s="279"/>
    </row>
    <row r="176">
      <c r="E176" s="279"/>
      <c r="F176" s="279"/>
      <c r="G176" s="279"/>
      <c r="H176" s="279"/>
      <c r="J176" s="279"/>
      <c r="K176" s="279"/>
    </row>
    <row r="177">
      <c r="E177" s="279"/>
      <c r="F177" s="279"/>
      <c r="G177" s="279"/>
      <c r="H177" s="279"/>
      <c r="J177" s="279"/>
      <c r="K177" s="279"/>
    </row>
    <row r="178">
      <c r="E178" s="279"/>
      <c r="F178" s="279"/>
      <c r="G178" s="279"/>
      <c r="H178" s="279"/>
      <c r="J178" s="279"/>
      <c r="K178" s="279"/>
    </row>
    <row r="179">
      <c r="E179" s="279"/>
      <c r="F179" s="279"/>
      <c r="G179" s="279"/>
      <c r="H179" s="279"/>
      <c r="J179" s="279"/>
      <c r="K179" s="279"/>
    </row>
    <row r="180">
      <c r="E180" s="279"/>
      <c r="F180" s="279"/>
      <c r="G180" s="279"/>
      <c r="H180" s="279"/>
      <c r="J180" s="279"/>
      <c r="K180" s="279"/>
    </row>
    <row r="181">
      <c r="E181" s="279"/>
      <c r="F181" s="279"/>
      <c r="G181" s="279"/>
      <c r="H181" s="279"/>
      <c r="J181" s="279"/>
      <c r="K181" s="279"/>
    </row>
    <row r="182">
      <c r="E182" s="279"/>
      <c r="F182" s="279"/>
      <c r="G182" s="279"/>
      <c r="H182" s="279"/>
      <c r="J182" s="279"/>
      <c r="K182" s="279"/>
    </row>
    <row r="183">
      <c r="E183" s="279"/>
      <c r="F183" s="279"/>
      <c r="G183" s="279"/>
      <c r="H183" s="279"/>
      <c r="J183" s="279"/>
      <c r="K183" s="279"/>
    </row>
    <row r="184">
      <c r="E184" s="279"/>
      <c r="F184" s="279"/>
      <c r="G184" s="279"/>
      <c r="H184" s="279"/>
      <c r="J184" s="279"/>
      <c r="K184" s="279"/>
    </row>
    <row r="185">
      <c r="E185" s="279"/>
      <c r="F185" s="279"/>
      <c r="G185" s="279"/>
      <c r="H185" s="279"/>
      <c r="J185" s="279"/>
      <c r="K185" s="279"/>
    </row>
    <row r="186">
      <c r="E186" s="279"/>
      <c r="F186" s="279"/>
      <c r="G186" s="279"/>
      <c r="H186" s="279"/>
      <c r="J186" s="279"/>
      <c r="K186" s="279"/>
    </row>
    <row r="187">
      <c r="E187" s="279"/>
      <c r="F187" s="279"/>
      <c r="G187" s="279"/>
      <c r="H187" s="279"/>
      <c r="J187" s="279"/>
      <c r="K187" s="279"/>
    </row>
    <row r="188">
      <c r="E188" s="279"/>
      <c r="F188" s="279"/>
      <c r="G188" s="279"/>
      <c r="H188" s="279"/>
      <c r="J188" s="279"/>
      <c r="K188" s="279"/>
    </row>
    <row r="189">
      <c r="E189" s="279"/>
      <c r="F189" s="279"/>
      <c r="G189" s="279"/>
      <c r="H189" s="279"/>
      <c r="J189" s="279"/>
      <c r="K189" s="279"/>
    </row>
    <row r="190">
      <c r="E190" s="279"/>
      <c r="F190" s="279"/>
      <c r="G190" s="279"/>
      <c r="H190" s="279"/>
      <c r="J190" s="279"/>
      <c r="K190" s="279"/>
    </row>
    <row r="191">
      <c r="E191" s="279"/>
      <c r="F191" s="279"/>
      <c r="G191" s="279"/>
      <c r="H191" s="279"/>
      <c r="J191" s="279"/>
      <c r="K191" s="279"/>
    </row>
    <row r="192">
      <c r="E192" s="279"/>
      <c r="F192" s="279"/>
      <c r="G192" s="279"/>
      <c r="H192" s="279"/>
      <c r="J192" s="279"/>
      <c r="K192" s="279"/>
    </row>
    <row r="193">
      <c r="E193" s="279"/>
      <c r="F193" s="279"/>
      <c r="G193" s="279"/>
      <c r="H193" s="279"/>
      <c r="J193" s="279"/>
      <c r="K193" s="279"/>
    </row>
    <row r="194">
      <c r="E194" s="279"/>
      <c r="F194" s="279"/>
      <c r="G194" s="279"/>
      <c r="H194" s="279"/>
      <c r="J194" s="279"/>
      <c r="K194" s="279"/>
    </row>
    <row r="195">
      <c r="E195" s="279"/>
      <c r="F195" s="279"/>
      <c r="G195" s="279"/>
      <c r="H195" s="279"/>
      <c r="J195" s="279"/>
      <c r="K195" s="279"/>
    </row>
    <row r="196">
      <c r="E196" s="279"/>
      <c r="F196" s="279"/>
      <c r="G196" s="279"/>
      <c r="H196" s="279"/>
      <c r="J196" s="279"/>
      <c r="K196" s="279"/>
    </row>
    <row r="197">
      <c r="E197" s="279"/>
      <c r="F197" s="279"/>
      <c r="G197" s="279"/>
      <c r="H197" s="279"/>
      <c r="J197" s="279"/>
      <c r="K197" s="279"/>
    </row>
    <row r="198">
      <c r="E198" s="279"/>
      <c r="F198" s="279"/>
      <c r="G198" s="279"/>
      <c r="H198" s="279"/>
      <c r="J198" s="279"/>
      <c r="K198" s="279"/>
    </row>
    <row r="199">
      <c r="E199" s="279"/>
      <c r="F199" s="279"/>
      <c r="G199" s="279"/>
      <c r="H199" s="279"/>
      <c r="J199" s="279"/>
      <c r="K199" s="279"/>
    </row>
    <row r="200">
      <c r="E200" s="279"/>
      <c r="F200" s="279"/>
      <c r="G200" s="279"/>
      <c r="H200" s="279"/>
      <c r="J200" s="279"/>
      <c r="K200" s="279"/>
    </row>
    <row r="201">
      <c r="E201" s="279"/>
      <c r="F201" s="279"/>
      <c r="G201" s="279"/>
      <c r="H201" s="279"/>
      <c r="J201" s="279"/>
      <c r="K201" s="279"/>
    </row>
    <row r="202">
      <c r="E202" s="279"/>
      <c r="F202" s="279"/>
      <c r="G202" s="279"/>
      <c r="H202" s="279"/>
      <c r="J202" s="279"/>
      <c r="K202" s="279"/>
    </row>
    <row r="203">
      <c r="E203" s="279"/>
      <c r="F203" s="279"/>
      <c r="G203" s="279"/>
      <c r="H203" s="279"/>
      <c r="J203" s="279"/>
      <c r="K203" s="279"/>
    </row>
    <row r="204">
      <c r="E204" s="279"/>
      <c r="F204" s="279"/>
      <c r="G204" s="279"/>
      <c r="H204" s="279"/>
      <c r="J204" s="279"/>
      <c r="K204" s="279"/>
    </row>
    <row r="205">
      <c r="E205" s="279"/>
      <c r="F205" s="279"/>
      <c r="G205" s="279"/>
      <c r="H205" s="279"/>
      <c r="J205" s="279"/>
      <c r="K205" s="279"/>
    </row>
    <row r="206">
      <c r="E206" s="279"/>
      <c r="F206" s="279"/>
      <c r="G206" s="279"/>
      <c r="H206" s="279"/>
      <c r="J206" s="279"/>
      <c r="K206" s="279"/>
    </row>
    <row r="207">
      <c r="E207" s="279"/>
      <c r="F207" s="279"/>
      <c r="G207" s="279"/>
      <c r="H207" s="279"/>
      <c r="J207" s="279"/>
      <c r="K207" s="279"/>
    </row>
    <row r="208">
      <c r="E208" s="279"/>
      <c r="F208" s="279"/>
      <c r="G208" s="279"/>
      <c r="H208" s="279"/>
      <c r="J208" s="279"/>
      <c r="K208" s="279"/>
    </row>
    <row r="209">
      <c r="E209" s="279"/>
      <c r="F209" s="279"/>
      <c r="G209" s="279"/>
      <c r="H209" s="279"/>
      <c r="J209" s="279"/>
      <c r="K209" s="279"/>
    </row>
    <row r="210">
      <c r="E210" s="279"/>
      <c r="F210" s="279"/>
      <c r="G210" s="279"/>
      <c r="H210" s="279"/>
      <c r="J210" s="279"/>
      <c r="K210" s="279"/>
    </row>
    <row r="211">
      <c r="E211" s="279"/>
      <c r="F211" s="279"/>
      <c r="G211" s="279"/>
      <c r="H211" s="279"/>
      <c r="J211" s="279"/>
      <c r="K211" s="279"/>
    </row>
    <row r="212">
      <c r="E212" s="279"/>
      <c r="F212" s="279"/>
      <c r="G212" s="279"/>
      <c r="H212" s="279"/>
      <c r="J212" s="279"/>
      <c r="K212" s="279"/>
    </row>
    <row r="213">
      <c r="E213" s="279"/>
      <c r="F213" s="279"/>
      <c r="G213" s="279"/>
      <c r="H213" s="279"/>
      <c r="J213" s="279"/>
      <c r="K213" s="279"/>
    </row>
    <row r="214">
      <c r="E214" s="279"/>
      <c r="F214" s="279"/>
      <c r="G214" s="279"/>
      <c r="H214" s="279"/>
      <c r="J214" s="279"/>
      <c r="K214" s="279"/>
    </row>
    <row r="215">
      <c r="E215" s="279"/>
      <c r="F215" s="279"/>
      <c r="G215" s="279"/>
      <c r="H215" s="279"/>
      <c r="J215" s="279"/>
      <c r="K215" s="279"/>
    </row>
    <row r="216">
      <c r="E216" s="279"/>
      <c r="F216" s="279"/>
      <c r="G216" s="279"/>
      <c r="H216" s="279"/>
      <c r="J216" s="279"/>
      <c r="K216" s="279"/>
    </row>
    <row r="217">
      <c r="E217" s="279"/>
      <c r="F217" s="279"/>
      <c r="G217" s="279"/>
      <c r="H217" s="279"/>
      <c r="J217" s="279"/>
      <c r="K217" s="279"/>
    </row>
    <row r="218">
      <c r="E218" s="279"/>
      <c r="F218" s="279"/>
      <c r="G218" s="279"/>
      <c r="H218" s="279"/>
      <c r="J218" s="279"/>
      <c r="K218" s="279"/>
    </row>
    <row r="219">
      <c r="E219" s="279"/>
      <c r="F219" s="279"/>
      <c r="G219" s="279"/>
      <c r="H219" s="279"/>
      <c r="J219" s="279"/>
      <c r="K219" s="279"/>
    </row>
    <row r="220">
      <c r="E220" s="279"/>
      <c r="F220" s="279"/>
      <c r="G220" s="279"/>
      <c r="H220" s="279"/>
      <c r="J220" s="279"/>
      <c r="K220" s="279"/>
    </row>
    <row r="221">
      <c r="E221" s="279"/>
      <c r="F221" s="279"/>
      <c r="G221" s="279"/>
      <c r="H221" s="279"/>
      <c r="J221" s="279"/>
      <c r="K221" s="279"/>
    </row>
    <row r="222">
      <c r="E222" s="279"/>
      <c r="F222" s="279"/>
      <c r="G222" s="279"/>
      <c r="H222" s="279"/>
      <c r="J222" s="279"/>
      <c r="K222" s="279"/>
    </row>
    <row r="223">
      <c r="E223" s="279"/>
      <c r="F223" s="279"/>
      <c r="G223" s="279"/>
      <c r="H223" s="279"/>
      <c r="J223" s="279"/>
      <c r="K223" s="279"/>
    </row>
    <row r="224">
      <c r="E224" s="279"/>
      <c r="F224" s="279"/>
      <c r="G224" s="279"/>
      <c r="H224" s="279"/>
      <c r="J224" s="279"/>
      <c r="K224" s="279"/>
    </row>
    <row r="225">
      <c r="E225" s="279"/>
      <c r="F225" s="279"/>
      <c r="G225" s="279"/>
      <c r="H225" s="279"/>
      <c r="J225" s="279"/>
      <c r="K225" s="279"/>
    </row>
    <row r="226">
      <c r="E226" s="279"/>
      <c r="F226" s="279"/>
      <c r="G226" s="279"/>
      <c r="H226" s="279"/>
      <c r="J226" s="279"/>
      <c r="K226" s="279"/>
    </row>
    <row r="227">
      <c r="E227" s="279"/>
      <c r="F227" s="279"/>
      <c r="G227" s="279"/>
      <c r="H227" s="279"/>
      <c r="J227" s="279"/>
      <c r="K227" s="279"/>
    </row>
    <row r="228">
      <c r="E228" s="279"/>
      <c r="F228" s="279"/>
      <c r="G228" s="279"/>
      <c r="H228" s="279"/>
      <c r="J228" s="279"/>
      <c r="K228" s="279"/>
    </row>
    <row r="229">
      <c r="E229" s="279"/>
      <c r="F229" s="279"/>
      <c r="G229" s="279"/>
      <c r="H229" s="279"/>
      <c r="J229" s="279"/>
      <c r="K229" s="279"/>
    </row>
    <row r="230">
      <c r="E230" s="279"/>
      <c r="F230" s="279"/>
      <c r="G230" s="279"/>
      <c r="H230" s="279"/>
      <c r="J230" s="279"/>
      <c r="K230" s="279"/>
    </row>
    <row r="231">
      <c r="E231" s="279"/>
      <c r="F231" s="279"/>
      <c r="G231" s="279"/>
      <c r="H231" s="279"/>
      <c r="J231" s="279"/>
      <c r="K231" s="279"/>
    </row>
    <row r="232">
      <c r="E232" s="279"/>
      <c r="F232" s="279"/>
      <c r="G232" s="279"/>
      <c r="H232" s="279"/>
      <c r="J232" s="279"/>
      <c r="K232" s="279"/>
    </row>
    <row r="233">
      <c r="E233" s="279"/>
      <c r="F233" s="279"/>
      <c r="G233" s="279"/>
      <c r="H233" s="279"/>
      <c r="J233" s="279"/>
      <c r="K233" s="279"/>
    </row>
    <row r="234">
      <c r="E234" s="279"/>
      <c r="F234" s="279"/>
      <c r="G234" s="279"/>
      <c r="H234" s="279"/>
      <c r="J234" s="279"/>
      <c r="K234" s="279"/>
    </row>
    <row r="235">
      <c r="E235" s="279"/>
      <c r="F235" s="279"/>
      <c r="G235" s="279"/>
      <c r="H235" s="279"/>
      <c r="J235" s="279"/>
      <c r="K235" s="279"/>
    </row>
    <row r="236">
      <c r="E236" s="279"/>
      <c r="F236" s="279"/>
      <c r="G236" s="279"/>
      <c r="H236" s="279"/>
      <c r="J236" s="279"/>
      <c r="K236" s="279"/>
    </row>
    <row r="237">
      <c r="E237" s="279"/>
      <c r="F237" s="279"/>
      <c r="G237" s="279"/>
      <c r="H237" s="279"/>
      <c r="J237" s="279"/>
      <c r="K237" s="279"/>
    </row>
    <row r="238">
      <c r="E238" s="279"/>
      <c r="F238" s="279"/>
      <c r="G238" s="279"/>
      <c r="H238" s="279"/>
      <c r="J238" s="279"/>
      <c r="K238" s="279"/>
    </row>
    <row r="239">
      <c r="E239" s="279"/>
      <c r="F239" s="279"/>
      <c r="G239" s="279"/>
      <c r="H239" s="279"/>
      <c r="J239" s="279"/>
      <c r="K239" s="279"/>
    </row>
    <row r="240">
      <c r="E240" s="279"/>
      <c r="F240" s="279"/>
      <c r="G240" s="279"/>
      <c r="H240" s="279"/>
      <c r="J240" s="279"/>
      <c r="K240" s="279"/>
    </row>
    <row r="241">
      <c r="E241" s="279"/>
      <c r="F241" s="279"/>
      <c r="G241" s="279"/>
      <c r="H241" s="279"/>
      <c r="J241" s="279"/>
      <c r="K241" s="279"/>
    </row>
    <row r="242">
      <c r="E242" s="279"/>
      <c r="F242" s="279"/>
      <c r="G242" s="279"/>
      <c r="H242" s="279"/>
      <c r="J242" s="279"/>
      <c r="K242" s="279"/>
    </row>
    <row r="243">
      <c r="E243" s="279"/>
      <c r="F243" s="279"/>
      <c r="G243" s="279"/>
      <c r="H243" s="279"/>
      <c r="J243" s="279"/>
      <c r="K243" s="279"/>
    </row>
    <row r="244">
      <c r="E244" s="279"/>
      <c r="F244" s="279"/>
      <c r="G244" s="279"/>
      <c r="H244" s="279"/>
      <c r="J244" s="279"/>
      <c r="K244" s="279"/>
    </row>
    <row r="245">
      <c r="E245" s="279"/>
      <c r="F245" s="279"/>
      <c r="G245" s="279"/>
      <c r="H245" s="279"/>
      <c r="J245" s="279"/>
      <c r="K245" s="279"/>
    </row>
    <row r="246">
      <c r="E246" s="279"/>
      <c r="F246" s="279"/>
      <c r="G246" s="279"/>
      <c r="H246" s="279"/>
      <c r="J246" s="279"/>
      <c r="K246" s="279"/>
    </row>
    <row r="247">
      <c r="E247" s="279"/>
      <c r="F247" s="279"/>
      <c r="G247" s="279"/>
      <c r="H247" s="279"/>
      <c r="J247" s="279"/>
      <c r="K247" s="279"/>
    </row>
    <row r="248">
      <c r="E248" s="279"/>
      <c r="F248" s="279"/>
      <c r="G248" s="279"/>
      <c r="H248" s="279"/>
      <c r="J248" s="279"/>
      <c r="K248" s="279"/>
    </row>
    <row r="249">
      <c r="E249" s="279"/>
      <c r="F249" s="279"/>
      <c r="G249" s="279"/>
      <c r="H249" s="279"/>
      <c r="J249" s="279"/>
      <c r="K249" s="279"/>
    </row>
    <row r="250">
      <c r="E250" s="279"/>
      <c r="F250" s="279"/>
      <c r="G250" s="279"/>
      <c r="H250" s="279"/>
      <c r="J250" s="279"/>
      <c r="K250" s="279"/>
    </row>
    <row r="251">
      <c r="E251" s="279"/>
      <c r="F251" s="279"/>
      <c r="G251" s="279"/>
      <c r="H251" s="279"/>
      <c r="J251" s="279"/>
      <c r="K251" s="279"/>
    </row>
    <row r="252">
      <c r="E252" s="279"/>
      <c r="F252" s="279"/>
      <c r="G252" s="279"/>
      <c r="H252" s="279"/>
      <c r="J252" s="279"/>
      <c r="K252" s="279"/>
    </row>
    <row r="253">
      <c r="E253" s="279"/>
      <c r="F253" s="279"/>
      <c r="G253" s="279"/>
      <c r="H253" s="279"/>
      <c r="J253" s="279"/>
      <c r="K253" s="279"/>
    </row>
    <row r="254">
      <c r="E254" s="279"/>
      <c r="F254" s="279"/>
      <c r="G254" s="279"/>
      <c r="H254" s="279"/>
      <c r="J254" s="279"/>
      <c r="K254" s="279"/>
    </row>
    <row r="255">
      <c r="E255" s="279"/>
      <c r="F255" s="279"/>
      <c r="G255" s="279"/>
      <c r="H255" s="279"/>
      <c r="J255" s="279"/>
      <c r="K255" s="279"/>
    </row>
    <row r="256">
      <c r="E256" s="279"/>
      <c r="F256" s="279"/>
      <c r="G256" s="279"/>
      <c r="H256" s="279"/>
      <c r="J256" s="279"/>
      <c r="K256" s="279"/>
    </row>
    <row r="257">
      <c r="E257" s="279"/>
      <c r="F257" s="279"/>
      <c r="G257" s="279"/>
      <c r="H257" s="279"/>
      <c r="J257" s="279"/>
      <c r="K257" s="279"/>
    </row>
    <row r="258">
      <c r="E258" s="279"/>
      <c r="F258" s="279"/>
      <c r="G258" s="279"/>
      <c r="H258" s="279"/>
      <c r="J258" s="279"/>
      <c r="K258" s="279"/>
    </row>
    <row r="259">
      <c r="E259" s="279"/>
      <c r="F259" s="279"/>
      <c r="G259" s="279"/>
      <c r="H259" s="279"/>
      <c r="J259" s="279"/>
      <c r="K259" s="279"/>
    </row>
    <row r="260">
      <c r="E260" s="279"/>
      <c r="F260" s="279"/>
      <c r="G260" s="279"/>
      <c r="H260" s="279"/>
      <c r="J260" s="279"/>
      <c r="K260" s="279"/>
    </row>
    <row r="261">
      <c r="E261" s="279"/>
      <c r="F261" s="279"/>
      <c r="G261" s="279"/>
      <c r="H261" s="279"/>
      <c r="J261" s="279"/>
      <c r="K261" s="279"/>
    </row>
    <row r="262">
      <c r="E262" s="279"/>
      <c r="F262" s="279"/>
      <c r="G262" s="279"/>
      <c r="H262" s="279"/>
      <c r="J262" s="279"/>
      <c r="K262" s="279"/>
    </row>
    <row r="263">
      <c r="E263" s="279"/>
      <c r="F263" s="279"/>
      <c r="G263" s="279"/>
      <c r="H263" s="279"/>
      <c r="J263" s="279"/>
      <c r="K263" s="279"/>
    </row>
    <row r="264">
      <c r="E264" s="279"/>
      <c r="F264" s="279"/>
      <c r="G264" s="279"/>
      <c r="H264" s="279"/>
      <c r="J264" s="279"/>
      <c r="K264" s="279"/>
    </row>
    <row r="265">
      <c r="E265" s="279"/>
      <c r="F265" s="279"/>
      <c r="G265" s="279"/>
      <c r="H265" s="279"/>
      <c r="J265" s="279"/>
      <c r="K265" s="279"/>
    </row>
    <row r="266">
      <c r="E266" s="279"/>
      <c r="F266" s="279"/>
      <c r="G266" s="279"/>
      <c r="H266" s="279"/>
      <c r="J266" s="279"/>
      <c r="K266" s="279"/>
    </row>
    <row r="267">
      <c r="E267" s="279"/>
      <c r="F267" s="279"/>
      <c r="G267" s="279"/>
      <c r="H267" s="279"/>
      <c r="J267" s="279"/>
      <c r="K267" s="279"/>
    </row>
    <row r="268">
      <c r="E268" s="279"/>
      <c r="F268" s="279"/>
      <c r="G268" s="279"/>
      <c r="H268" s="279"/>
      <c r="J268" s="279"/>
      <c r="K268" s="279"/>
    </row>
    <row r="269">
      <c r="E269" s="279"/>
      <c r="F269" s="279"/>
      <c r="G269" s="279"/>
      <c r="H269" s="279"/>
      <c r="J269" s="279"/>
      <c r="K269" s="279"/>
    </row>
    <row r="270">
      <c r="E270" s="279"/>
      <c r="F270" s="279"/>
      <c r="G270" s="279"/>
      <c r="H270" s="279"/>
      <c r="J270" s="279"/>
      <c r="K270" s="279"/>
    </row>
    <row r="271">
      <c r="E271" s="279"/>
      <c r="F271" s="279"/>
      <c r="G271" s="279"/>
      <c r="H271" s="279"/>
      <c r="J271" s="279"/>
      <c r="K271" s="279"/>
    </row>
    <row r="272">
      <c r="E272" s="279"/>
      <c r="F272" s="279"/>
      <c r="G272" s="279"/>
      <c r="H272" s="279"/>
      <c r="J272" s="279"/>
      <c r="K272" s="279"/>
    </row>
    <row r="273">
      <c r="E273" s="279"/>
      <c r="F273" s="279"/>
      <c r="G273" s="279"/>
      <c r="H273" s="279"/>
      <c r="J273" s="279"/>
      <c r="K273" s="279"/>
    </row>
    <row r="274">
      <c r="E274" s="279"/>
      <c r="F274" s="279"/>
      <c r="G274" s="279"/>
      <c r="H274" s="279"/>
      <c r="J274" s="279"/>
      <c r="K274" s="279"/>
    </row>
    <row r="275">
      <c r="E275" s="279"/>
      <c r="F275" s="279"/>
      <c r="G275" s="279"/>
      <c r="H275" s="279"/>
      <c r="J275" s="279"/>
      <c r="K275" s="279"/>
    </row>
    <row r="276">
      <c r="E276" s="279"/>
      <c r="F276" s="279"/>
      <c r="G276" s="279"/>
      <c r="H276" s="279"/>
      <c r="J276" s="279"/>
      <c r="K276" s="279"/>
    </row>
    <row r="277">
      <c r="E277" s="279"/>
      <c r="F277" s="279"/>
      <c r="G277" s="279"/>
      <c r="H277" s="279"/>
      <c r="J277" s="279"/>
      <c r="K277" s="279"/>
    </row>
    <row r="278">
      <c r="E278" s="279"/>
      <c r="F278" s="279"/>
      <c r="G278" s="279"/>
      <c r="H278" s="279"/>
      <c r="J278" s="279"/>
      <c r="K278" s="279"/>
    </row>
    <row r="279">
      <c r="E279" s="279"/>
      <c r="F279" s="279"/>
      <c r="G279" s="279"/>
      <c r="H279" s="279"/>
      <c r="J279" s="279"/>
      <c r="K279" s="279"/>
    </row>
    <row r="280">
      <c r="E280" s="279"/>
      <c r="F280" s="279"/>
      <c r="G280" s="279"/>
      <c r="H280" s="279"/>
      <c r="J280" s="279"/>
      <c r="K280" s="279"/>
    </row>
    <row r="281">
      <c r="E281" s="279"/>
      <c r="F281" s="279"/>
      <c r="G281" s="279"/>
      <c r="H281" s="279"/>
      <c r="J281" s="279"/>
      <c r="K281" s="279"/>
    </row>
    <row r="282">
      <c r="E282" s="279"/>
      <c r="F282" s="279"/>
      <c r="G282" s="279"/>
      <c r="H282" s="279"/>
      <c r="J282" s="279"/>
      <c r="K282" s="279"/>
    </row>
    <row r="283">
      <c r="E283" s="279"/>
      <c r="F283" s="279"/>
      <c r="G283" s="279"/>
      <c r="H283" s="279"/>
      <c r="J283" s="279"/>
      <c r="K283" s="279"/>
    </row>
    <row r="284">
      <c r="E284" s="279"/>
      <c r="F284" s="279"/>
      <c r="G284" s="279"/>
      <c r="H284" s="279"/>
      <c r="J284" s="279"/>
      <c r="K284" s="279"/>
    </row>
    <row r="285">
      <c r="E285" s="279"/>
      <c r="F285" s="279"/>
      <c r="G285" s="279"/>
      <c r="H285" s="279"/>
      <c r="J285" s="279"/>
      <c r="K285" s="279"/>
    </row>
    <row r="286">
      <c r="E286" s="279"/>
      <c r="F286" s="279"/>
      <c r="G286" s="279"/>
      <c r="H286" s="279"/>
      <c r="J286" s="279"/>
      <c r="K286" s="279"/>
    </row>
    <row r="287">
      <c r="E287" s="279"/>
      <c r="F287" s="279"/>
      <c r="G287" s="279"/>
      <c r="H287" s="279"/>
      <c r="J287" s="279"/>
      <c r="K287" s="279"/>
    </row>
    <row r="288">
      <c r="E288" s="279"/>
      <c r="F288" s="279"/>
      <c r="G288" s="279"/>
      <c r="H288" s="279"/>
      <c r="J288" s="279"/>
      <c r="K288" s="279"/>
    </row>
    <row r="289">
      <c r="E289" s="279"/>
      <c r="F289" s="279"/>
      <c r="G289" s="279"/>
      <c r="H289" s="279"/>
      <c r="J289" s="279"/>
      <c r="K289" s="279"/>
    </row>
    <row r="290">
      <c r="E290" s="279"/>
      <c r="F290" s="279"/>
      <c r="G290" s="279"/>
      <c r="H290" s="279"/>
      <c r="J290" s="279"/>
      <c r="K290" s="279"/>
    </row>
    <row r="291">
      <c r="E291" s="279"/>
      <c r="F291" s="279"/>
      <c r="G291" s="279"/>
      <c r="H291" s="279"/>
      <c r="J291" s="279"/>
      <c r="K291" s="279"/>
    </row>
    <row r="292">
      <c r="E292" s="279"/>
      <c r="F292" s="279"/>
      <c r="G292" s="279"/>
      <c r="H292" s="279"/>
      <c r="J292" s="279"/>
      <c r="K292" s="279"/>
    </row>
    <row r="293">
      <c r="E293" s="279"/>
      <c r="F293" s="279"/>
      <c r="G293" s="279"/>
      <c r="H293" s="279"/>
      <c r="J293" s="279"/>
      <c r="K293" s="279"/>
    </row>
    <row r="294">
      <c r="E294" s="279"/>
      <c r="F294" s="279"/>
      <c r="G294" s="279"/>
      <c r="H294" s="279"/>
      <c r="J294" s="279"/>
      <c r="K294" s="279"/>
    </row>
    <row r="295">
      <c r="E295" s="279"/>
      <c r="F295" s="279"/>
      <c r="G295" s="279"/>
      <c r="H295" s="279"/>
      <c r="J295" s="279"/>
      <c r="K295" s="279"/>
    </row>
    <row r="296">
      <c r="E296" s="279"/>
      <c r="F296" s="279"/>
      <c r="G296" s="279"/>
      <c r="H296" s="279"/>
      <c r="J296" s="279"/>
      <c r="K296" s="279"/>
    </row>
    <row r="297">
      <c r="E297" s="279"/>
      <c r="F297" s="279"/>
      <c r="G297" s="279"/>
      <c r="H297" s="279"/>
      <c r="J297" s="279"/>
      <c r="K297" s="279"/>
    </row>
    <row r="298">
      <c r="E298" s="279"/>
      <c r="F298" s="279"/>
      <c r="G298" s="279"/>
      <c r="H298" s="279"/>
      <c r="J298" s="279"/>
      <c r="K298" s="279"/>
    </row>
    <row r="299">
      <c r="E299" s="279"/>
      <c r="F299" s="279"/>
      <c r="G299" s="279"/>
      <c r="H299" s="279"/>
      <c r="J299" s="279"/>
      <c r="K299" s="279"/>
    </row>
    <row r="300">
      <c r="E300" s="279"/>
      <c r="F300" s="279"/>
      <c r="G300" s="279"/>
      <c r="H300" s="279"/>
      <c r="J300" s="279"/>
      <c r="K300" s="279"/>
    </row>
    <row r="301">
      <c r="E301" s="279"/>
      <c r="F301" s="279"/>
      <c r="G301" s="279"/>
      <c r="H301" s="279"/>
      <c r="J301" s="279"/>
      <c r="K301" s="279"/>
    </row>
    <row r="302">
      <c r="E302" s="279"/>
      <c r="F302" s="279"/>
      <c r="G302" s="279"/>
      <c r="H302" s="279"/>
      <c r="J302" s="279"/>
      <c r="K302" s="279"/>
    </row>
    <row r="303">
      <c r="E303" s="279"/>
      <c r="F303" s="279"/>
      <c r="G303" s="279"/>
      <c r="H303" s="279"/>
      <c r="J303" s="279"/>
      <c r="K303" s="279"/>
    </row>
    <row r="304">
      <c r="E304" s="279"/>
      <c r="F304" s="279"/>
      <c r="G304" s="279"/>
      <c r="H304" s="279"/>
      <c r="J304" s="279"/>
      <c r="K304" s="279"/>
    </row>
    <row r="305">
      <c r="E305" s="279"/>
      <c r="F305" s="279"/>
      <c r="G305" s="279"/>
      <c r="H305" s="279"/>
      <c r="J305" s="279"/>
      <c r="K305" s="279"/>
    </row>
    <row r="306">
      <c r="E306" s="279"/>
      <c r="F306" s="279"/>
      <c r="G306" s="279"/>
      <c r="H306" s="279"/>
      <c r="J306" s="279"/>
      <c r="K306" s="279"/>
    </row>
    <row r="307">
      <c r="E307" s="279"/>
      <c r="F307" s="279"/>
      <c r="G307" s="279"/>
      <c r="H307" s="279"/>
      <c r="J307" s="279"/>
      <c r="K307" s="279"/>
    </row>
    <row r="308">
      <c r="E308" s="279"/>
      <c r="F308" s="279"/>
      <c r="G308" s="279"/>
      <c r="H308" s="279"/>
      <c r="J308" s="279"/>
      <c r="K308" s="279"/>
    </row>
    <row r="309">
      <c r="E309" s="279"/>
      <c r="F309" s="279"/>
      <c r="G309" s="279"/>
      <c r="H309" s="279"/>
      <c r="J309" s="279"/>
      <c r="K309" s="279"/>
    </row>
    <row r="310">
      <c r="E310" s="279"/>
      <c r="F310" s="279"/>
      <c r="G310" s="279"/>
      <c r="H310" s="279"/>
      <c r="J310" s="279"/>
      <c r="K310" s="279"/>
    </row>
    <row r="311">
      <c r="E311" s="279"/>
      <c r="F311" s="279"/>
      <c r="G311" s="279"/>
      <c r="H311" s="279"/>
      <c r="J311" s="279"/>
      <c r="K311" s="279"/>
    </row>
    <row r="312">
      <c r="E312" s="279"/>
      <c r="F312" s="279"/>
      <c r="G312" s="279"/>
      <c r="H312" s="279"/>
      <c r="J312" s="279"/>
      <c r="K312" s="279"/>
    </row>
    <row r="313">
      <c r="E313" s="279"/>
      <c r="F313" s="279"/>
      <c r="G313" s="279"/>
      <c r="H313" s="279"/>
      <c r="J313" s="279"/>
      <c r="K313" s="279"/>
    </row>
    <row r="314">
      <c r="E314" s="279"/>
      <c r="F314" s="279"/>
      <c r="G314" s="279"/>
      <c r="H314" s="279"/>
      <c r="J314" s="279"/>
      <c r="K314" s="279"/>
    </row>
    <row r="315">
      <c r="E315" s="279"/>
      <c r="F315" s="279"/>
      <c r="G315" s="279"/>
      <c r="H315" s="279"/>
      <c r="J315" s="279"/>
      <c r="K315" s="279"/>
    </row>
    <row r="316">
      <c r="E316" s="279"/>
      <c r="F316" s="279"/>
      <c r="G316" s="279"/>
      <c r="H316" s="279"/>
      <c r="J316" s="279"/>
      <c r="K316" s="279"/>
    </row>
    <row r="317">
      <c r="E317" s="279"/>
      <c r="F317" s="279"/>
      <c r="G317" s="279"/>
      <c r="H317" s="279"/>
      <c r="J317" s="279"/>
      <c r="K317" s="279"/>
    </row>
    <row r="318">
      <c r="E318" s="279"/>
      <c r="F318" s="279"/>
      <c r="G318" s="279"/>
      <c r="H318" s="279"/>
      <c r="J318" s="279"/>
      <c r="K318" s="279"/>
    </row>
    <row r="319">
      <c r="E319" s="279"/>
      <c r="F319" s="279"/>
      <c r="G319" s="279"/>
      <c r="H319" s="279"/>
      <c r="J319" s="279"/>
      <c r="K319" s="279"/>
    </row>
    <row r="320">
      <c r="E320" s="279"/>
      <c r="F320" s="279"/>
      <c r="G320" s="279"/>
      <c r="H320" s="279"/>
      <c r="J320" s="279"/>
      <c r="K320" s="279"/>
    </row>
    <row r="321">
      <c r="E321" s="279"/>
      <c r="F321" s="279"/>
      <c r="G321" s="279"/>
      <c r="H321" s="279"/>
      <c r="J321" s="279"/>
      <c r="K321" s="279"/>
    </row>
    <row r="322">
      <c r="E322" s="279"/>
      <c r="F322" s="279"/>
      <c r="G322" s="279"/>
      <c r="H322" s="279"/>
      <c r="J322" s="279"/>
      <c r="K322" s="279"/>
    </row>
    <row r="323">
      <c r="E323" s="279"/>
      <c r="F323" s="279"/>
      <c r="G323" s="279"/>
      <c r="H323" s="279"/>
      <c r="J323" s="279"/>
      <c r="K323" s="279"/>
    </row>
    <row r="324">
      <c r="E324" s="279"/>
      <c r="F324" s="279"/>
      <c r="G324" s="279"/>
      <c r="H324" s="279"/>
      <c r="J324" s="279"/>
      <c r="K324" s="279"/>
    </row>
    <row r="325">
      <c r="E325" s="279"/>
      <c r="F325" s="279"/>
      <c r="G325" s="279"/>
      <c r="H325" s="279"/>
      <c r="J325" s="279"/>
      <c r="K325" s="279"/>
    </row>
    <row r="326">
      <c r="E326" s="279"/>
      <c r="F326" s="279"/>
      <c r="G326" s="279"/>
      <c r="H326" s="279"/>
      <c r="J326" s="279"/>
      <c r="K326" s="279"/>
    </row>
    <row r="327">
      <c r="E327" s="279"/>
      <c r="F327" s="279"/>
      <c r="G327" s="279"/>
      <c r="H327" s="279"/>
      <c r="J327" s="279"/>
      <c r="K327" s="279"/>
    </row>
    <row r="328">
      <c r="E328" s="279"/>
      <c r="F328" s="279"/>
      <c r="G328" s="279"/>
      <c r="H328" s="279"/>
      <c r="J328" s="279"/>
      <c r="K328" s="279"/>
    </row>
    <row r="329">
      <c r="E329" s="279"/>
      <c r="F329" s="279"/>
      <c r="G329" s="279"/>
      <c r="H329" s="279"/>
      <c r="J329" s="279"/>
      <c r="K329" s="279"/>
    </row>
    <row r="330">
      <c r="E330" s="279"/>
      <c r="F330" s="279"/>
      <c r="G330" s="279"/>
      <c r="H330" s="279"/>
      <c r="J330" s="279"/>
      <c r="K330" s="279"/>
    </row>
    <row r="331">
      <c r="E331" s="279"/>
      <c r="F331" s="279"/>
      <c r="G331" s="279"/>
      <c r="H331" s="279"/>
      <c r="J331" s="279"/>
      <c r="K331" s="279"/>
    </row>
    <row r="332">
      <c r="E332" s="279"/>
      <c r="F332" s="279"/>
      <c r="G332" s="279"/>
      <c r="H332" s="279"/>
      <c r="J332" s="279"/>
      <c r="K332" s="279"/>
    </row>
    <row r="333">
      <c r="E333" s="279"/>
      <c r="F333" s="279"/>
      <c r="G333" s="279"/>
      <c r="H333" s="279"/>
      <c r="J333" s="279"/>
      <c r="K333" s="279"/>
    </row>
    <row r="334">
      <c r="E334" s="279"/>
      <c r="F334" s="279"/>
      <c r="G334" s="279"/>
      <c r="H334" s="279"/>
      <c r="J334" s="279"/>
      <c r="K334" s="279"/>
    </row>
    <row r="335">
      <c r="E335" s="279"/>
      <c r="F335" s="279"/>
      <c r="G335" s="279"/>
      <c r="H335" s="279"/>
      <c r="J335" s="279"/>
      <c r="K335" s="279"/>
    </row>
    <row r="336">
      <c r="E336" s="279"/>
      <c r="F336" s="279"/>
      <c r="G336" s="279"/>
      <c r="H336" s="279"/>
      <c r="J336" s="279"/>
      <c r="K336" s="279"/>
    </row>
    <row r="337">
      <c r="E337" s="279"/>
      <c r="F337" s="279"/>
      <c r="G337" s="279"/>
      <c r="H337" s="279"/>
      <c r="J337" s="279"/>
      <c r="K337" s="279"/>
    </row>
    <row r="338">
      <c r="E338" s="279"/>
      <c r="F338" s="279"/>
      <c r="G338" s="279"/>
      <c r="H338" s="279"/>
      <c r="J338" s="279"/>
      <c r="K338" s="279"/>
    </row>
    <row r="339">
      <c r="E339" s="279"/>
      <c r="F339" s="279"/>
      <c r="G339" s="279"/>
      <c r="H339" s="279"/>
      <c r="J339" s="279"/>
      <c r="K339" s="279"/>
    </row>
    <row r="340">
      <c r="E340" s="279"/>
      <c r="F340" s="279"/>
      <c r="G340" s="279"/>
      <c r="H340" s="279"/>
      <c r="J340" s="279"/>
      <c r="K340" s="279"/>
    </row>
    <row r="341">
      <c r="E341" s="279"/>
      <c r="F341" s="279"/>
      <c r="G341" s="279"/>
      <c r="H341" s="279"/>
      <c r="J341" s="279"/>
      <c r="K341" s="279"/>
    </row>
    <row r="342">
      <c r="E342" s="279"/>
      <c r="F342" s="279"/>
      <c r="G342" s="279"/>
      <c r="H342" s="279"/>
      <c r="J342" s="279"/>
      <c r="K342" s="279"/>
    </row>
    <row r="343">
      <c r="E343" s="279"/>
      <c r="F343" s="279"/>
      <c r="G343" s="279"/>
      <c r="H343" s="279"/>
      <c r="J343" s="279"/>
      <c r="K343" s="279"/>
    </row>
    <row r="344">
      <c r="E344" s="279"/>
      <c r="F344" s="279"/>
      <c r="G344" s="279"/>
      <c r="H344" s="279"/>
      <c r="J344" s="279"/>
      <c r="K344" s="279"/>
    </row>
    <row r="345">
      <c r="E345" s="279"/>
      <c r="F345" s="279"/>
      <c r="G345" s="279"/>
      <c r="H345" s="279"/>
      <c r="J345" s="279"/>
      <c r="K345" s="279"/>
    </row>
    <row r="346">
      <c r="E346" s="279"/>
      <c r="F346" s="279"/>
      <c r="G346" s="279"/>
      <c r="H346" s="279"/>
      <c r="J346" s="279"/>
      <c r="K346" s="279"/>
    </row>
    <row r="347">
      <c r="E347" s="279"/>
      <c r="F347" s="279"/>
      <c r="G347" s="279"/>
      <c r="H347" s="279"/>
      <c r="J347" s="279"/>
      <c r="K347" s="279"/>
    </row>
    <row r="348">
      <c r="E348" s="279"/>
      <c r="F348" s="279"/>
      <c r="G348" s="279"/>
      <c r="H348" s="279"/>
      <c r="J348" s="279"/>
      <c r="K348" s="279"/>
    </row>
    <row r="349">
      <c r="E349" s="279"/>
      <c r="F349" s="279"/>
      <c r="G349" s="279"/>
      <c r="H349" s="279"/>
      <c r="J349" s="279"/>
      <c r="K349" s="279"/>
    </row>
    <row r="350">
      <c r="E350" s="279"/>
      <c r="F350" s="279"/>
      <c r="G350" s="279"/>
      <c r="H350" s="279"/>
      <c r="J350" s="279"/>
      <c r="K350" s="279"/>
    </row>
    <row r="351">
      <c r="E351" s="279"/>
      <c r="F351" s="279"/>
      <c r="G351" s="279"/>
      <c r="H351" s="279"/>
      <c r="J351" s="279"/>
      <c r="K351" s="279"/>
    </row>
    <row r="352">
      <c r="E352" s="279"/>
      <c r="F352" s="279"/>
      <c r="G352" s="279"/>
      <c r="H352" s="279"/>
      <c r="J352" s="279"/>
      <c r="K352" s="279"/>
    </row>
    <row r="353">
      <c r="E353" s="279"/>
      <c r="F353" s="279"/>
      <c r="G353" s="279"/>
      <c r="H353" s="279"/>
      <c r="J353" s="279"/>
      <c r="K353" s="279"/>
    </row>
    <row r="354">
      <c r="E354" s="279"/>
      <c r="F354" s="279"/>
      <c r="G354" s="279"/>
      <c r="H354" s="279"/>
      <c r="J354" s="279"/>
      <c r="K354" s="279"/>
    </row>
    <row r="355">
      <c r="E355" s="279"/>
      <c r="F355" s="279"/>
      <c r="G355" s="279"/>
      <c r="H355" s="279"/>
      <c r="J355" s="279"/>
      <c r="K355" s="279"/>
    </row>
    <row r="356">
      <c r="E356" s="279"/>
      <c r="F356" s="279"/>
      <c r="G356" s="279"/>
      <c r="H356" s="279"/>
      <c r="J356" s="279"/>
      <c r="K356" s="279"/>
    </row>
    <row r="357">
      <c r="E357" s="279"/>
      <c r="F357" s="279"/>
      <c r="G357" s="279"/>
      <c r="H357" s="279"/>
      <c r="J357" s="279"/>
      <c r="K357" s="279"/>
    </row>
    <row r="358">
      <c r="E358" s="279"/>
      <c r="F358" s="279"/>
      <c r="G358" s="279"/>
      <c r="H358" s="279"/>
      <c r="J358" s="279"/>
      <c r="K358" s="279"/>
    </row>
    <row r="359">
      <c r="E359" s="279"/>
      <c r="F359" s="279"/>
      <c r="G359" s="279"/>
      <c r="H359" s="279"/>
      <c r="J359" s="279"/>
      <c r="K359" s="279"/>
    </row>
    <row r="360">
      <c r="E360" s="279"/>
      <c r="F360" s="279"/>
      <c r="G360" s="279"/>
      <c r="H360" s="279"/>
      <c r="J360" s="279"/>
      <c r="K360" s="279"/>
    </row>
    <row r="361">
      <c r="E361" s="279"/>
      <c r="F361" s="279"/>
      <c r="G361" s="279"/>
      <c r="H361" s="279"/>
      <c r="J361" s="279"/>
      <c r="K361" s="279"/>
    </row>
    <row r="362">
      <c r="E362" s="279"/>
      <c r="F362" s="279"/>
      <c r="G362" s="279"/>
      <c r="H362" s="279"/>
      <c r="J362" s="279"/>
      <c r="K362" s="279"/>
    </row>
    <row r="363">
      <c r="E363" s="279"/>
      <c r="F363" s="279"/>
      <c r="G363" s="279"/>
      <c r="H363" s="279"/>
      <c r="J363" s="279"/>
      <c r="K363" s="279"/>
    </row>
    <row r="364">
      <c r="E364" s="279"/>
      <c r="F364" s="279"/>
      <c r="G364" s="279"/>
      <c r="H364" s="279"/>
      <c r="J364" s="279"/>
      <c r="K364" s="279"/>
    </row>
    <row r="365">
      <c r="E365" s="279"/>
      <c r="F365" s="279"/>
      <c r="G365" s="279"/>
      <c r="H365" s="279"/>
      <c r="J365" s="279"/>
      <c r="K365" s="279"/>
    </row>
    <row r="366">
      <c r="E366" s="279"/>
      <c r="F366" s="279"/>
      <c r="G366" s="279"/>
      <c r="H366" s="279"/>
      <c r="J366" s="279"/>
      <c r="K366" s="279"/>
    </row>
    <row r="367">
      <c r="E367" s="279"/>
      <c r="F367" s="279"/>
      <c r="G367" s="279"/>
      <c r="H367" s="279"/>
      <c r="J367" s="279"/>
      <c r="K367" s="279"/>
    </row>
    <row r="368">
      <c r="E368" s="279"/>
      <c r="F368" s="279"/>
      <c r="G368" s="279"/>
      <c r="H368" s="279"/>
      <c r="J368" s="279"/>
      <c r="K368" s="279"/>
    </row>
    <row r="369">
      <c r="E369" s="279"/>
      <c r="F369" s="279"/>
      <c r="G369" s="279"/>
      <c r="H369" s="279"/>
      <c r="J369" s="279"/>
      <c r="K369" s="279"/>
    </row>
    <row r="370">
      <c r="E370" s="279"/>
      <c r="F370" s="279"/>
      <c r="G370" s="279"/>
      <c r="H370" s="279"/>
      <c r="J370" s="279"/>
      <c r="K370" s="279"/>
    </row>
    <row r="371">
      <c r="E371" s="279"/>
      <c r="F371" s="279"/>
      <c r="G371" s="279"/>
      <c r="H371" s="279"/>
      <c r="J371" s="279"/>
      <c r="K371" s="279"/>
    </row>
    <row r="372">
      <c r="E372" s="279"/>
      <c r="F372" s="279"/>
      <c r="G372" s="279"/>
      <c r="H372" s="279"/>
      <c r="J372" s="279"/>
      <c r="K372" s="279"/>
    </row>
    <row r="373">
      <c r="E373" s="279"/>
      <c r="F373" s="279"/>
      <c r="G373" s="279"/>
      <c r="H373" s="279"/>
      <c r="J373" s="279"/>
      <c r="K373" s="279"/>
    </row>
    <row r="374">
      <c r="E374" s="279"/>
      <c r="F374" s="279"/>
      <c r="G374" s="279"/>
      <c r="H374" s="279"/>
      <c r="J374" s="279"/>
      <c r="K374" s="279"/>
    </row>
    <row r="375">
      <c r="E375" s="279"/>
      <c r="F375" s="279"/>
      <c r="G375" s="279"/>
      <c r="H375" s="279"/>
      <c r="J375" s="279"/>
      <c r="K375" s="279"/>
    </row>
    <row r="376">
      <c r="E376" s="279"/>
      <c r="F376" s="279"/>
      <c r="G376" s="279"/>
      <c r="H376" s="279"/>
      <c r="J376" s="279"/>
      <c r="K376" s="279"/>
    </row>
    <row r="377">
      <c r="E377" s="279"/>
      <c r="F377" s="279"/>
      <c r="G377" s="279"/>
      <c r="H377" s="279"/>
      <c r="J377" s="279"/>
      <c r="K377" s="279"/>
    </row>
    <row r="378">
      <c r="E378" s="279"/>
      <c r="F378" s="279"/>
      <c r="G378" s="279"/>
      <c r="H378" s="279"/>
      <c r="J378" s="279"/>
      <c r="K378" s="279"/>
    </row>
    <row r="379">
      <c r="E379" s="279"/>
      <c r="F379" s="279"/>
      <c r="G379" s="279"/>
      <c r="H379" s="279"/>
      <c r="J379" s="279"/>
      <c r="K379" s="279"/>
    </row>
    <row r="380">
      <c r="E380" s="279"/>
      <c r="F380" s="279"/>
      <c r="G380" s="279"/>
      <c r="H380" s="279"/>
      <c r="J380" s="279"/>
      <c r="K380" s="279"/>
    </row>
    <row r="381">
      <c r="E381" s="279"/>
      <c r="F381" s="279"/>
      <c r="G381" s="279"/>
      <c r="H381" s="279"/>
      <c r="J381" s="279"/>
      <c r="K381" s="279"/>
    </row>
    <row r="382">
      <c r="E382" s="279"/>
      <c r="F382" s="279"/>
      <c r="G382" s="279"/>
      <c r="H382" s="279"/>
      <c r="J382" s="279"/>
      <c r="K382" s="279"/>
    </row>
    <row r="383">
      <c r="E383" s="279"/>
      <c r="F383" s="279"/>
      <c r="G383" s="279"/>
      <c r="H383" s="279"/>
      <c r="J383" s="279"/>
      <c r="K383" s="279"/>
    </row>
    <row r="384">
      <c r="E384" s="279"/>
      <c r="F384" s="279"/>
      <c r="G384" s="279"/>
      <c r="H384" s="279"/>
      <c r="J384" s="279"/>
      <c r="K384" s="279"/>
    </row>
    <row r="385">
      <c r="E385" s="279"/>
      <c r="F385" s="279"/>
      <c r="G385" s="279"/>
      <c r="H385" s="279"/>
      <c r="J385" s="279"/>
      <c r="K385" s="279"/>
    </row>
    <row r="386">
      <c r="E386" s="279"/>
      <c r="F386" s="279"/>
      <c r="G386" s="279"/>
      <c r="H386" s="279"/>
      <c r="J386" s="279"/>
      <c r="K386" s="279"/>
    </row>
    <row r="387">
      <c r="E387" s="279"/>
      <c r="F387" s="279"/>
      <c r="G387" s="279"/>
      <c r="H387" s="279"/>
      <c r="J387" s="279"/>
      <c r="K387" s="279"/>
    </row>
    <row r="388">
      <c r="E388" s="279"/>
      <c r="F388" s="279"/>
      <c r="G388" s="279"/>
      <c r="H388" s="279"/>
      <c r="J388" s="279"/>
      <c r="K388" s="279"/>
    </row>
    <row r="389">
      <c r="E389" s="279"/>
      <c r="F389" s="279"/>
      <c r="G389" s="279"/>
      <c r="H389" s="279"/>
      <c r="J389" s="279"/>
      <c r="K389" s="279"/>
    </row>
    <row r="390">
      <c r="E390" s="279"/>
      <c r="F390" s="279"/>
      <c r="G390" s="279"/>
      <c r="H390" s="279"/>
      <c r="J390" s="279"/>
      <c r="K390" s="279"/>
    </row>
    <row r="391">
      <c r="E391" s="279"/>
      <c r="F391" s="279"/>
      <c r="G391" s="279"/>
      <c r="H391" s="279"/>
      <c r="J391" s="279"/>
      <c r="K391" s="279"/>
    </row>
    <row r="392">
      <c r="E392" s="279"/>
      <c r="F392" s="279"/>
      <c r="G392" s="279"/>
      <c r="H392" s="279"/>
      <c r="J392" s="279"/>
      <c r="K392" s="279"/>
    </row>
    <row r="393">
      <c r="E393" s="279"/>
      <c r="F393" s="279"/>
      <c r="G393" s="279"/>
      <c r="H393" s="279"/>
      <c r="J393" s="279"/>
      <c r="K393" s="279"/>
    </row>
    <row r="394">
      <c r="E394" s="279"/>
      <c r="F394" s="279"/>
      <c r="G394" s="279"/>
      <c r="H394" s="279"/>
      <c r="J394" s="279"/>
      <c r="K394" s="279"/>
    </row>
    <row r="395">
      <c r="E395" s="279"/>
      <c r="F395" s="279"/>
      <c r="G395" s="279"/>
      <c r="H395" s="279"/>
      <c r="J395" s="279"/>
      <c r="K395" s="279"/>
    </row>
    <row r="396">
      <c r="E396" s="279"/>
      <c r="F396" s="279"/>
      <c r="G396" s="279"/>
      <c r="H396" s="279"/>
      <c r="J396" s="279"/>
      <c r="K396" s="279"/>
    </row>
    <row r="397">
      <c r="E397" s="279"/>
      <c r="F397" s="279"/>
      <c r="G397" s="279"/>
      <c r="H397" s="279"/>
      <c r="J397" s="279"/>
      <c r="K397" s="279"/>
    </row>
    <row r="398">
      <c r="E398" s="279"/>
      <c r="F398" s="279"/>
      <c r="G398" s="279"/>
      <c r="H398" s="279"/>
      <c r="J398" s="279"/>
      <c r="K398" s="279"/>
    </row>
    <row r="399">
      <c r="E399" s="279"/>
      <c r="F399" s="279"/>
      <c r="G399" s="279"/>
      <c r="H399" s="279"/>
      <c r="J399" s="279"/>
      <c r="K399" s="279"/>
    </row>
    <row r="400">
      <c r="E400" s="279"/>
      <c r="F400" s="279"/>
      <c r="G400" s="279"/>
      <c r="H400" s="279"/>
      <c r="J400" s="279"/>
      <c r="K400" s="279"/>
    </row>
    <row r="401">
      <c r="E401" s="279"/>
      <c r="F401" s="279"/>
      <c r="G401" s="279"/>
      <c r="H401" s="279"/>
      <c r="J401" s="279"/>
      <c r="K401" s="279"/>
    </row>
    <row r="402">
      <c r="E402" s="279"/>
      <c r="F402" s="279"/>
      <c r="G402" s="279"/>
      <c r="H402" s="279"/>
      <c r="J402" s="279"/>
      <c r="K402" s="279"/>
    </row>
    <row r="403">
      <c r="E403" s="279"/>
      <c r="F403" s="279"/>
      <c r="G403" s="279"/>
      <c r="H403" s="279"/>
      <c r="J403" s="279"/>
      <c r="K403" s="279"/>
    </row>
    <row r="404">
      <c r="E404" s="279"/>
      <c r="F404" s="279"/>
      <c r="G404" s="279"/>
      <c r="H404" s="279"/>
      <c r="J404" s="279"/>
      <c r="K404" s="279"/>
    </row>
    <row r="405">
      <c r="E405" s="279"/>
      <c r="F405" s="279"/>
      <c r="G405" s="279"/>
      <c r="H405" s="279"/>
      <c r="J405" s="279"/>
      <c r="K405" s="279"/>
    </row>
    <row r="406">
      <c r="E406" s="279"/>
      <c r="F406" s="279"/>
      <c r="G406" s="279"/>
      <c r="H406" s="279"/>
      <c r="J406" s="279"/>
      <c r="K406" s="279"/>
    </row>
    <row r="407">
      <c r="E407" s="279"/>
      <c r="F407" s="279"/>
      <c r="G407" s="279"/>
      <c r="H407" s="279"/>
      <c r="J407" s="279"/>
      <c r="K407" s="279"/>
    </row>
    <row r="408">
      <c r="E408" s="279"/>
      <c r="F408" s="279"/>
      <c r="G408" s="279"/>
      <c r="H408" s="279"/>
      <c r="J408" s="279"/>
      <c r="K408" s="279"/>
    </row>
    <row r="409">
      <c r="E409" s="279"/>
      <c r="F409" s="279"/>
      <c r="G409" s="279"/>
      <c r="H409" s="279"/>
      <c r="J409" s="279"/>
      <c r="K409" s="279"/>
    </row>
    <row r="410">
      <c r="E410" s="279"/>
      <c r="F410" s="279"/>
      <c r="G410" s="279"/>
      <c r="H410" s="279"/>
      <c r="J410" s="279"/>
      <c r="K410" s="279"/>
    </row>
    <row r="411">
      <c r="E411" s="279"/>
      <c r="F411" s="279"/>
      <c r="G411" s="279"/>
      <c r="H411" s="279"/>
      <c r="J411" s="279"/>
      <c r="K411" s="279"/>
    </row>
    <row r="412">
      <c r="E412" s="279"/>
      <c r="F412" s="279"/>
      <c r="G412" s="279"/>
      <c r="H412" s="279"/>
      <c r="J412" s="279"/>
      <c r="K412" s="279"/>
    </row>
    <row r="413">
      <c r="E413" s="279"/>
      <c r="F413" s="279"/>
      <c r="G413" s="279"/>
      <c r="H413" s="279"/>
      <c r="J413" s="279"/>
      <c r="K413" s="279"/>
    </row>
    <row r="414">
      <c r="E414" s="279"/>
      <c r="F414" s="279"/>
      <c r="G414" s="279"/>
      <c r="H414" s="279"/>
      <c r="J414" s="279"/>
      <c r="K414" s="279"/>
    </row>
    <row r="415">
      <c r="E415" s="279"/>
      <c r="F415" s="279"/>
      <c r="G415" s="279"/>
      <c r="H415" s="279"/>
      <c r="J415" s="279"/>
      <c r="K415" s="279"/>
    </row>
    <row r="416">
      <c r="E416" s="279"/>
      <c r="F416" s="279"/>
      <c r="G416" s="279"/>
      <c r="H416" s="279"/>
      <c r="J416" s="279"/>
      <c r="K416" s="279"/>
    </row>
    <row r="417">
      <c r="E417" s="279"/>
      <c r="F417" s="279"/>
      <c r="G417" s="279"/>
      <c r="H417" s="279"/>
      <c r="J417" s="279"/>
      <c r="K417" s="279"/>
    </row>
    <row r="418">
      <c r="E418" s="279"/>
      <c r="F418" s="279"/>
      <c r="G418" s="279"/>
      <c r="H418" s="279"/>
      <c r="J418" s="279"/>
      <c r="K418" s="279"/>
    </row>
    <row r="419">
      <c r="E419" s="279"/>
      <c r="F419" s="279"/>
      <c r="G419" s="279"/>
      <c r="H419" s="279"/>
      <c r="J419" s="279"/>
      <c r="K419" s="279"/>
    </row>
    <row r="420">
      <c r="E420" s="279"/>
      <c r="F420" s="279"/>
      <c r="G420" s="279"/>
      <c r="H420" s="279"/>
      <c r="J420" s="279"/>
      <c r="K420" s="279"/>
    </row>
    <row r="421">
      <c r="E421" s="279"/>
      <c r="F421" s="279"/>
      <c r="G421" s="279"/>
      <c r="H421" s="279"/>
      <c r="J421" s="279"/>
      <c r="K421" s="279"/>
    </row>
    <row r="422">
      <c r="E422" s="279"/>
      <c r="F422" s="279"/>
      <c r="G422" s="279"/>
      <c r="H422" s="279"/>
      <c r="J422" s="279"/>
      <c r="K422" s="279"/>
    </row>
    <row r="423">
      <c r="E423" s="279"/>
      <c r="F423" s="279"/>
      <c r="G423" s="279"/>
      <c r="H423" s="279"/>
      <c r="J423" s="279"/>
      <c r="K423" s="279"/>
    </row>
    <row r="424">
      <c r="E424" s="279"/>
      <c r="F424" s="279"/>
      <c r="G424" s="279"/>
      <c r="H424" s="279"/>
      <c r="J424" s="279"/>
      <c r="K424" s="279"/>
    </row>
    <row r="425">
      <c r="E425" s="279"/>
      <c r="F425" s="279"/>
      <c r="G425" s="279"/>
      <c r="H425" s="279"/>
      <c r="J425" s="279"/>
      <c r="K425" s="279"/>
    </row>
    <row r="426">
      <c r="E426" s="279"/>
      <c r="F426" s="279"/>
      <c r="G426" s="279"/>
      <c r="H426" s="279"/>
      <c r="J426" s="279"/>
      <c r="K426" s="279"/>
    </row>
    <row r="427">
      <c r="E427" s="279"/>
      <c r="F427" s="279"/>
      <c r="G427" s="279"/>
      <c r="H427" s="279"/>
      <c r="J427" s="279"/>
      <c r="K427" s="279"/>
    </row>
    <row r="428">
      <c r="E428" s="279"/>
      <c r="F428" s="279"/>
      <c r="G428" s="279"/>
      <c r="H428" s="279"/>
      <c r="J428" s="279"/>
      <c r="K428" s="279"/>
    </row>
    <row r="429">
      <c r="E429" s="279"/>
      <c r="F429" s="279"/>
      <c r="G429" s="279"/>
      <c r="H429" s="279"/>
      <c r="J429" s="279"/>
      <c r="K429" s="279"/>
    </row>
    <row r="430">
      <c r="E430" s="279"/>
      <c r="F430" s="279"/>
      <c r="G430" s="279"/>
      <c r="H430" s="279"/>
      <c r="J430" s="279"/>
      <c r="K430" s="279"/>
    </row>
    <row r="431">
      <c r="E431" s="279"/>
      <c r="F431" s="279"/>
      <c r="G431" s="279"/>
      <c r="H431" s="279"/>
      <c r="J431" s="279"/>
      <c r="K431" s="279"/>
    </row>
    <row r="432">
      <c r="E432" s="279"/>
      <c r="F432" s="279"/>
      <c r="G432" s="279"/>
      <c r="H432" s="279"/>
      <c r="J432" s="279"/>
      <c r="K432" s="279"/>
    </row>
    <row r="433">
      <c r="E433" s="279"/>
      <c r="F433" s="279"/>
      <c r="G433" s="279"/>
      <c r="H433" s="279"/>
      <c r="J433" s="279"/>
      <c r="K433" s="279"/>
    </row>
    <row r="434">
      <c r="E434" s="279"/>
      <c r="F434" s="279"/>
      <c r="G434" s="279"/>
      <c r="H434" s="279"/>
      <c r="J434" s="279"/>
      <c r="K434" s="279"/>
    </row>
    <row r="435">
      <c r="E435" s="279"/>
      <c r="F435" s="279"/>
      <c r="G435" s="279"/>
      <c r="H435" s="279"/>
      <c r="J435" s="279"/>
      <c r="K435" s="279"/>
    </row>
    <row r="436">
      <c r="E436" s="279"/>
      <c r="F436" s="279"/>
      <c r="G436" s="279"/>
      <c r="H436" s="279"/>
      <c r="J436" s="279"/>
      <c r="K436" s="279"/>
    </row>
    <row r="437">
      <c r="E437" s="279"/>
      <c r="F437" s="279"/>
      <c r="G437" s="279"/>
      <c r="H437" s="279"/>
      <c r="J437" s="279"/>
      <c r="K437" s="279"/>
    </row>
    <row r="438">
      <c r="E438" s="279"/>
      <c r="F438" s="279"/>
      <c r="G438" s="279"/>
      <c r="H438" s="279"/>
      <c r="J438" s="279"/>
      <c r="K438" s="279"/>
    </row>
    <row r="439">
      <c r="E439" s="279"/>
      <c r="F439" s="279"/>
      <c r="G439" s="279"/>
      <c r="H439" s="279"/>
      <c r="J439" s="279"/>
      <c r="K439" s="279"/>
    </row>
    <row r="440">
      <c r="E440" s="279"/>
      <c r="F440" s="279"/>
      <c r="G440" s="279"/>
      <c r="H440" s="279"/>
      <c r="J440" s="279"/>
      <c r="K440" s="279"/>
    </row>
    <row r="441">
      <c r="E441" s="279"/>
      <c r="F441" s="279"/>
      <c r="G441" s="279"/>
      <c r="H441" s="279"/>
      <c r="J441" s="279"/>
      <c r="K441" s="279"/>
    </row>
    <row r="442">
      <c r="E442" s="279"/>
      <c r="F442" s="279"/>
      <c r="G442" s="279"/>
      <c r="H442" s="279"/>
      <c r="J442" s="279"/>
      <c r="K442" s="279"/>
    </row>
    <row r="443">
      <c r="E443" s="279"/>
      <c r="F443" s="279"/>
      <c r="G443" s="279"/>
      <c r="H443" s="279"/>
      <c r="J443" s="279"/>
      <c r="K443" s="279"/>
    </row>
    <row r="444">
      <c r="E444" s="279"/>
      <c r="F444" s="279"/>
      <c r="G444" s="279"/>
      <c r="H444" s="279"/>
      <c r="J444" s="279"/>
      <c r="K444" s="279"/>
    </row>
    <row r="445">
      <c r="E445" s="279"/>
      <c r="F445" s="279"/>
      <c r="G445" s="279"/>
      <c r="H445" s="279"/>
      <c r="J445" s="279"/>
      <c r="K445" s="279"/>
    </row>
    <row r="446">
      <c r="E446" s="279"/>
      <c r="F446" s="279"/>
      <c r="G446" s="279"/>
      <c r="H446" s="279"/>
      <c r="J446" s="279"/>
      <c r="K446" s="279"/>
    </row>
    <row r="447">
      <c r="E447" s="279"/>
      <c r="F447" s="279"/>
      <c r="G447" s="279"/>
      <c r="H447" s="279"/>
      <c r="J447" s="279"/>
      <c r="K447" s="279"/>
    </row>
    <row r="448">
      <c r="E448" s="279"/>
      <c r="F448" s="279"/>
      <c r="G448" s="279"/>
      <c r="H448" s="279"/>
      <c r="J448" s="279"/>
      <c r="K448" s="279"/>
    </row>
    <row r="449">
      <c r="E449" s="279"/>
      <c r="F449" s="279"/>
      <c r="G449" s="279"/>
      <c r="H449" s="279"/>
      <c r="J449" s="279"/>
      <c r="K449" s="279"/>
    </row>
    <row r="450">
      <c r="E450" s="279"/>
      <c r="F450" s="279"/>
      <c r="G450" s="279"/>
      <c r="H450" s="279"/>
      <c r="J450" s="279"/>
      <c r="K450" s="279"/>
    </row>
    <row r="451">
      <c r="E451" s="279"/>
      <c r="F451" s="279"/>
      <c r="G451" s="279"/>
      <c r="H451" s="279"/>
      <c r="J451" s="279"/>
      <c r="K451" s="279"/>
    </row>
    <row r="452">
      <c r="E452" s="279"/>
      <c r="F452" s="279"/>
      <c r="G452" s="279"/>
      <c r="H452" s="279"/>
      <c r="J452" s="279"/>
      <c r="K452" s="279"/>
    </row>
    <row r="453">
      <c r="E453" s="279"/>
      <c r="F453" s="279"/>
      <c r="G453" s="279"/>
      <c r="H453" s="279"/>
      <c r="J453" s="279"/>
      <c r="K453" s="279"/>
    </row>
    <row r="454">
      <c r="E454" s="279"/>
      <c r="F454" s="279"/>
      <c r="G454" s="279"/>
      <c r="H454" s="279"/>
      <c r="J454" s="279"/>
      <c r="K454" s="279"/>
    </row>
    <row r="455">
      <c r="E455" s="279"/>
      <c r="F455" s="279"/>
      <c r="G455" s="279"/>
      <c r="H455" s="279"/>
      <c r="J455" s="279"/>
      <c r="K455" s="279"/>
    </row>
    <row r="456">
      <c r="E456" s="279"/>
      <c r="F456" s="279"/>
      <c r="G456" s="279"/>
      <c r="H456" s="279"/>
      <c r="J456" s="279"/>
      <c r="K456" s="279"/>
    </row>
    <row r="457">
      <c r="E457" s="279"/>
      <c r="F457" s="279"/>
      <c r="G457" s="279"/>
      <c r="H457" s="279"/>
      <c r="J457" s="279"/>
      <c r="K457" s="279"/>
    </row>
    <row r="458">
      <c r="E458" s="279"/>
      <c r="F458" s="279"/>
      <c r="G458" s="279"/>
      <c r="H458" s="279"/>
      <c r="J458" s="279"/>
      <c r="K458" s="279"/>
    </row>
    <row r="459">
      <c r="E459" s="279"/>
      <c r="F459" s="279"/>
      <c r="G459" s="279"/>
      <c r="H459" s="279"/>
      <c r="J459" s="279"/>
      <c r="K459" s="279"/>
    </row>
    <row r="460">
      <c r="E460" s="279"/>
      <c r="F460" s="279"/>
      <c r="G460" s="279"/>
      <c r="H460" s="279"/>
      <c r="J460" s="279"/>
      <c r="K460" s="279"/>
    </row>
    <row r="461">
      <c r="E461" s="279"/>
      <c r="F461" s="279"/>
      <c r="G461" s="279"/>
      <c r="H461" s="279"/>
      <c r="J461" s="279"/>
      <c r="K461" s="279"/>
    </row>
    <row r="462">
      <c r="E462" s="279"/>
      <c r="F462" s="279"/>
      <c r="G462" s="279"/>
      <c r="H462" s="279"/>
      <c r="J462" s="279"/>
      <c r="K462" s="279"/>
    </row>
    <row r="463">
      <c r="E463" s="279"/>
      <c r="F463" s="279"/>
      <c r="G463" s="279"/>
      <c r="H463" s="279"/>
      <c r="J463" s="279"/>
      <c r="K463" s="279"/>
    </row>
    <row r="464">
      <c r="E464" s="279"/>
      <c r="F464" s="279"/>
      <c r="G464" s="279"/>
      <c r="H464" s="279"/>
      <c r="J464" s="279"/>
      <c r="K464" s="279"/>
    </row>
    <row r="465">
      <c r="E465" s="279"/>
      <c r="F465" s="279"/>
      <c r="G465" s="279"/>
      <c r="H465" s="279"/>
      <c r="J465" s="279"/>
      <c r="K465" s="279"/>
    </row>
    <row r="466">
      <c r="E466" s="279"/>
      <c r="F466" s="279"/>
      <c r="G466" s="279"/>
      <c r="H466" s="279"/>
      <c r="J466" s="279"/>
      <c r="K466" s="279"/>
    </row>
    <row r="467">
      <c r="E467" s="279"/>
      <c r="F467" s="279"/>
      <c r="G467" s="279"/>
      <c r="H467" s="279"/>
      <c r="J467" s="279"/>
      <c r="K467" s="279"/>
    </row>
    <row r="468">
      <c r="E468" s="279"/>
      <c r="F468" s="279"/>
      <c r="G468" s="279"/>
      <c r="H468" s="279"/>
      <c r="J468" s="279"/>
      <c r="K468" s="279"/>
    </row>
    <row r="469">
      <c r="E469" s="279"/>
      <c r="F469" s="279"/>
      <c r="G469" s="279"/>
      <c r="H469" s="279"/>
      <c r="J469" s="279"/>
      <c r="K469" s="279"/>
    </row>
    <row r="470">
      <c r="E470" s="279"/>
      <c r="F470" s="279"/>
      <c r="G470" s="279"/>
      <c r="H470" s="279"/>
      <c r="J470" s="279"/>
      <c r="K470" s="279"/>
    </row>
    <row r="471">
      <c r="E471" s="279"/>
      <c r="F471" s="279"/>
      <c r="G471" s="279"/>
      <c r="H471" s="279"/>
      <c r="J471" s="279"/>
      <c r="K471" s="279"/>
    </row>
    <row r="472">
      <c r="E472" s="279"/>
      <c r="F472" s="279"/>
      <c r="G472" s="279"/>
      <c r="H472" s="279"/>
      <c r="J472" s="279"/>
      <c r="K472" s="279"/>
    </row>
    <row r="473">
      <c r="E473" s="279"/>
      <c r="F473" s="279"/>
      <c r="G473" s="279"/>
      <c r="H473" s="279"/>
      <c r="J473" s="279"/>
      <c r="K473" s="279"/>
    </row>
    <row r="474">
      <c r="E474" s="279"/>
      <c r="F474" s="279"/>
      <c r="G474" s="279"/>
      <c r="H474" s="279"/>
      <c r="J474" s="279"/>
      <c r="K474" s="279"/>
    </row>
    <row r="475">
      <c r="E475" s="279"/>
      <c r="F475" s="279"/>
      <c r="G475" s="279"/>
      <c r="H475" s="279"/>
      <c r="J475" s="279"/>
      <c r="K475" s="279"/>
    </row>
    <row r="476">
      <c r="E476" s="279"/>
      <c r="F476" s="279"/>
      <c r="G476" s="279"/>
      <c r="H476" s="279"/>
      <c r="J476" s="279"/>
      <c r="K476" s="279"/>
    </row>
    <row r="477">
      <c r="E477" s="279"/>
      <c r="F477" s="279"/>
      <c r="G477" s="279"/>
      <c r="H477" s="279"/>
      <c r="J477" s="279"/>
      <c r="K477" s="279"/>
    </row>
    <row r="478">
      <c r="E478" s="279"/>
      <c r="F478" s="279"/>
      <c r="G478" s="279"/>
      <c r="H478" s="279"/>
      <c r="J478" s="279"/>
      <c r="K478" s="279"/>
    </row>
    <row r="479">
      <c r="E479" s="279"/>
      <c r="F479" s="279"/>
      <c r="G479" s="279"/>
      <c r="H479" s="279"/>
      <c r="J479" s="279"/>
      <c r="K479" s="279"/>
    </row>
    <row r="480">
      <c r="E480" s="279"/>
      <c r="F480" s="279"/>
      <c r="G480" s="279"/>
      <c r="H480" s="279"/>
      <c r="J480" s="279"/>
      <c r="K480" s="279"/>
    </row>
    <row r="481">
      <c r="E481" s="279"/>
      <c r="F481" s="279"/>
      <c r="G481" s="279"/>
      <c r="H481" s="279"/>
      <c r="J481" s="279"/>
      <c r="K481" s="279"/>
    </row>
    <row r="482">
      <c r="E482" s="279"/>
      <c r="F482" s="279"/>
      <c r="G482" s="279"/>
      <c r="H482" s="279"/>
      <c r="J482" s="279"/>
      <c r="K482" s="279"/>
    </row>
    <row r="483">
      <c r="E483" s="279"/>
      <c r="F483" s="279"/>
      <c r="G483" s="279"/>
      <c r="H483" s="279"/>
      <c r="J483" s="279"/>
      <c r="K483" s="279"/>
    </row>
    <row r="484">
      <c r="E484" s="279"/>
      <c r="F484" s="279"/>
      <c r="G484" s="279"/>
      <c r="H484" s="279"/>
      <c r="J484" s="279"/>
      <c r="K484" s="279"/>
    </row>
    <row r="485">
      <c r="E485" s="279"/>
      <c r="F485" s="279"/>
      <c r="G485" s="279"/>
      <c r="H485" s="279"/>
      <c r="J485" s="279"/>
      <c r="K485" s="279"/>
    </row>
    <row r="486">
      <c r="E486" s="279"/>
      <c r="F486" s="279"/>
      <c r="G486" s="279"/>
      <c r="H486" s="279"/>
      <c r="J486" s="279"/>
      <c r="K486" s="279"/>
    </row>
    <row r="487">
      <c r="E487" s="279"/>
      <c r="F487" s="279"/>
      <c r="G487" s="279"/>
      <c r="H487" s="279"/>
      <c r="J487" s="279"/>
      <c r="K487" s="279"/>
    </row>
    <row r="488">
      <c r="E488" s="279"/>
      <c r="F488" s="279"/>
      <c r="G488" s="279"/>
      <c r="H488" s="279"/>
      <c r="J488" s="279"/>
      <c r="K488" s="279"/>
    </row>
    <row r="489">
      <c r="E489" s="279"/>
      <c r="F489" s="279"/>
      <c r="G489" s="279"/>
      <c r="H489" s="279"/>
      <c r="J489" s="279"/>
      <c r="K489" s="279"/>
    </row>
    <row r="490">
      <c r="E490" s="279"/>
      <c r="F490" s="279"/>
      <c r="G490" s="279"/>
      <c r="H490" s="279"/>
      <c r="J490" s="279"/>
      <c r="K490" s="279"/>
    </row>
    <row r="491">
      <c r="E491" s="279"/>
      <c r="F491" s="279"/>
      <c r="G491" s="279"/>
      <c r="H491" s="279"/>
      <c r="J491" s="279"/>
      <c r="K491" s="279"/>
    </row>
    <row r="492">
      <c r="E492" s="279"/>
      <c r="F492" s="279"/>
      <c r="G492" s="279"/>
      <c r="H492" s="279"/>
      <c r="J492" s="279"/>
      <c r="K492" s="279"/>
    </row>
    <row r="493">
      <c r="E493" s="279"/>
      <c r="F493" s="279"/>
      <c r="G493" s="279"/>
      <c r="H493" s="279"/>
      <c r="J493" s="279"/>
      <c r="K493" s="279"/>
    </row>
    <row r="494">
      <c r="E494" s="279"/>
      <c r="F494" s="279"/>
      <c r="G494" s="279"/>
      <c r="H494" s="279"/>
      <c r="J494" s="279"/>
      <c r="K494" s="279"/>
    </row>
    <row r="495">
      <c r="E495" s="279"/>
      <c r="F495" s="279"/>
      <c r="G495" s="279"/>
      <c r="H495" s="279"/>
      <c r="J495" s="279"/>
      <c r="K495" s="279"/>
    </row>
    <row r="496">
      <c r="E496" s="279"/>
      <c r="F496" s="279"/>
      <c r="G496" s="279"/>
      <c r="H496" s="279"/>
      <c r="J496" s="279"/>
      <c r="K496" s="279"/>
    </row>
    <row r="497">
      <c r="E497" s="279"/>
      <c r="F497" s="279"/>
      <c r="G497" s="279"/>
      <c r="H497" s="279"/>
      <c r="J497" s="279"/>
      <c r="K497" s="279"/>
    </row>
    <row r="498">
      <c r="E498" s="279"/>
      <c r="F498" s="279"/>
      <c r="G498" s="279"/>
      <c r="H498" s="279"/>
      <c r="J498" s="279"/>
      <c r="K498" s="279"/>
    </row>
    <row r="499">
      <c r="E499" s="279"/>
      <c r="F499" s="279"/>
      <c r="G499" s="279"/>
      <c r="H499" s="279"/>
      <c r="J499" s="279"/>
      <c r="K499" s="279"/>
    </row>
    <row r="500">
      <c r="E500" s="279"/>
      <c r="F500" s="279"/>
      <c r="G500" s="279"/>
      <c r="H500" s="279"/>
      <c r="J500" s="279"/>
      <c r="K500" s="279"/>
    </row>
    <row r="501">
      <c r="E501" s="279"/>
      <c r="F501" s="279"/>
      <c r="G501" s="279"/>
      <c r="H501" s="279"/>
      <c r="J501" s="279"/>
      <c r="K501" s="279"/>
    </row>
    <row r="502">
      <c r="E502" s="279"/>
      <c r="F502" s="279"/>
      <c r="G502" s="279"/>
      <c r="H502" s="279"/>
      <c r="J502" s="279"/>
      <c r="K502" s="279"/>
    </row>
    <row r="503">
      <c r="E503" s="279"/>
      <c r="F503" s="279"/>
      <c r="G503" s="279"/>
      <c r="H503" s="279"/>
      <c r="J503" s="279"/>
      <c r="K503" s="279"/>
    </row>
    <row r="504">
      <c r="E504" s="279"/>
      <c r="F504" s="279"/>
      <c r="G504" s="279"/>
      <c r="H504" s="279"/>
      <c r="J504" s="279"/>
      <c r="K504" s="279"/>
    </row>
    <row r="505">
      <c r="E505" s="279"/>
      <c r="F505" s="279"/>
      <c r="G505" s="279"/>
      <c r="H505" s="279"/>
      <c r="J505" s="279"/>
      <c r="K505" s="279"/>
    </row>
    <row r="506">
      <c r="E506" s="279"/>
      <c r="F506" s="279"/>
      <c r="G506" s="279"/>
      <c r="H506" s="279"/>
      <c r="J506" s="279"/>
      <c r="K506" s="279"/>
    </row>
    <row r="507">
      <c r="E507" s="279"/>
      <c r="F507" s="279"/>
      <c r="G507" s="279"/>
      <c r="H507" s="279"/>
      <c r="J507" s="279"/>
      <c r="K507" s="279"/>
    </row>
    <row r="508">
      <c r="E508" s="279"/>
      <c r="F508" s="279"/>
      <c r="G508" s="279"/>
      <c r="H508" s="279"/>
      <c r="J508" s="279"/>
      <c r="K508" s="279"/>
    </row>
    <row r="509">
      <c r="E509" s="279"/>
      <c r="F509" s="279"/>
      <c r="G509" s="279"/>
      <c r="H509" s="279"/>
      <c r="J509" s="279"/>
      <c r="K509" s="279"/>
    </row>
    <row r="510">
      <c r="E510" s="279"/>
      <c r="F510" s="279"/>
      <c r="G510" s="279"/>
      <c r="H510" s="279"/>
      <c r="J510" s="279"/>
      <c r="K510" s="279"/>
    </row>
    <row r="511">
      <c r="E511" s="279"/>
      <c r="F511" s="279"/>
      <c r="G511" s="279"/>
      <c r="H511" s="279"/>
      <c r="J511" s="279"/>
      <c r="K511" s="279"/>
    </row>
    <row r="512">
      <c r="E512" s="279"/>
      <c r="F512" s="279"/>
      <c r="G512" s="279"/>
      <c r="H512" s="279"/>
      <c r="J512" s="279"/>
      <c r="K512" s="279"/>
    </row>
    <row r="513">
      <c r="E513" s="279"/>
      <c r="F513" s="279"/>
      <c r="G513" s="279"/>
      <c r="H513" s="279"/>
      <c r="J513" s="279"/>
      <c r="K513" s="279"/>
    </row>
    <row r="514">
      <c r="E514" s="279"/>
      <c r="F514" s="279"/>
      <c r="G514" s="279"/>
      <c r="H514" s="279"/>
      <c r="J514" s="279"/>
      <c r="K514" s="279"/>
    </row>
    <row r="515">
      <c r="E515" s="279"/>
      <c r="F515" s="279"/>
      <c r="G515" s="279"/>
      <c r="H515" s="279"/>
      <c r="J515" s="279"/>
      <c r="K515" s="279"/>
    </row>
    <row r="516">
      <c r="E516" s="279"/>
      <c r="F516" s="279"/>
      <c r="G516" s="279"/>
      <c r="H516" s="279"/>
      <c r="J516" s="279"/>
      <c r="K516" s="279"/>
    </row>
    <row r="517">
      <c r="E517" s="279"/>
      <c r="F517" s="279"/>
      <c r="G517" s="279"/>
      <c r="H517" s="279"/>
      <c r="J517" s="279"/>
      <c r="K517" s="279"/>
    </row>
    <row r="518">
      <c r="E518" s="279"/>
      <c r="F518" s="279"/>
      <c r="G518" s="279"/>
      <c r="H518" s="279"/>
      <c r="J518" s="279"/>
      <c r="K518" s="279"/>
    </row>
    <row r="519">
      <c r="E519" s="279"/>
      <c r="F519" s="279"/>
      <c r="G519" s="279"/>
      <c r="H519" s="279"/>
      <c r="J519" s="279"/>
      <c r="K519" s="279"/>
    </row>
    <row r="520">
      <c r="E520" s="279"/>
      <c r="F520" s="279"/>
      <c r="G520" s="279"/>
      <c r="H520" s="279"/>
      <c r="J520" s="279"/>
      <c r="K520" s="279"/>
    </row>
    <row r="521">
      <c r="E521" s="279"/>
      <c r="F521" s="279"/>
      <c r="G521" s="279"/>
      <c r="H521" s="279"/>
      <c r="J521" s="279"/>
      <c r="K521" s="279"/>
    </row>
    <row r="522">
      <c r="E522" s="279"/>
      <c r="F522" s="279"/>
      <c r="G522" s="279"/>
      <c r="H522" s="279"/>
      <c r="J522" s="279"/>
      <c r="K522" s="279"/>
    </row>
    <row r="523">
      <c r="E523" s="279"/>
      <c r="F523" s="279"/>
      <c r="G523" s="279"/>
      <c r="H523" s="279"/>
      <c r="J523" s="279"/>
      <c r="K523" s="279"/>
    </row>
    <row r="524">
      <c r="E524" s="279"/>
      <c r="F524" s="279"/>
      <c r="G524" s="279"/>
      <c r="H524" s="279"/>
      <c r="J524" s="279"/>
      <c r="K524" s="279"/>
    </row>
    <row r="525">
      <c r="E525" s="279"/>
      <c r="F525" s="279"/>
      <c r="G525" s="279"/>
      <c r="H525" s="279"/>
      <c r="J525" s="279"/>
      <c r="K525" s="279"/>
    </row>
    <row r="526">
      <c r="E526" s="279"/>
      <c r="F526" s="279"/>
      <c r="G526" s="279"/>
      <c r="H526" s="279"/>
      <c r="J526" s="279"/>
      <c r="K526" s="279"/>
    </row>
    <row r="527">
      <c r="E527" s="279"/>
      <c r="F527" s="279"/>
      <c r="G527" s="279"/>
      <c r="H527" s="279"/>
      <c r="J527" s="279"/>
      <c r="K527" s="279"/>
    </row>
    <row r="528">
      <c r="E528" s="279"/>
      <c r="F528" s="279"/>
      <c r="G528" s="279"/>
      <c r="H528" s="279"/>
      <c r="J528" s="279"/>
      <c r="K528" s="279"/>
    </row>
    <row r="529">
      <c r="E529" s="279"/>
      <c r="F529" s="279"/>
      <c r="G529" s="279"/>
      <c r="H529" s="279"/>
      <c r="J529" s="279"/>
      <c r="K529" s="279"/>
    </row>
    <row r="530">
      <c r="E530" s="279"/>
      <c r="F530" s="279"/>
      <c r="G530" s="279"/>
      <c r="H530" s="279"/>
      <c r="J530" s="279"/>
      <c r="K530" s="279"/>
    </row>
    <row r="531">
      <c r="E531" s="279"/>
      <c r="F531" s="279"/>
      <c r="G531" s="279"/>
      <c r="H531" s="279"/>
      <c r="J531" s="279"/>
      <c r="K531" s="279"/>
    </row>
    <row r="532">
      <c r="E532" s="279"/>
      <c r="F532" s="279"/>
      <c r="G532" s="279"/>
      <c r="H532" s="279"/>
      <c r="J532" s="279"/>
      <c r="K532" s="279"/>
    </row>
    <row r="533">
      <c r="E533" s="279"/>
      <c r="F533" s="279"/>
      <c r="G533" s="279"/>
      <c r="H533" s="279"/>
      <c r="J533" s="279"/>
      <c r="K533" s="279"/>
    </row>
    <row r="534">
      <c r="E534" s="279"/>
      <c r="F534" s="279"/>
      <c r="G534" s="279"/>
      <c r="H534" s="279"/>
      <c r="J534" s="279"/>
      <c r="K534" s="279"/>
    </row>
    <row r="535">
      <c r="E535" s="279"/>
      <c r="F535" s="279"/>
      <c r="G535" s="279"/>
      <c r="H535" s="279"/>
      <c r="J535" s="279"/>
      <c r="K535" s="279"/>
    </row>
    <row r="536">
      <c r="E536" s="279"/>
      <c r="F536" s="279"/>
      <c r="G536" s="279"/>
      <c r="H536" s="279"/>
      <c r="J536" s="279"/>
      <c r="K536" s="279"/>
    </row>
    <row r="537">
      <c r="E537" s="279"/>
      <c r="F537" s="279"/>
      <c r="G537" s="279"/>
      <c r="H537" s="279"/>
      <c r="J537" s="279"/>
      <c r="K537" s="279"/>
    </row>
    <row r="538">
      <c r="E538" s="279"/>
      <c r="F538" s="279"/>
      <c r="G538" s="279"/>
      <c r="H538" s="279"/>
      <c r="J538" s="279"/>
      <c r="K538" s="279"/>
    </row>
    <row r="539">
      <c r="E539" s="279"/>
      <c r="F539" s="279"/>
      <c r="G539" s="279"/>
      <c r="H539" s="279"/>
      <c r="J539" s="279"/>
      <c r="K539" s="279"/>
    </row>
    <row r="540">
      <c r="E540" s="279"/>
      <c r="F540" s="279"/>
      <c r="G540" s="279"/>
      <c r="H540" s="279"/>
      <c r="J540" s="279"/>
      <c r="K540" s="279"/>
    </row>
    <row r="541">
      <c r="E541" s="279"/>
      <c r="F541" s="279"/>
      <c r="G541" s="279"/>
      <c r="H541" s="279"/>
      <c r="J541" s="279"/>
      <c r="K541" s="279"/>
    </row>
    <row r="542">
      <c r="E542" s="279"/>
      <c r="F542" s="279"/>
      <c r="G542" s="279"/>
      <c r="H542" s="279"/>
      <c r="J542" s="279"/>
      <c r="K542" s="279"/>
    </row>
    <row r="543">
      <c r="E543" s="279"/>
      <c r="F543" s="279"/>
      <c r="G543" s="279"/>
      <c r="H543" s="279"/>
      <c r="J543" s="279"/>
      <c r="K543" s="279"/>
    </row>
    <row r="544">
      <c r="E544" s="279"/>
      <c r="F544" s="279"/>
      <c r="G544" s="279"/>
      <c r="H544" s="279"/>
      <c r="J544" s="279"/>
      <c r="K544" s="279"/>
    </row>
    <row r="545">
      <c r="E545" s="279"/>
      <c r="F545" s="279"/>
      <c r="G545" s="279"/>
      <c r="H545" s="279"/>
      <c r="J545" s="279"/>
      <c r="K545" s="279"/>
    </row>
    <row r="546">
      <c r="E546" s="279"/>
      <c r="F546" s="279"/>
      <c r="G546" s="279"/>
      <c r="H546" s="279"/>
      <c r="J546" s="279"/>
      <c r="K546" s="279"/>
    </row>
    <row r="547">
      <c r="E547" s="279"/>
      <c r="F547" s="279"/>
      <c r="G547" s="279"/>
      <c r="H547" s="279"/>
      <c r="J547" s="279"/>
      <c r="K547" s="279"/>
    </row>
    <row r="548">
      <c r="E548" s="279"/>
      <c r="F548" s="279"/>
      <c r="G548" s="279"/>
      <c r="H548" s="279"/>
      <c r="J548" s="279"/>
      <c r="K548" s="279"/>
    </row>
    <row r="549">
      <c r="E549" s="279"/>
      <c r="F549" s="279"/>
      <c r="G549" s="279"/>
      <c r="H549" s="279"/>
      <c r="J549" s="279"/>
      <c r="K549" s="279"/>
    </row>
    <row r="550">
      <c r="E550" s="279"/>
      <c r="F550" s="279"/>
      <c r="G550" s="279"/>
      <c r="H550" s="279"/>
      <c r="J550" s="279"/>
      <c r="K550" s="279"/>
    </row>
    <row r="551">
      <c r="E551" s="279"/>
      <c r="F551" s="279"/>
      <c r="G551" s="279"/>
      <c r="H551" s="279"/>
      <c r="J551" s="279"/>
      <c r="K551" s="279"/>
    </row>
    <row r="552">
      <c r="E552" s="279"/>
      <c r="F552" s="279"/>
      <c r="G552" s="279"/>
      <c r="H552" s="279"/>
      <c r="J552" s="279"/>
      <c r="K552" s="279"/>
    </row>
    <row r="553">
      <c r="E553" s="279"/>
      <c r="F553" s="279"/>
      <c r="G553" s="279"/>
      <c r="H553" s="279"/>
      <c r="J553" s="279"/>
      <c r="K553" s="279"/>
    </row>
    <row r="554">
      <c r="E554" s="279"/>
      <c r="F554" s="279"/>
      <c r="G554" s="279"/>
      <c r="H554" s="279"/>
      <c r="J554" s="279"/>
      <c r="K554" s="279"/>
    </row>
    <row r="555">
      <c r="E555" s="279"/>
      <c r="F555" s="279"/>
      <c r="G555" s="279"/>
      <c r="H555" s="279"/>
      <c r="J555" s="279"/>
      <c r="K555" s="279"/>
    </row>
    <row r="556">
      <c r="E556" s="279"/>
      <c r="F556" s="279"/>
      <c r="G556" s="279"/>
      <c r="H556" s="279"/>
      <c r="J556" s="279"/>
      <c r="K556" s="279"/>
    </row>
    <row r="557">
      <c r="E557" s="279"/>
      <c r="F557" s="279"/>
      <c r="G557" s="279"/>
      <c r="H557" s="279"/>
      <c r="J557" s="279"/>
      <c r="K557" s="279"/>
    </row>
    <row r="558">
      <c r="E558" s="279"/>
      <c r="F558" s="279"/>
      <c r="G558" s="279"/>
      <c r="H558" s="279"/>
      <c r="J558" s="279"/>
      <c r="K558" s="279"/>
    </row>
    <row r="559">
      <c r="E559" s="279"/>
      <c r="F559" s="279"/>
      <c r="G559" s="279"/>
      <c r="H559" s="279"/>
      <c r="J559" s="279"/>
      <c r="K559" s="279"/>
    </row>
    <row r="560">
      <c r="E560" s="279"/>
      <c r="F560" s="279"/>
      <c r="G560" s="279"/>
      <c r="H560" s="279"/>
      <c r="J560" s="279"/>
      <c r="K560" s="279"/>
    </row>
    <row r="561">
      <c r="E561" s="279"/>
      <c r="F561" s="279"/>
      <c r="G561" s="279"/>
      <c r="H561" s="279"/>
      <c r="J561" s="279"/>
      <c r="K561" s="279"/>
    </row>
    <row r="562">
      <c r="E562" s="279"/>
      <c r="F562" s="279"/>
      <c r="G562" s="279"/>
      <c r="H562" s="279"/>
      <c r="J562" s="279"/>
      <c r="K562" s="279"/>
    </row>
    <row r="563">
      <c r="E563" s="279"/>
      <c r="F563" s="279"/>
      <c r="G563" s="279"/>
      <c r="H563" s="279"/>
      <c r="J563" s="279"/>
      <c r="K563" s="279"/>
    </row>
    <row r="564">
      <c r="E564" s="279"/>
      <c r="F564" s="279"/>
      <c r="G564" s="279"/>
      <c r="H564" s="279"/>
      <c r="J564" s="279"/>
      <c r="K564" s="279"/>
    </row>
    <row r="565">
      <c r="E565" s="279"/>
      <c r="F565" s="279"/>
      <c r="G565" s="279"/>
      <c r="H565" s="279"/>
      <c r="J565" s="279"/>
      <c r="K565" s="279"/>
    </row>
    <row r="566">
      <c r="E566" s="279"/>
      <c r="F566" s="279"/>
      <c r="G566" s="279"/>
      <c r="H566" s="279"/>
      <c r="J566" s="279"/>
      <c r="K566" s="279"/>
    </row>
    <row r="567">
      <c r="E567" s="279"/>
      <c r="F567" s="279"/>
      <c r="G567" s="279"/>
      <c r="H567" s="279"/>
      <c r="J567" s="279"/>
      <c r="K567" s="279"/>
    </row>
    <row r="568">
      <c r="E568" s="279"/>
      <c r="F568" s="279"/>
      <c r="G568" s="279"/>
      <c r="H568" s="279"/>
      <c r="J568" s="279"/>
      <c r="K568" s="279"/>
    </row>
    <row r="569">
      <c r="E569" s="279"/>
      <c r="F569" s="279"/>
      <c r="G569" s="279"/>
      <c r="H569" s="279"/>
      <c r="J569" s="279"/>
      <c r="K569" s="279"/>
    </row>
    <row r="570">
      <c r="E570" s="279"/>
      <c r="F570" s="279"/>
      <c r="G570" s="279"/>
      <c r="H570" s="279"/>
      <c r="J570" s="279"/>
      <c r="K570" s="279"/>
    </row>
    <row r="571">
      <c r="E571" s="279"/>
      <c r="F571" s="279"/>
      <c r="G571" s="279"/>
      <c r="H571" s="279"/>
      <c r="J571" s="279"/>
      <c r="K571" s="279"/>
    </row>
    <row r="572">
      <c r="E572" s="279"/>
      <c r="F572" s="279"/>
      <c r="G572" s="279"/>
      <c r="H572" s="279"/>
      <c r="J572" s="279"/>
      <c r="K572" s="279"/>
    </row>
    <row r="573">
      <c r="E573" s="279"/>
      <c r="F573" s="279"/>
      <c r="G573" s="279"/>
      <c r="H573" s="279"/>
      <c r="J573" s="279"/>
      <c r="K573" s="279"/>
    </row>
    <row r="574">
      <c r="E574" s="279"/>
      <c r="F574" s="279"/>
      <c r="G574" s="279"/>
      <c r="H574" s="279"/>
      <c r="J574" s="279"/>
      <c r="K574" s="279"/>
    </row>
    <row r="575">
      <c r="E575" s="279"/>
      <c r="F575" s="279"/>
      <c r="G575" s="279"/>
      <c r="H575" s="279"/>
      <c r="J575" s="279"/>
      <c r="K575" s="279"/>
    </row>
    <row r="576">
      <c r="E576" s="279"/>
      <c r="F576" s="279"/>
      <c r="G576" s="279"/>
      <c r="H576" s="279"/>
      <c r="J576" s="279"/>
      <c r="K576" s="279"/>
    </row>
    <row r="577">
      <c r="E577" s="279"/>
      <c r="F577" s="279"/>
      <c r="G577" s="279"/>
      <c r="H577" s="279"/>
      <c r="J577" s="279"/>
      <c r="K577" s="279"/>
    </row>
    <row r="578">
      <c r="E578" s="279"/>
      <c r="F578" s="279"/>
      <c r="G578" s="279"/>
      <c r="H578" s="279"/>
      <c r="J578" s="279"/>
      <c r="K578" s="279"/>
    </row>
    <row r="579">
      <c r="E579" s="279"/>
      <c r="F579" s="279"/>
      <c r="G579" s="279"/>
      <c r="H579" s="279"/>
      <c r="J579" s="279"/>
      <c r="K579" s="279"/>
    </row>
    <row r="580">
      <c r="E580" s="279"/>
      <c r="F580" s="279"/>
      <c r="G580" s="279"/>
      <c r="H580" s="279"/>
      <c r="J580" s="279"/>
      <c r="K580" s="279"/>
    </row>
    <row r="581">
      <c r="E581" s="279"/>
      <c r="F581" s="279"/>
      <c r="G581" s="279"/>
      <c r="H581" s="279"/>
      <c r="J581" s="279"/>
      <c r="K581" s="279"/>
    </row>
    <row r="582">
      <c r="E582" s="279"/>
      <c r="F582" s="279"/>
      <c r="G582" s="279"/>
      <c r="H582" s="279"/>
      <c r="J582" s="279"/>
      <c r="K582" s="279"/>
    </row>
    <row r="583">
      <c r="E583" s="279"/>
      <c r="F583" s="279"/>
      <c r="G583" s="279"/>
      <c r="H583" s="279"/>
      <c r="J583" s="279"/>
      <c r="K583" s="279"/>
    </row>
    <row r="584">
      <c r="E584" s="279"/>
      <c r="F584" s="279"/>
      <c r="G584" s="279"/>
      <c r="H584" s="279"/>
      <c r="J584" s="279"/>
      <c r="K584" s="279"/>
    </row>
    <row r="585">
      <c r="E585" s="279"/>
      <c r="F585" s="279"/>
      <c r="G585" s="279"/>
      <c r="H585" s="279"/>
      <c r="J585" s="279"/>
      <c r="K585" s="279"/>
    </row>
    <row r="586">
      <c r="E586" s="279"/>
      <c r="F586" s="279"/>
      <c r="G586" s="279"/>
      <c r="H586" s="279"/>
      <c r="J586" s="279"/>
      <c r="K586" s="279"/>
    </row>
    <row r="587">
      <c r="E587" s="279"/>
      <c r="F587" s="279"/>
      <c r="G587" s="279"/>
      <c r="H587" s="279"/>
      <c r="J587" s="279"/>
      <c r="K587" s="279"/>
    </row>
    <row r="588">
      <c r="E588" s="279"/>
      <c r="F588" s="279"/>
      <c r="G588" s="279"/>
      <c r="H588" s="279"/>
      <c r="J588" s="279"/>
      <c r="K588" s="279"/>
    </row>
    <row r="589">
      <c r="E589" s="279"/>
      <c r="F589" s="279"/>
      <c r="G589" s="279"/>
      <c r="H589" s="279"/>
      <c r="J589" s="279"/>
      <c r="K589" s="279"/>
    </row>
    <row r="590">
      <c r="E590" s="279"/>
      <c r="F590" s="279"/>
      <c r="G590" s="279"/>
      <c r="H590" s="279"/>
      <c r="J590" s="279"/>
      <c r="K590" s="279"/>
    </row>
    <row r="591">
      <c r="E591" s="279"/>
      <c r="F591" s="279"/>
      <c r="G591" s="279"/>
      <c r="H591" s="279"/>
      <c r="J591" s="279"/>
      <c r="K591" s="279"/>
    </row>
    <row r="592">
      <c r="E592" s="279"/>
      <c r="F592" s="279"/>
      <c r="G592" s="279"/>
      <c r="H592" s="279"/>
      <c r="J592" s="279"/>
      <c r="K592" s="279"/>
    </row>
    <row r="593">
      <c r="E593" s="279"/>
      <c r="F593" s="279"/>
      <c r="G593" s="279"/>
      <c r="H593" s="279"/>
      <c r="J593" s="279"/>
      <c r="K593" s="279"/>
    </row>
    <row r="594">
      <c r="E594" s="279"/>
      <c r="F594" s="279"/>
      <c r="G594" s="279"/>
      <c r="H594" s="279"/>
      <c r="J594" s="279"/>
      <c r="K594" s="279"/>
    </row>
    <row r="595">
      <c r="E595" s="279"/>
      <c r="F595" s="279"/>
      <c r="G595" s="279"/>
      <c r="H595" s="279"/>
      <c r="J595" s="279"/>
      <c r="K595" s="279"/>
    </row>
    <row r="596">
      <c r="E596" s="279"/>
      <c r="F596" s="279"/>
      <c r="G596" s="279"/>
      <c r="H596" s="279"/>
      <c r="J596" s="279"/>
      <c r="K596" s="279"/>
    </row>
    <row r="597">
      <c r="E597" s="279"/>
      <c r="F597" s="279"/>
      <c r="G597" s="279"/>
      <c r="H597" s="279"/>
      <c r="J597" s="279"/>
      <c r="K597" s="279"/>
    </row>
    <row r="598">
      <c r="E598" s="279"/>
      <c r="F598" s="279"/>
      <c r="G598" s="279"/>
      <c r="H598" s="279"/>
      <c r="J598" s="279"/>
      <c r="K598" s="279"/>
    </row>
    <row r="599">
      <c r="E599" s="279"/>
      <c r="F599" s="279"/>
      <c r="G599" s="279"/>
      <c r="H599" s="279"/>
      <c r="J599" s="279"/>
      <c r="K599" s="279"/>
    </row>
    <row r="600">
      <c r="E600" s="279"/>
      <c r="F600" s="279"/>
      <c r="G600" s="279"/>
      <c r="H600" s="279"/>
      <c r="J600" s="279"/>
      <c r="K600" s="279"/>
    </row>
    <row r="601">
      <c r="E601" s="279"/>
      <c r="F601" s="279"/>
      <c r="G601" s="279"/>
      <c r="H601" s="279"/>
      <c r="J601" s="279"/>
      <c r="K601" s="279"/>
    </row>
    <row r="602">
      <c r="E602" s="279"/>
      <c r="F602" s="279"/>
      <c r="G602" s="279"/>
      <c r="H602" s="279"/>
      <c r="J602" s="279"/>
      <c r="K602" s="279"/>
    </row>
    <row r="603">
      <c r="E603" s="279"/>
      <c r="F603" s="279"/>
      <c r="G603" s="279"/>
      <c r="H603" s="279"/>
      <c r="J603" s="279"/>
      <c r="K603" s="279"/>
    </row>
    <row r="604">
      <c r="E604" s="279"/>
      <c r="F604" s="279"/>
      <c r="G604" s="279"/>
      <c r="H604" s="279"/>
      <c r="J604" s="279"/>
      <c r="K604" s="279"/>
    </row>
    <row r="605">
      <c r="E605" s="279"/>
      <c r="F605" s="279"/>
      <c r="G605" s="279"/>
      <c r="H605" s="279"/>
      <c r="J605" s="279"/>
      <c r="K605" s="279"/>
    </row>
    <row r="606">
      <c r="E606" s="279"/>
      <c r="F606" s="279"/>
      <c r="G606" s="279"/>
      <c r="H606" s="279"/>
      <c r="J606" s="279"/>
      <c r="K606" s="279"/>
    </row>
    <row r="607">
      <c r="E607" s="279"/>
      <c r="F607" s="279"/>
      <c r="G607" s="279"/>
      <c r="H607" s="279"/>
      <c r="J607" s="279"/>
      <c r="K607" s="279"/>
    </row>
    <row r="608">
      <c r="E608" s="279"/>
      <c r="F608" s="279"/>
      <c r="G608" s="279"/>
      <c r="H608" s="279"/>
      <c r="J608" s="279"/>
      <c r="K608" s="279"/>
    </row>
    <row r="609">
      <c r="E609" s="279"/>
      <c r="F609" s="279"/>
      <c r="G609" s="279"/>
      <c r="H609" s="279"/>
      <c r="J609" s="279"/>
      <c r="K609" s="279"/>
    </row>
    <row r="610">
      <c r="E610" s="279"/>
      <c r="F610" s="279"/>
      <c r="G610" s="279"/>
      <c r="H610" s="279"/>
      <c r="J610" s="279"/>
      <c r="K610" s="279"/>
    </row>
    <row r="611">
      <c r="E611" s="279"/>
      <c r="F611" s="279"/>
      <c r="G611" s="279"/>
      <c r="H611" s="279"/>
      <c r="J611" s="279"/>
      <c r="K611" s="279"/>
    </row>
    <row r="612">
      <c r="E612" s="279"/>
      <c r="F612" s="279"/>
      <c r="G612" s="279"/>
      <c r="H612" s="279"/>
      <c r="J612" s="279"/>
      <c r="K612" s="279"/>
    </row>
    <row r="613">
      <c r="E613" s="279"/>
      <c r="F613" s="279"/>
      <c r="G613" s="279"/>
      <c r="H613" s="279"/>
      <c r="J613" s="279"/>
      <c r="K613" s="279"/>
    </row>
    <row r="614">
      <c r="E614" s="279"/>
      <c r="F614" s="279"/>
      <c r="G614" s="279"/>
      <c r="H614" s="279"/>
      <c r="J614" s="279"/>
      <c r="K614" s="279"/>
    </row>
    <row r="615">
      <c r="E615" s="279"/>
      <c r="F615" s="279"/>
      <c r="G615" s="279"/>
      <c r="H615" s="279"/>
      <c r="J615" s="279"/>
      <c r="K615" s="279"/>
    </row>
    <row r="616">
      <c r="E616" s="279"/>
      <c r="F616" s="279"/>
      <c r="G616" s="279"/>
      <c r="H616" s="279"/>
      <c r="J616" s="279"/>
      <c r="K616" s="279"/>
    </row>
    <row r="617">
      <c r="E617" s="279"/>
      <c r="F617" s="279"/>
      <c r="G617" s="279"/>
      <c r="H617" s="279"/>
      <c r="J617" s="279"/>
      <c r="K617" s="279"/>
    </row>
    <row r="618">
      <c r="E618" s="279"/>
      <c r="F618" s="279"/>
      <c r="G618" s="279"/>
      <c r="H618" s="279"/>
      <c r="J618" s="279"/>
      <c r="K618" s="279"/>
    </row>
    <row r="619">
      <c r="E619" s="279"/>
      <c r="F619" s="279"/>
      <c r="G619" s="279"/>
      <c r="H619" s="279"/>
      <c r="J619" s="279"/>
      <c r="K619" s="279"/>
    </row>
    <row r="620">
      <c r="E620" s="279"/>
      <c r="F620" s="279"/>
      <c r="G620" s="279"/>
      <c r="H620" s="279"/>
      <c r="J620" s="279"/>
      <c r="K620" s="279"/>
    </row>
    <row r="621">
      <c r="E621" s="279"/>
      <c r="F621" s="279"/>
      <c r="G621" s="279"/>
      <c r="H621" s="279"/>
      <c r="J621" s="279"/>
      <c r="K621" s="279"/>
    </row>
    <row r="622">
      <c r="E622" s="279"/>
      <c r="F622" s="279"/>
      <c r="G622" s="279"/>
      <c r="H622" s="279"/>
      <c r="J622" s="279"/>
      <c r="K622" s="279"/>
    </row>
    <row r="623">
      <c r="E623" s="279"/>
      <c r="F623" s="279"/>
      <c r="G623" s="279"/>
      <c r="H623" s="279"/>
      <c r="J623" s="279"/>
      <c r="K623" s="279"/>
    </row>
    <row r="624">
      <c r="E624" s="279"/>
      <c r="F624" s="279"/>
      <c r="G624" s="279"/>
      <c r="H624" s="279"/>
      <c r="J624" s="279"/>
      <c r="K624" s="279"/>
    </row>
    <row r="625">
      <c r="E625" s="279"/>
      <c r="F625" s="279"/>
      <c r="G625" s="279"/>
      <c r="H625" s="279"/>
      <c r="J625" s="279"/>
      <c r="K625" s="279"/>
    </row>
    <row r="626">
      <c r="E626" s="279"/>
      <c r="F626" s="279"/>
      <c r="G626" s="279"/>
      <c r="H626" s="279"/>
      <c r="J626" s="279"/>
      <c r="K626" s="279"/>
    </row>
    <row r="627">
      <c r="E627" s="279"/>
      <c r="F627" s="279"/>
      <c r="G627" s="279"/>
      <c r="H627" s="279"/>
      <c r="J627" s="279"/>
      <c r="K627" s="279"/>
    </row>
    <row r="628">
      <c r="E628" s="279"/>
      <c r="F628" s="279"/>
      <c r="G628" s="279"/>
      <c r="H628" s="279"/>
      <c r="J628" s="279"/>
      <c r="K628" s="279"/>
    </row>
    <row r="629">
      <c r="E629" s="279"/>
      <c r="F629" s="279"/>
      <c r="G629" s="279"/>
      <c r="H629" s="279"/>
      <c r="J629" s="279"/>
      <c r="K629" s="279"/>
    </row>
    <row r="630">
      <c r="E630" s="279"/>
      <c r="F630" s="279"/>
      <c r="G630" s="279"/>
      <c r="H630" s="279"/>
      <c r="J630" s="279"/>
      <c r="K630" s="279"/>
    </row>
    <row r="631">
      <c r="E631" s="279"/>
      <c r="F631" s="279"/>
      <c r="G631" s="279"/>
      <c r="H631" s="279"/>
      <c r="J631" s="279"/>
      <c r="K631" s="279"/>
    </row>
    <row r="632">
      <c r="E632" s="279"/>
      <c r="F632" s="279"/>
      <c r="G632" s="279"/>
      <c r="H632" s="279"/>
      <c r="J632" s="279"/>
      <c r="K632" s="279"/>
    </row>
    <row r="633">
      <c r="E633" s="279"/>
      <c r="F633" s="279"/>
      <c r="G633" s="279"/>
      <c r="H633" s="279"/>
      <c r="J633" s="279"/>
      <c r="K633" s="279"/>
    </row>
    <row r="634">
      <c r="E634" s="279"/>
      <c r="F634" s="279"/>
      <c r="G634" s="279"/>
      <c r="H634" s="279"/>
      <c r="J634" s="279"/>
      <c r="K634" s="279"/>
    </row>
    <row r="635">
      <c r="E635" s="279"/>
      <c r="F635" s="279"/>
      <c r="G635" s="279"/>
      <c r="H635" s="279"/>
      <c r="J635" s="279"/>
      <c r="K635" s="279"/>
    </row>
    <row r="636">
      <c r="E636" s="279"/>
      <c r="F636" s="279"/>
      <c r="G636" s="279"/>
      <c r="H636" s="279"/>
      <c r="J636" s="279"/>
      <c r="K636" s="279"/>
    </row>
    <row r="637">
      <c r="E637" s="279"/>
      <c r="F637" s="279"/>
      <c r="G637" s="279"/>
      <c r="H637" s="279"/>
      <c r="J637" s="279"/>
      <c r="K637" s="279"/>
    </row>
    <row r="638">
      <c r="E638" s="279"/>
      <c r="F638" s="279"/>
      <c r="G638" s="279"/>
      <c r="H638" s="279"/>
      <c r="J638" s="279"/>
      <c r="K638" s="279"/>
    </row>
    <row r="639">
      <c r="E639" s="279"/>
      <c r="F639" s="279"/>
      <c r="G639" s="279"/>
      <c r="H639" s="279"/>
      <c r="J639" s="279"/>
      <c r="K639" s="279"/>
    </row>
    <row r="640">
      <c r="E640" s="279"/>
      <c r="F640" s="279"/>
      <c r="G640" s="279"/>
      <c r="H640" s="279"/>
      <c r="J640" s="279"/>
      <c r="K640" s="279"/>
    </row>
    <row r="641">
      <c r="E641" s="279"/>
      <c r="F641" s="279"/>
      <c r="G641" s="279"/>
      <c r="H641" s="279"/>
      <c r="J641" s="279"/>
      <c r="K641" s="279"/>
    </row>
    <row r="642">
      <c r="E642" s="279"/>
      <c r="F642" s="279"/>
      <c r="G642" s="279"/>
      <c r="H642" s="279"/>
      <c r="J642" s="279"/>
      <c r="K642" s="279"/>
    </row>
    <row r="643">
      <c r="E643" s="279"/>
      <c r="F643" s="279"/>
      <c r="G643" s="279"/>
      <c r="H643" s="279"/>
      <c r="J643" s="279"/>
      <c r="K643" s="279"/>
    </row>
    <row r="644">
      <c r="E644" s="279"/>
      <c r="F644" s="279"/>
      <c r="G644" s="279"/>
      <c r="H644" s="279"/>
      <c r="J644" s="279"/>
      <c r="K644" s="279"/>
    </row>
    <row r="645">
      <c r="E645" s="279"/>
      <c r="F645" s="279"/>
      <c r="G645" s="279"/>
      <c r="H645" s="279"/>
      <c r="J645" s="279"/>
      <c r="K645" s="279"/>
    </row>
    <row r="646">
      <c r="E646" s="279"/>
      <c r="F646" s="279"/>
      <c r="G646" s="279"/>
      <c r="H646" s="279"/>
      <c r="J646" s="279"/>
      <c r="K646" s="279"/>
    </row>
    <row r="647">
      <c r="E647" s="279"/>
      <c r="F647" s="279"/>
      <c r="G647" s="279"/>
      <c r="H647" s="279"/>
      <c r="J647" s="279"/>
      <c r="K647" s="279"/>
    </row>
    <row r="648">
      <c r="E648" s="279"/>
      <c r="F648" s="279"/>
      <c r="G648" s="279"/>
      <c r="H648" s="279"/>
      <c r="J648" s="279"/>
      <c r="K648" s="279"/>
    </row>
    <row r="649">
      <c r="E649" s="279"/>
      <c r="F649" s="279"/>
      <c r="G649" s="279"/>
      <c r="H649" s="279"/>
      <c r="J649" s="279"/>
      <c r="K649" s="279"/>
    </row>
    <row r="650">
      <c r="E650" s="279"/>
      <c r="F650" s="279"/>
      <c r="G650" s="279"/>
      <c r="H650" s="279"/>
      <c r="J650" s="279"/>
      <c r="K650" s="279"/>
    </row>
    <row r="651">
      <c r="E651" s="279"/>
      <c r="F651" s="279"/>
      <c r="G651" s="279"/>
      <c r="H651" s="279"/>
      <c r="J651" s="279"/>
      <c r="K651" s="279"/>
    </row>
    <row r="652">
      <c r="E652" s="279"/>
      <c r="F652" s="279"/>
      <c r="G652" s="279"/>
      <c r="H652" s="279"/>
      <c r="J652" s="279"/>
      <c r="K652" s="279"/>
    </row>
    <row r="653">
      <c r="E653" s="279"/>
      <c r="F653" s="279"/>
      <c r="G653" s="279"/>
      <c r="H653" s="279"/>
      <c r="J653" s="279"/>
      <c r="K653" s="279"/>
    </row>
    <row r="654">
      <c r="E654" s="279"/>
      <c r="F654" s="279"/>
      <c r="G654" s="279"/>
      <c r="H654" s="279"/>
      <c r="J654" s="279"/>
      <c r="K654" s="279"/>
    </row>
    <row r="655">
      <c r="E655" s="279"/>
      <c r="F655" s="279"/>
      <c r="G655" s="279"/>
      <c r="H655" s="279"/>
      <c r="J655" s="279"/>
      <c r="K655" s="279"/>
    </row>
    <row r="656">
      <c r="E656" s="279"/>
      <c r="F656" s="279"/>
      <c r="G656" s="279"/>
      <c r="H656" s="279"/>
      <c r="J656" s="279"/>
      <c r="K656" s="279"/>
    </row>
    <row r="657">
      <c r="E657" s="279"/>
      <c r="F657" s="279"/>
      <c r="G657" s="279"/>
      <c r="H657" s="279"/>
      <c r="J657" s="279"/>
      <c r="K657" s="279"/>
    </row>
    <row r="658">
      <c r="E658" s="279"/>
      <c r="F658" s="279"/>
      <c r="G658" s="279"/>
      <c r="H658" s="279"/>
      <c r="J658" s="279"/>
      <c r="K658" s="279"/>
    </row>
    <row r="659">
      <c r="E659" s="279"/>
      <c r="F659" s="279"/>
      <c r="G659" s="279"/>
      <c r="H659" s="279"/>
      <c r="J659" s="279"/>
      <c r="K659" s="279"/>
    </row>
    <row r="660">
      <c r="E660" s="279"/>
      <c r="F660" s="279"/>
      <c r="G660" s="279"/>
      <c r="H660" s="279"/>
      <c r="J660" s="279"/>
      <c r="K660" s="279"/>
    </row>
    <row r="661">
      <c r="E661" s="279"/>
      <c r="F661" s="279"/>
      <c r="G661" s="279"/>
      <c r="H661" s="279"/>
      <c r="J661" s="279"/>
      <c r="K661" s="279"/>
    </row>
    <row r="662">
      <c r="E662" s="279"/>
      <c r="F662" s="279"/>
      <c r="G662" s="279"/>
      <c r="H662" s="279"/>
      <c r="J662" s="279"/>
      <c r="K662" s="279"/>
    </row>
    <row r="663">
      <c r="E663" s="279"/>
      <c r="F663" s="279"/>
      <c r="G663" s="279"/>
      <c r="H663" s="279"/>
      <c r="J663" s="279"/>
      <c r="K663" s="279"/>
    </row>
    <row r="664">
      <c r="E664" s="279"/>
      <c r="F664" s="279"/>
      <c r="G664" s="279"/>
      <c r="H664" s="279"/>
      <c r="J664" s="279"/>
      <c r="K664" s="279"/>
    </row>
    <row r="665">
      <c r="E665" s="279"/>
      <c r="F665" s="279"/>
      <c r="G665" s="279"/>
      <c r="H665" s="279"/>
      <c r="J665" s="279"/>
      <c r="K665" s="279"/>
    </row>
    <row r="666">
      <c r="E666" s="279"/>
      <c r="F666" s="279"/>
      <c r="G666" s="279"/>
      <c r="H666" s="279"/>
      <c r="J666" s="279"/>
      <c r="K666" s="279"/>
    </row>
    <row r="667">
      <c r="E667" s="279"/>
      <c r="F667" s="279"/>
      <c r="G667" s="279"/>
      <c r="H667" s="279"/>
      <c r="J667" s="279"/>
      <c r="K667" s="279"/>
    </row>
    <row r="668">
      <c r="E668" s="279"/>
      <c r="F668" s="279"/>
      <c r="G668" s="279"/>
      <c r="H668" s="279"/>
      <c r="J668" s="279"/>
      <c r="K668" s="279"/>
    </row>
    <row r="669">
      <c r="E669" s="279"/>
      <c r="F669" s="279"/>
      <c r="G669" s="279"/>
      <c r="H669" s="279"/>
      <c r="J669" s="279"/>
      <c r="K669" s="279"/>
    </row>
    <row r="670">
      <c r="E670" s="279"/>
      <c r="F670" s="279"/>
      <c r="G670" s="279"/>
      <c r="H670" s="279"/>
      <c r="J670" s="279"/>
      <c r="K670" s="279"/>
    </row>
    <row r="671">
      <c r="E671" s="279"/>
      <c r="F671" s="279"/>
      <c r="G671" s="279"/>
      <c r="H671" s="279"/>
      <c r="J671" s="279"/>
      <c r="K671" s="279"/>
    </row>
    <row r="672">
      <c r="E672" s="279"/>
      <c r="F672" s="279"/>
      <c r="G672" s="279"/>
      <c r="H672" s="279"/>
      <c r="J672" s="279"/>
      <c r="K672" s="279"/>
    </row>
    <row r="673">
      <c r="E673" s="279"/>
      <c r="F673" s="279"/>
      <c r="G673" s="279"/>
      <c r="H673" s="279"/>
      <c r="J673" s="279"/>
      <c r="K673" s="279"/>
    </row>
    <row r="674">
      <c r="E674" s="279"/>
      <c r="F674" s="279"/>
      <c r="G674" s="279"/>
      <c r="H674" s="279"/>
      <c r="J674" s="279"/>
      <c r="K674" s="279"/>
    </row>
    <row r="675">
      <c r="E675" s="279"/>
      <c r="F675" s="279"/>
      <c r="G675" s="279"/>
      <c r="H675" s="279"/>
      <c r="J675" s="279"/>
      <c r="K675" s="279"/>
    </row>
    <row r="676">
      <c r="E676" s="279"/>
      <c r="F676" s="279"/>
      <c r="G676" s="279"/>
      <c r="H676" s="279"/>
      <c r="J676" s="279"/>
      <c r="K676" s="279"/>
    </row>
    <row r="677">
      <c r="E677" s="279"/>
      <c r="F677" s="279"/>
      <c r="G677" s="279"/>
      <c r="H677" s="279"/>
      <c r="J677" s="279"/>
      <c r="K677" s="279"/>
    </row>
    <row r="678">
      <c r="E678" s="279"/>
      <c r="F678" s="279"/>
      <c r="G678" s="279"/>
      <c r="H678" s="279"/>
      <c r="J678" s="279"/>
      <c r="K678" s="279"/>
    </row>
    <row r="679">
      <c r="E679" s="279"/>
      <c r="F679" s="279"/>
      <c r="G679" s="279"/>
      <c r="H679" s="279"/>
      <c r="J679" s="279"/>
      <c r="K679" s="279"/>
    </row>
    <row r="680">
      <c r="E680" s="279"/>
      <c r="F680" s="279"/>
      <c r="G680" s="279"/>
      <c r="H680" s="279"/>
      <c r="J680" s="279"/>
      <c r="K680" s="279"/>
    </row>
    <row r="681">
      <c r="E681" s="279"/>
      <c r="F681" s="279"/>
      <c r="G681" s="279"/>
      <c r="H681" s="279"/>
      <c r="J681" s="279"/>
      <c r="K681" s="279"/>
    </row>
    <row r="682">
      <c r="E682" s="279"/>
      <c r="F682" s="279"/>
      <c r="G682" s="279"/>
      <c r="H682" s="279"/>
      <c r="J682" s="279"/>
      <c r="K682" s="279"/>
    </row>
    <row r="683">
      <c r="E683" s="279"/>
      <c r="F683" s="279"/>
      <c r="G683" s="279"/>
      <c r="H683" s="279"/>
      <c r="J683" s="279"/>
      <c r="K683" s="279"/>
    </row>
    <row r="684">
      <c r="E684" s="279"/>
      <c r="F684" s="279"/>
      <c r="G684" s="279"/>
      <c r="H684" s="279"/>
      <c r="J684" s="279"/>
      <c r="K684" s="279"/>
    </row>
    <row r="685">
      <c r="E685" s="279"/>
      <c r="F685" s="279"/>
      <c r="G685" s="279"/>
      <c r="H685" s="279"/>
      <c r="J685" s="279"/>
      <c r="K685" s="279"/>
    </row>
    <row r="686">
      <c r="E686" s="279"/>
      <c r="F686" s="279"/>
      <c r="G686" s="279"/>
      <c r="H686" s="279"/>
      <c r="J686" s="279"/>
      <c r="K686" s="279"/>
    </row>
    <row r="687">
      <c r="E687" s="279"/>
      <c r="F687" s="279"/>
      <c r="G687" s="279"/>
      <c r="H687" s="279"/>
      <c r="J687" s="279"/>
      <c r="K687" s="279"/>
    </row>
    <row r="688">
      <c r="E688" s="279"/>
      <c r="F688" s="279"/>
      <c r="G688" s="279"/>
      <c r="H688" s="279"/>
      <c r="J688" s="279"/>
      <c r="K688" s="279"/>
    </row>
    <row r="689">
      <c r="E689" s="279"/>
      <c r="F689" s="279"/>
      <c r="G689" s="279"/>
      <c r="H689" s="279"/>
      <c r="J689" s="279"/>
      <c r="K689" s="279"/>
    </row>
    <row r="690">
      <c r="E690" s="279"/>
      <c r="F690" s="279"/>
      <c r="G690" s="279"/>
      <c r="H690" s="279"/>
      <c r="J690" s="279"/>
      <c r="K690" s="279"/>
    </row>
    <row r="691">
      <c r="E691" s="279"/>
      <c r="F691" s="279"/>
      <c r="G691" s="279"/>
      <c r="H691" s="279"/>
      <c r="J691" s="279"/>
      <c r="K691" s="279"/>
    </row>
    <row r="692">
      <c r="E692" s="279"/>
      <c r="F692" s="279"/>
      <c r="G692" s="279"/>
      <c r="H692" s="279"/>
      <c r="J692" s="279"/>
      <c r="K692" s="279"/>
    </row>
    <row r="693">
      <c r="E693" s="279"/>
      <c r="F693" s="279"/>
      <c r="G693" s="279"/>
      <c r="H693" s="279"/>
      <c r="J693" s="279"/>
      <c r="K693" s="279"/>
    </row>
    <row r="694">
      <c r="E694" s="279"/>
      <c r="F694" s="279"/>
      <c r="G694" s="279"/>
      <c r="H694" s="279"/>
      <c r="J694" s="279"/>
      <c r="K694" s="279"/>
    </row>
    <row r="695">
      <c r="E695" s="279"/>
      <c r="F695" s="279"/>
      <c r="G695" s="279"/>
      <c r="H695" s="279"/>
      <c r="J695" s="279"/>
      <c r="K695" s="279"/>
    </row>
    <row r="696">
      <c r="E696" s="279"/>
      <c r="F696" s="279"/>
      <c r="G696" s="279"/>
      <c r="H696" s="279"/>
      <c r="J696" s="279"/>
      <c r="K696" s="279"/>
    </row>
    <row r="697">
      <c r="E697" s="279"/>
      <c r="F697" s="279"/>
      <c r="G697" s="279"/>
      <c r="H697" s="279"/>
      <c r="J697" s="279"/>
      <c r="K697" s="279"/>
    </row>
    <row r="698">
      <c r="E698" s="279"/>
      <c r="F698" s="279"/>
      <c r="G698" s="279"/>
      <c r="H698" s="279"/>
      <c r="J698" s="279"/>
      <c r="K698" s="279"/>
    </row>
    <row r="699">
      <c r="E699" s="279"/>
      <c r="F699" s="279"/>
      <c r="G699" s="279"/>
      <c r="H699" s="279"/>
      <c r="J699" s="279"/>
      <c r="K699" s="279"/>
    </row>
    <row r="700">
      <c r="E700" s="279"/>
      <c r="F700" s="279"/>
      <c r="G700" s="279"/>
      <c r="H700" s="279"/>
      <c r="J700" s="279"/>
      <c r="K700" s="279"/>
    </row>
    <row r="701">
      <c r="E701" s="279"/>
      <c r="F701" s="279"/>
      <c r="G701" s="279"/>
      <c r="H701" s="279"/>
      <c r="J701" s="279"/>
      <c r="K701" s="279"/>
    </row>
    <row r="702">
      <c r="E702" s="279"/>
      <c r="F702" s="279"/>
      <c r="G702" s="279"/>
      <c r="H702" s="279"/>
      <c r="J702" s="279"/>
      <c r="K702" s="279"/>
    </row>
    <row r="703">
      <c r="E703" s="279"/>
      <c r="F703" s="279"/>
      <c r="G703" s="279"/>
      <c r="H703" s="279"/>
      <c r="J703" s="279"/>
      <c r="K703" s="279"/>
    </row>
    <row r="704">
      <c r="E704" s="279"/>
      <c r="F704" s="279"/>
      <c r="G704" s="279"/>
      <c r="H704" s="279"/>
      <c r="J704" s="279"/>
      <c r="K704" s="279"/>
    </row>
    <row r="705">
      <c r="E705" s="279"/>
      <c r="F705" s="279"/>
      <c r="G705" s="279"/>
      <c r="H705" s="279"/>
      <c r="J705" s="279"/>
      <c r="K705" s="279"/>
    </row>
    <row r="706">
      <c r="E706" s="279"/>
      <c r="F706" s="279"/>
      <c r="G706" s="279"/>
      <c r="H706" s="279"/>
      <c r="J706" s="279"/>
      <c r="K706" s="279"/>
    </row>
    <row r="707">
      <c r="E707" s="279"/>
      <c r="F707" s="279"/>
      <c r="G707" s="279"/>
      <c r="H707" s="279"/>
      <c r="J707" s="279"/>
      <c r="K707" s="279"/>
    </row>
    <row r="708">
      <c r="E708" s="279"/>
      <c r="F708" s="279"/>
      <c r="G708" s="279"/>
      <c r="H708" s="279"/>
      <c r="J708" s="279"/>
      <c r="K708" s="279"/>
    </row>
    <row r="709">
      <c r="E709" s="279"/>
      <c r="F709" s="279"/>
      <c r="G709" s="279"/>
      <c r="H709" s="279"/>
      <c r="J709" s="279"/>
      <c r="K709" s="279"/>
    </row>
    <row r="710">
      <c r="E710" s="279"/>
      <c r="F710" s="279"/>
      <c r="G710" s="279"/>
      <c r="H710" s="279"/>
      <c r="J710" s="279"/>
      <c r="K710" s="279"/>
    </row>
    <row r="711">
      <c r="E711" s="279"/>
      <c r="F711" s="279"/>
      <c r="G711" s="279"/>
      <c r="H711" s="279"/>
      <c r="J711" s="279"/>
      <c r="K711" s="279"/>
    </row>
    <row r="712">
      <c r="E712" s="279"/>
      <c r="F712" s="279"/>
      <c r="G712" s="279"/>
      <c r="H712" s="279"/>
      <c r="J712" s="279"/>
      <c r="K712" s="279"/>
    </row>
    <row r="713">
      <c r="E713" s="279"/>
      <c r="F713" s="279"/>
      <c r="G713" s="279"/>
      <c r="H713" s="279"/>
      <c r="J713" s="279"/>
      <c r="K713" s="279"/>
    </row>
    <row r="714">
      <c r="E714" s="279"/>
      <c r="F714" s="279"/>
      <c r="G714" s="279"/>
      <c r="H714" s="279"/>
      <c r="J714" s="279"/>
      <c r="K714" s="279"/>
    </row>
    <row r="715">
      <c r="E715" s="279"/>
      <c r="F715" s="279"/>
      <c r="G715" s="279"/>
      <c r="H715" s="279"/>
      <c r="J715" s="279"/>
      <c r="K715" s="279"/>
    </row>
    <row r="716">
      <c r="E716" s="279"/>
      <c r="F716" s="279"/>
      <c r="G716" s="279"/>
      <c r="H716" s="279"/>
      <c r="J716" s="279"/>
      <c r="K716" s="279"/>
    </row>
    <row r="717">
      <c r="E717" s="279"/>
      <c r="F717" s="279"/>
      <c r="G717" s="279"/>
      <c r="H717" s="279"/>
      <c r="J717" s="279"/>
      <c r="K717" s="279"/>
    </row>
    <row r="718">
      <c r="E718" s="279"/>
      <c r="F718" s="279"/>
      <c r="G718" s="279"/>
      <c r="H718" s="279"/>
      <c r="J718" s="279"/>
      <c r="K718" s="279"/>
    </row>
    <row r="719">
      <c r="E719" s="279"/>
      <c r="F719" s="279"/>
      <c r="G719" s="279"/>
      <c r="H719" s="279"/>
      <c r="J719" s="279"/>
      <c r="K719" s="279"/>
    </row>
    <row r="720">
      <c r="E720" s="279"/>
      <c r="F720" s="279"/>
      <c r="G720" s="279"/>
      <c r="H720" s="279"/>
      <c r="J720" s="279"/>
      <c r="K720" s="279"/>
    </row>
    <row r="721">
      <c r="E721" s="279"/>
      <c r="F721" s="279"/>
      <c r="G721" s="279"/>
      <c r="H721" s="279"/>
      <c r="J721" s="279"/>
      <c r="K721" s="279"/>
    </row>
    <row r="722">
      <c r="E722" s="279"/>
      <c r="F722" s="279"/>
      <c r="G722" s="279"/>
      <c r="H722" s="279"/>
      <c r="J722" s="279"/>
      <c r="K722" s="279"/>
    </row>
    <row r="723">
      <c r="E723" s="279"/>
      <c r="F723" s="279"/>
      <c r="G723" s="279"/>
      <c r="H723" s="279"/>
      <c r="J723" s="279"/>
      <c r="K723" s="279"/>
    </row>
    <row r="724">
      <c r="E724" s="279"/>
      <c r="F724" s="279"/>
      <c r="G724" s="279"/>
      <c r="H724" s="279"/>
      <c r="J724" s="279"/>
      <c r="K724" s="279"/>
    </row>
    <row r="725">
      <c r="E725" s="279"/>
      <c r="F725" s="279"/>
      <c r="G725" s="279"/>
      <c r="H725" s="279"/>
      <c r="J725" s="279"/>
      <c r="K725" s="279"/>
    </row>
    <row r="726">
      <c r="E726" s="279"/>
      <c r="F726" s="279"/>
      <c r="G726" s="279"/>
      <c r="H726" s="279"/>
      <c r="J726" s="279"/>
      <c r="K726" s="279"/>
    </row>
    <row r="727">
      <c r="E727" s="279"/>
      <c r="F727" s="279"/>
      <c r="G727" s="279"/>
      <c r="H727" s="279"/>
      <c r="J727" s="279"/>
      <c r="K727" s="279"/>
    </row>
    <row r="728">
      <c r="E728" s="279"/>
      <c r="F728" s="279"/>
      <c r="G728" s="279"/>
      <c r="H728" s="279"/>
      <c r="J728" s="279"/>
      <c r="K728" s="279"/>
    </row>
    <row r="729">
      <c r="E729" s="279"/>
      <c r="F729" s="279"/>
      <c r="G729" s="279"/>
      <c r="H729" s="279"/>
      <c r="J729" s="279"/>
      <c r="K729" s="279"/>
    </row>
    <row r="730">
      <c r="E730" s="279"/>
      <c r="F730" s="279"/>
      <c r="G730" s="279"/>
      <c r="H730" s="279"/>
      <c r="J730" s="279"/>
      <c r="K730" s="279"/>
    </row>
    <row r="731">
      <c r="E731" s="279"/>
      <c r="F731" s="279"/>
      <c r="G731" s="279"/>
      <c r="H731" s="279"/>
      <c r="J731" s="279"/>
      <c r="K731" s="279"/>
    </row>
    <row r="732">
      <c r="E732" s="279"/>
      <c r="F732" s="279"/>
      <c r="G732" s="279"/>
      <c r="H732" s="279"/>
      <c r="J732" s="279"/>
      <c r="K732" s="279"/>
    </row>
    <row r="733">
      <c r="E733" s="279"/>
      <c r="F733" s="279"/>
      <c r="G733" s="279"/>
      <c r="H733" s="279"/>
      <c r="J733" s="279"/>
      <c r="K733" s="279"/>
    </row>
    <row r="734">
      <c r="E734" s="279"/>
      <c r="F734" s="279"/>
      <c r="G734" s="279"/>
      <c r="H734" s="279"/>
      <c r="J734" s="279"/>
      <c r="K734" s="279"/>
    </row>
    <row r="735">
      <c r="E735" s="279"/>
      <c r="F735" s="279"/>
      <c r="G735" s="279"/>
      <c r="H735" s="279"/>
      <c r="J735" s="279"/>
      <c r="K735" s="279"/>
    </row>
    <row r="736">
      <c r="E736" s="279"/>
      <c r="F736" s="279"/>
      <c r="G736" s="279"/>
      <c r="H736" s="279"/>
      <c r="J736" s="279"/>
      <c r="K736" s="279"/>
    </row>
    <row r="737">
      <c r="E737" s="279"/>
      <c r="F737" s="279"/>
      <c r="G737" s="279"/>
      <c r="H737" s="279"/>
      <c r="J737" s="279"/>
      <c r="K737" s="279"/>
    </row>
    <row r="738">
      <c r="E738" s="279"/>
      <c r="F738" s="279"/>
      <c r="G738" s="279"/>
      <c r="H738" s="279"/>
      <c r="J738" s="279"/>
      <c r="K738" s="279"/>
    </row>
    <row r="739">
      <c r="E739" s="279"/>
      <c r="F739" s="279"/>
      <c r="G739" s="279"/>
      <c r="H739" s="279"/>
      <c r="J739" s="279"/>
      <c r="K739" s="279"/>
    </row>
    <row r="740">
      <c r="E740" s="279"/>
      <c r="F740" s="279"/>
      <c r="G740" s="279"/>
      <c r="H740" s="279"/>
      <c r="J740" s="279"/>
      <c r="K740" s="279"/>
    </row>
    <row r="741">
      <c r="E741" s="279"/>
      <c r="F741" s="279"/>
      <c r="G741" s="279"/>
      <c r="H741" s="279"/>
      <c r="J741" s="279"/>
      <c r="K741" s="279"/>
    </row>
    <row r="742">
      <c r="E742" s="279"/>
      <c r="F742" s="279"/>
      <c r="G742" s="279"/>
      <c r="H742" s="279"/>
      <c r="J742" s="279"/>
      <c r="K742" s="279"/>
    </row>
    <row r="743">
      <c r="E743" s="279"/>
      <c r="F743" s="279"/>
      <c r="G743" s="279"/>
      <c r="H743" s="279"/>
      <c r="J743" s="279"/>
      <c r="K743" s="279"/>
    </row>
    <row r="744">
      <c r="E744" s="279"/>
      <c r="F744" s="279"/>
      <c r="G744" s="279"/>
      <c r="H744" s="279"/>
      <c r="J744" s="279"/>
      <c r="K744" s="279"/>
    </row>
    <row r="745">
      <c r="E745" s="279"/>
      <c r="F745" s="279"/>
      <c r="G745" s="279"/>
      <c r="H745" s="279"/>
      <c r="J745" s="279"/>
      <c r="K745" s="279"/>
    </row>
    <row r="746">
      <c r="E746" s="279"/>
      <c r="F746" s="279"/>
      <c r="G746" s="279"/>
      <c r="H746" s="279"/>
      <c r="J746" s="279"/>
      <c r="K746" s="279"/>
    </row>
    <row r="747">
      <c r="E747" s="279"/>
      <c r="F747" s="279"/>
      <c r="G747" s="279"/>
      <c r="H747" s="279"/>
      <c r="J747" s="279"/>
      <c r="K747" s="279"/>
    </row>
    <row r="748">
      <c r="E748" s="279"/>
      <c r="F748" s="279"/>
      <c r="G748" s="279"/>
      <c r="H748" s="279"/>
      <c r="J748" s="279"/>
      <c r="K748" s="279"/>
    </row>
    <row r="749">
      <c r="E749" s="279"/>
      <c r="F749" s="279"/>
      <c r="G749" s="279"/>
      <c r="H749" s="279"/>
      <c r="J749" s="279"/>
      <c r="K749" s="279"/>
    </row>
    <row r="750">
      <c r="E750" s="279"/>
      <c r="F750" s="279"/>
      <c r="G750" s="279"/>
      <c r="H750" s="279"/>
      <c r="J750" s="279"/>
      <c r="K750" s="279"/>
    </row>
    <row r="751">
      <c r="E751" s="279"/>
      <c r="F751" s="279"/>
      <c r="G751" s="279"/>
      <c r="H751" s="279"/>
      <c r="J751" s="279"/>
      <c r="K751" s="279"/>
    </row>
    <row r="752">
      <c r="E752" s="279"/>
      <c r="F752" s="279"/>
      <c r="G752" s="279"/>
      <c r="H752" s="279"/>
      <c r="J752" s="279"/>
      <c r="K752" s="279"/>
    </row>
    <row r="753">
      <c r="E753" s="279"/>
      <c r="F753" s="279"/>
      <c r="G753" s="279"/>
      <c r="H753" s="279"/>
      <c r="J753" s="279"/>
      <c r="K753" s="279"/>
    </row>
    <row r="754">
      <c r="E754" s="279"/>
      <c r="F754" s="279"/>
      <c r="G754" s="279"/>
      <c r="H754" s="279"/>
      <c r="J754" s="279"/>
      <c r="K754" s="279"/>
    </row>
    <row r="755">
      <c r="E755" s="279"/>
      <c r="F755" s="279"/>
      <c r="G755" s="279"/>
      <c r="H755" s="279"/>
      <c r="J755" s="279"/>
      <c r="K755" s="279"/>
    </row>
    <row r="756">
      <c r="E756" s="279"/>
      <c r="F756" s="279"/>
      <c r="G756" s="279"/>
      <c r="H756" s="279"/>
      <c r="J756" s="279"/>
      <c r="K756" s="279"/>
    </row>
    <row r="757">
      <c r="E757" s="279"/>
      <c r="F757" s="279"/>
      <c r="G757" s="279"/>
      <c r="H757" s="279"/>
      <c r="J757" s="279"/>
      <c r="K757" s="279"/>
    </row>
    <row r="758">
      <c r="E758" s="279"/>
      <c r="F758" s="279"/>
      <c r="G758" s="279"/>
      <c r="H758" s="279"/>
      <c r="J758" s="279"/>
      <c r="K758" s="279"/>
    </row>
    <row r="759">
      <c r="E759" s="279"/>
      <c r="F759" s="279"/>
      <c r="G759" s="279"/>
      <c r="H759" s="279"/>
      <c r="J759" s="279"/>
      <c r="K759" s="279"/>
    </row>
    <row r="760">
      <c r="E760" s="279"/>
      <c r="F760" s="279"/>
      <c r="G760" s="279"/>
      <c r="H760" s="279"/>
      <c r="J760" s="279"/>
      <c r="K760" s="279"/>
    </row>
    <row r="761">
      <c r="E761" s="279"/>
      <c r="F761" s="279"/>
      <c r="G761" s="279"/>
      <c r="H761" s="279"/>
      <c r="J761" s="279"/>
      <c r="K761" s="279"/>
    </row>
    <row r="762">
      <c r="E762" s="279"/>
      <c r="F762" s="279"/>
      <c r="G762" s="279"/>
      <c r="H762" s="279"/>
      <c r="J762" s="279"/>
      <c r="K762" s="279"/>
    </row>
    <row r="763">
      <c r="E763" s="279"/>
      <c r="F763" s="279"/>
      <c r="G763" s="279"/>
      <c r="H763" s="279"/>
      <c r="J763" s="279"/>
      <c r="K763" s="279"/>
    </row>
    <row r="764">
      <c r="E764" s="279"/>
      <c r="F764" s="279"/>
      <c r="G764" s="279"/>
      <c r="H764" s="279"/>
      <c r="J764" s="279"/>
      <c r="K764" s="279"/>
    </row>
    <row r="765">
      <c r="E765" s="279"/>
      <c r="F765" s="279"/>
      <c r="G765" s="279"/>
      <c r="H765" s="279"/>
      <c r="J765" s="279"/>
      <c r="K765" s="279"/>
    </row>
    <row r="766">
      <c r="E766" s="279"/>
      <c r="F766" s="279"/>
      <c r="G766" s="279"/>
      <c r="H766" s="279"/>
      <c r="J766" s="279"/>
      <c r="K766" s="279"/>
    </row>
    <row r="767">
      <c r="E767" s="279"/>
      <c r="F767" s="279"/>
      <c r="G767" s="279"/>
      <c r="H767" s="279"/>
      <c r="J767" s="279"/>
      <c r="K767" s="279"/>
    </row>
    <row r="768">
      <c r="E768" s="279"/>
      <c r="F768" s="279"/>
      <c r="G768" s="279"/>
      <c r="H768" s="279"/>
      <c r="J768" s="279"/>
      <c r="K768" s="279"/>
    </row>
    <row r="769">
      <c r="E769" s="279"/>
      <c r="F769" s="279"/>
      <c r="G769" s="279"/>
      <c r="H769" s="279"/>
      <c r="J769" s="279"/>
      <c r="K769" s="279"/>
    </row>
    <row r="770">
      <c r="E770" s="279"/>
      <c r="F770" s="279"/>
      <c r="G770" s="279"/>
      <c r="H770" s="279"/>
      <c r="J770" s="279"/>
      <c r="K770" s="279"/>
    </row>
    <row r="771">
      <c r="E771" s="279"/>
      <c r="F771" s="279"/>
      <c r="G771" s="279"/>
      <c r="H771" s="279"/>
      <c r="J771" s="279"/>
      <c r="K771" s="279"/>
    </row>
    <row r="772">
      <c r="E772" s="279"/>
      <c r="F772" s="279"/>
      <c r="G772" s="279"/>
      <c r="H772" s="279"/>
      <c r="J772" s="279"/>
      <c r="K772" s="279"/>
    </row>
    <row r="773">
      <c r="E773" s="279"/>
      <c r="F773" s="279"/>
      <c r="G773" s="279"/>
      <c r="H773" s="279"/>
      <c r="J773" s="279"/>
      <c r="K773" s="279"/>
    </row>
    <row r="774">
      <c r="E774" s="279"/>
      <c r="F774" s="279"/>
      <c r="G774" s="279"/>
      <c r="H774" s="279"/>
      <c r="J774" s="279"/>
      <c r="K774" s="279"/>
    </row>
    <row r="775">
      <c r="E775" s="279"/>
      <c r="F775" s="279"/>
      <c r="G775" s="279"/>
      <c r="H775" s="279"/>
      <c r="J775" s="279"/>
      <c r="K775" s="279"/>
    </row>
    <row r="776">
      <c r="E776" s="279"/>
      <c r="F776" s="279"/>
      <c r="G776" s="279"/>
      <c r="H776" s="279"/>
      <c r="J776" s="279"/>
      <c r="K776" s="279"/>
    </row>
    <row r="777">
      <c r="E777" s="279"/>
      <c r="F777" s="279"/>
      <c r="G777" s="279"/>
      <c r="H777" s="279"/>
      <c r="J777" s="279"/>
      <c r="K777" s="279"/>
    </row>
    <row r="778">
      <c r="E778" s="279"/>
      <c r="F778" s="279"/>
      <c r="G778" s="279"/>
      <c r="H778" s="279"/>
      <c r="J778" s="279"/>
      <c r="K778" s="279"/>
    </row>
    <row r="779">
      <c r="E779" s="279"/>
      <c r="F779" s="279"/>
      <c r="G779" s="279"/>
      <c r="H779" s="279"/>
      <c r="J779" s="279"/>
      <c r="K779" s="279"/>
    </row>
    <row r="780">
      <c r="E780" s="279"/>
      <c r="F780" s="279"/>
      <c r="G780" s="279"/>
      <c r="H780" s="279"/>
      <c r="J780" s="279"/>
      <c r="K780" s="279"/>
    </row>
    <row r="781">
      <c r="E781" s="279"/>
      <c r="F781" s="279"/>
      <c r="G781" s="279"/>
      <c r="H781" s="279"/>
      <c r="J781" s="279"/>
      <c r="K781" s="279"/>
    </row>
    <row r="782">
      <c r="E782" s="279"/>
      <c r="F782" s="279"/>
      <c r="G782" s="279"/>
      <c r="H782" s="279"/>
      <c r="J782" s="279"/>
      <c r="K782" s="279"/>
    </row>
    <row r="783">
      <c r="E783" s="279"/>
      <c r="F783" s="279"/>
      <c r="G783" s="279"/>
      <c r="H783" s="279"/>
      <c r="J783" s="279"/>
      <c r="K783" s="279"/>
    </row>
    <row r="784">
      <c r="E784" s="279"/>
      <c r="F784" s="279"/>
      <c r="G784" s="279"/>
      <c r="H784" s="279"/>
      <c r="J784" s="279"/>
      <c r="K784" s="279"/>
    </row>
    <row r="785">
      <c r="E785" s="279"/>
      <c r="F785" s="279"/>
      <c r="G785" s="279"/>
      <c r="H785" s="279"/>
      <c r="J785" s="279"/>
      <c r="K785" s="279"/>
    </row>
    <row r="786">
      <c r="E786" s="279"/>
      <c r="F786" s="279"/>
      <c r="G786" s="279"/>
      <c r="H786" s="279"/>
      <c r="J786" s="279"/>
      <c r="K786" s="279"/>
    </row>
    <row r="787">
      <c r="E787" s="279"/>
      <c r="F787" s="279"/>
      <c r="G787" s="279"/>
      <c r="H787" s="279"/>
      <c r="J787" s="279"/>
      <c r="K787" s="279"/>
    </row>
    <row r="788">
      <c r="E788" s="279"/>
      <c r="F788" s="279"/>
      <c r="G788" s="279"/>
      <c r="H788" s="279"/>
      <c r="J788" s="279"/>
      <c r="K788" s="279"/>
    </row>
    <row r="789">
      <c r="E789" s="279"/>
      <c r="F789" s="279"/>
      <c r="G789" s="279"/>
      <c r="H789" s="279"/>
      <c r="J789" s="279"/>
      <c r="K789" s="279"/>
    </row>
    <row r="790">
      <c r="E790" s="279"/>
      <c r="F790" s="279"/>
      <c r="G790" s="279"/>
      <c r="H790" s="279"/>
      <c r="J790" s="279"/>
      <c r="K790" s="279"/>
    </row>
    <row r="791">
      <c r="E791" s="279"/>
      <c r="F791" s="279"/>
      <c r="G791" s="279"/>
      <c r="H791" s="279"/>
      <c r="J791" s="279"/>
      <c r="K791" s="279"/>
    </row>
    <row r="792">
      <c r="E792" s="279"/>
      <c r="F792" s="279"/>
      <c r="G792" s="279"/>
      <c r="H792" s="279"/>
      <c r="J792" s="279"/>
      <c r="K792" s="279"/>
    </row>
    <row r="793">
      <c r="E793" s="279"/>
      <c r="F793" s="279"/>
      <c r="G793" s="279"/>
      <c r="H793" s="279"/>
      <c r="J793" s="279"/>
      <c r="K793" s="279"/>
    </row>
    <row r="794">
      <c r="E794" s="279"/>
      <c r="F794" s="279"/>
      <c r="G794" s="279"/>
      <c r="H794" s="279"/>
      <c r="J794" s="279"/>
      <c r="K794" s="279"/>
    </row>
    <row r="795">
      <c r="E795" s="279"/>
      <c r="F795" s="279"/>
      <c r="G795" s="279"/>
      <c r="H795" s="279"/>
      <c r="J795" s="279"/>
      <c r="K795" s="279"/>
    </row>
    <row r="796">
      <c r="E796" s="279"/>
      <c r="F796" s="279"/>
      <c r="G796" s="279"/>
      <c r="H796" s="279"/>
      <c r="J796" s="279"/>
      <c r="K796" s="279"/>
    </row>
    <row r="797">
      <c r="E797" s="279"/>
      <c r="F797" s="279"/>
      <c r="G797" s="279"/>
      <c r="H797" s="279"/>
      <c r="J797" s="279"/>
      <c r="K797" s="279"/>
    </row>
    <row r="798">
      <c r="E798" s="279"/>
      <c r="F798" s="279"/>
      <c r="G798" s="279"/>
      <c r="H798" s="279"/>
      <c r="J798" s="279"/>
      <c r="K798" s="279"/>
    </row>
    <row r="799">
      <c r="E799" s="279"/>
      <c r="F799" s="279"/>
      <c r="G799" s="279"/>
      <c r="H799" s="279"/>
      <c r="J799" s="279"/>
      <c r="K799" s="279"/>
    </row>
    <row r="800">
      <c r="E800" s="279"/>
      <c r="F800" s="279"/>
      <c r="G800" s="279"/>
      <c r="H800" s="279"/>
      <c r="J800" s="279"/>
      <c r="K800" s="279"/>
    </row>
    <row r="801">
      <c r="E801" s="279"/>
      <c r="F801" s="279"/>
      <c r="G801" s="279"/>
      <c r="H801" s="279"/>
      <c r="J801" s="279"/>
      <c r="K801" s="279"/>
    </row>
    <row r="802">
      <c r="E802" s="279"/>
      <c r="F802" s="279"/>
      <c r="G802" s="279"/>
      <c r="H802" s="279"/>
      <c r="J802" s="279"/>
      <c r="K802" s="279"/>
    </row>
    <row r="803">
      <c r="E803" s="279"/>
      <c r="F803" s="279"/>
      <c r="G803" s="279"/>
      <c r="H803" s="279"/>
      <c r="J803" s="279"/>
      <c r="K803" s="279"/>
    </row>
    <row r="804">
      <c r="E804" s="279"/>
      <c r="F804" s="279"/>
      <c r="G804" s="279"/>
      <c r="H804" s="279"/>
      <c r="J804" s="279"/>
      <c r="K804" s="279"/>
    </row>
    <row r="805">
      <c r="E805" s="279"/>
      <c r="F805" s="279"/>
      <c r="G805" s="279"/>
      <c r="H805" s="279"/>
      <c r="J805" s="279"/>
      <c r="K805" s="279"/>
    </row>
    <row r="806">
      <c r="E806" s="279"/>
      <c r="F806" s="279"/>
      <c r="G806" s="279"/>
      <c r="H806" s="279"/>
      <c r="J806" s="279"/>
      <c r="K806" s="279"/>
    </row>
    <row r="807">
      <c r="E807" s="279"/>
      <c r="F807" s="279"/>
      <c r="G807" s="279"/>
      <c r="H807" s="279"/>
      <c r="J807" s="279"/>
      <c r="K807" s="279"/>
    </row>
    <row r="808">
      <c r="E808" s="279"/>
      <c r="F808" s="279"/>
      <c r="G808" s="279"/>
      <c r="H808" s="279"/>
      <c r="J808" s="279"/>
      <c r="K808" s="279"/>
    </row>
    <row r="809">
      <c r="E809" s="279"/>
      <c r="F809" s="279"/>
      <c r="G809" s="279"/>
      <c r="H809" s="279"/>
      <c r="J809" s="279"/>
      <c r="K809" s="279"/>
    </row>
    <row r="810">
      <c r="E810" s="279"/>
      <c r="F810" s="279"/>
      <c r="G810" s="279"/>
      <c r="H810" s="279"/>
      <c r="J810" s="279"/>
      <c r="K810" s="279"/>
    </row>
    <row r="811">
      <c r="E811" s="279"/>
      <c r="F811" s="279"/>
      <c r="G811" s="279"/>
      <c r="H811" s="279"/>
      <c r="J811" s="279"/>
      <c r="K811" s="279"/>
    </row>
    <row r="812">
      <c r="E812" s="279"/>
      <c r="F812" s="279"/>
      <c r="G812" s="279"/>
      <c r="H812" s="279"/>
      <c r="J812" s="279"/>
      <c r="K812" s="279"/>
    </row>
    <row r="813">
      <c r="E813" s="279"/>
      <c r="F813" s="279"/>
      <c r="G813" s="279"/>
      <c r="H813" s="279"/>
      <c r="J813" s="279"/>
      <c r="K813" s="279"/>
    </row>
    <row r="814">
      <c r="E814" s="279"/>
      <c r="F814" s="279"/>
      <c r="G814" s="279"/>
      <c r="H814" s="279"/>
      <c r="J814" s="279"/>
      <c r="K814" s="279"/>
    </row>
    <row r="815">
      <c r="E815" s="279"/>
      <c r="F815" s="279"/>
      <c r="G815" s="279"/>
      <c r="H815" s="279"/>
      <c r="J815" s="279"/>
      <c r="K815" s="279"/>
    </row>
    <row r="816">
      <c r="E816" s="279"/>
      <c r="F816" s="279"/>
      <c r="G816" s="279"/>
      <c r="H816" s="279"/>
      <c r="J816" s="279"/>
      <c r="K816" s="279"/>
    </row>
    <row r="817">
      <c r="E817" s="279"/>
      <c r="F817" s="279"/>
      <c r="G817" s="279"/>
      <c r="H817" s="279"/>
      <c r="J817" s="279"/>
      <c r="K817" s="279"/>
    </row>
    <row r="818">
      <c r="E818" s="279"/>
      <c r="F818" s="279"/>
      <c r="G818" s="279"/>
      <c r="H818" s="279"/>
      <c r="J818" s="279"/>
      <c r="K818" s="279"/>
    </row>
    <row r="819">
      <c r="E819" s="279"/>
      <c r="F819" s="279"/>
      <c r="G819" s="279"/>
      <c r="H819" s="279"/>
      <c r="J819" s="279"/>
      <c r="K819" s="279"/>
    </row>
    <row r="820">
      <c r="E820" s="279"/>
      <c r="F820" s="279"/>
      <c r="G820" s="279"/>
      <c r="H820" s="279"/>
      <c r="J820" s="279"/>
      <c r="K820" s="279"/>
    </row>
    <row r="821">
      <c r="E821" s="279"/>
      <c r="F821" s="279"/>
      <c r="G821" s="279"/>
      <c r="H821" s="279"/>
      <c r="J821" s="279"/>
      <c r="K821" s="279"/>
    </row>
    <row r="822">
      <c r="E822" s="279"/>
      <c r="F822" s="279"/>
      <c r="G822" s="279"/>
      <c r="H822" s="279"/>
      <c r="J822" s="279"/>
      <c r="K822" s="279"/>
    </row>
    <row r="823">
      <c r="E823" s="279"/>
      <c r="F823" s="279"/>
      <c r="G823" s="279"/>
      <c r="H823" s="279"/>
      <c r="J823" s="279"/>
      <c r="K823" s="279"/>
    </row>
    <row r="824">
      <c r="E824" s="279"/>
      <c r="F824" s="279"/>
      <c r="G824" s="279"/>
      <c r="H824" s="279"/>
      <c r="J824" s="279"/>
      <c r="K824" s="279"/>
    </row>
    <row r="825">
      <c r="E825" s="279"/>
      <c r="F825" s="279"/>
      <c r="G825" s="279"/>
      <c r="H825" s="279"/>
      <c r="J825" s="279"/>
      <c r="K825" s="279"/>
    </row>
    <row r="826">
      <c r="E826" s="279"/>
      <c r="F826" s="279"/>
      <c r="G826" s="279"/>
      <c r="H826" s="279"/>
      <c r="J826" s="279"/>
      <c r="K826" s="279"/>
    </row>
    <row r="827">
      <c r="E827" s="279"/>
      <c r="F827" s="279"/>
      <c r="G827" s="279"/>
      <c r="H827" s="279"/>
      <c r="J827" s="279"/>
      <c r="K827" s="279"/>
    </row>
    <row r="828">
      <c r="E828" s="279"/>
      <c r="F828" s="279"/>
      <c r="G828" s="279"/>
      <c r="H828" s="279"/>
      <c r="J828" s="279"/>
      <c r="K828" s="279"/>
    </row>
    <row r="829">
      <c r="E829" s="279"/>
      <c r="F829" s="279"/>
      <c r="G829" s="279"/>
      <c r="H829" s="279"/>
      <c r="J829" s="279"/>
      <c r="K829" s="279"/>
    </row>
    <row r="830">
      <c r="E830" s="279"/>
      <c r="F830" s="279"/>
      <c r="G830" s="279"/>
      <c r="H830" s="279"/>
      <c r="J830" s="279"/>
      <c r="K830" s="279"/>
    </row>
    <row r="831">
      <c r="E831" s="279"/>
      <c r="F831" s="279"/>
      <c r="G831" s="279"/>
      <c r="H831" s="279"/>
      <c r="J831" s="279"/>
      <c r="K831" s="279"/>
    </row>
    <row r="832">
      <c r="E832" s="279"/>
      <c r="F832" s="279"/>
      <c r="G832" s="279"/>
      <c r="H832" s="279"/>
      <c r="J832" s="279"/>
      <c r="K832" s="279"/>
    </row>
    <row r="833">
      <c r="E833" s="279"/>
      <c r="F833" s="279"/>
      <c r="G833" s="279"/>
      <c r="H833" s="279"/>
      <c r="J833" s="279"/>
      <c r="K833" s="279"/>
    </row>
    <row r="834">
      <c r="E834" s="279"/>
      <c r="F834" s="279"/>
      <c r="G834" s="279"/>
      <c r="H834" s="279"/>
      <c r="J834" s="279"/>
      <c r="K834" s="279"/>
    </row>
    <row r="835">
      <c r="E835" s="279"/>
      <c r="F835" s="279"/>
      <c r="G835" s="279"/>
      <c r="H835" s="279"/>
      <c r="J835" s="279"/>
      <c r="K835" s="279"/>
    </row>
    <row r="836">
      <c r="E836" s="279"/>
      <c r="F836" s="279"/>
      <c r="G836" s="279"/>
      <c r="H836" s="279"/>
      <c r="J836" s="279"/>
      <c r="K836" s="279"/>
    </row>
    <row r="837">
      <c r="E837" s="279"/>
      <c r="F837" s="279"/>
      <c r="G837" s="279"/>
      <c r="H837" s="279"/>
      <c r="J837" s="279"/>
      <c r="K837" s="279"/>
    </row>
    <row r="838">
      <c r="E838" s="279"/>
      <c r="F838" s="279"/>
      <c r="G838" s="279"/>
      <c r="H838" s="279"/>
      <c r="J838" s="279"/>
      <c r="K838" s="279"/>
    </row>
    <row r="839">
      <c r="E839" s="279"/>
      <c r="F839" s="279"/>
      <c r="G839" s="279"/>
      <c r="H839" s="279"/>
      <c r="J839" s="279"/>
      <c r="K839" s="279"/>
    </row>
    <row r="840">
      <c r="E840" s="279"/>
      <c r="F840" s="279"/>
      <c r="G840" s="279"/>
      <c r="H840" s="279"/>
      <c r="J840" s="279"/>
      <c r="K840" s="279"/>
    </row>
    <row r="841">
      <c r="E841" s="279"/>
      <c r="F841" s="279"/>
      <c r="G841" s="279"/>
      <c r="H841" s="279"/>
      <c r="J841" s="279"/>
      <c r="K841" s="279"/>
    </row>
    <row r="842">
      <c r="E842" s="279"/>
      <c r="F842" s="279"/>
      <c r="G842" s="279"/>
      <c r="H842" s="279"/>
      <c r="J842" s="279"/>
      <c r="K842" s="279"/>
    </row>
    <row r="843">
      <c r="E843" s="279"/>
      <c r="F843" s="279"/>
      <c r="G843" s="279"/>
      <c r="H843" s="279"/>
      <c r="J843" s="279"/>
      <c r="K843" s="279"/>
    </row>
    <row r="844">
      <c r="E844" s="279"/>
      <c r="F844" s="279"/>
      <c r="G844" s="279"/>
      <c r="H844" s="279"/>
      <c r="J844" s="279"/>
      <c r="K844" s="279"/>
    </row>
    <row r="845">
      <c r="E845" s="279"/>
      <c r="F845" s="279"/>
      <c r="G845" s="279"/>
      <c r="H845" s="279"/>
      <c r="J845" s="279"/>
      <c r="K845" s="279"/>
    </row>
    <row r="846">
      <c r="E846" s="279"/>
      <c r="F846" s="279"/>
      <c r="G846" s="279"/>
      <c r="H846" s="279"/>
      <c r="J846" s="279"/>
      <c r="K846" s="279"/>
    </row>
    <row r="847">
      <c r="E847" s="279"/>
      <c r="F847" s="279"/>
      <c r="G847" s="279"/>
      <c r="H847" s="279"/>
      <c r="J847" s="279"/>
      <c r="K847" s="279"/>
    </row>
    <row r="848">
      <c r="E848" s="279"/>
      <c r="F848" s="279"/>
      <c r="G848" s="279"/>
      <c r="H848" s="279"/>
      <c r="J848" s="279"/>
      <c r="K848" s="279"/>
    </row>
    <row r="849">
      <c r="E849" s="279"/>
      <c r="F849" s="279"/>
      <c r="G849" s="279"/>
      <c r="H849" s="279"/>
      <c r="J849" s="279"/>
      <c r="K849" s="279"/>
    </row>
    <row r="850">
      <c r="E850" s="279"/>
      <c r="F850" s="279"/>
      <c r="G850" s="279"/>
      <c r="H850" s="279"/>
      <c r="J850" s="279"/>
      <c r="K850" s="279"/>
    </row>
    <row r="851">
      <c r="E851" s="279"/>
      <c r="F851" s="279"/>
      <c r="G851" s="279"/>
      <c r="H851" s="279"/>
      <c r="J851" s="279"/>
      <c r="K851" s="279"/>
    </row>
    <row r="852">
      <c r="E852" s="279"/>
      <c r="F852" s="279"/>
      <c r="G852" s="279"/>
      <c r="H852" s="279"/>
      <c r="J852" s="279"/>
      <c r="K852" s="279"/>
    </row>
    <row r="853">
      <c r="E853" s="279"/>
      <c r="F853" s="279"/>
      <c r="G853" s="279"/>
      <c r="H853" s="279"/>
      <c r="J853" s="279"/>
      <c r="K853" s="279"/>
    </row>
    <row r="854">
      <c r="E854" s="279"/>
      <c r="F854" s="279"/>
      <c r="G854" s="279"/>
      <c r="H854" s="279"/>
      <c r="J854" s="279"/>
      <c r="K854" s="279"/>
    </row>
    <row r="855">
      <c r="E855" s="279"/>
      <c r="F855" s="279"/>
      <c r="G855" s="279"/>
      <c r="H855" s="279"/>
      <c r="J855" s="279"/>
      <c r="K855" s="279"/>
    </row>
    <row r="856">
      <c r="E856" s="279"/>
      <c r="F856" s="279"/>
      <c r="G856" s="279"/>
      <c r="H856" s="279"/>
      <c r="J856" s="279"/>
      <c r="K856" s="279"/>
    </row>
    <row r="857">
      <c r="E857" s="279"/>
      <c r="F857" s="279"/>
      <c r="G857" s="279"/>
      <c r="H857" s="279"/>
      <c r="J857" s="279"/>
      <c r="K857" s="279"/>
    </row>
    <row r="858">
      <c r="E858" s="279"/>
      <c r="F858" s="279"/>
      <c r="G858" s="279"/>
      <c r="H858" s="279"/>
      <c r="J858" s="279"/>
      <c r="K858" s="279"/>
    </row>
    <row r="859">
      <c r="E859" s="279"/>
      <c r="F859" s="279"/>
      <c r="G859" s="279"/>
      <c r="H859" s="279"/>
      <c r="J859" s="279"/>
      <c r="K859" s="279"/>
    </row>
    <row r="860">
      <c r="E860" s="279"/>
      <c r="F860" s="279"/>
      <c r="G860" s="279"/>
      <c r="H860" s="279"/>
      <c r="J860" s="279"/>
      <c r="K860" s="279"/>
    </row>
    <row r="861">
      <c r="E861" s="279"/>
      <c r="F861" s="279"/>
      <c r="G861" s="279"/>
      <c r="H861" s="279"/>
      <c r="J861" s="279"/>
      <c r="K861" s="279"/>
    </row>
    <row r="862">
      <c r="E862" s="279"/>
      <c r="F862" s="279"/>
      <c r="G862" s="279"/>
      <c r="H862" s="279"/>
      <c r="J862" s="279"/>
      <c r="K862" s="279"/>
    </row>
    <row r="863">
      <c r="E863" s="279"/>
      <c r="F863" s="279"/>
      <c r="G863" s="279"/>
      <c r="H863" s="279"/>
      <c r="J863" s="279"/>
      <c r="K863" s="279"/>
    </row>
    <row r="864">
      <c r="E864" s="279"/>
      <c r="F864" s="279"/>
      <c r="G864" s="279"/>
      <c r="H864" s="279"/>
      <c r="J864" s="279"/>
      <c r="K864" s="279"/>
    </row>
    <row r="865">
      <c r="E865" s="279"/>
      <c r="F865" s="279"/>
      <c r="G865" s="279"/>
      <c r="H865" s="279"/>
      <c r="J865" s="279"/>
      <c r="K865" s="279"/>
    </row>
    <row r="866">
      <c r="E866" s="279"/>
      <c r="F866" s="279"/>
      <c r="G866" s="279"/>
      <c r="H866" s="279"/>
      <c r="J866" s="279"/>
      <c r="K866" s="279"/>
    </row>
    <row r="867">
      <c r="E867" s="279"/>
      <c r="F867" s="279"/>
      <c r="G867" s="279"/>
      <c r="H867" s="279"/>
      <c r="J867" s="279"/>
      <c r="K867" s="279"/>
    </row>
    <row r="868">
      <c r="E868" s="279"/>
      <c r="F868" s="279"/>
      <c r="G868" s="279"/>
      <c r="H868" s="279"/>
      <c r="J868" s="279"/>
      <c r="K868" s="279"/>
    </row>
    <row r="869">
      <c r="E869" s="279"/>
      <c r="F869" s="279"/>
      <c r="G869" s="279"/>
      <c r="H869" s="279"/>
      <c r="J869" s="279"/>
      <c r="K869" s="279"/>
    </row>
    <row r="870">
      <c r="E870" s="279"/>
      <c r="F870" s="279"/>
      <c r="G870" s="279"/>
      <c r="H870" s="279"/>
      <c r="J870" s="279"/>
      <c r="K870" s="279"/>
    </row>
    <row r="871">
      <c r="E871" s="279"/>
      <c r="F871" s="279"/>
      <c r="G871" s="279"/>
      <c r="H871" s="279"/>
      <c r="J871" s="279"/>
      <c r="K871" s="279"/>
    </row>
    <row r="872">
      <c r="E872" s="279"/>
      <c r="F872" s="279"/>
      <c r="G872" s="279"/>
      <c r="H872" s="279"/>
      <c r="J872" s="279"/>
      <c r="K872" s="279"/>
    </row>
    <row r="873">
      <c r="E873" s="279"/>
      <c r="F873" s="279"/>
      <c r="G873" s="279"/>
      <c r="H873" s="279"/>
      <c r="J873" s="279"/>
      <c r="K873" s="279"/>
    </row>
    <row r="874">
      <c r="E874" s="279"/>
      <c r="F874" s="279"/>
      <c r="G874" s="279"/>
      <c r="H874" s="279"/>
      <c r="J874" s="279"/>
      <c r="K874" s="279"/>
    </row>
    <row r="875">
      <c r="E875" s="279"/>
      <c r="F875" s="279"/>
      <c r="G875" s="279"/>
      <c r="H875" s="279"/>
      <c r="J875" s="279"/>
      <c r="K875" s="279"/>
    </row>
    <row r="876">
      <c r="E876" s="279"/>
      <c r="F876" s="279"/>
      <c r="G876" s="279"/>
      <c r="H876" s="279"/>
      <c r="J876" s="279"/>
      <c r="K876" s="279"/>
    </row>
    <row r="877">
      <c r="E877" s="279"/>
      <c r="F877" s="279"/>
      <c r="G877" s="279"/>
      <c r="H877" s="279"/>
      <c r="J877" s="279"/>
      <c r="K877" s="279"/>
    </row>
    <row r="878">
      <c r="E878" s="279"/>
      <c r="F878" s="279"/>
      <c r="G878" s="279"/>
      <c r="H878" s="279"/>
      <c r="J878" s="279"/>
      <c r="K878" s="279"/>
    </row>
    <row r="879">
      <c r="E879" s="279"/>
      <c r="F879" s="279"/>
      <c r="G879" s="279"/>
      <c r="H879" s="279"/>
      <c r="J879" s="279"/>
      <c r="K879" s="279"/>
    </row>
    <row r="880">
      <c r="E880" s="279"/>
      <c r="F880" s="279"/>
      <c r="G880" s="279"/>
      <c r="H880" s="279"/>
      <c r="J880" s="279"/>
      <c r="K880" s="279"/>
    </row>
    <row r="881">
      <c r="E881" s="279"/>
      <c r="F881" s="279"/>
      <c r="G881" s="279"/>
      <c r="H881" s="279"/>
      <c r="J881" s="279"/>
      <c r="K881" s="279"/>
    </row>
    <row r="882">
      <c r="E882" s="279"/>
      <c r="F882" s="279"/>
      <c r="G882" s="279"/>
      <c r="H882" s="279"/>
      <c r="J882" s="279"/>
      <c r="K882" s="279"/>
    </row>
    <row r="883">
      <c r="E883" s="279"/>
      <c r="F883" s="279"/>
      <c r="G883" s="279"/>
      <c r="H883" s="279"/>
      <c r="J883" s="279"/>
      <c r="K883" s="279"/>
    </row>
    <row r="884">
      <c r="E884" s="279"/>
      <c r="F884" s="279"/>
      <c r="G884" s="279"/>
      <c r="H884" s="279"/>
      <c r="J884" s="279"/>
      <c r="K884" s="279"/>
    </row>
    <row r="885">
      <c r="E885" s="279"/>
      <c r="F885" s="279"/>
      <c r="G885" s="279"/>
      <c r="H885" s="279"/>
      <c r="J885" s="279"/>
      <c r="K885" s="279"/>
    </row>
    <row r="886">
      <c r="E886" s="279"/>
      <c r="F886" s="279"/>
      <c r="G886" s="279"/>
      <c r="H886" s="279"/>
      <c r="J886" s="279"/>
      <c r="K886" s="279"/>
    </row>
    <row r="887">
      <c r="E887" s="279"/>
      <c r="F887" s="279"/>
      <c r="G887" s="279"/>
      <c r="H887" s="279"/>
      <c r="J887" s="279"/>
      <c r="K887" s="279"/>
    </row>
    <row r="888">
      <c r="E888" s="279"/>
      <c r="F888" s="279"/>
      <c r="G888" s="279"/>
      <c r="H888" s="279"/>
      <c r="J888" s="279"/>
      <c r="K888" s="279"/>
    </row>
    <row r="889">
      <c r="E889" s="279"/>
      <c r="F889" s="279"/>
      <c r="G889" s="279"/>
      <c r="H889" s="279"/>
      <c r="J889" s="279"/>
      <c r="K889" s="279"/>
    </row>
    <row r="890">
      <c r="E890" s="279"/>
      <c r="F890" s="279"/>
      <c r="G890" s="279"/>
      <c r="H890" s="279"/>
      <c r="J890" s="279"/>
      <c r="K890" s="279"/>
    </row>
    <row r="891">
      <c r="E891" s="279"/>
      <c r="F891" s="279"/>
      <c r="G891" s="279"/>
      <c r="H891" s="279"/>
      <c r="J891" s="279"/>
      <c r="K891" s="279"/>
    </row>
    <row r="892">
      <c r="E892" s="279"/>
      <c r="F892" s="279"/>
      <c r="G892" s="279"/>
      <c r="H892" s="279"/>
      <c r="J892" s="279"/>
      <c r="K892" s="279"/>
    </row>
    <row r="893">
      <c r="E893" s="279"/>
      <c r="F893" s="279"/>
      <c r="G893" s="279"/>
      <c r="H893" s="279"/>
      <c r="J893" s="279"/>
      <c r="K893" s="279"/>
    </row>
    <row r="894">
      <c r="E894" s="279"/>
      <c r="F894" s="279"/>
      <c r="G894" s="279"/>
      <c r="H894" s="279"/>
      <c r="J894" s="279"/>
      <c r="K894" s="279"/>
    </row>
    <row r="895">
      <c r="E895" s="279"/>
      <c r="F895" s="279"/>
      <c r="G895" s="279"/>
      <c r="H895" s="279"/>
      <c r="J895" s="279"/>
      <c r="K895" s="279"/>
    </row>
    <row r="896">
      <c r="E896" s="279"/>
      <c r="F896" s="279"/>
      <c r="G896" s="279"/>
      <c r="H896" s="279"/>
      <c r="J896" s="279"/>
      <c r="K896" s="279"/>
    </row>
    <row r="897">
      <c r="E897" s="279"/>
      <c r="F897" s="279"/>
      <c r="G897" s="279"/>
      <c r="H897" s="279"/>
      <c r="J897" s="279"/>
      <c r="K897" s="279"/>
    </row>
    <row r="898">
      <c r="E898" s="279"/>
      <c r="F898" s="279"/>
      <c r="G898" s="279"/>
      <c r="H898" s="279"/>
      <c r="J898" s="279"/>
      <c r="K898" s="279"/>
    </row>
    <row r="899">
      <c r="E899" s="279"/>
      <c r="F899" s="279"/>
      <c r="G899" s="279"/>
      <c r="H899" s="279"/>
      <c r="J899" s="279"/>
      <c r="K899" s="279"/>
    </row>
    <row r="900">
      <c r="E900" s="279"/>
      <c r="F900" s="279"/>
      <c r="G900" s="279"/>
      <c r="H900" s="279"/>
      <c r="J900" s="279"/>
      <c r="K900" s="279"/>
    </row>
    <row r="901">
      <c r="E901" s="279"/>
      <c r="F901" s="279"/>
      <c r="G901" s="279"/>
      <c r="H901" s="279"/>
      <c r="J901" s="279"/>
      <c r="K901" s="279"/>
    </row>
    <row r="902">
      <c r="E902" s="279"/>
      <c r="F902" s="279"/>
      <c r="G902" s="279"/>
      <c r="H902" s="279"/>
      <c r="J902" s="279"/>
      <c r="K902" s="279"/>
    </row>
    <row r="903">
      <c r="E903" s="279"/>
      <c r="F903" s="279"/>
      <c r="G903" s="279"/>
      <c r="H903" s="279"/>
      <c r="J903" s="279"/>
      <c r="K903" s="279"/>
    </row>
    <row r="904">
      <c r="E904" s="279"/>
      <c r="F904" s="279"/>
      <c r="G904" s="279"/>
      <c r="H904" s="279"/>
      <c r="J904" s="279"/>
      <c r="K904" s="279"/>
    </row>
    <row r="905">
      <c r="E905" s="279"/>
      <c r="F905" s="279"/>
      <c r="G905" s="279"/>
      <c r="H905" s="279"/>
      <c r="J905" s="279"/>
      <c r="K905" s="279"/>
    </row>
    <row r="906">
      <c r="E906" s="279"/>
      <c r="F906" s="279"/>
      <c r="G906" s="279"/>
      <c r="H906" s="279"/>
      <c r="J906" s="279"/>
      <c r="K906" s="279"/>
    </row>
    <row r="907">
      <c r="E907" s="279"/>
      <c r="F907" s="279"/>
      <c r="G907" s="279"/>
      <c r="H907" s="279"/>
      <c r="J907" s="279"/>
      <c r="K907" s="279"/>
    </row>
    <row r="908">
      <c r="E908" s="279"/>
      <c r="F908" s="279"/>
      <c r="G908" s="279"/>
      <c r="H908" s="279"/>
      <c r="J908" s="279"/>
      <c r="K908" s="279"/>
    </row>
    <row r="909">
      <c r="E909" s="279"/>
      <c r="F909" s="279"/>
      <c r="G909" s="279"/>
      <c r="H909" s="279"/>
      <c r="J909" s="279"/>
      <c r="K909" s="279"/>
    </row>
    <row r="910">
      <c r="E910" s="279"/>
      <c r="F910" s="279"/>
      <c r="G910" s="279"/>
      <c r="H910" s="279"/>
      <c r="J910" s="279"/>
      <c r="K910" s="279"/>
    </row>
    <row r="911">
      <c r="E911" s="279"/>
      <c r="F911" s="279"/>
      <c r="G911" s="279"/>
      <c r="H911" s="279"/>
      <c r="J911" s="279"/>
      <c r="K911" s="279"/>
    </row>
    <row r="912">
      <c r="E912" s="279"/>
      <c r="F912" s="279"/>
      <c r="G912" s="279"/>
      <c r="H912" s="279"/>
      <c r="J912" s="279"/>
      <c r="K912" s="279"/>
    </row>
    <row r="913">
      <c r="E913" s="279"/>
      <c r="F913" s="279"/>
      <c r="G913" s="279"/>
      <c r="H913" s="279"/>
      <c r="J913" s="279"/>
      <c r="K913" s="279"/>
    </row>
    <row r="914">
      <c r="E914" s="279"/>
      <c r="F914" s="279"/>
      <c r="G914" s="279"/>
      <c r="H914" s="279"/>
      <c r="J914" s="279"/>
      <c r="K914" s="279"/>
    </row>
    <row r="915">
      <c r="E915" s="279"/>
      <c r="F915" s="279"/>
      <c r="G915" s="279"/>
      <c r="H915" s="279"/>
      <c r="J915" s="279"/>
      <c r="K915" s="279"/>
    </row>
    <row r="916">
      <c r="E916" s="279"/>
      <c r="F916" s="279"/>
      <c r="G916" s="279"/>
      <c r="H916" s="279"/>
      <c r="J916" s="279"/>
      <c r="K916" s="279"/>
    </row>
    <row r="917">
      <c r="E917" s="279"/>
      <c r="F917" s="279"/>
      <c r="G917" s="279"/>
      <c r="H917" s="279"/>
      <c r="J917" s="279"/>
      <c r="K917" s="279"/>
    </row>
    <row r="918">
      <c r="E918" s="279"/>
      <c r="F918" s="279"/>
      <c r="G918" s="279"/>
      <c r="H918" s="279"/>
      <c r="J918" s="279"/>
      <c r="K918" s="279"/>
    </row>
    <row r="919">
      <c r="E919" s="279"/>
      <c r="F919" s="279"/>
      <c r="G919" s="279"/>
      <c r="H919" s="279"/>
      <c r="J919" s="279"/>
      <c r="K919" s="279"/>
    </row>
    <row r="920">
      <c r="E920" s="279"/>
      <c r="F920" s="279"/>
      <c r="G920" s="279"/>
      <c r="H920" s="279"/>
      <c r="J920" s="279"/>
      <c r="K920" s="279"/>
    </row>
    <row r="921">
      <c r="E921" s="279"/>
      <c r="F921" s="279"/>
      <c r="G921" s="279"/>
      <c r="H921" s="279"/>
      <c r="J921" s="279"/>
      <c r="K921" s="279"/>
    </row>
    <row r="922">
      <c r="E922" s="279"/>
      <c r="F922" s="279"/>
      <c r="G922" s="279"/>
      <c r="H922" s="279"/>
      <c r="J922" s="279"/>
      <c r="K922" s="279"/>
    </row>
    <row r="923">
      <c r="E923" s="279"/>
      <c r="F923" s="279"/>
      <c r="G923" s="279"/>
      <c r="H923" s="279"/>
      <c r="J923" s="279"/>
      <c r="K923" s="279"/>
    </row>
    <row r="924">
      <c r="E924" s="279"/>
      <c r="F924" s="279"/>
      <c r="G924" s="279"/>
      <c r="H924" s="279"/>
      <c r="J924" s="279"/>
      <c r="K924" s="279"/>
    </row>
    <row r="925">
      <c r="E925" s="279"/>
      <c r="F925" s="279"/>
      <c r="G925" s="279"/>
      <c r="H925" s="279"/>
      <c r="J925" s="279"/>
      <c r="K925" s="279"/>
    </row>
    <row r="926">
      <c r="E926" s="279"/>
      <c r="F926" s="279"/>
      <c r="G926" s="279"/>
      <c r="H926" s="279"/>
      <c r="J926" s="279"/>
      <c r="K926" s="279"/>
    </row>
    <row r="927">
      <c r="E927" s="279"/>
      <c r="F927" s="279"/>
      <c r="G927" s="279"/>
      <c r="H927" s="279"/>
      <c r="J927" s="279"/>
      <c r="K927" s="279"/>
    </row>
    <row r="928">
      <c r="E928" s="279"/>
      <c r="F928" s="279"/>
      <c r="G928" s="279"/>
      <c r="H928" s="279"/>
      <c r="J928" s="279"/>
      <c r="K928" s="279"/>
    </row>
    <row r="929">
      <c r="E929" s="279"/>
      <c r="F929" s="279"/>
      <c r="G929" s="279"/>
      <c r="H929" s="279"/>
      <c r="J929" s="279"/>
      <c r="K929" s="279"/>
    </row>
    <row r="930">
      <c r="E930" s="279"/>
      <c r="F930" s="279"/>
      <c r="G930" s="279"/>
      <c r="H930" s="279"/>
      <c r="J930" s="279"/>
      <c r="K930" s="279"/>
    </row>
    <row r="931">
      <c r="E931" s="279"/>
      <c r="F931" s="279"/>
      <c r="G931" s="279"/>
      <c r="H931" s="279"/>
      <c r="J931" s="279"/>
      <c r="K931" s="279"/>
    </row>
    <row r="932">
      <c r="E932" s="279"/>
      <c r="F932" s="279"/>
      <c r="G932" s="279"/>
      <c r="H932" s="279"/>
      <c r="J932" s="279"/>
      <c r="K932" s="279"/>
    </row>
    <row r="933">
      <c r="E933" s="279"/>
      <c r="F933" s="279"/>
      <c r="G933" s="279"/>
      <c r="H933" s="279"/>
      <c r="J933" s="279"/>
      <c r="K933" s="279"/>
    </row>
    <row r="934">
      <c r="E934" s="279"/>
      <c r="F934" s="279"/>
      <c r="G934" s="279"/>
      <c r="H934" s="279"/>
      <c r="J934" s="279"/>
      <c r="K934" s="279"/>
    </row>
    <row r="935">
      <c r="E935" s="279"/>
      <c r="F935" s="279"/>
      <c r="G935" s="279"/>
      <c r="H935" s="279"/>
      <c r="J935" s="279"/>
      <c r="K935" s="279"/>
    </row>
    <row r="936">
      <c r="E936" s="279"/>
      <c r="F936" s="279"/>
      <c r="G936" s="279"/>
      <c r="H936" s="279"/>
      <c r="J936" s="279"/>
      <c r="K936" s="279"/>
    </row>
    <row r="937">
      <c r="E937" s="279"/>
      <c r="F937" s="279"/>
      <c r="G937" s="279"/>
      <c r="H937" s="279"/>
      <c r="J937" s="279"/>
      <c r="K937" s="279"/>
    </row>
    <row r="938">
      <c r="E938" s="279"/>
      <c r="F938" s="279"/>
      <c r="G938" s="279"/>
      <c r="H938" s="279"/>
      <c r="J938" s="279"/>
      <c r="K938" s="279"/>
    </row>
    <row r="939">
      <c r="E939" s="279"/>
      <c r="F939" s="279"/>
      <c r="G939" s="279"/>
      <c r="H939" s="279"/>
      <c r="J939" s="279"/>
      <c r="K939" s="279"/>
    </row>
    <row r="940">
      <c r="E940" s="279"/>
      <c r="F940" s="279"/>
      <c r="G940" s="279"/>
      <c r="H940" s="279"/>
      <c r="J940" s="279"/>
      <c r="K940" s="279"/>
    </row>
    <row r="941">
      <c r="E941" s="279"/>
      <c r="F941" s="279"/>
      <c r="G941" s="279"/>
      <c r="H941" s="279"/>
      <c r="J941" s="279"/>
      <c r="K941" s="279"/>
    </row>
    <row r="942">
      <c r="E942" s="279"/>
      <c r="F942" s="279"/>
      <c r="G942" s="279"/>
      <c r="H942" s="279"/>
      <c r="J942" s="279"/>
      <c r="K942" s="279"/>
    </row>
    <row r="943">
      <c r="E943" s="279"/>
      <c r="F943" s="279"/>
      <c r="G943" s="279"/>
      <c r="H943" s="279"/>
      <c r="J943" s="279"/>
      <c r="K943" s="279"/>
    </row>
    <row r="944">
      <c r="E944" s="279"/>
      <c r="F944" s="279"/>
      <c r="G944" s="279"/>
      <c r="H944" s="279"/>
      <c r="J944" s="279"/>
      <c r="K944" s="279"/>
    </row>
    <row r="945">
      <c r="E945" s="279"/>
      <c r="F945" s="279"/>
      <c r="G945" s="279"/>
      <c r="H945" s="279"/>
      <c r="J945" s="279"/>
      <c r="K945" s="279"/>
    </row>
    <row r="946">
      <c r="E946" s="279"/>
      <c r="F946" s="279"/>
      <c r="G946" s="279"/>
      <c r="H946" s="279"/>
      <c r="J946" s="279"/>
      <c r="K946" s="279"/>
    </row>
    <row r="947">
      <c r="E947" s="279"/>
      <c r="F947" s="279"/>
      <c r="G947" s="279"/>
      <c r="H947" s="279"/>
      <c r="J947" s="279"/>
      <c r="K947" s="279"/>
    </row>
    <row r="948">
      <c r="E948" s="279"/>
      <c r="F948" s="279"/>
      <c r="G948" s="279"/>
      <c r="H948" s="279"/>
      <c r="J948" s="279"/>
      <c r="K948" s="279"/>
    </row>
    <row r="949">
      <c r="E949" s="279"/>
      <c r="F949" s="279"/>
      <c r="G949" s="279"/>
      <c r="H949" s="279"/>
      <c r="J949" s="279"/>
      <c r="K949" s="279"/>
    </row>
    <row r="950">
      <c r="E950" s="279"/>
      <c r="F950" s="279"/>
      <c r="G950" s="279"/>
      <c r="H950" s="279"/>
      <c r="J950" s="279"/>
      <c r="K950" s="279"/>
    </row>
    <row r="951">
      <c r="E951" s="279"/>
      <c r="F951" s="279"/>
      <c r="G951" s="279"/>
      <c r="H951" s="279"/>
      <c r="J951" s="279"/>
      <c r="K951" s="279"/>
    </row>
    <row r="952">
      <c r="E952" s="279"/>
      <c r="F952" s="279"/>
      <c r="G952" s="279"/>
      <c r="H952" s="279"/>
      <c r="J952" s="279"/>
      <c r="K952" s="279"/>
    </row>
    <row r="953">
      <c r="E953" s="279"/>
      <c r="F953" s="279"/>
      <c r="G953" s="279"/>
      <c r="H953" s="279"/>
      <c r="J953" s="279"/>
      <c r="K953" s="279"/>
    </row>
    <row r="954">
      <c r="E954" s="279"/>
      <c r="F954" s="279"/>
      <c r="G954" s="279"/>
      <c r="H954" s="279"/>
      <c r="J954" s="279"/>
      <c r="K954" s="279"/>
    </row>
    <row r="955">
      <c r="E955" s="279"/>
      <c r="F955" s="279"/>
      <c r="G955" s="279"/>
      <c r="H955" s="279"/>
      <c r="J955" s="279"/>
      <c r="K955" s="279"/>
    </row>
    <row r="956">
      <c r="E956" s="279"/>
      <c r="F956" s="279"/>
      <c r="G956" s="279"/>
      <c r="H956" s="279"/>
      <c r="J956" s="279"/>
      <c r="K956" s="279"/>
    </row>
    <row r="957">
      <c r="E957" s="279"/>
      <c r="F957" s="279"/>
      <c r="G957" s="279"/>
      <c r="H957" s="279"/>
      <c r="J957" s="279"/>
      <c r="K957" s="279"/>
    </row>
    <row r="958">
      <c r="E958" s="279"/>
      <c r="F958" s="279"/>
      <c r="G958" s="279"/>
      <c r="H958" s="279"/>
      <c r="J958" s="279"/>
      <c r="K958" s="279"/>
    </row>
    <row r="959">
      <c r="E959" s="279"/>
      <c r="F959" s="279"/>
      <c r="G959" s="279"/>
      <c r="H959" s="279"/>
      <c r="J959" s="279"/>
      <c r="K959" s="279"/>
    </row>
    <row r="960">
      <c r="E960" s="279"/>
      <c r="F960" s="279"/>
      <c r="G960" s="279"/>
      <c r="H960" s="279"/>
      <c r="J960" s="279"/>
      <c r="K960" s="279"/>
    </row>
    <row r="961">
      <c r="E961" s="279"/>
      <c r="F961" s="279"/>
      <c r="G961" s="279"/>
      <c r="H961" s="279"/>
      <c r="J961" s="279"/>
      <c r="K961" s="279"/>
    </row>
    <row r="962">
      <c r="E962" s="279"/>
      <c r="F962" s="279"/>
      <c r="G962" s="279"/>
      <c r="H962" s="279"/>
      <c r="J962" s="279"/>
      <c r="K962" s="279"/>
    </row>
    <row r="963">
      <c r="E963" s="279"/>
      <c r="F963" s="279"/>
      <c r="G963" s="279"/>
      <c r="H963" s="279"/>
      <c r="J963" s="279"/>
      <c r="K963" s="279"/>
    </row>
    <row r="964">
      <c r="E964" s="279"/>
      <c r="F964" s="279"/>
      <c r="G964" s="279"/>
      <c r="H964" s="279"/>
      <c r="J964" s="279"/>
      <c r="K964" s="279"/>
    </row>
    <row r="965">
      <c r="E965" s="279"/>
      <c r="F965" s="279"/>
      <c r="G965" s="279"/>
      <c r="H965" s="279"/>
      <c r="J965" s="279"/>
      <c r="K965" s="279"/>
    </row>
    <row r="966">
      <c r="E966" s="279"/>
      <c r="F966" s="279"/>
      <c r="G966" s="279"/>
      <c r="H966" s="279"/>
      <c r="J966" s="279"/>
      <c r="K966" s="279"/>
    </row>
    <row r="967">
      <c r="E967" s="279"/>
      <c r="F967" s="279"/>
      <c r="G967" s="279"/>
      <c r="H967" s="279"/>
      <c r="J967" s="279"/>
      <c r="K967" s="279"/>
    </row>
    <row r="968">
      <c r="E968" s="279"/>
      <c r="F968" s="279"/>
      <c r="G968" s="279"/>
      <c r="H968" s="279"/>
      <c r="J968" s="279"/>
      <c r="K968" s="279"/>
    </row>
    <row r="969">
      <c r="E969" s="279"/>
      <c r="F969" s="279"/>
      <c r="G969" s="279"/>
      <c r="H969" s="279"/>
      <c r="J969" s="279"/>
      <c r="K969" s="279"/>
    </row>
    <row r="970">
      <c r="E970" s="279"/>
      <c r="F970" s="279"/>
      <c r="G970" s="279"/>
      <c r="H970" s="279"/>
      <c r="J970" s="279"/>
      <c r="K970" s="279"/>
    </row>
    <row r="971">
      <c r="E971" s="279"/>
      <c r="F971" s="279"/>
      <c r="G971" s="279"/>
      <c r="H971" s="279"/>
      <c r="J971" s="279"/>
      <c r="K971" s="279"/>
    </row>
    <row r="972">
      <c r="E972" s="279"/>
      <c r="F972" s="279"/>
      <c r="G972" s="279"/>
      <c r="H972" s="279"/>
      <c r="J972" s="279"/>
      <c r="K972" s="279"/>
    </row>
    <row r="973">
      <c r="E973" s="279"/>
      <c r="F973" s="279"/>
      <c r="G973" s="279"/>
      <c r="H973" s="279"/>
      <c r="J973" s="279"/>
      <c r="K973" s="279"/>
    </row>
    <row r="974">
      <c r="E974" s="279"/>
      <c r="F974" s="279"/>
      <c r="G974" s="279"/>
      <c r="H974" s="279"/>
      <c r="J974" s="279"/>
      <c r="K974" s="279"/>
    </row>
    <row r="975">
      <c r="E975" s="279"/>
      <c r="F975" s="279"/>
      <c r="G975" s="279"/>
      <c r="H975" s="279"/>
      <c r="J975" s="279"/>
      <c r="K975" s="279"/>
    </row>
    <row r="976">
      <c r="E976" s="279"/>
      <c r="F976" s="279"/>
      <c r="G976" s="279"/>
      <c r="H976" s="279"/>
      <c r="J976" s="279"/>
      <c r="K976" s="279"/>
    </row>
    <row r="977">
      <c r="E977" s="279"/>
      <c r="F977" s="279"/>
      <c r="G977" s="279"/>
      <c r="H977" s="279"/>
      <c r="J977" s="279"/>
      <c r="K977" s="279"/>
    </row>
    <row r="978">
      <c r="E978" s="279"/>
      <c r="F978" s="279"/>
      <c r="G978" s="279"/>
      <c r="H978" s="279"/>
      <c r="J978" s="279"/>
      <c r="K978" s="279"/>
    </row>
    <row r="979">
      <c r="E979" s="279"/>
      <c r="F979" s="279"/>
      <c r="G979" s="279"/>
      <c r="H979" s="279"/>
      <c r="J979" s="279"/>
      <c r="K979" s="279"/>
    </row>
    <row r="980">
      <c r="E980" s="279"/>
      <c r="F980" s="279"/>
      <c r="G980" s="279"/>
      <c r="H980" s="279"/>
      <c r="J980" s="279"/>
      <c r="K980" s="279"/>
    </row>
    <row r="981">
      <c r="E981" s="279"/>
      <c r="F981" s="279"/>
      <c r="G981" s="279"/>
      <c r="H981" s="279"/>
      <c r="J981" s="279"/>
      <c r="K981" s="279"/>
    </row>
    <row r="982">
      <c r="E982" s="279"/>
      <c r="F982" s="279"/>
      <c r="G982" s="279"/>
      <c r="H982" s="279"/>
      <c r="J982" s="279"/>
      <c r="K982" s="279"/>
    </row>
    <row r="983">
      <c r="E983" s="279"/>
      <c r="F983" s="279"/>
      <c r="G983" s="279"/>
      <c r="H983" s="279"/>
      <c r="J983" s="279"/>
      <c r="K983" s="279"/>
    </row>
    <row r="984">
      <c r="E984" s="279"/>
      <c r="F984" s="279"/>
      <c r="G984" s="279"/>
      <c r="H984" s="279"/>
      <c r="J984" s="279"/>
      <c r="K984" s="279"/>
    </row>
    <row r="985">
      <c r="E985" s="279"/>
      <c r="F985" s="279"/>
      <c r="G985" s="279"/>
      <c r="H985" s="279"/>
      <c r="J985" s="279"/>
      <c r="K985" s="279"/>
    </row>
    <row r="986">
      <c r="E986" s="279"/>
      <c r="F986" s="279"/>
      <c r="G986" s="279"/>
      <c r="H986" s="279"/>
      <c r="J986" s="279"/>
      <c r="K986" s="279"/>
    </row>
    <row r="987">
      <c r="E987" s="279"/>
      <c r="F987" s="279"/>
      <c r="G987" s="279"/>
      <c r="H987" s="279"/>
      <c r="J987" s="279"/>
      <c r="K987" s="279"/>
    </row>
    <row r="988">
      <c r="E988" s="279"/>
      <c r="F988" s="279"/>
      <c r="G988" s="279"/>
      <c r="H988" s="279"/>
      <c r="J988" s="279"/>
      <c r="K988" s="279"/>
    </row>
    <row r="989">
      <c r="E989" s="279"/>
      <c r="F989" s="279"/>
      <c r="G989" s="279"/>
      <c r="H989" s="279"/>
      <c r="J989" s="279"/>
      <c r="K989" s="279"/>
    </row>
    <row r="990">
      <c r="E990" s="279"/>
      <c r="F990" s="279"/>
      <c r="G990" s="279"/>
      <c r="H990" s="279"/>
      <c r="J990" s="279"/>
      <c r="K990" s="279"/>
    </row>
    <row r="991">
      <c r="E991" s="279"/>
      <c r="F991" s="279"/>
      <c r="G991" s="279"/>
      <c r="H991" s="279"/>
      <c r="J991" s="279"/>
      <c r="K991" s="279"/>
    </row>
    <row r="992">
      <c r="E992" s="279"/>
      <c r="F992" s="279"/>
      <c r="G992" s="279"/>
      <c r="H992" s="279"/>
      <c r="J992" s="279"/>
      <c r="K992" s="279"/>
    </row>
    <row r="993">
      <c r="E993" s="279"/>
      <c r="F993" s="279"/>
      <c r="G993" s="279"/>
      <c r="H993" s="279"/>
      <c r="J993" s="279"/>
      <c r="K993" s="279"/>
    </row>
    <row r="994">
      <c r="E994" s="279"/>
      <c r="F994" s="279"/>
      <c r="G994" s="279"/>
      <c r="H994" s="279"/>
      <c r="J994" s="279"/>
      <c r="K994" s="279"/>
    </row>
    <row r="995">
      <c r="E995" s="279"/>
      <c r="F995" s="279"/>
      <c r="G995" s="279"/>
      <c r="H995" s="279"/>
      <c r="J995" s="279"/>
      <c r="K995" s="279"/>
    </row>
    <row r="996">
      <c r="E996" s="279"/>
      <c r="F996" s="279"/>
      <c r="G996" s="279"/>
      <c r="H996" s="279"/>
      <c r="J996" s="279"/>
      <c r="K996" s="279"/>
    </row>
    <row r="997">
      <c r="E997" s="279"/>
      <c r="F997" s="279"/>
      <c r="G997" s="279"/>
      <c r="H997" s="279"/>
      <c r="J997" s="279"/>
      <c r="K997" s="279"/>
    </row>
    <row r="998">
      <c r="E998" s="279"/>
      <c r="F998" s="279"/>
      <c r="G998" s="279"/>
      <c r="H998" s="279"/>
      <c r="J998" s="279"/>
      <c r="K998" s="27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34.63"/>
  </cols>
  <sheetData>
    <row r="1">
      <c r="A1" s="1" t="s">
        <v>0</v>
      </c>
      <c r="B1" s="1" t="s">
        <v>1</v>
      </c>
      <c r="C1" s="280" t="s">
        <v>3752</v>
      </c>
      <c r="D1" s="281" t="s">
        <v>2</v>
      </c>
      <c r="E1" s="281" t="s">
        <v>3</v>
      </c>
      <c r="F1" s="281" t="s">
        <v>4</v>
      </c>
      <c r="G1" s="281" t="s">
        <v>5</v>
      </c>
      <c r="H1" s="282" t="s">
        <v>6</v>
      </c>
      <c r="I1" s="280" t="s">
        <v>7</v>
      </c>
      <c r="J1" s="280" t="s">
        <v>8</v>
      </c>
      <c r="K1" s="4" t="s">
        <v>3877</v>
      </c>
      <c r="L1" s="1" t="s">
        <v>11</v>
      </c>
      <c r="M1" s="1" t="s">
        <v>12</v>
      </c>
      <c r="N1" s="1" t="s">
        <v>41</v>
      </c>
      <c r="O1" s="5" t="s">
        <v>42</v>
      </c>
      <c r="P1" s="1" t="s">
        <v>43</v>
      </c>
      <c r="Q1" s="1" t="s">
        <v>44</v>
      </c>
      <c r="R1" s="1" t="s">
        <v>45</v>
      </c>
      <c r="S1" s="1" t="s">
        <v>46</v>
      </c>
      <c r="T1" s="1" t="s">
        <v>47</v>
      </c>
      <c r="U1" s="5" t="s">
        <v>48</v>
      </c>
    </row>
    <row r="2">
      <c r="A2" s="9" t="s">
        <v>3936</v>
      </c>
      <c r="B2" s="283" t="s">
        <v>3937</v>
      </c>
      <c r="C2" s="283" t="s">
        <v>3938</v>
      </c>
      <c r="D2" s="283" t="s">
        <v>3939</v>
      </c>
      <c r="E2" s="283" t="s">
        <v>99</v>
      </c>
      <c r="F2" s="283" t="s">
        <v>3882</v>
      </c>
      <c r="G2" s="283" t="s">
        <v>3940</v>
      </c>
      <c r="H2" s="283">
        <f>675+315</f>
        <v>990</v>
      </c>
      <c r="I2" s="284"/>
      <c r="J2" s="283" t="s">
        <v>55</v>
      </c>
      <c r="K2" s="283" t="s">
        <v>3941</v>
      </c>
      <c r="L2" s="283" t="s">
        <v>1514</v>
      </c>
      <c r="M2" s="283" t="s">
        <v>3942</v>
      </c>
      <c r="N2" s="217" t="s">
        <v>3943</v>
      </c>
      <c r="O2" s="285" t="s">
        <v>3944</v>
      </c>
      <c r="P2" s="217" t="s">
        <v>3945</v>
      </c>
      <c r="Q2" s="217" t="s">
        <v>3946</v>
      </c>
      <c r="R2" s="217" t="s">
        <v>3947</v>
      </c>
      <c r="S2" s="217" t="s">
        <v>3948</v>
      </c>
      <c r="T2" s="217" t="s">
        <v>3949</v>
      </c>
      <c r="U2" s="92"/>
      <c r="V2" s="92"/>
      <c r="W2" s="92"/>
      <c r="X2" s="92"/>
      <c r="Y2" s="92"/>
      <c r="Z2" s="92"/>
      <c r="AA2" s="92"/>
    </row>
    <row r="3">
      <c r="A3" s="9" t="s">
        <v>3950</v>
      </c>
      <c r="B3" s="283" t="s">
        <v>3951</v>
      </c>
      <c r="C3" s="283" t="s">
        <v>3952</v>
      </c>
      <c r="D3" s="286" t="s">
        <v>3953</v>
      </c>
      <c r="E3" s="283" t="s">
        <v>99</v>
      </c>
      <c r="F3" s="283" t="s">
        <v>3882</v>
      </c>
      <c r="G3" s="283" t="s">
        <v>3954</v>
      </c>
      <c r="H3" s="283">
        <f>399+349</f>
        <v>748</v>
      </c>
      <c r="I3" s="284"/>
      <c r="J3" s="283" t="s">
        <v>55</v>
      </c>
      <c r="K3" s="283" t="s">
        <v>3955</v>
      </c>
      <c r="L3" s="283" t="s">
        <v>203</v>
      </c>
      <c r="M3" s="283" t="s">
        <v>3956</v>
      </c>
      <c r="N3" s="217" t="s">
        <v>3957</v>
      </c>
      <c r="O3" s="217" t="s">
        <v>3958</v>
      </c>
      <c r="P3" s="217" t="s">
        <v>3959</v>
      </c>
      <c r="Q3" s="217" t="s">
        <v>3960</v>
      </c>
      <c r="R3" s="217" t="s">
        <v>3961</v>
      </c>
      <c r="S3" s="217" t="s">
        <v>3962</v>
      </c>
      <c r="T3" s="217" t="s">
        <v>3963</v>
      </c>
      <c r="U3" s="92"/>
      <c r="V3" s="92"/>
      <c r="W3" s="92"/>
      <c r="X3" s="92"/>
      <c r="Y3" s="92"/>
      <c r="Z3" s="92"/>
      <c r="AA3" s="92"/>
    </row>
    <row r="4">
      <c r="A4" s="9" t="s">
        <v>3964</v>
      </c>
      <c r="B4" s="283" t="s">
        <v>3965</v>
      </c>
      <c r="C4" s="283" t="s">
        <v>3966</v>
      </c>
      <c r="D4" s="283" t="s">
        <v>3240</v>
      </c>
      <c r="E4" s="283" t="s">
        <v>99</v>
      </c>
      <c r="F4" s="283" t="s">
        <v>3882</v>
      </c>
      <c r="G4" s="283" t="s">
        <v>3967</v>
      </c>
      <c r="H4" s="283">
        <f>1090+1260</f>
        <v>2350</v>
      </c>
      <c r="I4" s="284"/>
      <c r="J4" s="283" t="s">
        <v>55</v>
      </c>
      <c r="K4" s="283" t="s">
        <v>3968</v>
      </c>
      <c r="L4" s="283" t="s">
        <v>3969</v>
      </c>
      <c r="M4" s="283" t="s">
        <v>3970</v>
      </c>
      <c r="N4" s="217" t="s">
        <v>3971</v>
      </c>
      <c r="O4" s="217" t="s">
        <v>3972</v>
      </c>
      <c r="P4" s="217" t="s">
        <v>3973</v>
      </c>
      <c r="Q4" s="217" t="s">
        <v>3974</v>
      </c>
      <c r="R4" s="217" t="s">
        <v>3975</v>
      </c>
      <c r="S4" s="217" t="s">
        <v>3976</v>
      </c>
      <c r="T4" s="217" t="s">
        <v>3977</v>
      </c>
      <c r="U4" s="92"/>
      <c r="V4" s="92"/>
      <c r="W4" s="92"/>
      <c r="X4" s="92"/>
      <c r="Y4" s="92"/>
      <c r="Z4" s="92"/>
      <c r="AA4" s="92"/>
    </row>
    <row r="5">
      <c r="A5" s="9" t="s">
        <v>3978</v>
      </c>
      <c r="B5" s="283" t="s">
        <v>3979</v>
      </c>
      <c r="C5" s="283" t="s">
        <v>3980</v>
      </c>
      <c r="D5" s="283" t="s">
        <v>3981</v>
      </c>
      <c r="E5" s="283" t="s">
        <v>99</v>
      </c>
      <c r="F5" s="283" t="s">
        <v>3882</v>
      </c>
      <c r="G5" s="283" t="s">
        <v>3982</v>
      </c>
      <c r="H5" s="283">
        <f>399+299</f>
        <v>698</v>
      </c>
      <c r="I5" s="284"/>
      <c r="J5" s="283" t="s">
        <v>55</v>
      </c>
      <c r="K5" s="283" t="s">
        <v>3968</v>
      </c>
      <c r="L5" s="283" t="s">
        <v>154</v>
      </c>
      <c r="M5" s="283" t="s">
        <v>3983</v>
      </c>
      <c r="N5" s="287" t="s">
        <v>3984</v>
      </c>
      <c r="O5" s="287" t="s">
        <v>3985</v>
      </c>
      <c r="P5" s="287" t="s">
        <v>3986</v>
      </c>
      <c r="Q5" s="287" t="s">
        <v>3987</v>
      </c>
      <c r="R5" s="287" t="s">
        <v>3988</v>
      </c>
      <c r="S5" s="287" t="s">
        <v>3989</v>
      </c>
      <c r="T5" s="287" t="s">
        <v>3990</v>
      </c>
      <c r="U5" s="288"/>
      <c r="V5" s="289"/>
      <c r="W5" s="92"/>
      <c r="X5" s="92"/>
      <c r="Y5" s="92"/>
      <c r="Z5" s="92"/>
      <c r="AA5" s="92"/>
    </row>
    <row r="6">
      <c r="A6" s="9" t="s">
        <v>3991</v>
      </c>
      <c r="B6" s="283" t="s">
        <v>3992</v>
      </c>
      <c r="C6" s="218" t="s">
        <v>3993</v>
      </c>
      <c r="D6" s="218" t="s">
        <v>3994</v>
      </c>
      <c r="E6" s="283" t="s">
        <v>99</v>
      </c>
      <c r="F6" s="283" t="s">
        <v>3882</v>
      </c>
      <c r="G6" s="290" t="s">
        <v>3995</v>
      </c>
      <c r="H6" s="291">
        <f>2185+1300</f>
        <v>3485</v>
      </c>
      <c r="I6" s="247"/>
      <c r="J6" s="218" t="s">
        <v>2157</v>
      </c>
      <c r="K6" s="218" t="s">
        <v>3996</v>
      </c>
      <c r="L6" s="98" t="s">
        <v>88</v>
      </c>
      <c r="M6" s="98" t="s">
        <v>3997</v>
      </c>
      <c r="N6" s="98" t="s">
        <v>3998</v>
      </c>
      <c r="O6" s="98" t="s">
        <v>3999</v>
      </c>
      <c r="P6" s="98" t="s">
        <v>4000</v>
      </c>
      <c r="Q6" s="98" t="s">
        <v>4001</v>
      </c>
      <c r="R6" s="98" t="s">
        <v>4002</v>
      </c>
      <c r="S6" s="98" t="s">
        <v>4003</v>
      </c>
      <c r="T6" s="98" t="s">
        <v>4004</v>
      </c>
    </row>
    <row r="7">
      <c r="B7" s="247"/>
      <c r="C7" s="247"/>
      <c r="D7" s="247"/>
      <c r="E7" s="247"/>
      <c r="F7" s="247"/>
      <c r="G7" s="247"/>
      <c r="H7" s="247"/>
      <c r="I7" s="247"/>
      <c r="J7" s="247"/>
      <c r="K7" s="247"/>
      <c r="L7" s="247"/>
      <c r="M7" s="247"/>
    </row>
    <row r="8">
      <c r="B8" s="247"/>
      <c r="C8" s="247"/>
      <c r="D8" s="247"/>
      <c r="E8" s="247"/>
      <c r="F8" s="247"/>
      <c r="G8" s="247"/>
      <c r="H8" s="29"/>
      <c r="I8" s="29"/>
      <c r="J8" s="247"/>
      <c r="K8" s="247"/>
      <c r="L8" s="247"/>
      <c r="M8" s="247"/>
    </row>
    <row r="9">
      <c r="B9" s="247"/>
      <c r="C9" s="247"/>
      <c r="D9" s="247"/>
      <c r="E9" s="247"/>
      <c r="F9" s="248"/>
      <c r="G9" s="248"/>
      <c r="H9" s="248"/>
      <c r="I9" s="248"/>
      <c r="J9" s="248"/>
      <c r="K9" s="248"/>
      <c r="L9" s="248"/>
      <c r="M9" s="248"/>
      <c r="N9" s="55"/>
      <c r="O9" s="55"/>
    </row>
    <row r="10">
      <c r="B10" s="247"/>
      <c r="C10" s="247"/>
      <c r="D10" s="247"/>
      <c r="E10" s="247"/>
      <c r="F10" s="247"/>
      <c r="G10" s="247"/>
      <c r="H10" s="247"/>
      <c r="I10" s="247"/>
      <c r="J10" s="292"/>
      <c r="K10" s="247"/>
      <c r="L10" s="247"/>
      <c r="M10" s="247"/>
    </row>
    <row r="11">
      <c r="B11" s="247"/>
      <c r="C11" s="247"/>
      <c r="D11" s="247"/>
      <c r="E11" s="247"/>
      <c r="F11" s="247"/>
      <c r="G11" s="247"/>
      <c r="H11" s="247"/>
      <c r="I11" s="247"/>
      <c r="J11" s="247"/>
      <c r="K11" s="247"/>
      <c r="L11" s="247"/>
      <c r="M11" s="247"/>
    </row>
    <row r="12">
      <c r="B12" s="247"/>
      <c r="C12" s="247"/>
      <c r="D12" s="247"/>
      <c r="E12" s="247"/>
      <c r="F12" s="247"/>
      <c r="G12" s="247"/>
      <c r="H12" s="247"/>
      <c r="I12" s="247"/>
      <c r="J12" s="247"/>
      <c r="K12" s="247"/>
      <c r="L12" s="247"/>
      <c r="M12" s="247"/>
    </row>
    <row r="13">
      <c r="B13" s="247"/>
      <c r="C13" s="247"/>
      <c r="D13" s="247"/>
      <c r="E13" s="247"/>
      <c r="F13" s="247"/>
      <c r="G13" s="247"/>
      <c r="H13" s="247"/>
      <c r="I13" s="247"/>
      <c r="J13" s="247"/>
      <c r="K13" s="247"/>
      <c r="L13" s="247"/>
      <c r="M13" s="247"/>
    </row>
    <row r="14">
      <c r="B14" s="247"/>
      <c r="C14" s="247"/>
      <c r="D14" s="247"/>
      <c r="E14" s="247"/>
      <c r="F14" s="247"/>
      <c r="G14" s="247"/>
      <c r="H14" s="247"/>
      <c r="I14" s="247"/>
      <c r="J14" s="247"/>
      <c r="K14" s="247"/>
      <c r="L14" s="247"/>
      <c r="M14" s="247"/>
    </row>
    <row r="15">
      <c r="B15" s="247"/>
      <c r="C15" s="247"/>
      <c r="D15" s="247"/>
      <c r="E15" s="247"/>
      <c r="F15" s="247"/>
      <c r="G15" s="55"/>
      <c r="H15" s="55"/>
      <c r="I15" s="55"/>
      <c r="J15" s="55"/>
      <c r="K15" s="55"/>
      <c r="L15" s="55"/>
      <c r="M15" s="55"/>
      <c r="N15" s="55"/>
      <c r="O15" s="55"/>
      <c r="P15" s="55"/>
    </row>
    <row r="16">
      <c r="B16" s="247"/>
      <c r="C16" s="247"/>
      <c r="D16" s="247"/>
      <c r="E16" s="247"/>
      <c r="F16" s="247"/>
    </row>
    <row r="17">
      <c r="B17" s="247"/>
      <c r="C17" s="247"/>
      <c r="D17" s="247"/>
      <c r="E17" s="247"/>
      <c r="F17" s="247"/>
      <c r="G17" s="247"/>
      <c r="H17" s="247"/>
      <c r="I17" s="247"/>
      <c r="J17" s="247"/>
      <c r="K17" s="247"/>
      <c r="L17" s="247"/>
      <c r="M17" s="247"/>
    </row>
    <row r="18">
      <c r="B18" s="247"/>
      <c r="C18" s="247"/>
      <c r="D18" s="247"/>
      <c r="E18" s="247"/>
      <c r="F18" s="247"/>
      <c r="G18" s="247"/>
      <c r="H18" s="247"/>
      <c r="I18" s="247"/>
      <c r="J18" s="247"/>
      <c r="K18" s="247"/>
      <c r="L18" s="247"/>
      <c r="M18" s="247"/>
    </row>
    <row r="19">
      <c r="B19" s="247"/>
      <c r="C19" s="247"/>
      <c r="D19" s="247"/>
      <c r="E19" s="247"/>
      <c r="F19" s="247"/>
      <c r="G19" s="247"/>
      <c r="H19" s="247"/>
      <c r="I19" s="247"/>
      <c r="J19" s="247"/>
      <c r="K19" s="247"/>
      <c r="L19" s="247"/>
      <c r="M19" s="247"/>
    </row>
    <row r="20">
      <c r="B20" s="247"/>
      <c r="C20" s="247"/>
      <c r="D20" s="247"/>
      <c r="E20" s="247"/>
      <c r="F20" s="247"/>
      <c r="G20" s="247"/>
      <c r="H20" s="247"/>
      <c r="I20" s="247"/>
      <c r="J20" s="247"/>
      <c r="K20" s="247"/>
      <c r="L20" s="247"/>
      <c r="M20" s="247"/>
    </row>
    <row r="21">
      <c r="B21" s="247"/>
      <c r="C21" s="247"/>
      <c r="D21" s="247"/>
      <c r="E21" s="247"/>
      <c r="F21" s="247"/>
      <c r="G21" s="247"/>
      <c r="H21" s="247"/>
      <c r="I21" s="247"/>
      <c r="J21" s="247"/>
      <c r="K21" s="247"/>
      <c r="L21" s="247"/>
      <c r="M21" s="247"/>
    </row>
    <row r="22">
      <c r="B22" s="247"/>
      <c r="C22" s="247"/>
      <c r="D22" s="247"/>
      <c r="E22" s="247"/>
      <c r="F22" s="247"/>
      <c r="G22" s="247"/>
      <c r="H22" s="247"/>
      <c r="I22" s="247"/>
      <c r="J22" s="247"/>
      <c r="K22" s="247"/>
      <c r="L22" s="247"/>
      <c r="M22" s="247"/>
    </row>
    <row r="23">
      <c r="B23" s="247"/>
      <c r="C23" s="247"/>
      <c r="D23" s="247"/>
      <c r="E23" s="247"/>
      <c r="F23" s="247"/>
      <c r="G23" s="247"/>
      <c r="H23" s="247"/>
      <c r="I23" s="247"/>
      <c r="J23" s="247"/>
      <c r="K23" s="247"/>
      <c r="L23" s="247"/>
      <c r="M23" s="247"/>
    </row>
    <row r="24">
      <c r="B24" s="247"/>
      <c r="C24" s="247"/>
      <c r="D24" s="247"/>
      <c r="E24" s="247"/>
      <c r="F24" s="247"/>
      <c r="G24" s="247"/>
      <c r="H24" s="247"/>
      <c r="I24" s="247"/>
      <c r="J24" s="247"/>
      <c r="K24" s="247"/>
      <c r="L24" s="247"/>
      <c r="M24" s="247"/>
    </row>
    <row r="25">
      <c r="B25" s="247"/>
      <c r="C25" s="247"/>
      <c r="D25" s="247"/>
      <c r="E25" s="247"/>
      <c r="F25" s="247"/>
      <c r="G25" s="247"/>
      <c r="H25" s="247"/>
      <c r="I25" s="247"/>
      <c r="J25" s="247"/>
      <c r="K25" s="247"/>
      <c r="L25" s="247"/>
      <c r="M25" s="247"/>
    </row>
    <row r="26">
      <c r="B26" s="247"/>
      <c r="C26" s="247"/>
      <c r="D26" s="247"/>
      <c r="E26" s="247"/>
      <c r="F26" s="247"/>
      <c r="G26" s="247"/>
      <c r="H26" s="247"/>
      <c r="I26" s="247"/>
      <c r="J26" s="247"/>
      <c r="K26" s="247"/>
      <c r="L26" s="247"/>
      <c r="M26" s="247"/>
    </row>
    <row r="27">
      <c r="B27" s="247"/>
      <c r="C27" s="247"/>
      <c r="D27" s="247"/>
      <c r="E27" s="247"/>
      <c r="F27" s="247"/>
      <c r="G27" s="247"/>
      <c r="H27" s="247"/>
      <c r="I27" s="247"/>
      <c r="J27" s="247"/>
      <c r="K27" s="247"/>
      <c r="L27" s="247"/>
      <c r="M27" s="247"/>
    </row>
    <row r="28">
      <c r="B28" s="247"/>
      <c r="C28" s="247"/>
      <c r="D28" s="247"/>
      <c r="E28" s="247"/>
      <c r="F28" s="247"/>
      <c r="G28" s="247"/>
      <c r="H28" s="247"/>
      <c r="I28" s="247"/>
      <c r="J28" s="247"/>
      <c r="K28" s="247"/>
      <c r="L28" s="247"/>
      <c r="M28" s="247"/>
    </row>
    <row r="29">
      <c r="B29" s="247"/>
      <c r="C29" s="247"/>
      <c r="D29" s="247"/>
      <c r="E29" s="247"/>
      <c r="F29" s="247"/>
      <c r="G29" s="247"/>
      <c r="H29" s="247"/>
      <c r="I29" s="247"/>
      <c r="J29" s="247"/>
      <c r="K29" s="247"/>
      <c r="L29" s="247"/>
      <c r="M29" s="247"/>
    </row>
    <row r="30">
      <c r="B30" s="247"/>
      <c r="C30" s="247"/>
      <c r="D30" s="247"/>
      <c r="E30" s="247"/>
      <c r="F30" s="247"/>
      <c r="G30" s="247"/>
      <c r="H30" s="247"/>
      <c r="I30" s="247"/>
      <c r="J30" s="247"/>
      <c r="K30" s="247"/>
      <c r="L30" s="247"/>
      <c r="M30" s="247"/>
    </row>
    <row r="31">
      <c r="B31" s="247"/>
      <c r="C31" s="247"/>
      <c r="D31" s="247"/>
      <c r="E31" s="247"/>
      <c r="F31" s="247"/>
      <c r="G31" s="247"/>
      <c r="H31" s="247"/>
      <c r="I31" s="247"/>
      <c r="J31" s="247"/>
      <c r="K31" s="247"/>
      <c r="L31" s="247"/>
      <c r="M31" s="247"/>
    </row>
    <row r="32">
      <c r="B32" s="247"/>
      <c r="C32" s="247"/>
      <c r="D32" s="247"/>
      <c r="E32" s="247"/>
      <c r="F32" s="247"/>
      <c r="G32" s="247"/>
      <c r="H32" s="247"/>
      <c r="I32" s="247"/>
      <c r="J32" s="247"/>
      <c r="K32" s="247"/>
      <c r="L32" s="247"/>
      <c r="M32" s="247"/>
    </row>
    <row r="33">
      <c r="B33" s="247"/>
      <c r="C33" s="247"/>
      <c r="D33" s="247"/>
      <c r="E33" s="247"/>
      <c r="F33" s="247"/>
      <c r="G33" s="247"/>
      <c r="H33" s="247"/>
      <c r="I33" s="247"/>
      <c r="J33" s="247"/>
      <c r="K33" s="247"/>
      <c r="L33" s="247"/>
      <c r="M33" s="247"/>
    </row>
    <row r="34">
      <c r="B34" s="247"/>
      <c r="C34" s="247"/>
      <c r="D34" s="247"/>
      <c r="E34" s="247"/>
      <c r="F34" s="247"/>
      <c r="G34" s="247"/>
      <c r="H34" s="247"/>
      <c r="I34" s="247"/>
      <c r="J34" s="247"/>
      <c r="K34" s="247"/>
      <c r="L34" s="247"/>
      <c r="M34" s="247"/>
    </row>
    <row r="35">
      <c r="B35" s="247"/>
      <c r="C35" s="247"/>
      <c r="D35" s="247"/>
      <c r="E35" s="247"/>
      <c r="F35" s="247"/>
      <c r="G35" s="247"/>
      <c r="H35" s="247"/>
      <c r="I35" s="247"/>
      <c r="J35" s="247"/>
      <c r="K35" s="247"/>
      <c r="L35" s="247"/>
      <c r="M35" s="247"/>
    </row>
    <row r="36">
      <c r="B36" s="247"/>
      <c r="C36" s="247"/>
      <c r="D36" s="247"/>
      <c r="E36" s="247"/>
      <c r="F36" s="247"/>
      <c r="G36" s="247"/>
      <c r="H36" s="247"/>
      <c r="I36" s="247"/>
      <c r="J36" s="247"/>
      <c r="K36" s="247"/>
      <c r="L36" s="247"/>
      <c r="M36" s="247"/>
    </row>
    <row r="37">
      <c r="B37" s="247"/>
      <c r="C37" s="247"/>
      <c r="D37" s="247"/>
      <c r="E37" s="247"/>
      <c r="F37" s="247"/>
      <c r="G37" s="247"/>
      <c r="H37" s="247"/>
      <c r="I37" s="247"/>
      <c r="J37" s="247"/>
      <c r="K37" s="247"/>
      <c r="L37" s="247"/>
      <c r="M37" s="247"/>
    </row>
    <row r="38">
      <c r="B38" s="247"/>
      <c r="C38" s="247"/>
      <c r="D38" s="247"/>
      <c r="E38" s="247"/>
      <c r="F38" s="247"/>
      <c r="G38" s="247"/>
      <c r="H38" s="247"/>
      <c r="I38" s="247"/>
      <c r="J38" s="247"/>
      <c r="K38" s="247"/>
      <c r="L38" s="247"/>
      <c r="M38" s="247"/>
    </row>
    <row r="39">
      <c r="B39" s="247"/>
      <c r="C39" s="247"/>
      <c r="D39" s="247"/>
      <c r="E39" s="247"/>
      <c r="F39" s="247"/>
      <c r="G39" s="247"/>
      <c r="H39" s="247"/>
      <c r="I39" s="247"/>
      <c r="J39" s="247"/>
      <c r="K39" s="247"/>
      <c r="L39" s="247"/>
      <c r="M39" s="247"/>
    </row>
    <row r="40">
      <c r="B40" s="247"/>
      <c r="C40" s="247"/>
      <c r="D40" s="247"/>
      <c r="E40" s="247"/>
      <c r="F40" s="247"/>
      <c r="G40" s="247"/>
      <c r="H40" s="247"/>
      <c r="I40" s="247"/>
      <c r="J40" s="247"/>
      <c r="K40" s="247"/>
      <c r="L40" s="247"/>
      <c r="M40" s="247"/>
    </row>
    <row r="41">
      <c r="B41" s="247"/>
      <c r="C41" s="247"/>
      <c r="D41" s="247"/>
      <c r="E41" s="247"/>
      <c r="F41" s="247"/>
      <c r="G41" s="247"/>
      <c r="H41" s="247"/>
      <c r="I41" s="247"/>
      <c r="J41" s="247"/>
      <c r="K41" s="247"/>
      <c r="L41" s="247"/>
      <c r="M41" s="247"/>
    </row>
    <row r="42">
      <c r="B42" s="247"/>
      <c r="C42" s="247"/>
      <c r="D42" s="247"/>
      <c r="E42" s="247"/>
      <c r="F42" s="247"/>
      <c r="G42" s="247"/>
      <c r="H42" s="247"/>
      <c r="I42" s="247"/>
      <c r="J42" s="247"/>
      <c r="K42" s="247"/>
      <c r="L42" s="247"/>
      <c r="M42" s="247"/>
    </row>
    <row r="43">
      <c r="B43" s="247"/>
      <c r="C43" s="247"/>
      <c r="D43" s="247"/>
      <c r="E43" s="247"/>
      <c r="F43" s="247"/>
      <c r="G43" s="247"/>
      <c r="H43" s="247"/>
      <c r="I43" s="247"/>
      <c r="J43" s="247"/>
      <c r="K43" s="247"/>
      <c r="L43" s="247"/>
      <c r="M43" s="247"/>
    </row>
    <row r="44">
      <c r="B44" s="247"/>
      <c r="C44" s="247"/>
      <c r="D44" s="247"/>
      <c r="E44" s="247"/>
      <c r="F44" s="247"/>
      <c r="G44" s="247"/>
      <c r="H44" s="247"/>
      <c r="I44" s="247"/>
      <c r="J44" s="247"/>
      <c r="K44" s="247"/>
      <c r="L44" s="247"/>
      <c r="M44" s="247"/>
    </row>
    <row r="45">
      <c r="B45" s="247"/>
      <c r="C45" s="247"/>
      <c r="D45" s="247"/>
      <c r="E45" s="247"/>
      <c r="F45" s="247"/>
      <c r="G45" s="247"/>
      <c r="H45" s="247"/>
      <c r="I45" s="247"/>
      <c r="J45" s="247"/>
      <c r="K45" s="247"/>
      <c r="L45" s="247"/>
      <c r="M45" s="247"/>
    </row>
    <row r="46">
      <c r="B46" s="247"/>
      <c r="C46" s="247"/>
      <c r="D46" s="247"/>
      <c r="E46" s="247"/>
      <c r="F46" s="247"/>
      <c r="G46" s="247"/>
      <c r="H46" s="247"/>
      <c r="I46" s="247"/>
      <c r="J46" s="247"/>
      <c r="K46" s="247"/>
      <c r="L46" s="247"/>
      <c r="M46" s="247"/>
    </row>
    <row r="47">
      <c r="B47" s="247"/>
      <c r="C47" s="247"/>
      <c r="D47" s="247"/>
      <c r="E47" s="247"/>
      <c r="F47" s="247"/>
      <c r="G47" s="247"/>
      <c r="H47" s="247"/>
      <c r="I47" s="247"/>
      <c r="J47" s="247"/>
      <c r="K47" s="247"/>
      <c r="L47" s="247"/>
      <c r="M47" s="247"/>
    </row>
    <row r="48">
      <c r="B48" s="247"/>
      <c r="C48" s="247"/>
      <c r="D48" s="247"/>
      <c r="E48" s="247"/>
      <c r="F48" s="247"/>
      <c r="G48" s="247"/>
      <c r="H48" s="247"/>
      <c r="I48" s="247"/>
      <c r="J48" s="247"/>
      <c r="K48" s="247"/>
      <c r="L48" s="247"/>
      <c r="M48" s="247"/>
    </row>
    <row r="49">
      <c r="B49" s="247"/>
      <c r="C49" s="247"/>
      <c r="D49" s="247"/>
      <c r="E49" s="247"/>
      <c r="F49" s="247"/>
      <c r="G49" s="247"/>
      <c r="H49" s="247"/>
      <c r="I49" s="247"/>
      <c r="J49" s="247"/>
      <c r="K49" s="247"/>
      <c r="L49" s="247"/>
      <c r="M49" s="247"/>
    </row>
    <row r="50">
      <c r="B50" s="247"/>
      <c r="C50" s="247"/>
      <c r="D50" s="247"/>
      <c r="E50" s="247"/>
      <c r="F50" s="247"/>
      <c r="G50" s="247"/>
      <c r="H50" s="247"/>
      <c r="I50" s="247"/>
      <c r="J50" s="247"/>
      <c r="K50" s="247"/>
      <c r="L50" s="247"/>
      <c r="M50" s="247"/>
    </row>
    <row r="51">
      <c r="B51" s="247"/>
      <c r="C51" s="247"/>
      <c r="D51" s="247"/>
      <c r="E51" s="247"/>
      <c r="F51" s="247"/>
      <c r="G51" s="247"/>
      <c r="H51" s="247"/>
      <c r="I51" s="247"/>
      <c r="J51" s="247"/>
      <c r="K51" s="247"/>
      <c r="L51" s="247"/>
      <c r="M51" s="247"/>
    </row>
    <row r="52">
      <c r="B52" s="247"/>
      <c r="C52" s="247"/>
      <c r="D52" s="247"/>
      <c r="E52" s="247"/>
      <c r="F52" s="247"/>
      <c r="G52" s="247"/>
      <c r="H52" s="247"/>
      <c r="I52" s="247"/>
      <c r="J52" s="247"/>
      <c r="K52" s="247"/>
      <c r="L52" s="247"/>
      <c r="M52" s="247"/>
    </row>
    <row r="53">
      <c r="B53" s="247"/>
      <c r="C53" s="247"/>
      <c r="D53" s="247"/>
      <c r="E53" s="247"/>
      <c r="F53" s="247"/>
      <c r="G53" s="247"/>
      <c r="H53" s="247"/>
      <c r="I53" s="247"/>
      <c r="J53" s="247"/>
      <c r="K53" s="247"/>
      <c r="L53" s="247"/>
      <c r="M53" s="247"/>
    </row>
    <row r="54">
      <c r="B54" s="247"/>
      <c r="C54" s="247"/>
      <c r="D54" s="247"/>
      <c r="E54" s="247"/>
      <c r="F54" s="247"/>
      <c r="G54" s="247"/>
      <c r="H54" s="247"/>
      <c r="I54" s="247"/>
      <c r="J54" s="247"/>
      <c r="K54" s="247"/>
      <c r="L54" s="247"/>
      <c r="M54" s="247"/>
    </row>
    <row r="55">
      <c r="B55" s="247"/>
      <c r="C55" s="247"/>
      <c r="D55" s="247"/>
      <c r="E55" s="247"/>
      <c r="F55" s="247"/>
      <c r="G55" s="247"/>
      <c r="H55" s="247"/>
      <c r="I55" s="247"/>
      <c r="J55" s="247"/>
      <c r="K55" s="247"/>
      <c r="L55" s="247"/>
      <c r="M55" s="247"/>
    </row>
    <row r="56">
      <c r="B56" s="247"/>
      <c r="C56" s="247"/>
      <c r="D56" s="247"/>
      <c r="E56" s="247"/>
      <c r="F56" s="247"/>
      <c r="G56" s="247"/>
      <c r="H56" s="247"/>
      <c r="I56" s="247"/>
      <c r="J56" s="247"/>
      <c r="K56" s="247"/>
      <c r="L56" s="247"/>
      <c r="M56" s="247"/>
    </row>
    <row r="57">
      <c r="B57" s="247"/>
      <c r="C57" s="247"/>
      <c r="D57" s="247"/>
      <c r="E57" s="247"/>
      <c r="F57" s="247"/>
      <c r="G57" s="247"/>
      <c r="H57" s="247"/>
      <c r="I57" s="247"/>
      <c r="J57" s="247"/>
      <c r="K57" s="247"/>
      <c r="L57" s="247"/>
      <c r="M57" s="247"/>
    </row>
    <row r="58">
      <c r="B58" s="247"/>
      <c r="C58" s="247"/>
      <c r="D58" s="247"/>
      <c r="E58" s="247"/>
      <c r="F58" s="247"/>
      <c r="G58" s="247"/>
      <c r="H58" s="247"/>
      <c r="I58" s="247"/>
      <c r="J58" s="247"/>
      <c r="K58" s="247"/>
      <c r="L58" s="247"/>
      <c r="M58" s="247"/>
    </row>
    <row r="59">
      <c r="B59" s="247"/>
      <c r="C59" s="247"/>
      <c r="D59" s="247"/>
      <c r="E59" s="247"/>
      <c r="F59" s="247"/>
      <c r="G59" s="247"/>
      <c r="H59" s="247"/>
      <c r="I59" s="247"/>
      <c r="J59" s="247"/>
      <c r="K59" s="247"/>
      <c r="L59" s="247"/>
      <c r="M59" s="247"/>
    </row>
    <row r="60">
      <c r="B60" s="247"/>
      <c r="C60" s="247"/>
      <c r="D60" s="247"/>
      <c r="E60" s="247"/>
      <c r="F60" s="247"/>
      <c r="G60" s="247"/>
      <c r="H60" s="247"/>
      <c r="I60" s="247"/>
      <c r="J60" s="247"/>
      <c r="K60" s="247"/>
      <c r="L60" s="247"/>
      <c r="M60" s="247"/>
    </row>
    <row r="61">
      <c r="B61" s="247"/>
      <c r="C61" s="247"/>
      <c r="D61" s="247"/>
      <c r="E61" s="247"/>
      <c r="F61" s="247"/>
      <c r="G61" s="247"/>
      <c r="H61" s="247"/>
      <c r="I61" s="247"/>
      <c r="J61" s="247"/>
      <c r="K61" s="247"/>
      <c r="L61" s="247"/>
      <c r="M61" s="247"/>
    </row>
    <row r="62">
      <c r="B62" s="247"/>
      <c r="C62" s="247"/>
      <c r="D62" s="247"/>
      <c r="E62" s="247"/>
      <c r="F62" s="247"/>
      <c r="G62" s="247"/>
      <c r="H62" s="247"/>
      <c r="I62" s="247"/>
      <c r="J62" s="247"/>
      <c r="K62" s="247"/>
      <c r="L62" s="247"/>
      <c r="M62" s="247"/>
    </row>
    <row r="63">
      <c r="B63" s="247"/>
      <c r="C63" s="247"/>
      <c r="D63" s="247"/>
      <c r="E63" s="247"/>
      <c r="F63" s="247"/>
      <c r="G63" s="247"/>
      <c r="H63" s="247"/>
      <c r="I63" s="247"/>
      <c r="J63" s="247"/>
      <c r="K63" s="247"/>
      <c r="L63" s="247"/>
      <c r="M63" s="247"/>
    </row>
    <row r="64">
      <c r="B64" s="247"/>
      <c r="C64" s="247"/>
      <c r="D64" s="247"/>
      <c r="E64" s="247"/>
      <c r="F64" s="247"/>
      <c r="G64" s="247"/>
      <c r="H64" s="247"/>
      <c r="I64" s="247"/>
      <c r="J64" s="247"/>
      <c r="K64" s="247"/>
      <c r="L64" s="247"/>
      <c r="M64" s="247"/>
    </row>
    <row r="65">
      <c r="B65" s="247"/>
      <c r="C65" s="247"/>
      <c r="D65" s="247"/>
      <c r="E65" s="247"/>
      <c r="F65" s="247"/>
      <c r="G65" s="247"/>
      <c r="H65" s="247"/>
      <c r="I65" s="247"/>
      <c r="J65" s="247"/>
      <c r="K65" s="247"/>
      <c r="L65" s="247"/>
      <c r="M65" s="247"/>
    </row>
    <row r="66">
      <c r="B66" s="247"/>
      <c r="C66" s="247"/>
      <c r="D66" s="247"/>
      <c r="E66" s="247"/>
      <c r="F66" s="247"/>
      <c r="G66" s="247"/>
      <c r="H66" s="247"/>
      <c r="I66" s="247"/>
      <c r="J66" s="247"/>
      <c r="K66" s="247"/>
      <c r="L66" s="247"/>
      <c r="M66" s="247"/>
    </row>
    <row r="67">
      <c r="B67" s="247"/>
      <c r="C67" s="247"/>
      <c r="D67" s="247"/>
      <c r="E67" s="247"/>
      <c r="F67" s="247"/>
      <c r="G67" s="247"/>
      <c r="H67" s="247"/>
      <c r="I67" s="247"/>
      <c r="J67" s="247"/>
      <c r="K67" s="247"/>
      <c r="L67" s="247"/>
      <c r="M67" s="247"/>
    </row>
    <row r="68">
      <c r="B68" s="247"/>
      <c r="C68" s="247"/>
      <c r="D68" s="247"/>
      <c r="E68" s="247"/>
      <c r="F68" s="247"/>
      <c r="G68" s="247"/>
      <c r="H68" s="247"/>
      <c r="I68" s="247"/>
      <c r="J68" s="247"/>
      <c r="K68" s="247"/>
      <c r="L68" s="247"/>
      <c r="M68" s="247"/>
    </row>
    <row r="69">
      <c r="B69" s="247"/>
      <c r="C69" s="247"/>
      <c r="D69" s="247"/>
      <c r="E69" s="247"/>
      <c r="F69" s="247"/>
      <c r="G69" s="247"/>
      <c r="H69" s="247"/>
      <c r="I69" s="247"/>
      <c r="J69" s="247"/>
      <c r="K69" s="247"/>
      <c r="L69" s="247"/>
      <c r="M69" s="247"/>
    </row>
    <row r="70">
      <c r="B70" s="247"/>
      <c r="C70" s="247"/>
      <c r="D70" s="247"/>
      <c r="E70" s="247"/>
      <c r="F70" s="247"/>
      <c r="G70" s="247"/>
      <c r="H70" s="247"/>
      <c r="I70" s="247"/>
      <c r="J70" s="247"/>
      <c r="K70" s="247"/>
      <c r="L70" s="247"/>
      <c r="M70" s="247"/>
    </row>
    <row r="71">
      <c r="B71" s="247"/>
      <c r="C71" s="247"/>
      <c r="D71" s="247"/>
      <c r="E71" s="247"/>
      <c r="F71" s="247"/>
      <c r="G71" s="247"/>
      <c r="H71" s="247"/>
      <c r="I71" s="247"/>
      <c r="J71" s="247"/>
      <c r="K71" s="247"/>
      <c r="L71" s="247"/>
      <c r="M71" s="247"/>
    </row>
    <row r="72">
      <c r="B72" s="247"/>
      <c r="C72" s="247"/>
      <c r="D72" s="247"/>
      <c r="E72" s="247"/>
      <c r="F72" s="247"/>
      <c r="G72" s="247"/>
      <c r="H72" s="247"/>
      <c r="I72" s="247"/>
      <c r="J72" s="247"/>
      <c r="K72" s="247"/>
      <c r="L72" s="247"/>
      <c r="M72" s="247"/>
    </row>
    <row r="73">
      <c r="B73" s="247"/>
      <c r="C73" s="247"/>
      <c r="D73" s="247"/>
      <c r="E73" s="247"/>
      <c r="F73" s="247"/>
      <c r="G73" s="247"/>
      <c r="H73" s="247"/>
      <c r="I73" s="247"/>
      <c r="J73" s="247"/>
      <c r="K73" s="247"/>
      <c r="L73" s="247"/>
      <c r="M73" s="247"/>
    </row>
    <row r="74">
      <c r="B74" s="247"/>
      <c r="C74" s="247"/>
      <c r="D74" s="247"/>
      <c r="E74" s="247"/>
      <c r="F74" s="247"/>
      <c r="G74" s="247"/>
      <c r="H74" s="247"/>
      <c r="I74" s="247"/>
      <c r="J74" s="247"/>
      <c r="K74" s="247"/>
      <c r="L74" s="247"/>
      <c r="M74" s="247"/>
    </row>
    <row r="75">
      <c r="B75" s="247"/>
      <c r="C75" s="247"/>
      <c r="D75" s="247"/>
      <c r="E75" s="247"/>
      <c r="F75" s="247"/>
      <c r="G75" s="247"/>
      <c r="H75" s="247"/>
      <c r="I75" s="247"/>
      <c r="J75" s="247"/>
      <c r="K75" s="247"/>
      <c r="L75" s="247"/>
      <c r="M75" s="247"/>
    </row>
    <row r="76">
      <c r="B76" s="247"/>
      <c r="C76" s="247"/>
      <c r="D76" s="247"/>
      <c r="E76" s="247"/>
      <c r="F76" s="247"/>
      <c r="G76" s="247"/>
      <c r="H76" s="247"/>
      <c r="I76" s="247"/>
      <c r="J76" s="247"/>
      <c r="K76" s="247"/>
      <c r="L76" s="247"/>
      <c r="M76" s="247"/>
    </row>
    <row r="77">
      <c r="B77" s="247"/>
      <c r="C77" s="247"/>
      <c r="D77" s="247"/>
      <c r="E77" s="247"/>
      <c r="F77" s="247"/>
      <c r="G77" s="247"/>
      <c r="H77" s="247"/>
      <c r="I77" s="247"/>
      <c r="J77" s="247"/>
      <c r="K77" s="247"/>
      <c r="L77" s="247"/>
      <c r="M77" s="247"/>
    </row>
    <row r="78">
      <c r="B78" s="247"/>
      <c r="C78" s="247"/>
      <c r="D78" s="247"/>
      <c r="E78" s="247"/>
      <c r="F78" s="247"/>
      <c r="G78" s="247"/>
      <c r="H78" s="247"/>
      <c r="I78" s="247"/>
      <c r="J78" s="247"/>
      <c r="K78" s="247"/>
      <c r="L78" s="247"/>
      <c r="M78" s="247"/>
    </row>
    <row r="79">
      <c r="B79" s="247"/>
      <c r="C79" s="247"/>
      <c r="D79" s="247"/>
      <c r="E79" s="247"/>
      <c r="F79" s="247"/>
      <c r="G79" s="247"/>
      <c r="H79" s="247"/>
      <c r="I79" s="247"/>
      <c r="J79" s="247"/>
      <c r="K79" s="247"/>
      <c r="L79" s="247"/>
      <c r="M79" s="247"/>
    </row>
    <row r="80">
      <c r="B80" s="247"/>
      <c r="C80" s="247"/>
      <c r="D80" s="247"/>
      <c r="E80" s="247"/>
      <c r="F80" s="247"/>
      <c r="G80" s="247"/>
      <c r="H80" s="247"/>
      <c r="I80" s="247"/>
      <c r="J80" s="247"/>
      <c r="K80" s="247"/>
      <c r="L80" s="247"/>
      <c r="M80" s="247"/>
    </row>
    <row r="81">
      <c r="B81" s="247"/>
      <c r="C81" s="247"/>
      <c r="D81" s="247"/>
      <c r="E81" s="247"/>
      <c r="F81" s="247"/>
      <c r="G81" s="247"/>
      <c r="H81" s="247"/>
      <c r="I81" s="247"/>
      <c r="J81" s="247"/>
      <c r="K81" s="247"/>
      <c r="L81" s="247"/>
      <c r="M81" s="247"/>
    </row>
    <row r="82">
      <c r="B82" s="247"/>
      <c r="C82" s="247"/>
      <c r="D82" s="247"/>
      <c r="E82" s="247"/>
      <c r="F82" s="247"/>
      <c r="G82" s="247"/>
      <c r="H82" s="247"/>
      <c r="I82" s="247"/>
      <c r="J82" s="247"/>
      <c r="K82" s="247"/>
      <c r="L82" s="247"/>
      <c r="M82" s="247"/>
    </row>
    <row r="83">
      <c r="B83" s="247"/>
      <c r="C83" s="247"/>
      <c r="D83" s="247"/>
      <c r="E83" s="247"/>
      <c r="F83" s="247"/>
      <c r="G83" s="247"/>
      <c r="H83" s="247"/>
      <c r="I83" s="247"/>
      <c r="J83" s="247"/>
      <c r="K83" s="247"/>
      <c r="L83" s="247"/>
      <c r="M83" s="247"/>
    </row>
    <row r="84">
      <c r="B84" s="247"/>
      <c r="C84" s="247"/>
      <c r="D84" s="247"/>
      <c r="E84" s="247"/>
      <c r="F84" s="247"/>
      <c r="G84" s="247"/>
      <c r="H84" s="247"/>
      <c r="I84" s="247"/>
      <c r="J84" s="247"/>
      <c r="K84" s="247"/>
      <c r="L84" s="247"/>
      <c r="M84" s="247"/>
    </row>
    <row r="85">
      <c r="B85" s="247"/>
      <c r="C85" s="247"/>
      <c r="D85" s="247"/>
      <c r="E85" s="247"/>
      <c r="F85" s="247"/>
      <c r="G85" s="247"/>
      <c r="H85" s="247"/>
      <c r="I85" s="247"/>
      <c r="J85" s="247"/>
      <c r="K85" s="247"/>
      <c r="L85" s="247"/>
      <c r="M85" s="247"/>
    </row>
    <row r="86">
      <c r="B86" s="247"/>
      <c r="C86" s="247"/>
      <c r="D86" s="247"/>
      <c r="E86" s="247"/>
      <c r="F86" s="247"/>
      <c r="G86" s="247"/>
      <c r="H86" s="247"/>
      <c r="I86" s="247"/>
      <c r="J86" s="247"/>
      <c r="K86" s="247"/>
      <c r="L86" s="247"/>
      <c r="M86" s="247"/>
    </row>
    <row r="87">
      <c r="B87" s="247"/>
      <c r="C87" s="247"/>
      <c r="D87" s="247"/>
      <c r="E87" s="247"/>
      <c r="F87" s="247"/>
      <c r="G87" s="247"/>
      <c r="H87" s="247"/>
      <c r="I87" s="247"/>
      <c r="J87" s="247"/>
      <c r="K87" s="247"/>
      <c r="L87" s="247"/>
      <c r="M87" s="247"/>
    </row>
    <row r="88">
      <c r="B88" s="247"/>
      <c r="C88" s="247"/>
      <c r="D88" s="247"/>
      <c r="E88" s="247"/>
      <c r="F88" s="247"/>
      <c r="G88" s="247"/>
      <c r="H88" s="247"/>
      <c r="I88" s="247"/>
      <c r="J88" s="247"/>
      <c r="K88" s="247"/>
      <c r="L88" s="247"/>
      <c r="M88" s="247"/>
    </row>
    <row r="89">
      <c r="B89" s="247"/>
      <c r="C89" s="247"/>
      <c r="D89" s="247"/>
      <c r="E89" s="247"/>
      <c r="F89" s="247"/>
      <c r="G89" s="247"/>
      <c r="H89" s="247"/>
      <c r="I89" s="247"/>
      <c r="J89" s="247"/>
      <c r="K89" s="247"/>
      <c r="L89" s="247"/>
      <c r="M89" s="247"/>
    </row>
    <row r="90">
      <c r="B90" s="247"/>
      <c r="C90" s="247"/>
      <c r="D90" s="247"/>
      <c r="E90" s="247"/>
      <c r="F90" s="247"/>
      <c r="G90" s="247"/>
      <c r="H90" s="247"/>
      <c r="I90" s="247"/>
      <c r="J90" s="247"/>
      <c r="K90" s="247"/>
      <c r="L90" s="247"/>
      <c r="M90" s="247"/>
    </row>
    <row r="91">
      <c r="B91" s="247"/>
      <c r="C91" s="247"/>
      <c r="D91" s="247"/>
      <c r="E91" s="247"/>
      <c r="F91" s="247"/>
      <c r="G91" s="247"/>
      <c r="H91" s="247"/>
      <c r="I91" s="247"/>
      <c r="J91" s="247"/>
      <c r="K91" s="247"/>
      <c r="L91" s="247"/>
      <c r="M91" s="247"/>
    </row>
    <row r="92">
      <c r="B92" s="247"/>
      <c r="C92" s="247"/>
      <c r="D92" s="247"/>
      <c r="E92" s="247"/>
      <c r="F92" s="247"/>
      <c r="G92" s="247"/>
      <c r="H92" s="247"/>
      <c r="I92" s="247"/>
      <c r="J92" s="247"/>
      <c r="K92" s="247"/>
      <c r="L92" s="247"/>
      <c r="M92" s="247"/>
    </row>
    <row r="93">
      <c r="B93" s="247"/>
      <c r="C93" s="247"/>
      <c r="D93" s="247"/>
      <c r="E93" s="247"/>
      <c r="F93" s="247"/>
      <c r="G93" s="247"/>
      <c r="H93" s="247"/>
      <c r="I93" s="247"/>
      <c r="J93" s="247"/>
      <c r="K93" s="247"/>
      <c r="L93" s="247"/>
      <c r="M93" s="247"/>
    </row>
    <row r="94">
      <c r="B94" s="247"/>
      <c r="C94" s="247"/>
      <c r="D94" s="247"/>
      <c r="E94" s="247"/>
      <c r="F94" s="247"/>
      <c r="G94" s="247"/>
      <c r="H94" s="247"/>
      <c r="I94" s="247"/>
      <c r="J94" s="247"/>
      <c r="K94" s="247"/>
      <c r="L94" s="247"/>
      <c r="M94" s="247"/>
    </row>
    <row r="95">
      <c r="B95" s="247"/>
      <c r="C95" s="247"/>
      <c r="D95" s="247"/>
      <c r="E95" s="247"/>
      <c r="F95" s="247"/>
      <c r="G95" s="247"/>
      <c r="H95" s="247"/>
      <c r="I95" s="247"/>
      <c r="J95" s="247"/>
      <c r="K95" s="247"/>
      <c r="L95" s="247"/>
      <c r="M95" s="247"/>
    </row>
    <row r="96">
      <c r="B96" s="247"/>
      <c r="C96" s="247"/>
      <c r="D96" s="247"/>
      <c r="E96" s="247"/>
      <c r="F96" s="247"/>
      <c r="G96" s="247"/>
      <c r="H96" s="247"/>
      <c r="I96" s="247"/>
      <c r="J96" s="247"/>
      <c r="K96" s="247"/>
      <c r="L96" s="247"/>
      <c r="M96" s="247"/>
    </row>
    <row r="97">
      <c r="B97" s="247"/>
      <c r="C97" s="247"/>
      <c r="D97" s="247"/>
      <c r="E97" s="247"/>
      <c r="F97" s="247"/>
      <c r="G97" s="247"/>
      <c r="H97" s="247"/>
      <c r="I97" s="247"/>
      <c r="J97" s="247"/>
      <c r="K97" s="247"/>
      <c r="L97" s="247"/>
      <c r="M97" s="247"/>
    </row>
    <row r="98">
      <c r="B98" s="247"/>
      <c r="C98" s="247"/>
      <c r="D98" s="247"/>
      <c r="E98" s="247"/>
      <c r="F98" s="247"/>
      <c r="G98" s="247"/>
      <c r="H98" s="247"/>
      <c r="I98" s="247"/>
      <c r="J98" s="247"/>
      <c r="K98" s="247"/>
      <c r="L98" s="247"/>
      <c r="M98" s="247"/>
    </row>
    <row r="99">
      <c r="B99" s="247"/>
      <c r="C99" s="247"/>
      <c r="D99" s="247"/>
      <c r="E99" s="247"/>
      <c r="F99" s="247"/>
      <c r="G99" s="247"/>
      <c r="H99" s="247"/>
      <c r="I99" s="247"/>
      <c r="J99" s="247"/>
      <c r="K99" s="247"/>
      <c r="L99" s="247"/>
      <c r="M99" s="247"/>
    </row>
    <row r="100">
      <c r="B100" s="247"/>
      <c r="C100" s="247"/>
      <c r="D100" s="247"/>
      <c r="E100" s="247"/>
      <c r="F100" s="247"/>
      <c r="G100" s="247"/>
      <c r="H100" s="247"/>
      <c r="I100" s="247"/>
      <c r="J100" s="247"/>
      <c r="K100" s="247"/>
      <c r="L100" s="247"/>
      <c r="M100" s="247"/>
    </row>
    <row r="101">
      <c r="B101" s="247"/>
      <c r="C101" s="247"/>
      <c r="D101" s="247"/>
      <c r="E101" s="247"/>
      <c r="F101" s="247"/>
      <c r="G101" s="247"/>
      <c r="H101" s="247"/>
      <c r="I101" s="247"/>
      <c r="J101" s="247"/>
      <c r="K101" s="247"/>
      <c r="L101" s="247"/>
      <c r="M101" s="247"/>
    </row>
    <row r="102">
      <c r="B102" s="247"/>
      <c r="C102" s="247"/>
      <c r="D102" s="247"/>
      <c r="E102" s="247"/>
      <c r="F102" s="247"/>
      <c r="G102" s="247"/>
      <c r="H102" s="247"/>
      <c r="I102" s="247"/>
      <c r="J102" s="247"/>
      <c r="K102" s="247"/>
      <c r="L102" s="247"/>
      <c r="M102" s="247"/>
    </row>
    <row r="103">
      <c r="B103" s="247"/>
      <c r="C103" s="247"/>
      <c r="D103" s="247"/>
      <c r="E103" s="247"/>
      <c r="F103" s="247"/>
      <c r="G103" s="247"/>
      <c r="H103" s="247"/>
      <c r="I103" s="247"/>
      <c r="J103" s="247"/>
      <c r="K103" s="247"/>
      <c r="L103" s="247"/>
      <c r="M103" s="247"/>
    </row>
    <row r="104">
      <c r="B104" s="247"/>
      <c r="C104" s="247"/>
      <c r="D104" s="247"/>
      <c r="E104" s="247"/>
      <c r="F104" s="247"/>
      <c r="G104" s="247"/>
      <c r="H104" s="247"/>
      <c r="I104" s="247"/>
      <c r="J104" s="247"/>
      <c r="K104" s="247"/>
      <c r="L104" s="247"/>
      <c r="M104" s="247"/>
    </row>
    <row r="105">
      <c r="B105" s="247"/>
      <c r="C105" s="247"/>
      <c r="D105" s="247"/>
      <c r="E105" s="247"/>
      <c r="F105" s="247"/>
      <c r="G105" s="247"/>
      <c r="H105" s="247"/>
      <c r="I105" s="247"/>
      <c r="J105" s="247"/>
      <c r="K105" s="247"/>
      <c r="L105" s="247"/>
      <c r="M105" s="247"/>
    </row>
    <row r="106">
      <c r="B106" s="247"/>
      <c r="C106" s="247"/>
      <c r="D106" s="247"/>
      <c r="E106" s="247"/>
      <c r="F106" s="247"/>
      <c r="G106" s="247"/>
      <c r="H106" s="247"/>
      <c r="I106" s="247"/>
      <c r="J106" s="247"/>
      <c r="K106" s="247"/>
      <c r="L106" s="247"/>
      <c r="M106" s="247"/>
    </row>
    <row r="107">
      <c r="B107" s="247"/>
      <c r="C107" s="247"/>
      <c r="D107" s="247"/>
      <c r="E107" s="247"/>
      <c r="F107" s="247"/>
      <c r="G107" s="247"/>
      <c r="H107" s="247"/>
      <c r="I107" s="247"/>
      <c r="J107" s="247"/>
      <c r="K107" s="247"/>
      <c r="L107" s="247"/>
      <c r="M107" s="247"/>
    </row>
    <row r="108">
      <c r="B108" s="247"/>
      <c r="C108" s="247"/>
      <c r="D108" s="247"/>
      <c r="E108" s="247"/>
      <c r="F108" s="247"/>
      <c r="G108" s="247"/>
      <c r="H108" s="247"/>
      <c r="I108" s="247"/>
      <c r="J108" s="247"/>
      <c r="K108" s="247"/>
      <c r="L108" s="247"/>
      <c r="M108" s="247"/>
    </row>
    <row r="109">
      <c r="B109" s="247"/>
      <c r="C109" s="247"/>
      <c r="D109" s="247"/>
      <c r="E109" s="247"/>
      <c r="F109" s="247"/>
      <c r="G109" s="247"/>
      <c r="H109" s="247"/>
      <c r="I109" s="247"/>
      <c r="J109" s="247"/>
      <c r="K109" s="247"/>
      <c r="L109" s="247"/>
      <c r="M109" s="247"/>
    </row>
    <row r="110">
      <c r="B110" s="247"/>
      <c r="C110" s="247"/>
      <c r="D110" s="247"/>
      <c r="E110" s="247"/>
      <c r="F110" s="247"/>
      <c r="G110" s="247"/>
      <c r="H110" s="247"/>
      <c r="I110" s="247"/>
      <c r="J110" s="247"/>
      <c r="K110" s="247"/>
      <c r="L110" s="247"/>
      <c r="M110" s="247"/>
    </row>
    <row r="111">
      <c r="B111" s="247"/>
      <c r="C111" s="247"/>
      <c r="D111" s="247"/>
      <c r="E111" s="247"/>
      <c r="F111" s="247"/>
      <c r="G111" s="247"/>
      <c r="H111" s="247"/>
      <c r="I111" s="247"/>
      <c r="J111" s="247"/>
      <c r="K111" s="247"/>
      <c r="L111" s="247"/>
      <c r="M111" s="247"/>
    </row>
    <row r="112">
      <c r="B112" s="247"/>
      <c r="C112" s="247"/>
      <c r="D112" s="247"/>
      <c r="E112" s="247"/>
      <c r="F112" s="247"/>
      <c r="G112" s="247"/>
      <c r="H112" s="247"/>
      <c r="I112" s="247"/>
      <c r="J112" s="247"/>
      <c r="K112" s="247"/>
      <c r="L112" s="247"/>
      <c r="M112" s="247"/>
    </row>
    <row r="113">
      <c r="B113" s="247"/>
      <c r="C113" s="247"/>
      <c r="D113" s="247"/>
      <c r="E113" s="247"/>
      <c r="F113" s="247"/>
      <c r="G113" s="247"/>
      <c r="H113" s="247"/>
      <c r="I113" s="247"/>
      <c r="J113" s="247"/>
      <c r="K113" s="247"/>
      <c r="L113" s="247"/>
      <c r="M113" s="247"/>
    </row>
    <row r="114">
      <c r="B114" s="247"/>
      <c r="C114" s="247"/>
      <c r="D114" s="247"/>
      <c r="E114" s="247"/>
      <c r="F114" s="247"/>
      <c r="G114" s="247"/>
      <c r="H114" s="247"/>
      <c r="I114" s="247"/>
      <c r="J114" s="247"/>
      <c r="K114" s="247"/>
      <c r="L114" s="247"/>
      <c r="M114" s="247"/>
    </row>
    <row r="115">
      <c r="B115" s="247"/>
      <c r="C115" s="247"/>
      <c r="D115" s="247"/>
      <c r="E115" s="247"/>
      <c r="F115" s="247"/>
      <c r="G115" s="247"/>
      <c r="H115" s="247"/>
      <c r="I115" s="247"/>
      <c r="J115" s="247"/>
      <c r="K115" s="247"/>
      <c r="L115" s="247"/>
      <c r="M115" s="247"/>
    </row>
    <row r="116">
      <c r="B116" s="247"/>
      <c r="C116" s="247"/>
      <c r="D116" s="247"/>
      <c r="E116" s="247"/>
      <c r="F116" s="247"/>
      <c r="G116" s="247"/>
      <c r="H116" s="247"/>
      <c r="I116" s="247"/>
      <c r="J116" s="247"/>
      <c r="K116" s="247"/>
      <c r="L116" s="247"/>
      <c r="M116" s="247"/>
    </row>
    <row r="117">
      <c r="B117" s="247"/>
      <c r="C117" s="247"/>
      <c r="D117" s="247"/>
      <c r="E117" s="247"/>
      <c r="F117" s="247"/>
      <c r="G117" s="247"/>
      <c r="H117" s="247"/>
      <c r="I117" s="247"/>
      <c r="J117" s="247"/>
      <c r="K117" s="247"/>
      <c r="L117" s="247"/>
      <c r="M117" s="247"/>
    </row>
    <row r="118">
      <c r="B118" s="247"/>
      <c r="C118" s="247"/>
      <c r="D118" s="247"/>
      <c r="E118" s="247"/>
      <c r="F118" s="247"/>
      <c r="G118" s="247"/>
      <c r="H118" s="247"/>
      <c r="I118" s="247"/>
      <c r="J118" s="247"/>
      <c r="K118" s="247"/>
      <c r="L118" s="247"/>
      <c r="M118" s="247"/>
    </row>
    <row r="119">
      <c r="B119" s="247"/>
      <c r="C119" s="247"/>
      <c r="D119" s="247"/>
      <c r="E119" s="247"/>
      <c r="F119" s="247"/>
      <c r="G119" s="247"/>
      <c r="H119" s="247"/>
      <c r="I119" s="247"/>
      <c r="J119" s="247"/>
      <c r="K119" s="247"/>
      <c r="L119" s="247"/>
      <c r="M119" s="247"/>
    </row>
    <row r="120">
      <c r="B120" s="247"/>
      <c r="C120" s="247"/>
      <c r="D120" s="247"/>
      <c r="E120" s="247"/>
      <c r="F120" s="247"/>
      <c r="G120" s="247"/>
      <c r="H120" s="247"/>
      <c r="I120" s="247"/>
      <c r="J120" s="247"/>
      <c r="K120" s="247"/>
      <c r="L120" s="247"/>
      <c r="M120" s="247"/>
    </row>
    <row r="121">
      <c r="B121" s="247"/>
      <c r="C121" s="247"/>
      <c r="D121" s="247"/>
      <c r="E121" s="247"/>
      <c r="F121" s="247"/>
      <c r="G121" s="247"/>
      <c r="H121" s="247"/>
      <c r="I121" s="247"/>
      <c r="J121" s="247"/>
      <c r="K121" s="247"/>
      <c r="L121" s="247"/>
      <c r="M121" s="247"/>
    </row>
    <row r="122">
      <c r="B122" s="247"/>
      <c r="C122" s="247"/>
      <c r="D122" s="247"/>
      <c r="E122" s="247"/>
      <c r="F122" s="247"/>
      <c r="G122" s="247"/>
      <c r="H122" s="247"/>
      <c r="I122" s="247"/>
      <c r="J122" s="247"/>
      <c r="K122" s="247"/>
      <c r="L122" s="247"/>
      <c r="M122" s="247"/>
    </row>
    <row r="123">
      <c r="B123" s="247"/>
      <c r="C123" s="247"/>
      <c r="D123" s="247"/>
      <c r="E123" s="247"/>
      <c r="F123" s="247"/>
      <c r="G123" s="247"/>
      <c r="H123" s="247"/>
      <c r="I123" s="247"/>
      <c r="J123" s="247"/>
      <c r="K123" s="247"/>
      <c r="L123" s="247"/>
      <c r="M123" s="247"/>
    </row>
    <row r="124">
      <c r="B124" s="247"/>
      <c r="C124" s="247"/>
      <c r="D124" s="247"/>
      <c r="E124" s="247"/>
      <c r="F124" s="247"/>
      <c r="G124" s="247"/>
      <c r="H124" s="247"/>
      <c r="I124" s="247"/>
      <c r="J124" s="247"/>
      <c r="K124" s="247"/>
      <c r="L124" s="247"/>
      <c r="M124" s="247"/>
    </row>
    <row r="125">
      <c r="B125" s="247"/>
      <c r="C125" s="247"/>
      <c r="D125" s="247"/>
      <c r="E125" s="247"/>
      <c r="F125" s="247"/>
      <c r="G125" s="247"/>
      <c r="H125" s="247"/>
      <c r="I125" s="247"/>
      <c r="J125" s="247"/>
      <c r="K125" s="247"/>
      <c r="L125" s="247"/>
      <c r="M125" s="247"/>
    </row>
    <row r="126">
      <c r="B126" s="247"/>
      <c r="C126" s="247"/>
      <c r="D126" s="247"/>
      <c r="E126" s="247"/>
      <c r="F126" s="247"/>
      <c r="G126" s="247"/>
      <c r="H126" s="247"/>
      <c r="I126" s="247"/>
      <c r="J126" s="247"/>
      <c r="K126" s="247"/>
      <c r="L126" s="247"/>
      <c r="M126" s="247"/>
    </row>
    <row r="127">
      <c r="B127" s="247"/>
      <c r="C127" s="247"/>
      <c r="D127" s="247"/>
      <c r="E127" s="247"/>
      <c r="F127" s="247"/>
      <c r="G127" s="247"/>
      <c r="H127" s="247"/>
      <c r="I127" s="247"/>
      <c r="J127" s="247"/>
      <c r="K127" s="247"/>
      <c r="L127" s="247"/>
      <c r="M127" s="247"/>
    </row>
    <row r="128">
      <c r="B128" s="247"/>
      <c r="C128" s="247"/>
      <c r="D128" s="247"/>
      <c r="E128" s="247"/>
      <c r="F128" s="247"/>
      <c r="G128" s="247"/>
      <c r="H128" s="247"/>
      <c r="I128" s="247"/>
      <c r="J128" s="247"/>
      <c r="K128" s="247"/>
      <c r="L128" s="247"/>
      <c r="M128" s="247"/>
    </row>
    <row r="129">
      <c r="B129" s="247"/>
      <c r="C129" s="247"/>
      <c r="D129" s="247"/>
      <c r="E129" s="247"/>
      <c r="F129" s="247"/>
      <c r="G129" s="247"/>
      <c r="H129" s="247"/>
      <c r="I129" s="247"/>
      <c r="J129" s="247"/>
      <c r="K129" s="247"/>
      <c r="L129" s="247"/>
      <c r="M129" s="247"/>
    </row>
    <row r="130">
      <c r="B130" s="247"/>
      <c r="C130" s="247"/>
      <c r="D130" s="247"/>
      <c r="E130" s="247"/>
      <c r="F130" s="247"/>
      <c r="G130" s="247"/>
      <c r="H130" s="247"/>
      <c r="I130" s="247"/>
      <c r="J130" s="247"/>
      <c r="K130" s="247"/>
      <c r="L130" s="247"/>
      <c r="M130" s="247"/>
    </row>
    <row r="131">
      <c r="B131" s="247"/>
      <c r="C131" s="247"/>
      <c r="D131" s="247"/>
      <c r="E131" s="247"/>
      <c r="F131" s="247"/>
      <c r="G131" s="247"/>
      <c r="H131" s="247"/>
      <c r="I131" s="247"/>
      <c r="J131" s="247"/>
      <c r="K131" s="247"/>
      <c r="L131" s="247"/>
      <c r="M131" s="247"/>
    </row>
    <row r="132">
      <c r="B132" s="247"/>
      <c r="C132" s="247"/>
      <c r="D132" s="247"/>
      <c r="E132" s="247"/>
      <c r="F132" s="247"/>
      <c r="G132" s="247"/>
      <c r="H132" s="247"/>
      <c r="I132" s="247"/>
      <c r="J132" s="247"/>
      <c r="K132" s="247"/>
      <c r="L132" s="247"/>
      <c r="M132" s="247"/>
    </row>
    <row r="133">
      <c r="B133" s="247"/>
      <c r="C133" s="247"/>
      <c r="D133" s="247"/>
      <c r="E133" s="247"/>
      <c r="F133" s="247"/>
      <c r="G133" s="247"/>
      <c r="H133" s="247"/>
      <c r="I133" s="247"/>
      <c r="J133" s="247"/>
      <c r="K133" s="247"/>
      <c r="L133" s="247"/>
      <c r="M133" s="247"/>
    </row>
    <row r="134">
      <c r="B134" s="247"/>
      <c r="C134" s="247"/>
      <c r="D134" s="247"/>
      <c r="E134" s="247"/>
      <c r="F134" s="247"/>
      <c r="G134" s="247"/>
      <c r="H134" s="247"/>
      <c r="I134" s="247"/>
      <c r="J134" s="247"/>
      <c r="K134" s="247"/>
      <c r="L134" s="247"/>
      <c r="M134" s="247"/>
    </row>
    <row r="135">
      <c r="B135" s="247"/>
      <c r="C135" s="247"/>
      <c r="D135" s="247"/>
      <c r="E135" s="247"/>
      <c r="F135" s="247"/>
      <c r="G135" s="247"/>
      <c r="H135" s="247"/>
      <c r="I135" s="247"/>
      <c r="J135" s="247"/>
      <c r="K135" s="247"/>
      <c r="L135" s="247"/>
      <c r="M135" s="247"/>
    </row>
    <row r="136">
      <c r="B136" s="247"/>
      <c r="C136" s="247"/>
      <c r="D136" s="247"/>
      <c r="E136" s="247"/>
      <c r="F136" s="247"/>
      <c r="G136" s="247"/>
      <c r="H136" s="247"/>
      <c r="I136" s="247"/>
      <c r="J136" s="247"/>
      <c r="K136" s="247"/>
      <c r="L136" s="247"/>
      <c r="M136" s="247"/>
    </row>
    <row r="137">
      <c r="B137" s="247"/>
      <c r="C137" s="247"/>
      <c r="D137" s="247"/>
      <c r="E137" s="247"/>
      <c r="F137" s="247"/>
      <c r="G137" s="247"/>
      <c r="H137" s="247"/>
      <c r="I137" s="247"/>
      <c r="J137" s="247"/>
      <c r="K137" s="247"/>
      <c r="L137" s="247"/>
      <c r="M137" s="247"/>
    </row>
    <row r="138">
      <c r="B138" s="247"/>
      <c r="C138" s="247"/>
      <c r="D138" s="247"/>
      <c r="E138" s="247"/>
      <c r="F138" s="247"/>
      <c r="G138" s="247"/>
      <c r="H138" s="247"/>
      <c r="I138" s="247"/>
      <c r="J138" s="247"/>
      <c r="K138" s="247"/>
      <c r="L138" s="247"/>
      <c r="M138" s="247"/>
    </row>
    <row r="139">
      <c r="B139" s="247"/>
      <c r="C139" s="247"/>
      <c r="D139" s="247"/>
      <c r="E139" s="247"/>
      <c r="F139" s="247"/>
      <c r="G139" s="247"/>
      <c r="H139" s="247"/>
      <c r="I139" s="247"/>
      <c r="J139" s="247"/>
      <c r="K139" s="247"/>
      <c r="L139" s="247"/>
      <c r="M139" s="247"/>
    </row>
    <row r="140">
      <c r="B140" s="247"/>
      <c r="C140" s="247"/>
      <c r="D140" s="247"/>
      <c r="E140" s="247"/>
      <c r="F140" s="247"/>
      <c r="G140" s="247"/>
      <c r="H140" s="247"/>
      <c r="I140" s="247"/>
      <c r="J140" s="247"/>
      <c r="K140" s="247"/>
      <c r="L140" s="247"/>
      <c r="M140" s="247"/>
    </row>
    <row r="141">
      <c r="B141" s="247"/>
      <c r="C141" s="247"/>
      <c r="D141" s="247"/>
      <c r="E141" s="247"/>
      <c r="F141" s="247"/>
      <c r="G141" s="247"/>
      <c r="H141" s="247"/>
      <c r="I141" s="247"/>
      <c r="J141" s="247"/>
      <c r="K141" s="247"/>
      <c r="L141" s="247"/>
      <c r="M141" s="247"/>
    </row>
    <row r="142">
      <c r="B142" s="247"/>
      <c r="C142" s="247"/>
      <c r="D142" s="247"/>
      <c r="E142" s="247"/>
      <c r="F142" s="247"/>
      <c r="G142" s="247"/>
      <c r="H142" s="247"/>
      <c r="I142" s="247"/>
      <c r="J142" s="247"/>
      <c r="K142" s="247"/>
      <c r="L142" s="247"/>
      <c r="M142" s="247"/>
    </row>
    <row r="143">
      <c r="B143" s="247"/>
      <c r="C143" s="247"/>
      <c r="D143" s="247"/>
      <c r="E143" s="247"/>
      <c r="F143" s="247"/>
      <c r="G143" s="247"/>
      <c r="H143" s="247"/>
      <c r="I143" s="247"/>
      <c r="J143" s="247"/>
      <c r="K143" s="247"/>
      <c r="L143" s="247"/>
      <c r="M143" s="247"/>
    </row>
    <row r="144">
      <c r="B144" s="247"/>
      <c r="C144" s="247"/>
      <c r="D144" s="247"/>
      <c r="E144" s="247"/>
      <c r="F144" s="247"/>
      <c r="G144" s="247"/>
      <c r="H144" s="247"/>
      <c r="I144" s="247"/>
      <c r="J144" s="247"/>
      <c r="K144" s="247"/>
      <c r="L144" s="247"/>
      <c r="M144" s="247"/>
    </row>
    <row r="145">
      <c r="B145" s="247"/>
      <c r="C145" s="247"/>
      <c r="D145" s="247"/>
      <c r="E145" s="247"/>
      <c r="F145" s="247"/>
      <c r="G145" s="247"/>
      <c r="H145" s="247"/>
      <c r="I145" s="247"/>
      <c r="J145" s="247"/>
      <c r="K145" s="247"/>
      <c r="L145" s="247"/>
      <c r="M145" s="247"/>
    </row>
    <row r="146">
      <c r="B146" s="247"/>
      <c r="C146" s="247"/>
      <c r="D146" s="247"/>
      <c r="E146" s="247"/>
      <c r="F146" s="247"/>
      <c r="G146" s="247"/>
      <c r="H146" s="247"/>
      <c r="I146" s="247"/>
      <c r="J146" s="247"/>
      <c r="K146" s="247"/>
      <c r="L146" s="247"/>
      <c r="M146" s="247"/>
    </row>
    <row r="147">
      <c r="B147" s="247"/>
      <c r="C147" s="247"/>
      <c r="D147" s="247"/>
      <c r="E147" s="247"/>
      <c r="F147" s="247"/>
      <c r="G147" s="247"/>
      <c r="H147" s="247"/>
      <c r="I147" s="247"/>
      <c r="J147" s="247"/>
      <c r="K147" s="247"/>
      <c r="L147" s="247"/>
      <c r="M147" s="247"/>
    </row>
    <row r="148">
      <c r="B148" s="247"/>
      <c r="C148" s="247"/>
      <c r="D148" s="247"/>
      <c r="E148" s="247"/>
      <c r="F148" s="247"/>
      <c r="G148" s="247"/>
      <c r="H148" s="247"/>
      <c r="I148" s="247"/>
      <c r="J148" s="247"/>
      <c r="K148" s="247"/>
      <c r="L148" s="247"/>
      <c r="M148" s="247"/>
    </row>
    <row r="149">
      <c r="B149" s="247"/>
      <c r="C149" s="247"/>
      <c r="D149" s="247"/>
      <c r="E149" s="247"/>
      <c r="F149" s="247"/>
      <c r="G149" s="247"/>
      <c r="H149" s="247"/>
      <c r="I149" s="247"/>
      <c r="J149" s="247"/>
      <c r="K149" s="247"/>
      <c r="L149" s="247"/>
      <c r="M149" s="247"/>
    </row>
    <row r="150">
      <c r="B150" s="247"/>
      <c r="C150" s="247"/>
      <c r="D150" s="247"/>
      <c r="E150" s="247"/>
      <c r="F150" s="247"/>
      <c r="G150" s="247"/>
      <c r="H150" s="247"/>
      <c r="I150" s="247"/>
      <c r="J150" s="247"/>
      <c r="K150" s="247"/>
      <c r="L150" s="247"/>
      <c r="M150" s="247"/>
    </row>
    <row r="151">
      <c r="B151" s="247"/>
      <c r="C151" s="247"/>
      <c r="D151" s="247"/>
      <c r="E151" s="247"/>
      <c r="F151" s="247"/>
      <c r="G151" s="247"/>
      <c r="H151" s="247"/>
      <c r="I151" s="247"/>
      <c r="J151" s="247"/>
      <c r="K151" s="247"/>
      <c r="L151" s="247"/>
      <c r="M151" s="247"/>
    </row>
    <row r="152">
      <c r="B152" s="247"/>
      <c r="C152" s="247"/>
      <c r="D152" s="247"/>
      <c r="E152" s="247"/>
      <c r="F152" s="247"/>
      <c r="G152" s="247"/>
      <c r="H152" s="247"/>
      <c r="I152" s="247"/>
      <c r="J152" s="247"/>
      <c r="K152" s="247"/>
      <c r="L152" s="247"/>
      <c r="M152" s="247"/>
    </row>
    <row r="153">
      <c r="B153" s="247"/>
      <c r="C153" s="247"/>
      <c r="D153" s="247"/>
      <c r="E153" s="247"/>
      <c r="F153" s="247"/>
      <c r="G153" s="247"/>
      <c r="H153" s="247"/>
      <c r="I153" s="247"/>
      <c r="J153" s="247"/>
      <c r="K153" s="247"/>
      <c r="L153" s="247"/>
      <c r="M153" s="247"/>
    </row>
    <row r="154">
      <c r="B154" s="247"/>
      <c r="C154" s="247"/>
      <c r="D154" s="247"/>
      <c r="E154" s="247"/>
      <c r="F154" s="247"/>
      <c r="G154" s="247"/>
      <c r="H154" s="247"/>
      <c r="I154" s="247"/>
      <c r="J154" s="247"/>
      <c r="K154" s="247"/>
      <c r="L154" s="247"/>
      <c r="M154" s="247"/>
    </row>
    <row r="155">
      <c r="B155" s="247"/>
      <c r="C155" s="247"/>
      <c r="D155" s="247"/>
      <c r="E155" s="247"/>
      <c r="F155" s="247"/>
      <c r="G155" s="247"/>
      <c r="H155" s="247"/>
      <c r="I155" s="247"/>
      <c r="J155" s="247"/>
      <c r="K155" s="247"/>
      <c r="L155" s="247"/>
      <c r="M155" s="247"/>
    </row>
    <row r="156">
      <c r="B156" s="247"/>
      <c r="C156" s="247"/>
      <c r="D156" s="247"/>
      <c r="E156" s="247"/>
      <c r="F156" s="247"/>
      <c r="G156" s="247"/>
      <c r="H156" s="247"/>
      <c r="I156" s="247"/>
      <c r="J156" s="247"/>
      <c r="K156" s="247"/>
      <c r="L156" s="247"/>
      <c r="M156" s="247"/>
    </row>
    <row r="157">
      <c r="B157" s="247"/>
      <c r="C157" s="247"/>
      <c r="D157" s="247"/>
      <c r="E157" s="247"/>
      <c r="F157" s="247"/>
      <c r="G157" s="247"/>
      <c r="H157" s="247"/>
      <c r="I157" s="247"/>
      <c r="J157" s="247"/>
      <c r="K157" s="247"/>
      <c r="L157" s="247"/>
      <c r="M157" s="247"/>
    </row>
    <row r="158">
      <c r="B158" s="247"/>
      <c r="C158" s="247"/>
      <c r="D158" s="247"/>
      <c r="E158" s="247"/>
      <c r="F158" s="247"/>
      <c r="G158" s="247"/>
      <c r="H158" s="247"/>
      <c r="I158" s="247"/>
      <c r="J158" s="247"/>
      <c r="K158" s="247"/>
      <c r="L158" s="247"/>
      <c r="M158" s="247"/>
    </row>
    <row r="159">
      <c r="B159" s="247"/>
      <c r="C159" s="247"/>
      <c r="D159" s="247"/>
      <c r="E159" s="247"/>
      <c r="F159" s="247"/>
      <c r="G159" s="247"/>
      <c r="H159" s="247"/>
      <c r="I159" s="247"/>
      <c r="J159" s="247"/>
      <c r="K159" s="247"/>
      <c r="L159" s="247"/>
      <c r="M159" s="247"/>
    </row>
    <row r="160">
      <c r="B160" s="247"/>
      <c r="C160" s="247"/>
      <c r="D160" s="247"/>
      <c r="E160" s="247"/>
      <c r="F160" s="247"/>
      <c r="G160" s="247"/>
      <c r="H160" s="247"/>
      <c r="I160" s="247"/>
      <c r="J160" s="247"/>
      <c r="K160" s="247"/>
      <c r="L160" s="247"/>
      <c r="M160" s="247"/>
    </row>
    <row r="161">
      <c r="B161" s="247"/>
      <c r="C161" s="247"/>
      <c r="D161" s="247"/>
      <c r="E161" s="247"/>
      <c r="F161" s="247"/>
      <c r="G161" s="247"/>
      <c r="H161" s="247"/>
      <c r="I161" s="247"/>
      <c r="J161" s="247"/>
      <c r="K161" s="247"/>
      <c r="L161" s="247"/>
      <c r="M161" s="247"/>
    </row>
    <row r="162">
      <c r="B162" s="247"/>
      <c r="C162" s="247"/>
      <c r="D162" s="247"/>
      <c r="E162" s="247"/>
      <c r="F162" s="247"/>
      <c r="G162" s="247"/>
      <c r="H162" s="247"/>
      <c r="I162" s="247"/>
      <c r="J162" s="247"/>
      <c r="K162" s="247"/>
      <c r="L162" s="247"/>
      <c r="M162" s="247"/>
    </row>
    <row r="163">
      <c r="B163" s="247"/>
      <c r="C163" s="247"/>
      <c r="D163" s="247"/>
      <c r="E163" s="247"/>
      <c r="F163" s="247"/>
      <c r="G163" s="247"/>
      <c r="H163" s="247"/>
      <c r="I163" s="247"/>
      <c r="J163" s="247"/>
      <c r="K163" s="247"/>
      <c r="L163" s="247"/>
      <c r="M163" s="247"/>
    </row>
    <row r="164">
      <c r="B164" s="247"/>
      <c r="C164" s="247"/>
      <c r="D164" s="247"/>
      <c r="E164" s="247"/>
      <c r="F164" s="247"/>
      <c r="G164" s="247"/>
      <c r="H164" s="247"/>
      <c r="I164" s="247"/>
      <c r="J164" s="247"/>
      <c r="K164" s="247"/>
      <c r="L164" s="247"/>
      <c r="M164" s="247"/>
    </row>
    <row r="165">
      <c r="B165" s="247"/>
      <c r="C165" s="247"/>
      <c r="D165" s="247"/>
      <c r="E165" s="247"/>
      <c r="F165" s="247"/>
      <c r="G165" s="247"/>
      <c r="H165" s="247"/>
      <c r="I165" s="247"/>
      <c r="J165" s="247"/>
      <c r="K165" s="247"/>
      <c r="L165" s="247"/>
      <c r="M165" s="247"/>
    </row>
    <row r="166">
      <c r="B166" s="247"/>
      <c r="C166" s="247"/>
      <c r="D166" s="247"/>
      <c r="E166" s="247"/>
      <c r="F166" s="247"/>
      <c r="G166" s="247"/>
      <c r="H166" s="247"/>
      <c r="I166" s="247"/>
      <c r="J166" s="247"/>
      <c r="K166" s="247"/>
      <c r="L166" s="247"/>
      <c r="M166" s="247"/>
    </row>
    <row r="167">
      <c r="B167" s="247"/>
      <c r="C167" s="247"/>
      <c r="D167" s="247"/>
      <c r="E167" s="247"/>
      <c r="F167" s="247"/>
      <c r="G167" s="247"/>
      <c r="H167" s="247"/>
      <c r="I167" s="247"/>
      <c r="J167" s="247"/>
      <c r="K167" s="247"/>
      <c r="L167" s="247"/>
      <c r="M167" s="247"/>
    </row>
    <row r="168">
      <c r="B168" s="247"/>
      <c r="C168" s="247"/>
      <c r="D168" s="247"/>
      <c r="E168" s="247"/>
      <c r="F168" s="247"/>
      <c r="G168" s="247"/>
      <c r="H168" s="247"/>
      <c r="I168" s="247"/>
      <c r="J168" s="247"/>
      <c r="K168" s="247"/>
      <c r="L168" s="247"/>
      <c r="M168" s="247"/>
    </row>
    <row r="169">
      <c r="B169" s="247"/>
      <c r="C169" s="247"/>
      <c r="D169" s="247"/>
      <c r="E169" s="247"/>
      <c r="F169" s="247"/>
      <c r="G169" s="247"/>
      <c r="H169" s="247"/>
      <c r="I169" s="247"/>
      <c r="J169" s="247"/>
      <c r="K169" s="247"/>
      <c r="L169" s="247"/>
      <c r="M169" s="247"/>
    </row>
    <row r="170">
      <c r="B170" s="247"/>
      <c r="C170" s="247"/>
      <c r="D170" s="247"/>
      <c r="E170" s="247"/>
      <c r="F170" s="247"/>
      <c r="G170" s="247"/>
      <c r="H170" s="247"/>
      <c r="I170" s="247"/>
      <c r="J170" s="247"/>
      <c r="K170" s="247"/>
      <c r="L170" s="247"/>
      <c r="M170" s="247"/>
    </row>
    <row r="171">
      <c r="B171" s="247"/>
      <c r="C171" s="247"/>
      <c r="D171" s="247"/>
      <c r="E171" s="247"/>
      <c r="F171" s="247"/>
      <c r="G171" s="247"/>
      <c r="H171" s="247"/>
      <c r="I171" s="247"/>
      <c r="J171" s="247"/>
      <c r="K171" s="247"/>
      <c r="L171" s="247"/>
      <c r="M171" s="247"/>
    </row>
    <row r="172">
      <c r="B172" s="247"/>
      <c r="C172" s="247"/>
      <c r="D172" s="247"/>
      <c r="E172" s="247"/>
      <c r="F172" s="247"/>
      <c r="G172" s="247"/>
      <c r="H172" s="247"/>
      <c r="I172" s="247"/>
      <c r="J172" s="247"/>
      <c r="K172" s="247"/>
      <c r="L172" s="247"/>
      <c r="M172" s="247"/>
    </row>
    <row r="173">
      <c r="B173" s="247"/>
      <c r="C173" s="247"/>
      <c r="D173" s="247"/>
      <c r="E173" s="247"/>
      <c r="F173" s="247"/>
      <c r="G173" s="247"/>
      <c r="H173" s="247"/>
      <c r="I173" s="247"/>
      <c r="J173" s="247"/>
      <c r="K173" s="247"/>
      <c r="L173" s="247"/>
      <c r="M173" s="247"/>
    </row>
    <row r="174">
      <c r="B174" s="247"/>
      <c r="C174" s="247"/>
      <c r="D174" s="247"/>
      <c r="E174" s="247"/>
      <c r="F174" s="247"/>
      <c r="G174" s="247"/>
      <c r="H174" s="247"/>
      <c r="I174" s="247"/>
      <c r="J174" s="247"/>
      <c r="K174" s="247"/>
      <c r="L174" s="247"/>
      <c r="M174" s="247"/>
    </row>
    <row r="175">
      <c r="B175" s="247"/>
      <c r="C175" s="247"/>
      <c r="D175" s="247"/>
      <c r="E175" s="247"/>
      <c r="F175" s="247"/>
      <c r="G175" s="247"/>
      <c r="H175" s="247"/>
      <c r="I175" s="247"/>
      <c r="J175" s="247"/>
      <c r="K175" s="247"/>
      <c r="L175" s="247"/>
      <c r="M175" s="247"/>
    </row>
    <row r="176">
      <c r="B176" s="247"/>
      <c r="C176" s="247"/>
      <c r="D176" s="247"/>
      <c r="E176" s="247"/>
      <c r="F176" s="247"/>
      <c r="G176" s="247"/>
      <c r="H176" s="247"/>
      <c r="I176" s="247"/>
      <c r="J176" s="247"/>
      <c r="K176" s="247"/>
      <c r="L176" s="247"/>
      <c r="M176" s="247"/>
    </row>
    <row r="177">
      <c r="B177" s="247"/>
      <c r="C177" s="247"/>
      <c r="D177" s="247"/>
      <c r="E177" s="247"/>
      <c r="F177" s="247"/>
      <c r="G177" s="247"/>
      <c r="H177" s="247"/>
      <c r="I177" s="247"/>
      <c r="J177" s="247"/>
      <c r="K177" s="247"/>
      <c r="L177" s="247"/>
      <c r="M177" s="247"/>
    </row>
    <row r="178">
      <c r="B178" s="247"/>
      <c r="C178" s="247"/>
      <c r="D178" s="247"/>
      <c r="E178" s="247"/>
      <c r="F178" s="247"/>
      <c r="G178" s="247"/>
      <c r="H178" s="247"/>
      <c r="I178" s="247"/>
      <c r="J178" s="247"/>
      <c r="K178" s="247"/>
      <c r="L178" s="247"/>
      <c r="M178" s="247"/>
    </row>
    <row r="179">
      <c r="B179" s="247"/>
      <c r="C179" s="247"/>
      <c r="D179" s="247"/>
      <c r="E179" s="247"/>
      <c r="F179" s="247"/>
      <c r="G179" s="247"/>
      <c r="H179" s="247"/>
      <c r="I179" s="247"/>
      <c r="J179" s="247"/>
      <c r="K179" s="247"/>
      <c r="L179" s="247"/>
      <c r="M179" s="247"/>
    </row>
    <row r="180">
      <c r="B180" s="247"/>
      <c r="C180" s="247"/>
      <c r="D180" s="247"/>
      <c r="E180" s="247"/>
      <c r="F180" s="247"/>
      <c r="G180" s="247"/>
      <c r="H180" s="247"/>
      <c r="I180" s="247"/>
      <c r="J180" s="247"/>
      <c r="K180" s="247"/>
      <c r="L180" s="247"/>
      <c r="M180" s="247"/>
    </row>
    <row r="181">
      <c r="B181" s="247"/>
      <c r="C181" s="247"/>
      <c r="D181" s="247"/>
      <c r="E181" s="247"/>
      <c r="F181" s="247"/>
      <c r="G181" s="247"/>
      <c r="H181" s="247"/>
      <c r="I181" s="247"/>
      <c r="J181" s="247"/>
      <c r="K181" s="247"/>
      <c r="L181" s="247"/>
      <c r="M181" s="247"/>
    </row>
    <row r="182">
      <c r="B182" s="247"/>
      <c r="C182" s="247"/>
      <c r="D182" s="247"/>
      <c r="E182" s="247"/>
      <c r="F182" s="247"/>
      <c r="G182" s="247"/>
      <c r="H182" s="247"/>
      <c r="I182" s="247"/>
      <c r="J182" s="247"/>
      <c r="K182" s="247"/>
      <c r="L182" s="247"/>
      <c r="M182" s="247"/>
    </row>
    <row r="183">
      <c r="B183" s="247"/>
      <c r="C183" s="247"/>
      <c r="D183" s="247"/>
      <c r="E183" s="247"/>
      <c r="F183" s="247"/>
      <c r="G183" s="247"/>
      <c r="H183" s="247"/>
      <c r="I183" s="247"/>
      <c r="J183" s="247"/>
      <c r="K183" s="247"/>
      <c r="L183" s="247"/>
      <c r="M183" s="247"/>
    </row>
    <row r="184">
      <c r="B184" s="247"/>
      <c r="C184" s="247"/>
      <c r="D184" s="247"/>
      <c r="E184" s="247"/>
      <c r="F184" s="247"/>
      <c r="G184" s="247"/>
      <c r="H184" s="247"/>
      <c r="I184" s="247"/>
      <c r="J184" s="247"/>
      <c r="K184" s="247"/>
      <c r="L184" s="247"/>
      <c r="M184" s="247"/>
    </row>
    <row r="185">
      <c r="B185" s="247"/>
      <c r="C185" s="247"/>
      <c r="D185" s="247"/>
      <c r="E185" s="247"/>
      <c r="F185" s="247"/>
      <c r="G185" s="247"/>
      <c r="H185" s="247"/>
      <c r="I185" s="247"/>
      <c r="J185" s="247"/>
      <c r="K185" s="247"/>
      <c r="L185" s="247"/>
      <c r="M185" s="247"/>
    </row>
    <row r="186">
      <c r="B186" s="247"/>
      <c r="C186" s="247"/>
      <c r="D186" s="247"/>
      <c r="E186" s="247"/>
      <c r="F186" s="247"/>
      <c r="G186" s="247"/>
      <c r="H186" s="247"/>
      <c r="I186" s="247"/>
      <c r="J186" s="247"/>
      <c r="K186" s="247"/>
      <c r="L186" s="247"/>
      <c r="M186" s="247"/>
    </row>
    <row r="187">
      <c r="B187" s="247"/>
      <c r="C187" s="247"/>
      <c r="D187" s="247"/>
      <c r="E187" s="247"/>
      <c r="F187" s="247"/>
      <c r="G187" s="247"/>
      <c r="H187" s="247"/>
      <c r="I187" s="247"/>
      <c r="J187" s="247"/>
      <c r="K187" s="247"/>
      <c r="L187" s="247"/>
      <c r="M187" s="247"/>
    </row>
    <row r="188">
      <c r="B188" s="247"/>
      <c r="C188" s="247"/>
      <c r="D188" s="247"/>
      <c r="E188" s="247"/>
      <c r="F188" s="247"/>
      <c r="G188" s="247"/>
      <c r="H188" s="247"/>
      <c r="I188" s="247"/>
      <c r="J188" s="247"/>
      <c r="K188" s="247"/>
      <c r="L188" s="247"/>
      <c r="M188" s="247"/>
    </row>
    <row r="189">
      <c r="B189" s="247"/>
      <c r="C189" s="247"/>
      <c r="D189" s="247"/>
      <c r="E189" s="247"/>
      <c r="F189" s="247"/>
      <c r="G189" s="247"/>
      <c r="H189" s="247"/>
      <c r="I189" s="247"/>
      <c r="J189" s="247"/>
      <c r="K189" s="247"/>
      <c r="L189" s="247"/>
      <c r="M189" s="247"/>
    </row>
    <row r="190">
      <c r="B190" s="247"/>
      <c r="C190" s="247"/>
      <c r="D190" s="247"/>
      <c r="E190" s="247"/>
      <c r="F190" s="247"/>
      <c r="G190" s="247"/>
      <c r="H190" s="247"/>
      <c r="I190" s="247"/>
      <c r="J190" s="247"/>
      <c r="K190" s="247"/>
      <c r="L190" s="247"/>
      <c r="M190" s="247"/>
    </row>
    <row r="191">
      <c r="B191" s="247"/>
      <c r="C191" s="247"/>
      <c r="D191" s="247"/>
      <c r="E191" s="247"/>
      <c r="F191" s="247"/>
      <c r="G191" s="247"/>
      <c r="H191" s="247"/>
      <c r="I191" s="247"/>
      <c r="J191" s="247"/>
      <c r="K191" s="247"/>
      <c r="L191" s="247"/>
      <c r="M191" s="247"/>
    </row>
    <row r="192">
      <c r="B192" s="247"/>
      <c r="C192" s="247"/>
      <c r="D192" s="247"/>
      <c r="E192" s="247"/>
      <c r="F192" s="247"/>
      <c r="G192" s="247"/>
      <c r="H192" s="247"/>
      <c r="I192" s="247"/>
      <c r="J192" s="247"/>
      <c r="K192" s="247"/>
      <c r="L192" s="247"/>
      <c r="M192" s="247"/>
    </row>
    <row r="193">
      <c r="B193" s="247"/>
      <c r="C193" s="247"/>
      <c r="D193" s="247"/>
      <c r="E193" s="247"/>
      <c r="F193" s="247"/>
      <c r="G193" s="247"/>
      <c r="H193" s="247"/>
      <c r="I193" s="247"/>
      <c r="J193" s="247"/>
      <c r="K193" s="247"/>
      <c r="L193" s="247"/>
      <c r="M193" s="247"/>
    </row>
    <row r="194">
      <c r="B194" s="247"/>
      <c r="C194" s="247"/>
      <c r="D194" s="247"/>
      <c r="E194" s="247"/>
      <c r="F194" s="247"/>
      <c r="G194" s="247"/>
      <c r="H194" s="247"/>
      <c r="I194" s="247"/>
      <c r="J194" s="247"/>
      <c r="K194" s="247"/>
      <c r="L194" s="247"/>
      <c r="M194" s="247"/>
    </row>
    <row r="195">
      <c r="B195" s="247"/>
      <c r="C195" s="247"/>
      <c r="D195" s="247"/>
      <c r="E195" s="247"/>
      <c r="F195" s="247"/>
      <c r="G195" s="247"/>
      <c r="H195" s="247"/>
      <c r="I195" s="247"/>
      <c r="J195" s="247"/>
      <c r="K195" s="247"/>
      <c r="L195" s="247"/>
      <c r="M195" s="247"/>
    </row>
    <row r="196">
      <c r="B196" s="247"/>
      <c r="C196" s="247"/>
      <c r="D196" s="247"/>
      <c r="E196" s="247"/>
      <c r="F196" s="247"/>
      <c r="G196" s="247"/>
      <c r="H196" s="247"/>
      <c r="I196" s="247"/>
      <c r="J196" s="247"/>
      <c r="K196" s="247"/>
      <c r="L196" s="247"/>
      <c r="M196" s="247"/>
    </row>
    <row r="197">
      <c r="B197" s="247"/>
      <c r="C197" s="247"/>
      <c r="D197" s="247"/>
      <c r="E197" s="247"/>
      <c r="F197" s="247"/>
      <c r="G197" s="247"/>
      <c r="H197" s="247"/>
      <c r="I197" s="247"/>
      <c r="J197" s="247"/>
      <c r="K197" s="247"/>
      <c r="L197" s="247"/>
      <c r="M197" s="247"/>
    </row>
    <row r="198">
      <c r="B198" s="247"/>
      <c r="C198" s="247"/>
      <c r="D198" s="247"/>
      <c r="E198" s="247"/>
      <c r="F198" s="247"/>
      <c r="G198" s="247"/>
      <c r="H198" s="247"/>
      <c r="I198" s="247"/>
      <c r="J198" s="247"/>
      <c r="K198" s="247"/>
      <c r="L198" s="247"/>
      <c r="M198" s="247"/>
    </row>
    <row r="199">
      <c r="B199" s="247"/>
      <c r="C199" s="247"/>
      <c r="D199" s="247"/>
      <c r="E199" s="247"/>
      <c r="F199" s="247"/>
      <c r="G199" s="247"/>
      <c r="H199" s="247"/>
      <c r="I199" s="247"/>
      <c r="J199" s="247"/>
      <c r="K199" s="247"/>
      <c r="L199" s="247"/>
      <c r="M199" s="247"/>
    </row>
    <row r="200">
      <c r="B200" s="247"/>
      <c r="C200" s="247"/>
      <c r="D200" s="247"/>
      <c r="E200" s="247"/>
      <c r="F200" s="247"/>
      <c r="G200" s="247"/>
      <c r="H200" s="247"/>
      <c r="I200" s="247"/>
      <c r="J200" s="247"/>
      <c r="K200" s="247"/>
      <c r="L200" s="247"/>
      <c r="M200" s="247"/>
    </row>
    <row r="201">
      <c r="B201" s="247"/>
      <c r="C201" s="247"/>
      <c r="D201" s="247"/>
      <c r="E201" s="247"/>
      <c r="F201" s="247"/>
      <c r="G201" s="247"/>
      <c r="H201" s="247"/>
      <c r="I201" s="247"/>
      <c r="J201" s="247"/>
      <c r="K201" s="247"/>
      <c r="L201" s="247"/>
      <c r="M201" s="247"/>
    </row>
    <row r="202">
      <c r="B202" s="247"/>
      <c r="C202" s="247"/>
      <c r="D202" s="247"/>
      <c r="E202" s="247"/>
      <c r="F202" s="247"/>
      <c r="G202" s="247"/>
      <c r="H202" s="247"/>
      <c r="I202" s="247"/>
      <c r="J202" s="247"/>
      <c r="K202" s="247"/>
      <c r="L202" s="247"/>
      <c r="M202" s="247"/>
    </row>
    <row r="203">
      <c r="B203" s="247"/>
      <c r="C203" s="247"/>
      <c r="D203" s="247"/>
      <c r="E203" s="247"/>
      <c r="F203" s="247"/>
      <c r="G203" s="247"/>
      <c r="H203" s="247"/>
      <c r="I203" s="247"/>
      <c r="J203" s="247"/>
      <c r="K203" s="247"/>
      <c r="L203" s="247"/>
      <c r="M203" s="247"/>
    </row>
    <row r="204">
      <c r="B204" s="247"/>
      <c r="C204" s="247"/>
      <c r="D204" s="247"/>
      <c r="E204" s="247"/>
      <c r="F204" s="247"/>
      <c r="G204" s="247"/>
      <c r="H204" s="247"/>
      <c r="I204" s="247"/>
      <c r="J204" s="247"/>
      <c r="K204" s="247"/>
      <c r="L204" s="247"/>
      <c r="M204" s="247"/>
    </row>
    <row r="205">
      <c r="B205" s="247"/>
      <c r="C205" s="247"/>
      <c r="D205" s="247"/>
      <c r="E205" s="247"/>
      <c r="F205" s="247"/>
      <c r="G205" s="247"/>
      <c r="H205" s="247"/>
      <c r="I205" s="247"/>
      <c r="J205" s="247"/>
      <c r="K205" s="247"/>
      <c r="L205" s="247"/>
      <c r="M205" s="247"/>
    </row>
    <row r="206">
      <c r="B206" s="247"/>
      <c r="C206" s="247"/>
      <c r="D206" s="247"/>
      <c r="E206" s="247"/>
      <c r="F206" s="247"/>
      <c r="G206" s="247"/>
      <c r="H206" s="247"/>
      <c r="I206" s="247"/>
      <c r="J206" s="247"/>
      <c r="K206" s="247"/>
      <c r="L206" s="247"/>
      <c r="M206" s="247"/>
    </row>
    <row r="207">
      <c r="B207" s="247"/>
      <c r="C207" s="247"/>
      <c r="D207" s="247"/>
      <c r="E207" s="247"/>
      <c r="F207" s="247"/>
      <c r="G207" s="247"/>
      <c r="H207" s="247"/>
      <c r="I207" s="247"/>
      <c r="J207" s="247"/>
      <c r="K207" s="247"/>
      <c r="L207" s="247"/>
      <c r="M207" s="247"/>
    </row>
    <row r="208">
      <c r="B208" s="247"/>
      <c r="C208" s="247"/>
      <c r="D208" s="247"/>
      <c r="E208" s="247"/>
      <c r="F208" s="247"/>
      <c r="G208" s="247"/>
      <c r="H208" s="247"/>
      <c r="I208" s="247"/>
      <c r="J208" s="247"/>
      <c r="K208" s="247"/>
      <c r="L208" s="247"/>
      <c r="M208" s="247"/>
    </row>
    <row r="209">
      <c r="B209" s="247"/>
      <c r="C209" s="247"/>
      <c r="D209" s="247"/>
      <c r="E209" s="247"/>
      <c r="F209" s="247"/>
      <c r="G209" s="247"/>
      <c r="H209" s="247"/>
      <c r="I209" s="247"/>
      <c r="J209" s="247"/>
      <c r="K209" s="247"/>
      <c r="L209" s="247"/>
      <c r="M209" s="247"/>
    </row>
    <row r="210">
      <c r="B210" s="247"/>
      <c r="C210" s="247"/>
      <c r="D210" s="247"/>
      <c r="E210" s="247"/>
      <c r="F210" s="247"/>
      <c r="G210" s="247"/>
      <c r="H210" s="247"/>
      <c r="I210" s="247"/>
      <c r="J210" s="247"/>
      <c r="K210" s="247"/>
      <c r="L210" s="247"/>
      <c r="M210" s="247"/>
    </row>
    <row r="211">
      <c r="B211" s="247"/>
      <c r="C211" s="247"/>
      <c r="D211" s="247"/>
      <c r="E211" s="247"/>
      <c r="F211" s="247"/>
      <c r="G211" s="247"/>
      <c r="H211" s="247"/>
      <c r="I211" s="247"/>
      <c r="J211" s="247"/>
      <c r="K211" s="247"/>
      <c r="L211" s="247"/>
      <c r="M211" s="247"/>
    </row>
    <row r="212">
      <c r="B212" s="247"/>
      <c r="C212" s="247"/>
      <c r="D212" s="247"/>
      <c r="E212" s="247"/>
      <c r="F212" s="247"/>
      <c r="G212" s="247"/>
      <c r="H212" s="247"/>
      <c r="I212" s="247"/>
      <c r="J212" s="247"/>
      <c r="K212" s="247"/>
      <c r="L212" s="247"/>
      <c r="M212" s="247"/>
    </row>
    <row r="213">
      <c r="B213" s="247"/>
      <c r="C213" s="247"/>
      <c r="D213" s="247"/>
      <c r="E213" s="247"/>
      <c r="F213" s="247"/>
      <c r="G213" s="247"/>
      <c r="H213" s="247"/>
      <c r="I213" s="247"/>
      <c r="J213" s="247"/>
      <c r="K213" s="247"/>
      <c r="L213" s="247"/>
      <c r="M213" s="247"/>
    </row>
    <row r="214">
      <c r="B214" s="247"/>
      <c r="C214" s="247"/>
      <c r="D214" s="247"/>
      <c r="E214" s="247"/>
      <c r="F214" s="247"/>
      <c r="G214" s="247"/>
      <c r="H214" s="247"/>
      <c r="I214" s="247"/>
      <c r="J214" s="247"/>
      <c r="K214" s="247"/>
      <c r="L214" s="247"/>
      <c r="M214" s="247"/>
    </row>
    <row r="215">
      <c r="B215" s="247"/>
      <c r="C215" s="247"/>
      <c r="D215" s="247"/>
      <c r="E215" s="247"/>
      <c r="F215" s="247"/>
      <c r="G215" s="247"/>
      <c r="H215" s="247"/>
      <c r="I215" s="247"/>
      <c r="J215" s="247"/>
      <c r="K215" s="247"/>
      <c r="L215" s="247"/>
      <c r="M215" s="247"/>
    </row>
    <row r="216">
      <c r="B216" s="247"/>
      <c r="C216" s="247"/>
      <c r="D216" s="247"/>
      <c r="E216" s="247"/>
      <c r="F216" s="247"/>
      <c r="G216" s="247"/>
      <c r="H216" s="247"/>
      <c r="I216" s="247"/>
      <c r="J216" s="247"/>
      <c r="K216" s="247"/>
      <c r="L216" s="247"/>
      <c r="M216" s="247"/>
    </row>
    <row r="217">
      <c r="B217" s="247"/>
      <c r="C217" s="247"/>
      <c r="D217" s="247"/>
      <c r="E217" s="247"/>
      <c r="F217" s="247"/>
      <c r="G217" s="247"/>
      <c r="H217" s="247"/>
      <c r="I217" s="247"/>
      <c r="J217" s="247"/>
      <c r="K217" s="247"/>
      <c r="L217" s="247"/>
      <c r="M217" s="247"/>
    </row>
    <row r="218">
      <c r="B218" s="247"/>
      <c r="C218" s="247"/>
      <c r="D218" s="247"/>
      <c r="E218" s="247"/>
      <c r="F218" s="247"/>
      <c r="G218" s="247"/>
      <c r="H218" s="247"/>
      <c r="I218" s="247"/>
      <c r="J218" s="247"/>
      <c r="K218" s="247"/>
      <c r="L218" s="247"/>
      <c r="M218" s="247"/>
    </row>
    <row r="219">
      <c r="B219" s="247"/>
      <c r="C219" s="247"/>
      <c r="D219" s="247"/>
      <c r="E219" s="247"/>
      <c r="F219" s="247"/>
      <c r="G219" s="247"/>
      <c r="H219" s="247"/>
      <c r="I219" s="247"/>
      <c r="J219" s="247"/>
      <c r="K219" s="247"/>
      <c r="L219" s="247"/>
      <c r="M219" s="247"/>
    </row>
    <row r="220">
      <c r="B220" s="247"/>
      <c r="C220" s="247"/>
      <c r="D220" s="247"/>
      <c r="E220" s="247"/>
      <c r="F220" s="247"/>
      <c r="G220" s="247"/>
      <c r="H220" s="247"/>
      <c r="I220" s="247"/>
      <c r="J220" s="247"/>
      <c r="K220" s="247"/>
      <c r="L220" s="247"/>
      <c r="M220" s="247"/>
    </row>
    <row r="221">
      <c r="B221" s="247"/>
      <c r="C221" s="247"/>
      <c r="D221" s="247"/>
      <c r="E221" s="247"/>
      <c r="F221" s="247"/>
      <c r="G221" s="247"/>
      <c r="H221" s="247"/>
      <c r="I221" s="247"/>
      <c r="J221" s="247"/>
      <c r="K221" s="247"/>
      <c r="L221" s="247"/>
      <c r="M221" s="247"/>
    </row>
    <row r="222">
      <c r="B222" s="247"/>
      <c r="C222" s="247"/>
      <c r="D222" s="247"/>
      <c r="E222" s="247"/>
      <c r="F222" s="247"/>
      <c r="G222" s="247"/>
      <c r="H222" s="247"/>
      <c r="I222" s="247"/>
      <c r="J222" s="247"/>
      <c r="K222" s="247"/>
      <c r="L222" s="247"/>
      <c r="M222" s="247"/>
    </row>
    <row r="223">
      <c r="B223" s="247"/>
      <c r="C223" s="247"/>
      <c r="D223" s="247"/>
      <c r="E223" s="247"/>
      <c r="F223" s="247"/>
      <c r="G223" s="247"/>
      <c r="H223" s="247"/>
      <c r="I223" s="247"/>
      <c r="J223" s="247"/>
      <c r="K223" s="247"/>
      <c r="L223" s="247"/>
      <c r="M223" s="247"/>
    </row>
    <row r="224">
      <c r="B224" s="247"/>
      <c r="C224" s="247"/>
      <c r="D224" s="247"/>
      <c r="E224" s="247"/>
      <c r="F224" s="247"/>
      <c r="G224" s="247"/>
      <c r="H224" s="247"/>
      <c r="I224" s="247"/>
      <c r="J224" s="247"/>
      <c r="K224" s="247"/>
      <c r="L224" s="247"/>
      <c r="M224" s="247"/>
    </row>
    <row r="225">
      <c r="B225" s="247"/>
      <c r="C225" s="247"/>
      <c r="D225" s="247"/>
      <c r="E225" s="247"/>
      <c r="F225" s="247"/>
      <c r="G225" s="247"/>
      <c r="H225" s="247"/>
      <c r="I225" s="247"/>
      <c r="J225" s="247"/>
      <c r="K225" s="247"/>
      <c r="L225" s="247"/>
      <c r="M225" s="247"/>
    </row>
    <row r="226">
      <c r="B226" s="247"/>
      <c r="C226" s="247"/>
      <c r="D226" s="247"/>
      <c r="E226" s="247"/>
      <c r="F226" s="247"/>
      <c r="G226" s="247"/>
      <c r="H226" s="247"/>
      <c r="I226" s="247"/>
      <c r="J226" s="247"/>
      <c r="K226" s="247"/>
      <c r="L226" s="247"/>
      <c r="M226" s="247"/>
    </row>
    <row r="227">
      <c r="B227" s="247"/>
      <c r="C227" s="247"/>
      <c r="D227" s="247"/>
      <c r="E227" s="247"/>
      <c r="F227" s="247"/>
      <c r="G227" s="247"/>
      <c r="H227" s="247"/>
      <c r="I227" s="247"/>
      <c r="J227" s="247"/>
      <c r="K227" s="247"/>
      <c r="L227" s="247"/>
      <c r="M227" s="247"/>
    </row>
    <row r="228">
      <c r="B228" s="247"/>
      <c r="C228" s="247"/>
      <c r="D228" s="247"/>
      <c r="E228" s="247"/>
      <c r="F228" s="247"/>
      <c r="G228" s="247"/>
      <c r="H228" s="247"/>
      <c r="I228" s="247"/>
      <c r="J228" s="247"/>
      <c r="K228" s="247"/>
      <c r="L228" s="247"/>
      <c r="M228" s="247"/>
    </row>
    <row r="229">
      <c r="B229" s="247"/>
      <c r="C229" s="247"/>
      <c r="D229" s="247"/>
      <c r="E229" s="247"/>
      <c r="F229" s="247"/>
      <c r="G229" s="247"/>
      <c r="H229" s="247"/>
      <c r="I229" s="247"/>
      <c r="J229" s="247"/>
      <c r="K229" s="247"/>
      <c r="L229" s="247"/>
      <c r="M229" s="247"/>
    </row>
    <row r="230">
      <c r="B230" s="247"/>
      <c r="C230" s="247"/>
      <c r="D230" s="247"/>
      <c r="E230" s="247"/>
      <c r="F230" s="247"/>
      <c r="G230" s="247"/>
      <c r="H230" s="247"/>
      <c r="I230" s="247"/>
      <c r="J230" s="247"/>
      <c r="K230" s="247"/>
      <c r="L230" s="247"/>
      <c r="M230" s="247"/>
    </row>
    <row r="231">
      <c r="B231" s="247"/>
      <c r="C231" s="247"/>
      <c r="D231" s="247"/>
      <c r="E231" s="247"/>
      <c r="F231" s="247"/>
      <c r="G231" s="247"/>
      <c r="H231" s="247"/>
      <c r="I231" s="247"/>
      <c r="J231" s="247"/>
      <c r="K231" s="247"/>
      <c r="L231" s="247"/>
      <c r="M231" s="247"/>
    </row>
    <row r="232">
      <c r="B232" s="247"/>
      <c r="C232" s="247"/>
      <c r="D232" s="247"/>
      <c r="E232" s="247"/>
      <c r="F232" s="247"/>
      <c r="G232" s="247"/>
      <c r="H232" s="247"/>
      <c r="I232" s="247"/>
      <c r="J232" s="247"/>
      <c r="K232" s="247"/>
      <c r="L232" s="247"/>
      <c r="M232" s="247"/>
    </row>
    <row r="233">
      <c r="B233" s="247"/>
      <c r="C233" s="247"/>
      <c r="D233" s="247"/>
      <c r="E233" s="247"/>
      <c r="F233" s="247"/>
      <c r="G233" s="247"/>
      <c r="H233" s="247"/>
      <c r="I233" s="247"/>
      <c r="J233" s="247"/>
      <c r="K233" s="247"/>
      <c r="L233" s="247"/>
      <c r="M233" s="247"/>
    </row>
    <row r="234">
      <c r="B234" s="247"/>
      <c r="C234" s="247"/>
      <c r="D234" s="247"/>
      <c r="E234" s="247"/>
      <c r="F234" s="247"/>
      <c r="G234" s="247"/>
      <c r="H234" s="247"/>
      <c r="I234" s="247"/>
      <c r="J234" s="247"/>
      <c r="K234" s="247"/>
      <c r="L234" s="247"/>
      <c r="M234" s="247"/>
    </row>
    <row r="235">
      <c r="B235" s="247"/>
      <c r="C235" s="247"/>
      <c r="D235" s="247"/>
      <c r="E235" s="247"/>
      <c r="F235" s="247"/>
      <c r="G235" s="247"/>
      <c r="H235" s="247"/>
      <c r="I235" s="247"/>
      <c r="J235" s="247"/>
      <c r="K235" s="247"/>
      <c r="L235" s="247"/>
      <c r="M235" s="247"/>
    </row>
    <row r="236">
      <c r="B236" s="247"/>
      <c r="C236" s="247"/>
      <c r="D236" s="247"/>
      <c r="E236" s="247"/>
      <c r="F236" s="247"/>
      <c r="G236" s="247"/>
      <c r="H236" s="247"/>
      <c r="I236" s="247"/>
      <c r="J236" s="247"/>
      <c r="K236" s="247"/>
      <c r="L236" s="247"/>
      <c r="M236" s="247"/>
    </row>
    <row r="237">
      <c r="B237" s="247"/>
      <c r="C237" s="247"/>
      <c r="D237" s="247"/>
      <c r="E237" s="247"/>
      <c r="F237" s="247"/>
      <c r="G237" s="247"/>
      <c r="H237" s="247"/>
      <c r="I237" s="247"/>
      <c r="J237" s="247"/>
      <c r="K237" s="247"/>
      <c r="L237" s="247"/>
      <c r="M237" s="247"/>
    </row>
    <row r="238">
      <c r="B238" s="247"/>
      <c r="C238" s="247"/>
      <c r="D238" s="247"/>
      <c r="E238" s="247"/>
      <c r="F238" s="247"/>
      <c r="G238" s="247"/>
      <c r="H238" s="247"/>
      <c r="I238" s="247"/>
      <c r="J238" s="247"/>
      <c r="K238" s="247"/>
      <c r="L238" s="247"/>
      <c r="M238" s="247"/>
    </row>
    <row r="239">
      <c r="B239" s="247"/>
      <c r="C239" s="247"/>
      <c r="D239" s="247"/>
      <c r="E239" s="247"/>
      <c r="F239" s="247"/>
      <c r="G239" s="247"/>
      <c r="H239" s="247"/>
      <c r="I239" s="247"/>
      <c r="J239" s="247"/>
      <c r="K239" s="247"/>
      <c r="L239" s="247"/>
      <c r="M239" s="247"/>
    </row>
    <row r="240">
      <c r="B240" s="247"/>
      <c r="C240" s="247"/>
      <c r="D240" s="247"/>
      <c r="E240" s="247"/>
      <c r="F240" s="247"/>
      <c r="G240" s="247"/>
      <c r="H240" s="247"/>
      <c r="I240" s="247"/>
      <c r="J240" s="247"/>
      <c r="K240" s="247"/>
      <c r="L240" s="247"/>
      <c r="M240" s="247"/>
    </row>
    <row r="241">
      <c r="B241" s="247"/>
      <c r="C241" s="247"/>
      <c r="D241" s="247"/>
      <c r="E241" s="247"/>
      <c r="F241" s="247"/>
      <c r="G241" s="247"/>
      <c r="H241" s="247"/>
      <c r="I241" s="247"/>
      <c r="J241" s="247"/>
      <c r="K241" s="247"/>
      <c r="L241" s="247"/>
      <c r="M241" s="247"/>
    </row>
    <row r="242">
      <c r="B242" s="247"/>
      <c r="C242" s="247"/>
      <c r="D242" s="247"/>
      <c r="E242" s="247"/>
      <c r="F242" s="247"/>
      <c r="G242" s="247"/>
      <c r="H242" s="247"/>
      <c r="I242" s="247"/>
      <c r="J242" s="247"/>
      <c r="K242" s="247"/>
      <c r="L242" s="247"/>
      <c r="M242" s="247"/>
    </row>
    <row r="243">
      <c r="B243" s="247"/>
      <c r="C243" s="247"/>
      <c r="D243" s="247"/>
      <c r="E243" s="247"/>
      <c r="F243" s="247"/>
      <c r="G243" s="247"/>
      <c r="H243" s="247"/>
      <c r="I243" s="247"/>
      <c r="J243" s="247"/>
      <c r="K243" s="247"/>
      <c r="L243" s="247"/>
      <c r="M243" s="247"/>
    </row>
    <row r="244">
      <c r="B244" s="247"/>
      <c r="C244" s="247"/>
      <c r="D244" s="247"/>
      <c r="E244" s="247"/>
      <c r="F244" s="247"/>
      <c r="G244" s="247"/>
      <c r="H244" s="247"/>
      <c r="I244" s="247"/>
      <c r="J244" s="247"/>
      <c r="K244" s="247"/>
      <c r="L244" s="247"/>
      <c r="M244" s="247"/>
    </row>
    <row r="245">
      <c r="B245" s="247"/>
      <c r="C245" s="247"/>
      <c r="D245" s="247"/>
      <c r="E245" s="247"/>
      <c r="F245" s="247"/>
      <c r="G245" s="247"/>
      <c r="H245" s="247"/>
      <c r="I245" s="247"/>
      <c r="J245" s="247"/>
      <c r="K245" s="247"/>
      <c r="L245" s="247"/>
      <c r="M245" s="247"/>
    </row>
    <row r="246">
      <c r="B246" s="247"/>
      <c r="C246" s="247"/>
      <c r="D246" s="247"/>
      <c r="E246" s="247"/>
      <c r="F246" s="247"/>
      <c r="G246" s="247"/>
      <c r="H246" s="247"/>
      <c r="I246" s="247"/>
      <c r="J246" s="247"/>
      <c r="K246" s="247"/>
      <c r="L246" s="247"/>
      <c r="M246" s="247"/>
    </row>
    <row r="247">
      <c r="B247" s="247"/>
      <c r="C247" s="247"/>
      <c r="D247" s="247"/>
      <c r="E247" s="247"/>
      <c r="F247" s="247"/>
      <c r="G247" s="247"/>
      <c r="H247" s="247"/>
      <c r="I247" s="247"/>
      <c r="J247" s="247"/>
      <c r="K247" s="247"/>
      <c r="L247" s="247"/>
      <c r="M247" s="247"/>
    </row>
    <row r="248">
      <c r="B248" s="247"/>
      <c r="C248" s="247"/>
      <c r="D248" s="247"/>
      <c r="E248" s="247"/>
      <c r="F248" s="247"/>
      <c r="G248" s="247"/>
      <c r="H248" s="247"/>
      <c r="I248" s="247"/>
      <c r="J248" s="247"/>
      <c r="K248" s="247"/>
      <c r="L248" s="247"/>
      <c r="M248" s="247"/>
    </row>
    <row r="249">
      <c r="B249" s="247"/>
      <c r="C249" s="247"/>
      <c r="D249" s="247"/>
      <c r="E249" s="247"/>
      <c r="F249" s="247"/>
      <c r="G249" s="247"/>
      <c r="H249" s="247"/>
      <c r="I249" s="247"/>
      <c r="J249" s="247"/>
      <c r="K249" s="247"/>
      <c r="L249" s="247"/>
      <c r="M249" s="247"/>
    </row>
    <row r="250">
      <c r="B250" s="247"/>
      <c r="C250" s="247"/>
      <c r="D250" s="247"/>
      <c r="E250" s="247"/>
      <c r="F250" s="247"/>
      <c r="G250" s="247"/>
      <c r="H250" s="247"/>
      <c r="I250" s="247"/>
      <c r="J250" s="247"/>
      <c r="K250" s="247"/>
      <c r="L250" s="247"/>
      <c r="M250" s="247"/>
    </row>
    <row r="251">
      <c r="B251" s="247"/>
      <c r="C251" s="247"/>
      <c r="D251" s="247"/>
      <c r="E251" s="247"/>
      <c r="F251" s="247"/>
      <c r="G251" s="247"/>
      <c r="H251" s="247"/>
      <c r="I251" s="247"/>
      <c r="J251" s="247"/>
      <c r="K251" s="247"/>
      <c r="L251" s="247"/>
      <c r="M251" s="247"/>
    </row>
    <row r="252">
      <c r="B252" s="247"/>
      <c r="C252" s="247"/>
      <c r="D252" s="247"/>
      <c r="E252" s="247"/>
      <c r="F252" s="247"/>
      <c r="G252" s="247"/>
      <c r="H252" s="247"/>
      <c r="I252" s="247"/>
      <c r="J252" s="247"/>
      <c r="K252" s="247"/>
      <c r="L252" s="247"/>
      <c r="M252" s="247"/>
    </row>
    <row r="253">
      <c r="B253" s="247"/>
      <c r="C253" s="247"/>
      <c r="D253" s="247"/>
      <c r="E253" s="247"/>
      <c r="F253" s="247"/>
      <c r="G253" s="247"/>
      <c r="H253" s="247"/>
      <c r="I253" s="247"/>
      <c r="J253" s="247"/>
      <c r="K253" s="247"/>
      <c r="L253" s="247"/>
      <c r="M253" s="247"/>
    </row>
    <row r="254">
      <c r="B254" s="247"/>
      <c r="C254" s="247"/>
      <c r="D254" s="247"/>
      <c r="E254" s="247"/>
      <c r="F254" s="247"/>
      <c r="G254" s="247"/>
      <c r="H254" s="247"/>
      <c r="I254" s="247"/>
      <c r="J254" s="247"/>
      <c r="K254" s="247"/>
      <c r="L254" s="247"/>
      <c r="M254" s="247"/>
    </row>
    <row r="255">
      <c r="B255" s="247"/>
      <c r="C255" s="247"/>
      <c r="D255" s="247"/>
      <c r="E255" s="247"/>
      <c r="F255" s="247"/>
      <c r="G255" s="247"/>
      <c r="H255" s="247"/>
      <c r="I255" s="247"/>
      <c r="J255" s="247"/>
      <c r="K255" s="247"/>
      <c r="L255" s="247"/>
      <c r="M255" s="247"/>
    </row>
    <row r="256">
      <c r="B256" s="247"/>
      <c r="C256" s="247"/>
      <c r="D256" s="247"/>
      <c r="E256" s="247"/>
      <c r="F256" s="247"/>
      <c r="G256" s="247"/>
      <c r="H256" s="247"/>
      <c r="I256" s="247"/>
      <c r="J256" s="247"/>
      <c r="K256" s="247"/>
      <c r="L256" s="247"/>
      <c r="M256" s="247"/>
    </row>
    <row r="257">
      <c r="B257" s="247"/>
      <c r="C257" s="247"/>
      <c r="D257" s="247"/>
      <c r="E257" s="247"/>
      <c r="F257" s="247"/>
      <c r="G257" s="247"/>
      <c r="H257" s="247"/>
      <c r="I257" s="247"/>
      <c r="J257" s="247"/>
      <c r="K257" s="247"/>
      <c r="L257" s="247"/>
      <c r="M257" s="247"/>
    </row>
    <row r="258">
      <c r="B258" s="247"/>
      <c r="C258" s="247"/>
      <c r="D258" s="247"/>
      <c r="E258" s="247"/>
      <c r="F258" s="247"/>
      <c r="G258" s="247"/>
      <c r="H258" s="247"/>
      <c r="I258" s="247"/>
      <c r="J258" s="247"/>
      <c r="K258" s="247"/>
      <c r="L258" s="247"/>
      <c r="M258" s="247"/>
    </row>
    <row r="259">
      <c r="B259" s="247"/>
      <c r="C259" s="247"/>
      <c r="D259" s="247"/>
      <c r="E259" s="247"/>
      <c r="F259" s="247"/>
      <c r="G259" s="247"/>
      <c r="H259" s="247"/>
      <c r="I259" s="247"/>
      <c r="J259" s="247"/>
      <c r="K259" s="247"/>
      <c r="L259" s="247"/>
      <c r="M259" s="247"/>
    </row>
    <row r="260">
      <c r="B260" s="247"/>
      <c r="C260" s="247"/>
      <c r="D260" s="247"/>
      <c r="E260" s="247"/>
      <c r="F260" s="247"/>
      <c r="G260" s="247"/>
      <c r="H260" s="247"/>
      <c r="I260" s="247"/>
      <c r="J260" s="247"/>
      <c r="K260" s="247"/>
      <c r="L260" s="247"/>
      <c r="M260" s="247"/>
    </row>
    <row r="261">
      <c r="B261" s="247"/>
      <c r="C261" s="247"/>
      <c r="D261" s="247"/>
      <c r="E261" s="247"/>
      <c r="F261" s="247"/>
      <c r="G261" s="247"/>
      <c r="H261" s="247"/>
      <c r="I261" s="247"/>
      <c r="J261" s="247"/>
      <c r="K261" s="247"/>
      <c r="L261" s="247"/>
      <c r="M261" s="247"/>
    </row>
    <row r="262">
      <c r="B262" s="247"/>
      <c r="C262" s="247"/>
      <c r="D262" s="247"/>
      <c r="E262" s="247"/>
      <c r="F262" s="247"/>
      <c r="G262" s="247"/>
      <c r="H262" s="247"/>
      <c r="I262" s="247"/>
      <c r="J262" s="247"/>
      <c r="K262" s="247"/>
      <c r="L262" s="247"/>
      <c r="M262" s="247"/>
    </row>
    <row r="263">
      <c r="B263" s="247"/>
      <c r="C263" s="247"/>
      <c r="D263" s="247"/>
      <c r="E263" s="247"/>
      <c r="F263" s="247"/>
      <c r="G263" s="247"/>
      <c r="H263" s="247"/>
      <c r="I263" s="247"/>
      <c r="J263" s="247"/>
      <c r="K263" s="247"/>
      <c r="L263" s="247"/>
      <c r="M263" s="247"/>
    </row>
    <row r="264">
      <c r="B264" s="247"/>
      <c r="C264" s="247"/>
      <c r="D264" s="247"/>
      <c r="E264" s="247"/>
      <c r="F264" s="247"/>
      <c r="G264" s="247"/>
      <c r="H264" s="247"/>
      <c r="I264" s="247"/>
      <c r="J264" s="247"/>
      <c r="K264" s="247"/>
      <c r="L264" s="247"/>
      <c r="M264" s="247"/>
    </row>
    <row r="265">
      <c r="B265" s="247"/>
      <c r="C265" s="247"/>
      <c r="D265" s="247"/>
      <c r="E265" s="247"/>
      <c r="F265" s="247"/>
      <c r="G265" s="247"/>
      <c r="H265" s="247"/>
      <c r="I265" s="247"/>
      <c r="J265" s="247"/>
      <c r="K265" s="247"/>
      <c r="L265" s="247"/>
      <c r="M265" s="247"/>
    </row>
    <row r="266">
      <c r="B266" s="247"/>
      <c r="C266" s="247"/>
      <c r="D266" s="247"/>
      <c r="E266" s="247"/>
      <c r="F266" s="247"/>
      <c r="G266" s="247"/>
      <c r="H266" s="247"/>
      <c r="I266" s="247"/>
      <c r="J266" s="247"/>
      <c r="K266" s="247"/>
      <c r="L266" s="247"/>
      <c r="M266" s="247"/>
    </row>
    <row r="267">
      <c r="B267" s="247"/>
      <c r="C267" s="247"/>
      <c r="D267" s="247"/>
      <c r="E267" s="247"/>
      <c r="F267" s="247"/>
      <c r="G267" s="247"/>
      <c r="H267" s="247"/>
      <c r="I267" s="247"/>
      <c r="J267" s="247"/>
      <c r="K267" s="247"/>
      <c r="L267" s="247"/>
      <c r="M267" s="247"/>
    </row>
    <row r="268">
      <c r="B268" s="247"/>
      <c r="C268" s="247"/>
      <c r="D268" s="247"/>
      <c r="E268" s="247"/>
      <c r="F268" s="247"/>
      <c r="G268" s="247"/>
      <c r="H268" s="247"/>
      <c r="I268" s="247"/>
      <c r="J268" s="247"/>
      <c r="K268" s="247"/>
      <c r="L268" s="247"/>
      <c r="M268" s="247"/>
    </row>
    <row r="269">
      <c r="B269" s="247"/>
      <c r="C269" s="247"/>
      <c r="D269" s="247"/>
      <c r="E269" s="247"/>
      <c r="F269" s="247"/>
      <c r="G269" s="247"/>
      <c r="H269" s="247"/>
      <c r="I269" s="247"/>
      <c r="J269" s="247"/>
      <c r="K269" s="247"/>
      <c r="L269" s="247"/>
      <c r="M269" s="247"/>
    </row>
    <row r="270">
      <c r="B270" s="247"/>
      <c r="C270" s="247"/>
      <c r="D270" s="247"/>
      <c r="E270" s="247"/>
      <c r="F270" s="247"/>
      <c r="G270" s="247"/>
      <c r="H270" s="247"/>
      <c r="I270" s="247"/>
      <c r="J270" s="247"/>
      <c r="K270" s="247"/>
      <c r="L270" s="247"/>
      <c r="M270" s="247"/>
    </row>
    <row r="271">
      <c r="B271" s="247"/>
      <c r="C271" s="247"/>
      <c r="D271" s="247"/>
      <c r="E271" s="247"/>
      <c r="F271" s="247"/>
      <c r="G271" s="247"/>
      <c r="H271" s="247"/>
      <c r="I271" s="247"/>
      <c r="J271" s="247"/>
      <c r="K271" s="247"/>
      <c r="L271" s="247"/>
      <c r="M271" s="247"/>
    </row>
    <row r="272">
      <c r="B272" s="247"/>
      <c r="C272" s="247"/>
      <c r="D272" s="247"/>
      <c r="E272" s="247"/>
      <c r="F272" s="247"/>
      <c r="G272" s="247"/>
      <c r="H272" s="247"/>
      <c r="I272" s="247"/>
      <c r="J272" s="247"/>
      <c r="K272" s="247"/>
      <c r="L272" s="247"/>
      <c r="M272" s="247"/>
    </row>
    <row r="273">
      <c r="B273" s="247"/>
      <c r="C273" s="247"/>
      <c r="D273" s="247"/>
      <c r="E273" s="247"/>
      <c r="F273" s="247"/>
      <c r="G273" s="247"/>
      <c r="H273" s="247"/>
      <c r="I273" s="247"/>
      <c r="J273" s="247"/>
      <c r="K273" s="247"/>
      <c r="L273" s="247"/>
      <c r="M273" s="247"/>
    </row>
    <row r="274">
      <c r="B274" s="247"/>
      <c r="C274" s="247"/>
      <c r="D274" s="247"/>
      <c r="E274" s="247"/>
      <c r="F274" s="247"/>
      <c r="G274" s="247"/>
      <c r="H274" s="247"/>
      <c r="I274" s="247"/>
      <c r="J274" s="247"/>
      <c r="K274" s="247"/>
      <c r="L274" s="247"/>
      <c r="M274" s="247"/>
    </row>
    <row r="275">
      <c r="B275" s="247"/>
      <c r="C275" s="247"/>
      <c r="D275" s="247"/>
      <c r="E275" s="247"/>
      <c r="F275" s="247"/>
      <c r="G275" s="247"/>
      <c r="H275" s="247"/>
      <c r="I275" s="247"/>
      <c r="J275" s="247"/>
      <c r="K275" s="247"/>
      <c r="L275" s="247"/>
      <c r="M275" s="247"/>
    </row>
    <row r="276">
      <c r="B276" s="247"/>
      <c r="C276" s="247"/>
      <c r="D276" s="247"/>
      <c r="E276" s="247"/>
      <c r="F276" s="247"/>
      <c r="G276" s="247"/>
      <c r="H276" s="247"/>
      <c r="I276" s="247"/>
      <c r="J276" s="247"/>
      <c r="K276" s="247"/>
      <c r="L276" s="247"/>
      <c r="M276" s="247"/>
    </row>
    <row r="277">
      <c r="B277" s="247"/>
      <c r="C277" s="247"/>
      <c r="D277" s="247"/>
      <c r="E277" s="247"/>
      <c r="F277" s="247"/>
      <c r="G277" s="247"/>
      <c r="H277" s="247"/>
      <c r="I277" s="247"/>
      <c r="J277" s="247"/>
      <c r="K277" s="247"/>
      <c r="L277" s="247"/>
      <c r="M277" s="247"/>
    </row>
    <row r="278">
      <c r="B278" s="247"/>
      <c r="C278" s="247"/>
      <c r="D278" s="247"/>
      <c r="E278" s="247"/>
      <c r="F278" s="247"/>
      <c r="G278" s="247"/>
      <c r="H278" s="247"/>
      <c r="I278" s="247"/>
      <c r="J278" s="247"/>
      <c r="K278" s="247"/>
      <c r="L278" s="247"/>
      <c r="M278" s="247"/>
    </row>
    <row r="279">
      <c r="B279" s="247"/>
      <c r="C279" s="247"/>
      <c r="D279" s="247"/>
      <c r="E279" s="247"/>
      <c r="F279" s="247"/>
      <c r="G279" s="247"/>
      <c r="H279" s="247"/>
      <c r="I279" s="247"/>
      <c r="J279" s="247"/>
      <c r="K279" s="247"/>
      <c r="L279" s="247"/>
      <c r="M279" s="247"/>
    </row>
    <row r="280">
      <c r="B280" s="247"/>
      <c r="C280" s="247"/>
      <c r="D280" s="247"/>
      <c r="E280" s="247"/>
      <c r="F280" s="247"/>
      <c r="G280" s="247"/>
      <c r="H280" s="247"/>
      <c r="I280" s="247"/>
      <c r="J280" s="247"/>
      <c r="K280" s="247"/>
      <c r="L280" s="247"/>
      <c r="M280" s="247"/>
    </row>
    <row r="281">
      <c r="B281" s="247"/>
      <c r="C281" s="247"/>
      <c r="D281" s="247"/>
      <c r="E281" s="247"/>
      <c r="F281" s="247"/>
      <c r="G281" s="247"/>
      <c r="H281" s="247"/>
      <c r="I281" s="247"/>
      <c r="J281" s="247"/>
      <c r="K281" s="247"/>
      <c r="L281" s="247"/>
      <c r="M281" s="247"/>
    </row>
    <row r="282">
      <c r="B282" s="247"/>
      <c r="C282" s="247"/>
      <c r="D282" s="247"/>
      <c r="E282" s="247"/>
      <c r="F282" s="247"/>
      <c r="G282" s="247"/>
      <c r="H282" s="247"/>
      <c r="I282" s="247"/>
      <c r="J282" s="247"/>
      <c r="K282" s="247"/>
      <c r="L282" s="247"/>
      <c r="M282" s="247"/>
    </row>
    <row r="283">
      <c r="B283" s="247"/>
      <c r="C283" s="247"/>
      <c r="D283" s="247"/>
      <c r="E283" s="247"/>
      <c r="F283" s="247"/>
      <c r="G283" s="247"/>
      <c r="H283" s="247"/>
      <c r="I283" s="247"/>
      <c r="J283" s="247"/>
      <c r="K283" s="247"/>
      <c r="L283" s="247"/>
      <c r="M283" s="247"/>
    </row>
    <row r="284">
      <c r="B284" s="247"/>
      <c r="C284" s="247"/>
      <c r="D284" s="247"/>
      <c r="E284" s="247"/>
      <c r="F284" s="247"/>
      <c r="G284" s="247"/>
      <c r="H284" s="247"/>
      <c r="I284" s="247"/>
      <c r="J284" s="247"/>
      <c r="K284" s="247"/>
      <c r="L284" s="247"/>
      <c r="M284" s="247"/>
    </row>
    <row r="285">
      <c r="B285" s="247"/>
      <c r="C285" s="247"/>
      <c r="D285" s="247"/>
      <c r="E285" s="247"/>
      <c r="F285" s="247"/>
      <c r="G285" s="247"/>
      <c r="H285" s="247"/>
      <c r="I285" s="247"/>
      <c r="J285" s="247"/>
      <c r="K285" s="247"/>
      <c r="L285" s="247"/>
      <c r="M285" s="247"/>
    </row>
    <row r="286">
      <c r="B286" s="247"/>
      <c r="C286" s="247"/>
      <c r="D286" s="247"/>
      <c r="E286" s="247"/>
      <c r="F286" s="247"/>
      <c r="G286" s="247"/>
      <c r="H286" s="247"/>
      <c r="I286" s="247"/>
      <c r="J286" s="247"/>
      <c r="K286" s="247"/>
      <c r="L286" s="247"/>
      <c r="M286" s="247"/>
    </row>
    <row r="287">
      <c r="B287" s="247"/>
      <c r="C287" s="247"/>
      <c r="D287" s="247"/>
      <c r="E287" s="247"/>
      <c r="F287" s="247"/>
      <c r="G287" s="247"/>
      <c r="H287" s="247"/>
      <c r="I287" s="247"/>
      <c r="J287" s="247"/>
      <c r="K287" s="247"/>
      <c r="L287" s="247"/>
      <c r="M287" s="247"/>
    </row>
    <row r="288">
      <c r="B288" s="247"/>
      <c r="C288" s="247"/>
      <c r="D288" s="247"/>
      <c r="E288" s="247"/>
      <c r="F288" s="247"/>
      <c r="G288" s="247"/>
      <c r="H288" s="247"/>
      <c r="I288" s="247"/>
      <c r="J288" s="247"/>
      <c r="K288" s="247"/>
      <c r="L288" s="247"/>
      <c r="M288" s="247"/>
    </row>
    <row r="289">
      <c r="B289" s="247"/>
      <c r="C289" s="247"/>
      <c r="D289" s="247"/>
      <c r="E289" s="247"/>
      <c r="F289" s="247"/>
      <c r="G289" s="247"/>
      <c r="H289" s="247"/>
      <c r="I289" s="247"/>
      <c r="J289" s="247"/>
      <c r="K289" s="247"/>
      <c r="L289" s="247"/>
      <c r="M289" s="247"/>
    </row>
    <row r="290">
      <c r="B290" s="247"/>
      <c r="C290" s="247"/>
      <c r="D290" s="247"/>
      <c r="E290" s="247"/>
      <c r="F290" s="247"/>
      <c r="G290" s="247"/>
      <c r="H290" s="247"/>
      <c r="I290" s="247"/>
      <c r="J290" s="247"/>
      <c r="K290" s="247"/>
      <c r="L290" s="247"/>
      <c r="M290" s="247"/>
    </row>
    <row r="291">
      <c r="B291" s="247"/>
      <c r="C291" s="247"/>
      <c r="D291" s="247"/>
      <c r="E291" s="247"/>
      <c r="F291" s="247"/>
      <c r="G291" s="247"/>
      <c r="H291" s="247"/>
      <c r="I291" s="247"/>
      <c r="J291" s="247"/>
      <c r="K291" s="247"/>
      <c r="L291" s="247"/>
      <c r="M291" s="247"/>
    </row>
    <row r="292">
      <c r="B292" s="247"/>
      <c r="C292" s="247"/>
      <c r="D292" s="247"/>
      <c r="E292" s="247"/>
      <c r="F292" s="247"/>
      <c r="G292" s="247"/>
      <c r="H292" s="247"/>
      <c r="I292" s="247"/>
      <c r="J292" s="247"/>
      <c r="K292" s="247"/>
      <c r="L292" s="247"/>
      <c r="M292" s="247"/>
    </row>
    <row r="293">
      <c r="B293" s="247"/>
      <c r="C293" s="247"/>
      <c r="D293" s="247"/>
      <c r="E293" s="247"/>
      <c r="F293" s="247"/>
      <c r="G293" s="247"/>
      <c r="H293" s="247"/>
      <c r="I293" s="247"/>
      <c r="J293" s="247"/>
      <c r="K293" s="247"/>
      <c r="L293" s="247"/>
      <c r="M293" s="247"/>
    </row>
    <row r="294">
      <c r="B294" s="247"/>
      <c r="C294" s="247"/>
      <c r="D294" s="247"/>
      <c r="E294" s="247"/>
      <c r="F294" s="247"/>
      <c r="G294" s="247"/>
      <c r="H294" s="247"/>
      <c r="I294" s="247"/>
      <c r="J294" s="247"/>
      <c r="K294" s="247"/>
      <c r="L294" s="247"/>
      <c r="M294" s="247"/>
    </row>
    <row r="295">
      <c r="B295" s="247"/>
      <c r="C295" s="247"/>
      <c r="D295" s="247"/>
      <c r="E295" s="247"/>
      <c r="F295" s="247"/>
      <c r="G295" s="247"/>
      <c r="H295" s="247"/>
      <c r="I295" s="247"/>
      <c r="J295" s="247"/>
      <c r="K295" s="247"/>
      <c r="L295" s="247"/>
      <c r="M295" s="247"/>
    </row>
    <row r="296">
      <c r="B296" s="247"/>
      <c r="C296" s="247"/>
      <c r="D296" s="247"/>
      <c r="E296" s="247"/>
      <c r="F296" s="247"/>
      <c r="G296" s="247"/>
      <c r="H296" s="247"/>
      <c r="I296" s="247"/>
      <c r="J296" s="247"/>
      <c r="K296" s="247"/>
      <c r="L296" s="247"/>
      <c r="M296" s="247"/>
    </row>
    <row r="297">
      <c r="B297" s="247"/>
      <c r="C297" s="247"/>
      <c r="D297" s="247"/>
      <c r="E297" s="247"/>
      <c r="F297" s="247"/>
      <c r="G297" s="247"/>
      <c r="H297" s="247"/>
      <c r="I297" s="247"/>
      <c r="J297" s="247"/>
      <c r="K297" s="247"/>
      <c r="L297" s="247"/>
      <c r="M297" s="247"/>
    </row>
    <row r="298">
      <c r="B298" s="247"/>
      <c r="C298" s="247"/>
      <c r="D298" s="247"/>
      <c r="E298" s="247"/>
      <c r="F298" s="247"/>
      <c r="G298" s="247"/>
      <c r="H298" s="247"/>
      <c r="I298" s="247"/>
      <c r="J298" s="247"/>
      <c r="K298" s="247"/>
      <c r="L298" s="247"/>
      <c r="M298" s="247"/>
    </row>
    <row r="299">
      <c r="B299" s="247"/>
      <c r="C299" s="247"/>
      <c r="D299" s="247"/>
      <c r="E299" s="247"/>
      <c r="F299" s="247"/>
      <c r="G299" s="247"/>
      <c r="H299" s="247"/>
      <c r="I299" s="247"/>
      <c r="J299" s="247"/>
      <c r="K299" s="247"/>
      <c r="L299" s="247"/>
      <c r="M299" s="247"/>
    </row>
    <row r="300">
      <c r="B300" s="247"/>
      <c r="C300" s="247"/>
      <c r="D300" s="247"/>
      <c r="E300" s="247"/>
      <c r="F300" s="247"/>
      <c r="G300" s="247"/>
      <c r="H300" s="247"/>
      <c r="I300" s="247"/>
      <c r="J300" s="247"/>
      <c r="K300" s="247"/>
      <c r="L300" s="247"/>
      <c r="M300" s="247"/>
    </row>
    <row r="301">
      <c r="B301" s="247"/>
      <c r="C301" s="247"/>
      <c r="D301" s="247"/>
      <c r="E301" s="247"/>
      <c r="F301" s="247"/>
      <c r="G301" s="247"/>
      <c r="H301" s="247"/>
      <c r="I301" s="247"/>
      <c r="J301" s="247"/>
      <c r="K301" s="247"/>
      <c r="L301" s="247"/>
      <c r="M301" s="247"/>
    </row>
    <row r="302">
      <c r="B302" s="247"/>
      <c r="C302" s="247"/>
      <c r="D302" s="247"/>
      <c r="E302" s="247"/>
      <c r="F302" s="247"/>
      <c r="G302" s="247"/>
      <c r="H302" s="247"/>
      <c r="I302" s="247"/>
      <c r="J302" s="247"/>
      <c r="K302" s="247"/>
      <c r="L302" s="247"/>
      <c r="M302" s="247"/>
    </row>
    <row r="303">
      <c r="B303" s="247"/>
      <c r="C303" s="247"/>
      <c r="D303" s="247"/>
      <c r="E303" s="247"/>
      <c r="F303" s="247"/>
      <c r="G303" s="247"/>
      <c r="H303" s="247"/>
      <c r="I303" s="247"/>
      <c r="J303" s="247"/>
      <c r="K303" s="247"/>
      <c r="L303" s="247"/>
      <c r="M303" s="247"/>
    </row>
    <row r="304">
      <c r="B304" s="247"/>
      <c r="C304" s="247"/>
      <c r="D304" s="247"/>
      <c r="E304" s="247"/>
      <c r="F304" s="247"/>
      <c r="G304" s="247"/>
      <c r="H304" s="247"/>
      <c r="I304" s="247"/>
      <c r="J304" s="247"/>
      <c r="K304" s="247"/>
      <c r="L304" s="247"/>
      <c r="M304" s="247"/>
    </row>
    <row r="305">
      <c r="B305" s="247"/>
      <c r="C305" s="247"/>
      <c r="D305" s="247"/>
      <c r="E305" s="247"/>
      <c r="F305" s="247"/>
      <c r="G305" s="247"/>
      <c r="H305" s="247"/>
      <c r="I305" s="247"/>
      <c r="J305" s="247"/>
      <c r="K305" s="247"/>
      <c r="L305" s="247"/>
      <c r="M305" s="247"/>
    </row>
    <row r="306">
      <c r="B306" s="247"/>
      <c r="C306" s="247"/>
      <c r="D306" s="247"/>
      <c r="E306" s="247"/>
      <c r="F306" s="247"/>
      <c r="G306" s="247"/>
      <c r="H306" s="247"/>
      <c r="I306" s="247"/>
      <c r="J306" s="247"/>
      <c r="K306" s="247"/>
      <c r="L306" s="247"/>
      <c r="M306" s="247"/>
    </row>
    <row r="307">
      <c r="B307" s="247"/>
      <c r="C307" s="247"/>
      <c r="D307" s="247"/>
      <c r="E307" s="247"/>
      <c r="F307" s="247"/>
      <c r="G307" s="247"/>
      <c r="H307" s="247"/>
      <c r="I307" s="247"/>
      <c r="J307" s="247"/>
      <c r="K307" s="247"/>
      <c r="L307" s="247"/>
      <c r="M307" s="247"/>
    </row>
    <row r="308">
      <c r="B308" s="247"/>
      <c r="C308" s="247"/>
      <c r="D308" s="247"/>
      <c r="E308" s="247"/>
      <c r="F308" s="247"/>
      <c r="G308" s="247"/>
      <c r="H308" s="247"/>
      <c r="I308" s="247"/>
      <c r="J308" s="247"/>
      <c r="K308" s="247"/>
      <c r="L308" s="247"/>
      <c r="M308" s="247"/>
    </row>
    <row r="309">
      <c r="B309" s="247"/>
      <c r="C309" s="247"/>
      <c r="D309" s="247"/>
      <c r="E309" s="247"/>
      <c r="F309" s="247"/>
      <c r="G309" s="247"/>
      <c r="H309" s="247"/>
      <c r="I309" s="247"/>
      <c r="J309" s="247"/>
      <c r="K309" s="247"/>
      <c r="L309" s="247"/>
      <c r="M309" s="247"/>
    </row>
    <row r="310">
      <c r="B310" s="247"/>
      <c r="C310" s="247"/>
      <c r="D310" s="247"/>
      <c r="E310" s="247"/>
      <c r="F310" s="247"/>
      <c r="G310" s="247"/>
      <c r="H310" s="247"/>
      <c r="I310" s="247"/>
      <c r="J310" s="247"/>
      <c r="K310" s="247"/>
      <c r="L310" s="247"/>
      <c r="M310" s="247"/>
    </row>
    <row r="311">
      <c r="B311" s="247"/>
      <c r="C311" s="247"/>
      <c r="D311" s="247"/>
      <c r="E311" s="247"/>
      <c r="F311" s="247"/>
      <c r="G311" s="247"/>
      <c r="H311" s="247"/>
      <c r="I311" s="247"/>
      <c r="J311" s="247"/>
      <c r="K311" s="247"/>
      <c r="L311" s="247"/>
      <c r="M311" s="247"/>
    </row>
    <row r="312">
      <c r="B312" s="247"/>
      <c r="C312" s="247"/>
      <c r="D312" s="247"/>
      <c r="E312" s="247"/>
      <c r="F312" s="247"/>
      <c r="G312" s="247"/>
      <c r="H312" s="247"/>
      <c r="I312" s="247"/>
      <c r="J312" s="247"/>
      <c r="K312" s="247"/>
      <c r="L312" s="247"/>
      <c r="M312" s="247"/>
    </row>
    <row r="313">
      <c r="B313" s="247"/>
      <c r="C313" s="247"/>
      <c r="D313" s="247"/>
      <c r="E313" s="247"/>
      <c r="F313" s="247"/>
      <c r="G313" s="247"/>
      <c r="H313" s="247"/>
      <c r="I313" s="247"/>
      <c r="J313" s="247"/>
      <c r="K313" s="247"/>
      <c r="L313" s="247"/>
      <c r="M313" s="247"/>
    </row>
    <row r="314">
      <c r="B314" s="247"/>
      <c r="C314" s="247"/>
      <c r="D314" s="247"/>
      <c r="E314" s="247"/>
      <c r="F314" s="247"/>
      <c r="G314" s="247"/>
      <c r="H314" s="247"/>
      <c r="I314" s="247"/>
      <c r="J314" s="247"/>
      <c r="K314" s="247"/>
      <c r="L314" s="247"/>
      <c r="M314" s="247"/>
    </row>
    <row r="315">
      <c r="B315" s="247"/>
      <c r="C315" s="247"/>
      <c r="D315" s="247"/>
      <c r="E315" s="247"/>
      <c r="F315" s="247"/>
      <c r="G315" s="247"/>
      <c r="H315" s="247"/>
      <c r="I315" s="247"/>
      <c r="J315" s="247"/>
      <c r="K315" s="247"/>
      <c r="L315" s="247"/>
      <c r="M315" s="247"/>
    </row>
    <row r="316">
      <c r="B316" s="247"/>
      <c r="C316" s="247"/>
      <c r="D316" s="247"/>
      <c r="E316" s="247"/>
      <c r="F316" s="247"/>
      <c r="G316" s="247"/>
      <c r="H316" s="247"/>
      <c r="I316" s="247"/>
      <c r="J316" s="247"/>
      <c r="K316" s="247"/>
      <c r="L316" s="247"/>
      <c r="M316" s="247"/>
    </row>
    <row r="317">
      <c r="B317" s="247"/>
      <c r="C317" s="247"/>
      <c r="D317" s="247"/>
      <c r="E317" s="247"/>
      <c r="F317" s="247"/>
      <c r="G317" s="247"/>
      <c r="H317" s="247"/>
      <c r="I317" s="247"/>
      <c r="J317" s="247"/>
      <c r="K317" s="247"/>
      <c r="L317" s="247"/>
      <c r="M317" s="247"/>
    </row>
    <row r="318">
      <c r="B318" s="247"/>
      <c r="C318" s="247"/>
      <c r="D318" s="247"/>
      <c r="E318" s="247"/>
      <c r="F318" s="247"/>
      <c r="G318" s="247"/>
      <c r="H318" s="247"/>
      <c r="I318" s="247"/>
      <c r="J318" s="247"/>
      <c r="K318" s="247"/>
      <c r="L318" s="247"/>
      <c r="M318" s="247"/>
    </row>
    <row r="319">
      <c r="B319" s="247"/>
      <c r="C319" s="247"/>
      <c r="D319" s="247"/>
      <c r="E319" s="247"/>
      <c r="F319" s="247"/>
      <c r="G319" s="247"/>
      <c r="H319" s="247"/>
      <c r="I319" s="247"/>
      <c r="J319" s="247"/>
      <c r="K319" s="247"/>
      <c r="L319" s="247"/>
      <c r="M319" s="247"/>
    </row>
    <row r="320">
      <c r="B320" s="247"/>
      <c r="C320" s="247"/>
      <c r="D320" s="247"/>
      <c r="E320" s="247"/>
      <c r="F320" s="247"/>
      <c r="G320" s="247"/>
      <c r="H320" s="247"/>
      <c r="I320" s="247"/>
      <c r="J320" s="247"/>
      <c r="K320" s="247"/>
      <c r="L320" s="247"/>
      <c r="M320" s="247"/>
    </row>
    <row r="321">
      <c r="B321" s="247"/>
      <c r="C321" s="247"/>
      <c r="D321" s="247"/>
      <c r="E321" s="247"/>
      <c r="F321" s="247"/>
      <c r="G321" s="247"/>
      <c r="H321" s="247"/>
      <c r="I321" s="247"/>
      <c r="J321" s="247"/>
      <c r="K321" s="247"/>
      <c r="L321" s="247"/>
      <c r="M321" s="247"/>
    </row>
    <row r="322">
      <c r="B322" s="247"/>
      <c r="C322" s="247"/>
      <c r="D322" s="247"/>
      <c r="E322" s="247"/>
      <c r="F322" s="247"/>
      <c r="G322" s="247"/>
      <c r="H322" s="247"/>
      <c r="I322" s="247"/>
      <c r="J322" s="247"/>
      <c r="K322" s="247"/>
      <c r="L322" s="247"/>
      <c r="M322" s="247"/>
    </row>
    <row r="323">
      <c r="B323" s="247"/>
      <c r="C323" s="247"/>
      <c r="D323" s="247"/>
      <c r="E323" s="247"/>
      <c r="F323" s="247"/>
      <c r="G323" s="247"/>
      <c r="H323" s="247"/>
      <c r="I323" s="247"/>
      <c r="J323" s="247"/>
      <c r="K323" s="247"/>
      <c r="L323" s="247"/>
      <c r="M323" s="247"/>
    </row>
    <row r="324">
      <c r="B324" s="247"/>
      <c r="C324" s="247"/>
      <c r="D324" s="247"/>
      <c r="E324" s="247"/>
      <c r="F324" s="247"/>
      <c r="G324" s="247"/>
      <c r="H324" s="247"/>
      <c r="I324" s="247"/>
      <c r="J324" s="247"/>
      <c r="K324" s="247"/>
      <c r="L324" s="247"/>
      <c r="M324" s="247"/>
    </row>
    <row r="325">
      <c r="B325" s="247"/>
      <c r="C325" s="247"/>
      <c r="D325" s="247"/>
      <c r="E325" s="247"/>
      <c r="F325" s="247"/>
      <c r="G325" s="247"/>
      <c r="H325" s="247"/>
      <c r="I325" s="247"/>
      <c r="J325" s="247"/>
      <c r="K325" s="247"/>
      <c r="L325" s="247"/>
      <c r="M325" s="247"/>
    </row>
    <row r="326">
      <c r="B326" s="247"/>
      <c r="C326" s="247"/>
      <c r="D326" s="247"/>
      <c r="E326" s="247"/>
      <c r="F326" s="247"/>
      <c r="G326" s="247"/>
      <c r="H326" s="247"/>
      <c r="I326" s="247"/>
      <c r="J326" s="247"/>
      <c r="K326" s="247"/>
      <c r="L326" s="247"/>
      <c r="M326" s="247"/>
    </row>
    <row r="327">
      <c r="B327" s="247"/>
      <c r="C327" s="247"/>
      <c r="D327" s="247"/>
      <c r="E327" s="247"/>
      <c r="F327" s="247"/>
      <c r="G327" s="247"/>
      <c r="H327" s="247"/>
      <c r="I327" s="247"/>
      <c r="J327" s="247"/>
      <c r="K327" s="247"/>
      <c r="L327" s="247"/>
      <c r="M327" s="247"/>
    </row>
    <row r="328">
      <c r="B328" s="247"/>
      <c r="C328" s="247"/>
      <c r="D328" s="247"/>
      <c r="E328" s="247"/>
      <c r="F328" s="247"/>
      <c r="G328" s="247"/>
      <c r="H328" s="247"/>
      <c r="I328" s="247"/>
      <c r="J328" s="247"/>
      <c r="K328" s="247"/>
      <c r="L328" s="247"/>
      <c r="M328" s="247"/>
    </row>
    <row r="329">
      <c r="B329" s="247"/>
      <c r="C329" s="247"/>
      <c r="D329" s="247"/>
      <c r="E329" s="247"/>
      <c r="F329" s="247"/>
      <c r="G329" s="247"/>
      <c r="H329" s="247"/>
      <c r="I329" s="247"/>
      <c r="J329" s="247"/>
      <c r="K329" s="247"/>
      <c r="L329" s="247"/>
      <c r="M329" s="247"/>
    </row>
    <row r="330">
      <c r="B330" s="247"/>
      <c r="C330" s="247"/>
      <c r="D330" s="247"/>
      <c r="E330" s="247"/>
      <c r="F330" s="247"/>
      <c r="G330" s="247"/>
      <c r="H330" s="247"/>
      <c r="I330" s="247"/>
      <c r="J330" s="247"/>
      <c r="K330" s="247"/>
      <c r="L330" s="247"/>
      <c r="M330" s="247"/>
    </row>
    <row r="331">
      <c r="B331" s="247"/>
      <c r="C331" s="247"/>
      <c r="D331" s="247"/>
      <c r="E331" s="247"/>
      <c r="F331" s="247"/>
      <c r="G331" s="247"/>
      <c r="H331" s="247"/>
      <c r="I331" s="247"/>
      <c r="J331" s="247"/>
      <c r="K331" s="247"/>
      <c r="L331" s="247"/>
      <c r="M331" s="247"/>
    </row>
    <row r="332">
      <c r="B332" s="247"/>
      <c r="C332" s="247"/>
      <c r="D332" s="247"/>
      <c r="E332" s="247"/>
      <c r="F332" s="247"/>
      <c r="G332" s="247"/>
      <c r="H332" s="247"/>
      <c r="I332" s="247"/>
      <c r="J332" s="247"/>
      <c r="K332" s="247"/>
      <c r="L332" s="247"/>
      <c r="M332" s="247"/>
    </row>
    <row r="333">
      <c r="B333" s="247"/>
      <c r="C333" s="247"/>
      <c r="D333" s="247"/>
      <c r="E333" s="247"/>
      <c r="F333" s="247"/>
      <c r="G333" s="247"/>
      <c r="H333" s="247"/>
      <c r="I333" s="247"/>
      <c r="J333" s="247"/>
      <c r="K333" s="247"/>
      <c r="L333" s="247"/>
      <c r="M333" s="247"/>
    </row>
    <row r="334">
      <c r="B334" s="247"/>
      <c r="C334" s="247"/>
      <c r="D334" s="247"/>
      <c r="E334" s="247"/>
      <c r="F334" s="247"/>
      <c r="G334" s="247"/>
      <c r="H334" s="247"/>
      <c r="I334" s="247"/>
      <c r="J334" s="247"/>
      <c r="K334" s="247"/>
      <c r="L334" s="247"/>
      <c r="M334" s="247"/>
    </row>
    <row r="335">
      <c r="B335" s="247"/>
      <c r="C335" s="247"/>
      <c r="D335" s="247"/>
      <c r="E335" s="247"/>
      <c r="F335" s="247"/>
      <c r="G335" s="247"/>
      <c r="H335" s="247"/>
      <c r="I335" s="247"/>
      <c r="J335" s="247"/>
      <c r="K335" s="247"/>
      <c r="L335" s="247"/>
      <c r="M335" s="247"/>
    </row>
    <row r="336">
      <c r="B336" s="247"/>
      <c r="C336" s="247"/>
      <c r="D336" s="247"/>
      <c r="E336" s="247"/>
      <c r="F336" s="247"/>
      <c r="G336" s="247"/>
      <c r="H336" s="247"/>
      <c r="I336" s="247"/>
      <c r="J336" s="247"/>
      <c r="K336" s="247"/>
      <c r="L336" s="247"/>
      <c r="M336" s="247"/>
    </row>
    <row r="337">
      <c r="B337" s="247"/>
      <c r="C337" s="247"/>
      <c r="D337" s="247"/>
      <c r="E337" s="247"/>
      <c r="F337" s="247"/>
      <c r="G337" s="247"/>
      <c r="H337" s="247"/>
      <c r="I337" s="247"/>
      <c r="J337" s="247"/>
      <c r="K337" s="247"/>
      <c r="L337" s="247"/>
      <c r="M337" s="247"/>
    </row>
    <row r="338">
      <c r="B338" s="247"/>
      <c r="C338" s="247"/>
      <c r="D338" s="247"/>
      <c r="E338" s="247"/>
      <c r="F338" s="247"/>
      <c r="G338" s="247"/>
      <c r="H338" s="247"/>
      <c r="I338" s="247"/>
      <c r="J338" s="247"/>
      <c r="K338" s="247"/>
      <c r="L338" s="247"/>
      <c r="M338" s="247"/>
    </row>
    <row r="339">
      <c r="B339" s="247"/>
      <c r="C339" s="247"/>
      <c r="D339" s="247"/>
      <c r="E339" s="247"/>
      <c r="F339" s="247"/>
      <c r="G339" s="247"/>
      <c r="H339" s="247"/>
      <c r="I339" s="247"/>
      <c r="J339" s="247"/>
      <c r="K339" s="247"/>
      <c r="L339" s="247"/>
      <c r="M339" s="247"/>
    </row>
    <row r="340">
      <c r="B340" s="247"/>
      <c r="C340" s="247"/>
      <c r="D340" s="247"/>
      <c r="E340" s="247"/>
      <c r="F340" s="247"/>
      <c r="G340" s="247"/>
      <c r="H340" s="247"/>
      <c r="I340" s="247"/>
      <c r="J340" s="247"/>
      <c r="K340" s="247"/>
      <c r="L340" s="247"/>
      <c r="M340" s="247"/>
    </row>
    <row r="341">
      <c r="B341" s="247"/>
      <c r="C341" s="247"/>
      <c r="D341" s="247"/>
      <c r="E341" s="247"/>
      <c r="F341" s="247"/>
      <c r="G341" s="247"/>
      <c r="H341" s="247"/>
      <c r="I341" s="247"/>
      <c r="J341" s="247"/>
      <c r="K341" s="247"/>
      <c r="L341" s="247"/>
      <c r="M341" s="247"/>
    </row>
    <row r="342">
      <c r="B342" s="247"/>
      <c r="C342" s="247"/>
      <c r="D342" s="247"/>
      <c r="E342" s="247"/>
      <c r="F342" s="247"/>
      <c r="G342" s="247"/>
      <c r="H342" s="247"/>
      <c r="I342" s="247"/>
      <c r="J342" s="247"/>
      <c r="K342" s="247"/>
      <c r="L342" s="247"/>
      <c r="M342" s="247"/>
    </row>
    <row r="343">
      <c r="B343" s="247"/>
      <c r="C343" s="247"/>
      <c r="D343" s="247"/>
      <c r="E343" s="247"/>
      <c r="F343" s="247"/>
      <c r="G343" s="247"/>
      <c r="H343" s="247"/>
      <c r="I343" s="247"/>
      <c r="J343" s="247"/>
      <c r="K343" s="247"/>
      <c r="L343" s="247"/>
      <c r="M343" s="247"/>
    </row>
    <row r="344">
      <c r="B344" s="247"/>
      <c r="C344" s="247"/>
      <c r="D344" s="247"/>
      <c r="E344" s="247"/>
      <c r="F344" s="247"/>
      <c r="G344" s="247"/>
      <c r="H344" s="247"/>
      <c r="I344" s="247"/>
      <c r="J344" s="247"/>
      <c r="K344" s="247"/>
      <c r="L344" s="247"/>
      <c r="M344" s="247"/>
    </row>
    <row r="345">
      <c r="B345" s="247"/>
      <c r="C345" s="247"/>
      <c r="D345" s="247"/>
      <c r="E345" s="247"/>
      <c r="F345" s="247"/>
      <c r="G345" s="247"/>
      <c r="H345" s="247"/>
      <c r="I345" s="247"/>
      <c r="J345" s="247"/>
      <c r="K345" s="247"/>
      <c r="L345" s="247"/>
      <c r="M345" s="247"/>
    </row>
    <row r="346">
      <c r="B346" s="247"/>
      <c r="C346" s="247"/>
      <c r="D346" s="247"/>
      <c r="E346" s="247"/>
      <c r="F346" s="247"/>
      <c r="G346" s="247"/>
      <c r="H346" s="247"/>
      <c r="I346" s="247"/>
      <c r="J346" s="247"/>
      <c r="K346" s="247"/>
      <c r="L346" s="247"/>
      <c r="M346" s="247"/>
    </row>
    <row r="347">
      <c r="B347" s="247"/>
      <c r="C347" s="247"/>
      <c r="D347" s="247"/>
      <c r="E347" s="247"/>
      <c r="F347" s="247"/>
      <c r="G347" s="247"/>
      <c r="H347" s="247"/>
      <c r="I347" s="247"/>
      <c r="J347" s="247"/>
      <c r="K347" s="247"/>
      <c r="L347" s="247"/>
      <c r="M347" s="247"/>
    </row>
    <row r="348">
      <c r="B348" s="247"/>
      <c r="C348" s="247"/>
      <c r="D348" s="247"/>
      <c r="E348" s="247"/>
      <c r="F348" s="247"/>
      <c r="G348" s="247"/>
      <c r="H348" s="247"/>
      <c r="I348" s="247"/>
      <c r="J348" s="247"/>
      <c r="K348" s="247"/>
      <c r="L348" s="247"/>
      <c r="M348" s="247"/>
    </row>
    <row r="349">
      <c r="B349" s="247"/>
      <c r="C349" s="247"/>
      <c r="D349" s="247"/>
      <c r="E349" s="247"/>
      <c r="F349" s="247"/>
      <c r="G349" s="247"/>
      <c r="H349" s="247"/>
      <c r="I349" s="247"/>
      <c r="J349" s="247"/>
      <c r="K349" s="247"/>
      <c r="L349" s="247"/>
      <c r="M349" s="247"/>
    </row>
    <row r="350">
      <c r="B350" s="247"/>
      <c r="C350" s="247"/>
      <c r="D350" s="247"/>
      <c r="E350" s="247"/>
      <c r="F350" s="247"/>
      <c r="G350" s="247"/>
      <c r="H350" s="247"/>
      <c r="I350" s="247"/>
      <c r="J350" s="247"/>
      <c r="K350" s="247"/>
      <c r="L350" s="247"/>
      <c r="M350" s="247"/>
    </row>
    <row r="351">
      <c r="B351" s="247"/>
      <c r="C351" s="247"/>
      <c r="D351" s="247"/>
      <c r="E351" s="247"/>
      <c r="F351" s="247"/>
      <c r="G351" s="247"/>
      <c r="H351" s="247"/>
      <c r="I351" s="247"/>
      <c r="J351" s="247"/>
      <c r="K351" s="247"/>
      <c r="L351" s="247"/>
      <c r="M351" s="247"/>
    </row>
    <row r="352">
      <c r="B352" s="247"/>
      <c r="C352" s="247"/>
      <c r="D352" s="247"/>
      <c r="E352" s="247"/>
      <c r="F352" s="247"/>
      <c r="G352" s="247"/>
      <c r="H352" s="247"/>
      <c r="I352" s="247"/>
      <c r="J352" s="247"/>
      <c r="K352" s="247"/>
      <c r="L352" s="247"/>
      <c r="M352" s="247"/>
    </row>
    <row r="353">
      <c r="B353" s="247"/>
      <c r="C353" s="247"/>
      <c r="D353" s="247"/>
      <c r="E353" s="247"/>
      <c r="F353" s="247"/>
      <c r="G353" s="247"/>
      <c r="H353" s="247"/>
      <c r="I353" s="247"/>
      <c r="J353" s="247"/>
      <c r="K353" s="247"/>
      <c r="L353" s="247"/>
      <c r="M353" s="247"/>
    </row>
    <row r="354">
      <c r="B354" s="247"/>
      <c r="C354" s="247"/>
      <c r="D354" s="247"/>
      <c r="E354" s="247"/>
      <c r="F354" s="247"/>
      <c r="G354" s="247"/>
      <c r="H354" s="247"/>
      <c r="I354" s="247"/>
      <c r="J354" s="247"/>
      <c r="K354" s="247"/>
      <c r="L354" s="247"/>
      <c r="M354" s="247"/>
    </row>
    <row r="355">
      <c r="B355" s="247"/>
      <c r="C355" s="247"/>
      <c r="D355" s="247"/>
      <c r="E355" s="247"/>
      <c r="F355" s="247"/>
      <c r="G355" s="247"/>
      <c r="H355" s="247"/>
      <c r="I355" s="247"/>
      <c r="J355" s="247"/>
      <c r="K355" s="247"/>
      <c r="L355" s="247"/>
      <c r="M355" s="247"/>
    </row>
    <row r="356">
      <c r="B356" s="247"/>
      <c r="C356" s="247"/>
      <c r="D356" s="247"/>
      <c r="E356" s="247"/>
      <c r="F356" s="247"/>
      <c r="G356" s="247"/>
      <c r="H356" s="247"/>
      <c r="I356" s="247"/>
      <c r="J356" s="247"/>
      <c r="K356" s="247"/>
      <c r="L356" s="247"/>
      <c r="M356" s="247"/>
    </row>
    <row r="357">
      <c r="B357" s="247"/>
      <c r="C357" s="247"/>
      <c r="D357" s="247"/>
      <c r="E357" s="247"/>
      <c r="F357" s="247"/>
      <c r="G357" s="247"/>
      <c r="H357" s="247"/>
      <c r="I357" s="247"/>
      <c r="J357" s="247"/>
      <c r="K357" s="247"/>
      <c r="L357" s="247"/>
      <c r="M357" s="247"/>
    </row>
    <row r="358">
      <c r="B358" s="247"/>
      <c r="C358" s="247"/>
      <c r="D358" s="247"/>
      <c r="E358" s="247"/>
      <c r="F358" s="247"/>
      <c r="G358" s="247"/>
      <c r="H358" s="247"/>
      <c r="I358" s="247"/>
      <c r="J358" s="247"/>
      <c r="K358" s="247"/>
      <c r="L358" s="247"/>
      <c r="M358" s="247"/>
    </row>
    <row r="359">
      <c r="B359" s="247"/>
      <c r="C359" s="247"/>
      <c r="D359" s="247"/>
      <c r="E359" s="247"/>
      <c r="F359" s="247"/>
      <c r="G359" s="247"/>
      <c r="H359" s="247"/>
      <c r="I359" s="247"/>
      <c r="J359" s="247"/>
      <c r="K359" s="247"/>
      <c r="L359" s="247"/>
      <c r="M359" s="247"/>
    </row>
    <row r="360">
      <c r="B360" s="247"/>
      <c r="C360" s="247"/>
      <c r="D360" s="247"/>
      <c r="E360" s="247"/>
      <c r="F360" s="247"/>
      <c r="G360" s="247"/>
      <c r="H360" s="247"/>
      <c r="I360" s="247"/>
      <c r="J360" s="247"/>
      <c r="K360" s="247"/>
      <c r="L360" s="247"/>
      <c r="M360" s="247"/>
    </row>
    <row r="361">
      <c r="B361" s="247"/>
      <c r="C361" s="247"/>
      <c r="D361" s="247"/>
      <c r="E361" s="247"/>
      <c r="F361" s="247"/>
      <c r="G361" s="247"/>
      <c r="H361" s="247"/>
      <c r="I361" s="247"/>
      <c r="J361" s="247"/>
      <c r="K361" s="247"/>
      <c r="L361" s="247"/>
      <c r="M361" s="247"/>
    </row>
    <row r="362">
      <c r="B362" s="247"/>
      <c r="C362" s="247"/>
      <c r="D362" s="247"/>
      <c r="E362" s="247"/>
      <c r="F362" s="247"/>
      <c r="G362" s="247"/>
      <c r="H362" s="247"/>
      <c r="I362" s="247"/>
      <c r="J362" s="247"/>
      <c r="K362" s="247"/>
      <c r="L362" s="247"/>
      <c r="M362" s="247"/>
    </row>
    <row r="363">
      <c r="B363" s="247"/>
      <c r="C363" s="247"/>
      <c r="D363" s="247"/>
      <c r="E363" s="247"/>
      <c r="F363" s="247"/>
      <c r="G363" s="247"/>
      <c r="H363" s="247"/>
      <c r="I363" s="247"/>
      <c r="J363" s="247"/>
      <c r="K363" s="247"/>
      <c r="L363" s="247"/>
      <c r="M363" s="247"/>
    </row>
    <row r="364">
      <c r="B364" s="247"/>
      <c r="C364" s="247"/>
      <c r="D364" s="247"/>
      <c r="E364" s="247"/>
      <c r="F364" s="247"/>
      <c r="G364" s="247"/>
      <c r="H364" s="247"/>
      <c r="I364" s="247"/>
      <c r="J364" s="247"/>
      <c r="K364" s="247"/>
      <c r="L364" s="247"/>
      <c r="M364" s="247"/>
    </row>
    <row r="365">
      <c r="B365" s="247"/>
      <c r="C365" s="247"/>
      <c r="D365" s="247"/>
      <c r="E365" s="247"/>
      <c r="F365" s="247"/>
      <c r="G365" s="247"/>
      <c r="H365" s="247"/>
      <c r="I365" s="247"/>
      <c r="J365" s="247"/>
      <c r="K365" s="247"/>
      <c r="L365" s="247"/>
      <c r="M365" s="247"/>
    </row>
    <row r="366">
      <c r="B366" s="247"/>
      <c r="C366" s="247"/>
      <c r="D366" s="247"/>
      <c r="E366" s="247"/>
      <c r="F366" s="247"/>
      <c r="G366" s="247"/>
      <c r="H366" s="247"/>
      <c r="I366" s="247"/>
      <c r="J366" s="247"/>
      <c r="K366" s="247"/>
      <c r="L366" s="247"/>
      <c r="M366" s="247"/>
    </row>
    <row r="367">
      <c r="B367" s="247"/>
      <c r="C367" s="247"/>
      <c r="D367" s="247"/>
      <c r="E367" s="247"/>
      <c r="F367" s="247"/>
      <c r="G367" s="247"/>
      <c r="H367" s="247"/>
      <c r="I367" s="247"/>
      <c r="J367" s="247"/>
      <c r="K367" s="247"/>
      <c r="L367" s="247"/>
      <c r="M367" s="247"/>
    </row>
    <row r="368">
      <c r="B368" s="247"/>
      <c r="C368" s="247"/>
      <c r="D368" s="247"/>
      <c r="E368" s="247"/>
      <c r="F368" s="247"/>
      <c r="G368" s="247"/>
      <c r="H368" s="247"/>
      <c r="I368" s="247"/>
      <c r="J368" s="247"/>
      <c r="K368" s="247"/>
      <c r="L368" s="247"/>
      <c r="M368" s="247"/>
    </row>
    <row r="369">
      <c r="B369" s="247"/>
      <c r="C369" s="247"/>
      <c r="D369" s="247"/>
      <c r="E369" s="247"/>
      <c r="F369" s="247"/>
      <c r="G369" s="247"/>
      <c r="H369" s="247"/>
      <c r="I369" s="247"/>
      <c r="J369" s="247"/>
      <c r="K369" s="247"/>
      <c r="L369" s="247"/>
      <c r="M369" s="247"/>
    </row>
    <row r="370">
      <c r="B370" s="247"/>
      <c r="C370" s="247"/>
      <c r="D370" s="247"/>
      <c r="E370" s="247"/>
      <c r="F370" s="247"/>
      <c r="G370" s="247"/>
      <c r="H370" s="247"/>
      <c r="I370" s="247"/>
      <c r="J370" s="247"/>
      <c r="K370" s="247"/>
      <c r="L370" s="247"/>
      <c r="M370" s="247"/>
    </row>
    <row r="371">
      <c r="B371" s="247"/>
      <c r="C371" s="247"/>
      <c r="D371" s="247"/>
      <c r="E371" s="247"/>
      <c r="F371" s="247"/>
      <c r="G371" s="247"/>
      <c r="H371" s="247"/>
      <c r="I371" s="247"/>
      <c r="J371" s="247"/>
      <c r="K371" s="247"/>
      <c r="L371" s="247"/>
      <c r="M371" s="247"/>
    </row>
    <row r="372">
      <c r="B372" s="247"/>
      <c r="C372" s="247"/>
      <c r="D372" s="247"/>
      <c r="E372" s="247"/>
      <c r="F372" s="247"/>
      <c r="G372" s="247"/>
      <c r="H372" s="247"/>
      <c r="I372" s="247"/>
      <c r="J372" s="247"/>
      <c r="K372" s="247"/>
      <c r="L372" s="247"/>
      <c r="M372" s="247"/>
    </row>
    <row r="373">
      <c r="B373" s="247"/>
      <c r="C373" s="247"/>
      <c r="D373" s="247"/>
      <c r="E373" s="247"/>
      <c r="F373" s="247"/>
      <c r="G373" s="247"/>
      <c r="H373" s="247"/>
      <c r="I373" s="247"/>
      <c r="J373" s="247"/>
      <c r="K373" s="247"/>
      <c r="L373" s="247"/>
      <c r="M373" s="247"/>
    </row>
    <row r="374">
      <c r="B374" s="247"/>
      <c r="C374" s="247"/>
      <c r="D374" s="247"/>
      <c r="E374" s="247"/>
      <c r="F374" s="247"/>
      <c r="G374" s="247"/>
      <c r="H374" s="247"/>
      <c r="I374" s="247"/>
      <c r="J374" s="247"/>
      <c r="K374" s="247"/>
      <c r="L374" s="247"/>
      <c r="M374" s="247"/>
    </row>
    <row r="375">
      <c r="B375" s="247"/>
      <c r="C375" s="247"/>
      <c r="D375" s="247"/>
      <c r="E375" s="247"/>
      <c r="F375" s="247"/>
      <c r="G375" s="247"/>
      <c r="H375" s="247"/>
      <c r="I375" s="247"/>
      <c r="J375" s="247"/>
      <c r="K375" s="247"/>
      <c r="L375" s="247"/>
      <c r="M375" s="247"/>
    </row>
    <row r="376">
      <c r="B376" s="247"/>
      <c r="C376" s="247"/>
      <c r="D376" s="247"/>
      <c r="E376" s="247"/>
      <c r="F376" s="247"/>
      <c r="G376" s="247"/>
      <c r="H376" s="247"/>
      <c r="I376" s="247"/>
      <c r="J376" s="247"/>
      <c r="K376" s="247"/>
      <c r="L376" s="247"/>
      <c r="M376" s="247"/>
    </row>
    <row r="377">
      <c r="B377" s="247"/>
      <c r="C377" s="247"/>
      <c r="D377" s="247"/>
      <c r="E377" s="247"/>
      <c r="F377" s="247"/>
      <c r="G377" s="247"/>
      <c r="H377" s="247"/>
      <c r="I377" s="247"/>
      <c r="J377" s="247"/>
      <c r="K377" s="247"/>
      <c r="L377" s="247"/>
      <c r="M377" s="247"/>
    </row>
    <row r="378">
      <c r="B378" s="247"/>
      <c r="C378" s="247"/>
      <c r="D378" s="247"/>
      <c r="E378" s="247"/>
      <c r="F378" s="247"/>
      <c r="G378" s="247"/>
      <c r="H378" s="247"/>
      <c r="I378" s="247"/>
      <c r="J378" s="247"/>
      <c r="K378" s="247"/>
      <c r="L378" s="247"/>
      <c r="M378" s="247"/>
    </row>
    <row r="379">
      <c r="B379" s="247"/>
      <c r="C379" s="247"/>
      <c r="D379" s="247"/>
      <c r="E379" s="247"/>
      <c r="F379" s="247"/>
      <c r="G379" s="247"/>
      <c r="H379" s="247"/>
      <c r="I379" s="247"/>
      <c r="J379" s="247"/>
      <c r="K379" s="247"/>
      <c r="L379" s="247"/>
      <c r="M379" s="247"/>
    </row>
    <row r="380">
      <c r="B380" s="247"/>
      <c r="C380" s="247"/>
      <c r="D380" s="247"/>
      <c r="E380" s="247"/>
      <c r="F380" s="247"/>
      <c r="G380" s="247"/>
      <c r="H380" s="247"/>
      <c r="I380" s="247"/>
      <c r="J380" s="247"/>
      <c r="K380" s="247"/>
      <c r="L380" s="247"/>
      <c r="M380" s="247"/>
    </row>
    <row r="381">
      <c r="B381" s="247"/>
      <c r="C381" s="247"/>
      <c r="D381" s="247"/>
      <c r="E381" s="247"/>
      <c r="F381" s="247"/>
      <c r="G381" s="247"/>
      <c r="H381" s="247"/>
      <c r="I381" s="247"/>
      <c r="J381" s="247"/>
      <c r="K381" s="247"/>
      <c r="L381" s="247"/>
      <c r="M381" s="247"/>
    </row>
    <row r="382">
      <c r="B382" s="247"/>
      <c r="C382" s="247"/>
      <c r="D382" s="247"/>
      <c r="E382" s="247"/>
      <c r="F382" s="247"/>
      <c r="G382" s="247"/>
      <c r="H382" s="247"/>
      <c r="I382" s="247"/>
      <c r="J382" s="247"/>
      <c r="K382" s="247"/>
      <c r="L382" s="247"/>
      <c r="M382" s="247"/>
    </row>
    <row r="383">
      <c r="B383" s="247"/>
      <c r="C383" s="247"/>
      <c r="D383" s="247"/>
      <c r="E383" s="247"/>
      <c r="F383" s="247"/>
      <c r="G383" s="247"/>
      <c r="H383" s="247"/>
      <c r="I383" s="247"/>
      <c r="J383" s="247"/>
      <c r="K383" s="247"/>
      <c r="L383" s="247"/>
      <c r="M383" s="247"/>
    </row>
    <row r="384">
      <c r="B384" s="247"/>
      <c r="C384" s="247"/>
      <c r="D384" s="247"/>
      <c r="E384" s="247"/>
      <c r="F384" s="247"/>
      <c r="G384" s="247"/>
      <c r="H384" s="247"/>
      <c r="I384" s="247"/>
      <c r="J384" s="247"/>
      <c r="K384" s="247"/>
      <c r="L384" s="247"/>
      <c r="M384" s="247"/>
    </row>
    <row r="385">
      <c r="B385" s="247"/>
      <c r="C385" s="247"/>
      <c r="D385" s="247"/>
      <c r="E385" s="247"/>
      <c r="F385" s="247"/>
      <c r="G385" s="247"/>
      <c r="H385" s="247"/>
      <c r="I385" s="247"/>
      <c r="J385" s="247"/>
      <c r="K385" s="247"/>
      <c r="L385" s="247"/>
      <c r="M385" s="247"/>
    </row>
    <row r="386">
      <c r="B386" s="247"/>
      <c r="C386" s="247"/>
      <c r="D386" s="247"/>
      <c r="E386" s="247"/>
      <c r="F386" s="247"/>
      <c r="G386" s="247"/>
      <c r="H386" s="247"/>
      <c r="I386" s="247"/>
      <c r="J386" s="247"/>
      <c r="K386" s="247"/>
      <c r="L386" s="247"/>
      <c r="M386" s="247"/>
    </row>
    <row r="387">
      <c r="B387" s="247"/>
      <c r="C387" s="247"/>
      <c r="D387" s="247"/>
      <c r="E387" s="247"/>
      <c r="F387" s="247"/>
      <c r="G387" s="247"/>
      <c r="H387" s="247"/>
      <c r="I387" s="247"/>
      <c r="J387" s="247"/>
      <c r="K387" s="247"/>
      <c r="L387" s="247"/>
      <c r="M387" s="247"/>
    </row>
    <row r="388">
      <c r="B388" s="247"/>
      <c r="C388" s="247"/>
      <c r="D388" s="247"/>
      <c r="E388" s="247"/>
      <c r="F388" s="247"/>
      <c r="G388" s="247"/>
      <c r="H388" s="247"/>
      <c r="I388" s="247"/>
      <c r="J388" s="247"/>
      <c r="K388" s="247"/>
      <c r="L388" s="247"/>
      <c r="M388" s="247"/>
    </row>
    <row r="389">
      <c r="B389" s="247"/>
      <c r="C389" s="247"/>
      <c r="D389" s="247"/>
      <c r="E389" s="247"/>
      <c r="F389" s="247"/>
      <c r="G389" s="247"/>
      <c r="H389" s="247"/>
      <c r="I389" s="247"/>
      <c r="J389" s="247"/>
      <c r="K389" s="247"/>
      <c r="L389" s="247"/>
      <c r="M389" s="247"/>
    </row>
    <row r="390">
      <c r="B390" s="247"/>
      <c r="C390" s="247"/>
      <c r="D390" s="247"/>
      <c r="E390" s="247"/>
      <c r="F390" s="247"/>
      <c r="G390" s="247"/>
      <c r="H390" s="247"/>
      <c r="I390" s="247"/>
      <c r="J390" s="247"/>
      <c r="K390" s="247"/>
      <c r="L390" s="247"/>
      <c r="M390" s="247"/>
    </row>
    <row r="391">
      <c r="B391" s="247"/>
      <c r="C391" s="247"/>
      <c r="D391" s="247"/>
      <c r="E391" s="247"/>
      <c r="F391" s="247"/>
      <c r="G391" s="247"/>
      <c r="H391" s="247"/>
      <c r="I391" s="247"/>
      <c r="J391" s="247"/>
      <c r="K391" s="247"/>
      <c r="L391" s="247"/>
      <c r="M391" s="247"/>
    </row>
    <row r="392">
      <c r="B392" s="247"/>
      <c r="C392" s="247"/>
      <c r="D392" s="247"/>
      <c r="E392" s="247"/>
      <c r="F392" s="247"/>
      <c r="G392" s="247"/>
      <c r="H392" s="247"/>
      <c r="I392" s="247"/>
      <c r="J392" s="247"/>
      <c r="K392" s="247"/>
      <c r="L392" s="247"/>
      <c r="M392" s="247"/>
    </row>
    <row r="393">
      <c r="B393" s="247"/>
      <c r="C393" s="247"/>
      <c r="D393" s="247"/>
      <c r="E393" s="247"/>
      <c r="F393" s="247"/>
      <c r="G393" s="247"/>
      <c r="H393" s="247"/>
      <c r="I393" s="247"/>
      <c r="J393" s="247"/>
      <c r="K393" s="247"/>
      <c r="L393" s="247"/>
      <c r="M393" s="247"/>
    </row>
    <row r="394">
      <c r="B394" s="247"/>
      <c r="C394" s="247"/>
      <c r="D394" s="247"/>
      <c r="E394" s="247"/>
      <c r="F394" s="247"/>
      <c r="G394" s="247"/>
      <c r="H394" s="247"/>
      <c r="I394" s="247"/>
      <c r="J394" s="247"/>
      <c r="K394" s="247"/>
      <c r="L394" s="247"/>
      <c r="M394" s="247"/>
    </row>
    <row r="395">
      <c r="B395" s="247"/>
      <c r="C395" s="247"/>
      <c r="D395" s="247"/>
      <c r="E395" s="247"/>
      <c r="F395" s="247"/>
      <c r="G395" s="247"/>
      <c r="H395" s="247"/>
      <c r="I395" s="247"/>
      <c r="J395" s="247"/>
      <c r="K395" s="247"/>
      <c r="L395" s="247"/>
      <c r="M395" s="247"/>
    </row>
    <row r="396">
      <c r="B396" s="247"/>
      <c r="C396" s="247"/>
      <c r="D396" s="247"/>
      <c r="E396" s="247"/>
      <c r="F396" s="247"/>
      <c r="G396" s="247"/>
      <c r="H396" s="247"/>
      <c r="I396" s="247"/>
      <c r="J396" s="247"/>
      <c r="K396" s="247"/>
      <c r="L396" s="247"/>
      <c r="M396" s="247"/>
    </row>
    <row r="397">
      <c r="B397" s="247"/>
      <c r="C397" s="247"/>
      <c r="D397" s="247"/>
      <c r="E397" s="247"/>
      <c r="F397" s="247"/>
      <c r="G397" s="247"/>
      <c r="H397" s="247"/>
      <c r="I397" s="247"/>
      <c r="J397" s="247"/>
      <c r="K397" s="247"/>
      <c r="L397" s="247"/>
      <c r="M397" s="247"/>
    </row>
    <row r="398">
      <c r="B398" s="247"/>
      <c r="C398" s="247"/>
      <c r="D398" s="247"/>
      <c r="E398" s="247"/>
      <c r="F398" s="247"/>
      <c r="G398" s="247"/>
      <c r="H398" s="247"/>
      <c r="I398" s="247"/>
      <c r="J398" s="247"/>
      <c r="K398" s="247"/>
      <c r="L398" s="247"/>
      <c r="M398" s="247"/>
    </row>
    <row r="399">
      <c r="B399" s="247"/>
      <c r="C399" s="247"/>
      <c r="D399" s="247"/>
      <c r="E399" s="247"/>
      <c r="F399" s="247"/>
      <c r="G399" s="247"/>
      <c r="H399" s="247"/>
      <c r="I399" s="247"/>
      <c r="J399" s="247"/>
      <c r="K399" s="247"/>
      <c r="L399" s="247"/>
      <c r="M399" s="247"/>
    </row>
    <row r="400">
      <c r="B400" s="247"/>
      <c r="C400" s="247"/>
      <c r="D400" s="247"/>
      <c r="E400" s="247"/>
      <c r="F400" s="247"/>
      <c r="G400" s="247"/>
      <c r="H400" s="247"/>
      <c r="I400" s="247"/>
      <c r="J400" s="247"/>
      <c r="K400" s="247"/>
      <c r="L400" s="247"/>
      <c r="M400" s="247"/>
    </row>
    <row r="401">
      <c r="B401" s="247"/>
      <c r="C401" s="247"/>
      <c r="D401" s="247"/>
      <c r="E401" s="247"/>
      <c r="F401" s="247"/>
      <c r="G401" s="247"/>
      <c r="H401" s="247"/>
      <c r="I401" s="247"/>
      <c r="J401" s="247"/>
      <c r="K401" s="247"/>
      <c r="L401" s="247"/>
      <c r="M401" s="247"/>
    </row>
    <row r="402">
      <c r="B402" s="247"/>
      <c r="C402" s="247"/>
      <c r="D402" s="247"/>
      <c r="E402" s="247"/>
      <c r="F402" s="247"/>
      <c r="G402" s="247"/>
      <c r="H402" s="247"/>
      <c r="I402" s="247"/>
      <c r="J402" s="247"/>
      <c r="K402" s="247"/>
      <c r="L402" s="247"/>
      <c r="M402" s="247"/>
    </row>
    <row r="403">
      <c r="B403" s="247"/>
      <c r="C403" s="247"/>
      <c r="D403" s="247"/>
      <c r="E403" s="247"/>
      <c r="F403" s="247"/>
      <c r="G403" s="247"/>
      <c r="H403" s="247"/>
      <c r="I403" s="247"/>
      <c r="J403" s="247"/>
      <c r="K403" s="247"/>
      <c r="L403" s="247"/>
      <c r="M403" s="247"/>
    </row>
    <row r="404">
      <c r="B404" s="247"/>
      <c r="C404" s="247"/>
      <c r="D404" s="247"/>
      <c r="E404" s="247"/>
      <c r="F404" s="247"/>
      <c r="G404" s="247"/>
      <c r="H404" s="247"/>
      <c r="I404" s="247"/>
      <c r="J404" s="247"/>
      <c r="K404" s="247"/>
      <c r="L404" s="247"/>
      <c r="M404" s="247"/>
    </row>
    <row r="405">
      <c r="B405" s="247"/>
      <c r="C405" s="247"/>
      <c r="D405" s="247"/>
      <c r="E405" s="247"/>
      <c r="F405" s="247"/>
      <c r="G405" s="247"/>
      <c r="H405" s="247"/>
      <c r="I405" s="247"/>
      <c r="J405" s="247"/>
      <c r="K405" s="247"/>
      <c r="L405" s="247"/>
      <c r="M405" s="247"/>
    </row>
    <row r="406">
      <c r="B406" s="247"/>
      <c r="C406" s="247"/>
      <c r="D406" s="247"/>
      <c r="E406" s="247"/>
      <c r="F406" s="247"/>
      <c r="G406" s="247"/>
      <c r="H406" s="247"/>
      <c r="I406" s="247"/>
      <c r="J406" s="247"/>
      <c r="K406" s="247"/>
      <c r="L406" s="247"/>
      <c r="M406" s="247"/>
    </row>
    <row r="407">
      <c r="B407" s="247"/>
      <c r="C407" s="247"/>
      <c r="D407" s="247"/>
      <c r="E407" s="247"/>
      <c r="F407" s="247"/>
      <c r="G407" s="247"/>
      <c r="H407" s="247"/>
      <c r="I407" s="247"/>
      <c r="J407" s="247"/>
      <c r="K407" s="247"/>
      <c r="L407" s="247"/>
      <c r="M407" s="247"/>
    </row>
    <row r="408">
      <c r="B408" s="247"/>
      <c r="C408" s="247"/>
      <c r="D408" s="247"/>
      <c r="E408" s="247"/>
      <c r="F408" s="247"/>
      <c r="G408" s="247"/>
      <c r="H408" s="247"/>
      <c r="I408" s="247"/>
      <c r="J408" s="247"/>
      <c r="K408" s="247"/>
      <c r="L408" s="247"/>
      <c r="M408" s="247"/>
    </row>
    <row r="409">
      <c r="B409" s="247"/>
      <c r="C409" s="247"/>
      <c r="D409" s="247"/>
      <c r="E409" s="247"/>
      <c r="F409" s="247"/>
      <c r="G409" s="247"/>
      <c r="H409" s="247"/>
      <c r="I409" s="247"/>
      <c r="J409" s="247"/>
      <c r="K409" s="247"/>
      <c r="L409" s="247"/>
      <c r="M409" s="247"/>
    </row>
    <row r="410">
      <c r="B410" s="247"/>
      <c r="C410" s="247"/>
      <c r="D410" s="247"/>
      <c r="E410" s="247"/>
      <c r="F410" s="247"/>
      <c r="G410" s="247"/>
      <c r="H410" s="247"/>
      <c r="I410" s="247"/>
      <c r="J410" s="247"/>
      <c r="K410" s="247"/>
      <c r="L410" s="247"/>
      <c r="M410" s="247"/>
    </row>
    <row r="411">
      <c r="B411" s="247"/>
      <c r="C411" s="247"/>
      <c r="D411" s="247"/>
      <c r="E411" s="247"/>
      <c r="F411" s="247"/>
      <c r="G411" s="247"/>
      <c r="H411" s="247"/>
      <c r="I411" s="247"/>
      <c r="J411" s="247"/>
      <c r="K411" s="247"/>
      <c r="L411" s="247"/>
      <c r="M411" s="247"/>
    </row>
    <row r="412">
      <c r="B412" s="247"/>
      <c r="C412" s="247"/>
      <c r="D412" s="247"/>
      <c r="E412" s="247"/>
      <c r="F412" s="247"/>
      <c r="G412" s="247"/>
      <c r="H412" s="247"/>
      <c r="I412" s="247"/>
      <c r="J412" s="247"/>
      <c r="K412" s="247"/>
      <c r="L412" s="247"/>
      <c r="M412" s="247"/>
    </row>
    <row r="413">
      <c r="B413" s="247"/>
      <c r="C413" s="247"/>
      <c r="D413" s="247"/>
      <c r="E413" s="247"/>
      <c r="F413" s="247"/>
      <c r="G413" s="247"/>
      <c r="H413" s="247"/>
      <c r="I413" s="247"/>
      <c r="J413" s="247"/>
      <c r="K413" s="247"/>
      <c r="L413" s="247"/>
      <c r="M413" s="247"/>
    </row>
    <row r="414">
      <c r="B414" s="247"/>
      <c r="C414" s="247"/>
      <c r="D414" s="247"/>
      <c r="E414" s="247"/>
      <c r="F414" s="247"/>
      <c r="G414" s="247"/>
      <c r="H414" s="247"/>
      <c r="I414" s="247"/>
      <c r="J414" s="247"/>
      <c r="K414" s="247"/>
      <c r="L414" s="247"/>
      <c r="M414" s="247"/>
    </row>
    <row r="415">
      <c r="B415" s="247"/>
      <c r="C415" s="247"/>
      <c r="D415" s="247"/>
      <c r="E415" s="247"/>
      <c r="F415" s="247"/>
      <c r="G415" s="247"/>
      <c r="H415" s="247"/>
      <c r="I415" s="247"/>
      <c r="J415" s="247"/>
      <c r="K415" s="247"/>
      <c r="L415" s="247"/>
      <c r="M415" s="247"/>
    </row>
    <row r="416">
      <c r="B416" s="247"/>
      <c r="C416" s="247"/>
      <c r="D416" s="247"/>
      <c r="E416" s="247"/>
      <c r="F416" s="247"/>
      <c r="G416" s="247"/>
      <c r="H416" s="247"/>
      <c r="I416" s="247"/>
      <c r="J416" s="247"/>
      <c r="K416" s="247"/>
      <c r="L416" s="247"/>
      <c r="M416" s="247"/>
    </row>
    <row r="417">
      <c r="B417" s="247"/>
      <c r="C417" s="247"/>
      <c r="D417" s="247"/>
      <c r="E417" s="247"/>
      <c r="F417" s="247"/>
      <c r="G417" s="247"/>
      <c r="H417" s="247"/>
      <c r="I417" s="247"/>
      <c r="J417" s="247"/>
      <c r="K417" s="247"/>
      <c r="L417" s="247"/>
      <c r="M417" s="247"/>
    </row>
    <row r="418">
      <c r="B418" s="247"/>
      <c r="C418" s="247"/>
      <c r="D418" s="247"/>
      <c r="E418" s="247"/>
      <c r="F418" s="247"/>
      <c r="G418" s="247"/>
      <c r="H418" s="247"/>
      <c r="I418" s="247"/>
      <c r="J418" s="247"/>
      <c r="K418" s="247"/>
      <c r="L418" s="247"/>
      <c r="M418" s="247"/>
    </row>
    <row r="419">
      <c r="B419" s="247"/>
      <c r="C419" s="247"/>
      <c r="D419" s="247"/>
      <c r="E419" s="247"/>
      <c r="F419" s="247"/>
      <c r="G419" s="247"/>
      <c r="H419" s="247"/>
      <c r="I419" s="247"/>
      <c r="J419" s="247"/>
      <c r="K419" s="247"/>
      <c r="L419" s="247"/>
      <c r="M419" s="247"/>
    </row>
    <row r="420">
      <c r="B420" s="247"/>
      <c r="C420" s="247"/>
      <c r="D420" s="247"/>
      <c r="E420" s="247"/>
      <c r="F420" s="247"/>
      <c r="G420" s="247"/>
      <c r="H420" s="247"/>
      <c r="I420" s="247"/>
      <c r="J420" s="247"/>
      <c r="K420" s="247"/>
      <c r="L420" s="247"/>
      <c r="M420" s="247"/>
    </row>
    <row r="421">
      <c r="B421" s="247"/>
      <c r="C421" s="247"/>
      <c r="D421" s="247"/>
      <c r="E421" s="247"/>
      <c r="F421" s="247"/>
      <c r="G421" s="247"/>
      <c r="H421" s="247"/>
      <c r="I421" s="247"/>
      <c r="J421" s="247"/>
      <c r="K421" s="247"/>
      <c r="L421" s="247"/>
      <c r="M421" s="247"/>
    </row>
    <row r="422">
      <c r="B422" s="247"/>
      <c r="C422" s="247"/>
      <c r="D422" s="247"/>
      <c r="E422" s="247"/>
      <c r="F422" s="247"/>
      <c r="G422" s="247"/>
      <c r="H422" s="247"/>
      <c r="I422" s="247"/>
      <c r="J422" s="247"/>
      <c r="K422" s="247"/>
      <c r="L422" s="247"/>
      <c r="M422" s="247"/>
    </row>
    <row r="423">
      <c r="B423" s="247"/>
      <c r="C423" s="247"/>
      <c r="D423" s="247"/>
      <c r="E423" s="247"/>
      <c r="F423" s="247"/>
      <c r="G423" s="247"/>
      <c r="H423" s="247"/>
      <c r="I423" s="247"/>
      <c r="J423" s="247"/>
      <c r="K423" s="247"/>
      <c r="L423" s="247"/>
      <c r="M423" s="247"/>
    </row>
    <row r="424">
      <c r="B424" s="247"/>
      <c r="C424" s="247"/>
      <c r="D424" s="247"/>
      <c r="E424" s="247"/>
      <c r="F424" s="247"/>
      <c r="G424" s="247"/>
      <c r="H424" s="247"/>
      <c r="I424" s="247"/>
      <c r="J424" s="247"/>
      <c r="K424" s="247"/>
      <c r="L424" s="247"/>
      <c r="M424" s="247"/>
    </row>
    <row r="425">
      <c r="B425" s="247"/>
      <c r="C425" s="247"/>
      <c r="D425" s="247"/>
      <c r="E425" s="247"/>
      <c r="F425" s="247"/>
      <c r="G425" s="247"/>
      <c r="H425" s="247"/>
      <c r="I425" s="247"/>
      <c r="J425" s="247"/>
      <c r="K425" s="247"/>
      <c r="L425" s="247"/>
      <c r="M425" s="247"/>
    </row>
    <row r="426">
      <c r="B426" s="247"/>
      <c r="C426" s="247"/>
      <c r="D426" s="247"/>
      <c r="E426" s="247"/>
      <c r="F426" s="247"/>
      <c r="G426" s="247"/>
      <c r="H426" s="247"/>
      <c r="I426" s="247"/>
      <c r="J426" s="247"/>
      <c r="K426" s="247"/>
      <c r="L426" s="247"/>
      <c r="M426" s="247"/>
    </row>
    <row r="427">
      <c r="B427" s="247"/>
      <c r="C427" s="247"/>
      <c r="D427" s="247"/>
      <c r="E427" s="247"/>
      <c r="F427" s="247"/>
      <c r="G427" s="247"/>
      <c r="H427" s="247"/>
      <c r="I427" s="247"/>
      <c r="J427" s="247"/>
      <c r="K427" s="247"/>
      <c r="L427" s="247"/>
      <c r="M427" s="247"/>
    </row>
    <row r="428">
      <c r="B428" s="247"/>
      <c r="C428" s="247"/>
      <c r="D428" s="247"/>
      <c r="E428" s="247"/>
      <c r="F428" s="247"/>
      <c r="G428" s="247"/>
      <c r="H428" s="247"/>
      <c r="I428" s="247"/>
      <c r="J428" s="247"/>
      <c r="K428" s="247"/>
      <c r="L428" s="247"/>
      <c r="M428" s="247"/>
    </row>
    <row r="429">
      <c r="B429" s="247"/>
      <c r="C429" s="247"/>
      <c r="D429" s="247"/>
      <c r="E429" s="247"/>
      <c r="F429" s="247"/>
      <c r="G429" s="247"/>
      <c r="H429" s="247"/>
      <c r="I429" s="247"/>
      <c r="J429" s="247"/>
      <c r="K429" s="247"/>
      <c r="L429" s="247"/>
      <c r="M429" s="247"/>
    </row>
    <row r="430">
      <c r="B430" s="247"/>
      <c r="C430" s="247"/>
      <c r="D430" s="247"/>
      <c r="E430" s="247"/>
      <c r="F430" s="247"/>
      <c r="G430" s="247"/>
      <c r="H430" s="247"/>
      <c r="I430" s="247"/>
      <c r="J430" s="247"/>
      <c r="K430" s="247"/>
      <c r="L430" s="247"/>
      <c r="M430" s="247"/>
    </row>
    <row r="431">
      <c r="B431" s="247"/>
      <c r="C431" s="247"/>
      <c r="D431" s="247"/>
      <c r="E431" s="247"/>
      <c r="F431" s="247"/>
      <c r="G431" s="247"/>
      <c r="H431" s="247"/>
      <c r="I431" s="247"/>
      <c r="J431" s="247"/>
      <c r="K431" s="247"/>
      <c r="L431" s="247"/>
      <c r="M431" s="247"/>
    </row>
    <row r="432">
      <c r="B432" s="247"/>
      <c r="C432" s="247"/>
      <c r="D432" s="247"/>
      <c r="E432" s="247"/>
      <c r="F432" s="247"/>
      <c r="G432" s="247"/>
      <c r="H432" s="247"/>
      <c r="I432" s="247"/>
      <c r="J432" s="247"/>
      <c r="K432" s="247"/>
      <c r="L432" s="247"/>
      <c r="M432" s="247"/>
    </row>
    <row r="433">
      <c r="B433" s="247"/>
      <c r="C433" s="247"/>
      <c r="D433" s="247"/>
      <c r="E433" s="247"/>
      <c r="F433" s="247"/>
      <c r="G433" s="247"/>
      <c r="H433" s="247"/>
      <c r="I433" s="247"/>
      <c r="J433" s="247"/>
      <c r="K433" s="247"/>
      <c r="L433" s="247"/>
      <c r="M433" s="247"/>
    </row>
    <row r="434">
      <c r="B434" s="247"/>
      <c r="C434" s="247"/>
      <c r="D434" s="247"/>
      <c r="E434" s="247"/>
      <c r="F434" s="247"/>
      <c r="G434" s="247"/>
      <c r="H434" s="247"/>
      <c r="I434" s="247"/>
      <c r="J434" s="247"/>
      <c r="K434" s="247"/>
      <c r="L434" s="247"/>
      <c r="M434" s="247"/>
    </row>
    <row r="435">
      <c r="B435" s="247"/>
      <c r="C435" s="247"/>
      <c r="D435" s="247"/>
      <c r="E435" s="247"/>
      <c r="F435" s="247"/>
      <c r="G435" s="247"/>
      <c r="H435" s="247"/>
      <c r="I435" s="247"/>
      <c r="J435" s="247"/>
      <c r="K435" s="247"/>
      <c r="L435" s="247"/>
      <c r="M435" s="247"/>
    </row>
    <row r="436">
      <c r="B436" s="247"/>
      <c r="C436" s="247"/>
      <c r="D436" s="247"/>
      <c r="E436" s="247"/>
      <c r="F436" s="247"/>
      <c r="G436" s="247"/>
      <c r="H436" s="247"/>
      <c r="I436" s="247"/>
      <c r="J436" s="247"/>
      <c r="K436" s="247"/>
      <c r="L436" s="247"/>
      <c r="M436" s="247"/>
    </row>
    <row r="437">
      <c r="B437" s="247"/>
      <c r="C437" s="247"/>
      <c r="D437" s="247"/>
      <c r="E437" s="247"/>
      <c r="F437" s="247"/>
      <c r="G437" s="247"/>
      <c r="H437" s="247"/>
      <c r="I437" s="247"/>
      <c r="J437" s="247"/>
      <c r="K437" s="247"/>
      <c r="L437" s="247"/>
      <c r="M437" s="247"/>
    </row>
    <row r="438">
      <c r="B438" s="247"/>
      <c r="C438" s="247"/>
      <c r="D438" s="247"/>
      <c r="E438" s="247"/>
      <c r="F438" s="247"/>
      <c r="G438" s="247"/>
      <c r="H438" s="247"/>
      <c r="I438" s="247"/>
      <c r="J438" s="247"/>
      <c r="K438" s="247"/>
      <c r="L438" s="247"/>
      <c r="M438" s="247"/>
    </row>
    <row r="439">
      <c r="B439" s="247"/>
      <c r="C439" s="247"/>
      <c r="D439" s="247"/>
      <c r="E439" s="247"/>
      <c r="F439" s="247"/>
      <c r="G439" s="247"/>
      <c r="H439" s="247"/>
      <c r="I439" s="247"/>
      <c r="J439" s="247"/>
      <c r="K439" s="247"/>
      <c r="L439" s="247"/>
      <c r="M439" s="247"/>
    </row>
    <row r="440">
      <c r="B440" s="247"/>
      <c r="C440" s="247"/>
      <c r="D440" s="247"/>
      <c r="E440" s="247"/>
      <c r="F440" s="247"/>
      <c r="G440" s="247"/>
      <c r="H440" s="247"/>
      <c r="I440" s="247"/>
      <c r="J440" s="247"/>
      <c r="K440" s="247"/>
      <c r="L440" s="247"/>
      <c r="M440" s="247"/>
    </row>
    <row r="441">
      <c r="B441" s="247"/>
      <c r="C441" s="247"/>
      <c r="D441" s="247"/>
      <c r="E441" s="247"/>
      <c r="F441" s="247"/>
      <c r="G441" s="247"/>
      <c r="H441" s="247"/>
      <c r="I441" s="247"/>
      <c r="J441" s="247"/>
      <c r="K441" s="247"/>
      <c r="L441" s="247"/>
      <c r="M441" s="247"/>
    </row>
    <row r="442">
      <c r="B442" s="247"/>
      <c r="C442" s="247"/>
      <c r="D442" s="247"/>
      <c r="E442" s="247"/>
      <c r="F442" s="247"/>
      <c r="G442" s="247"/>
      <c r="H442" s="247"/>
      <c r="I442" s="247"/>
      <c r="J442" s="247"/>
      <c r="K442" s="247"/>
      <c r="L442" s="247"/>
      <c r="M442" s="247"/>
    </row>
    <row r="443">
      <c r="B443" s="247"/>
      <c r="C443" s="247"/>
      <c r="D443" s="247"/>
      <c r="E443" s="247"/>
      <c r="F443" s="247"/>
      <c r="G443" s="247"/>
      <c r="H443" s="247"/>
      <c r="I443" s="247"/>
      <c r="J443" s="247"/>
      <c r="K443" s="247"/>
      <c r="L443" s="247"/>
      <c r="M443" s="247"/>
    </row>
    <row r="444">
      <c r="B444" s="247"/>
      <c r="C444" s="247"/>
      <c r="D444" s="247"/>
      <c r="E444" s="247"/>
      <c r="F444" s="247"/>
      <c r="G444" s="247"/>
      <c r="H444" s="247"/>
      <c r="I444" s="247"/>
      <c r="J444" s="247"/>
      <c r="K444" s="247"/>
      <c r="L444" s="247"/>
      <c r="M444" s="247"/>
    </row>
    <row r="445">
      <c r="B445" s="247"/>
      <c r="C445" s="247"/>
      <c r="D445" s="247"/>
      <c r="E445" s="247"/>
      <c r="F445" s="247"/>
      <c r="G445" s="247"/>
      <c r="H445" s="247"/>
      <c r="I445" s="247"/>
      <c r="J445" s="247"/>
      <c r="K445" s="247"/>
      <c r="L445" s="247"/>
      <c r="M445" s="247"/>
    </row>
    <row r="446">
      <c r="B446" s="247"/>
      <c r="C446" s="247"/>
      <c r="D446" s="247"/>
      <c r="E446" s="247"/>
      <c r="F446" s="247"/>
      <c r="G446" s="247"/>
      <c r="H446" s="247"/>
      <c r="I446" s="247"/>
      <c r="J446" s="247"/>
      <c r="K446" s="247"/>
      <c r="L446" s="247"/>
      <c r="M446" s="247"/>
    </row>
    <row r="447">
      <c r="B447" s="247"/>
      <c r="C447" s="247"/>
      <c r="D447" s="247"/>
      <c r="E447" s="247"/>
      <c r="F447" s="247"/>
      <c r="G447" s="247"/>
      <c r="H447" s="247"/>
      <c r="I447" s="247"/>
      <c r="J447" s="247"/>
      <c r="K447" s="247"/>
      <c r="L447" s="247"/>
      <c r="M447" s="247"/>
    </row>
    <row r="448">
      <c r="B448" s="247"/>
      <c r="C448" s="247"/>
      <c r="D448" s="247"/>
      <c r="E448" s="247"/>
      <c r="F448" s="247"/>
      <c r="G448" s="247"/>
      <c r="H448" s="247"/>
      <c r="I448" s="247"/>
      <c r="J448" s="247"/>
      <c r="K448" s="247"/>
      <c r="L448" s="247"/>
      <c r="M448" s="247"/>
    </row>
    <row r="449">
      <c r="B449" s="247"/>
      <c r="C449" s="247"/>
      <c r="D449" s="247"/>
      <c r="E449" s="247"/>
      <c r="F449" s="247"/>
      <c r="G449" s="247"/>
      <c r="H449" s="247"/>
      <c r="I449" s="247"/>
      <c r="J449" s="247"/>
      <c r="K449" s="247"/>
      <c r="L449" s="247"/>
      <c r="M449" s="247"/>
    </row>
    <row r="450">
      <c r="B450" s="247"/>
      <c r="C450" s="247"/>
      <c r="D450" s="247"/>
      <c r="E450" s="247"/>
      <c r="F450" s="247"/>
      <c r="G450" s="247"/>
      <c r="H450" s="247"/>
      <c r="I450" s="247"/>
      <c r="J450" s="247"/>
      <c r="K450" s="247"/>
      <c r="L450" s="247"/>
      <c r="M450" s="247"/>
    </row>
    <row r="451">
      <c r="B451" s="247"/>
      <c r="C451" s="247"/>
      <c r="D451" s="247"/>
      <c r="E451" s="247"/>
      <c r="F451" s="247"/>
      <c r="G451" s="247"/>
      <c r="H451" s="247"/>
      <c r="I451" s="247"/>
      <c r="J451" s="247"/>
      <c r="K451" s="247"/>
      <c r="L451" s="247"/>
      <c r="M451" s="247"/>
    </row>
    <row r="452">
      <c r="B452" s="247"/>
      <c r="C452" s="247"/>
      <c r="D452" s="247"/>
      <c r="E452" s="247"/>
      <c r="F452" s="247"/>
      <c r="G452" s="247"/>
      <c r="H452" s="247"/>
      <c r="I452" s="247"/>
      <c r="J452" s="247"/>
      <c r="K452" s="247"/>
      <c r="L452" s="247"/>
      <c r="M452" s="247"/>
    </row>
    <row r="453">
      <c r="B453" s="247"/>
      <c r="C453" s="247"/>
      <c r="D453" s="247"/>
      <c r="E453" s="247"/>
      <c r="F453" s="247"/>
      <c r="G453" s="247"/>
      <c r="H453" s="247"/>
      <c r="I453" s="247"/>
      <c r="J453" s="247"/>
      <c r="K453" s="247"/>
      <c r="L453" s="247"/>
      <c r="M453" s="247"/>
    </row>
    <row r="454">
      <c r="B454" s="247"/>
      <c r="C454" s="247"/>
      <c r="D454" s="247"/>
      <c r="E454" s="247"/>
      <c r="F454" s="247"/>
      <c r="G454" s="247"/>
      <c r="H454" s="247"/>
      <c r="I454" s="247"/>
      <c r="J454" s="247"/>
      <c r="K454" s="247"/>
      <c r="L454" s="247"/>
      <c r="M454" s="247"/>
    </row>
    <row r="455">
      <c r="B455" s="247"/>
      <c r="C455" s="247"/>
      <c r="D455" s="247"/>
      <c r="E455" s="247"/>
      <c r="F455" s="247"/>
      <c r="G455" s="247"/>
      <c r="H455" s="247"/>
      <c r="I455" s="247"/>
      <c r="J455" s="247"/>
      <c r="K455" s="247"/>
      <c r="L455" s="247"/>
      <c r="M455" s="247"/>
    </row>
    <row r="456">
      <c r="B456" s="247"/>
      <c r="C456" s="247"/>
      <c r="D456" s="247"/>
      <c r="E456" s="247"/>
      <c r="F456" s="247"/>
      <c r="G456" s="247"/>
      <c r="H456" s="247"/>
      <c r="I456" s="247"/>
      <c r="J456" s="247"/>
      <c r="K456" s="247"/>
      <c r="L456" s="247"/>
      <c r="M456" s="247"/>
    </row>
    <row r="457">
      <c r="B457" s="247"/>
      <c r="C457" s="247"/>
      <c r="D457" s="247"/>
      <c r="E457" s="247"/>
      <c r="F457" s="247"/>
      <c r="G457" s="247"/>
      <c r="H457" s="247"/>
      <c r="I457" s="247"/>
      <c r="J457" s="247"/>
      <c r="K457" s="247"/>
      <c r="L457" s="247"/>
      <c r="M457" s="247"/>
    </row>
    <row r="458">
      <c r="B458" s="247"/>
      <c r="C458" s="247"/>
      <c r="D458" s="247"/>
      <c r="E458" s="247"/>
      <c r="F458" s="247"/>
      <c r="G458" s="247"/>
      <c r="H458" s="247"/>
      <c r="I458" s="247"/>
      <c r="J458" s="247"/>
      <c r="K458" s="247"/>
      <c r="L458" s="247"/>
      <c r="M458" s="247"/>
    </row>
    <row r="459">
      <c r="B459" s="247"/>
      <c r="C459" s="247"/>
      <c r="D459" s="247"/>
      <c r="E459" s="247"/>
      <c r="F459" s="247"/>
      <c r="G459" s="247"/>
      <c r="H459" s="247"/>
      <c r="I459" s="247"/>
      <c r="J459" s="247"/>
      <c r="K459" s="247"/>
      <c r="L459" s="247"/>
      <c r="M459" s="247"/>
    </row>
    <row r="460">
      <c r="B460" s="247"/>
      <c r="C460" s="247"/>
      <c r="D460" s="247"/>
      <c r="E460" s="247"/>
      <c r="F460" s="247"/>
      <c r="G460" s="247"/>
      <c r="H460" s="247"/>
      <c r="I460" s="247"/>
      <c r="J460" s="247"/>
      <c r="K460" s="247"/>
      <c r="L460" s="247"/>
      <c r="M460" s="247"/>
    </row>
    <row r="461">
      <c r="B461" s="247"/>
      <c r="C461" s="247"/>
      <c r="D461" s="247"/>
      <c r="E461" s="247"/>
      <c r="F461" s="247"/>
      <c r="G461" s="247"/>
      <c r="H461" s="247"/>
      <c r="I461" s="247"/>
      <c r="J461" s="247"/>
      <c r="K461" s="247"/>
      <c r="L461" s="247"/>
      <c r="M461" s="247"/>
    </row>
    <row r="462">
      <c r="B462" s="247"/>
      <c r="C462" s="247"/>
      <c r="D462" s="247"/>
      <c r="E462" s="247"/>
      <c r="F462" s="247"/>
      <c r="G462" s="247"/>
      <c r="H462" s="247"/>
      <c r="I462" s="247"/>
      <c r="J462" s="247"/>
      <c r="K462" s="247"/>
      <c r="L462" s="247"/>
      <c r="M462" s="247"/>
    </row>
    <row r="463">
      <c r="B463" s="247"/>
      <c r="C463" s="247"/>
      <c r="D463" s="247"/>
      <c r="E463" s="247"/>
      <c r="F463" s="247"/>
      <c r="G463" s="247"/>
      <c r="H463" s="247"/>
      <c r="I463" s="247"/>
      <c r="J463" s="247"/>
      <c r="K463" s="247"/>
      <c r="L463" s="247"/>
      <c r="M463" s="247"/>
    </row>
    <row r="464">
      <c r="B464" s="247"/>
      <c r="C464" s="247"/>
      <c r="D464" s="247"/>
      <c r="E464" s="247"/>
      <c r="F464" s="247"/>
      <c r="G464" s="247"/>
      <c r="H464" s="247"/>
      <c r="I464" s="247"/>
      <c r="J464" s="247"/>
      <c r="K464" s="247"/>
      <c r="L464" s="247"/>
      <c r="M464" s="247"/>
    </row>
    <row r="465">
      <c r="B465" s="247"/>
      <c r="C465" s="247"/>
      <c r="D465" s="247"/>
      <c r="E465" s="247"/>
      <c r="F465" s="247"/>
      <c r="G465" s="247"/>
      <c r="H465" s="247"/>
      <c r="I465" s="247"/>
      <c r="J465" s="247"/>
      <c r="K465" s="247"/>
      <c r="L465" s="247"/>
      <c r="M465" s="247"/>
    </row>
    <row r="466">
      <c r="B466" s="247"/>
      <c r="C466" s="247"/>
      <c r="D466" s="247"/>
      <c r="E466" s="247"/>
      <c r="F466" s="247"/>
      <c r="G466" s="247"/>
      <c r="H466" s="247"/>
      <c r="I466" s="247"/>
      <c r="J466" s="247"/>
      <c r="K466" s="247"/>
      <c r="L466" s="247"/>
      <c r="M466" s="247"/>
    </row>
    <row r="467">
      <c r="B467" s="247"/>
      <c r="C467" s="247"/>
      <c r="D467" s="247"/>
      <c r="E467" s="247"/>
      <c r="F467" s="247"/>
      <c r="G467" s="247"/>
      <c r="H467" s="247"/>
      <c r="I467" s="247"/>
      <c r="J467" s="247"/>
      <c r="K467" s="247"/>
      <c r="L467" s="247"/>
      <c r="M467" s="247"/>
    </row>
    <row r="468">
      <c r="B468" s="247"/>
      <c r="C468" s="247"/>
      <c r="D468" s="247"/>
      <c r="E468" s="247"/>
      <c r="F468" s="247"/>
      <c r="G468" s="247"/>
      <c r="H468" s="247"/>
      <c r="I468" s="247"/>
      <c r="J468" s="247"/>
      <c r="K468" s="247"/>
      <c r="L468" s="247"/>
      <c r="M468" s="247"/>
    </row>
    <row r="469">
      <c r="B469" s="247"/>
      <c r="C469" s="247"/>
      <c r="D469" s="247"/>
      <c r="E469" s="247"/>
      <c r="F469" s="247"/>
      <c r="G469" s="247"/>
      <c r="H469" s="247"/>
      <c r="I469" s="247"/>
      <c r="J469" s="247"/>
      <c r="K469" s="247"/>
      <c r="L469" s="247"/>
      <c r="M469" s="247"/>
    </row>
    <row r="470">
      <c r="B470" s="247"/>
      <c r="C470" s="247"/>
      <c r="D470" s="247"/>
      <c r="E470" s="247"/>
      <c r="F470" s="247"/>
      <c r="G470" s="247"/>
      <c r="H470" s="247"/>
      <c r="I470" s="247"/>
      <c r="J470" s="247"/>
      <c r="K470" s="247"/>
      <c r="L470" s="247"/>
      <c r="M470" s="247"/>
    </row>
    <row r="471">
      <c r="B471" s="247"/>
      <c r="C471" s="247"/>
      <c r="D471" s="247"/>
      <c r="E471" s="247"/>
      <c r="F471" s="247"/>
      <c r="G471" s="247"/>
      <c r="H471" s="247"/>
      <c r="I471" s="247"/>
      <c r="J471" s="247"/>
      <c r="K471" s="247"/>
      <c r="L471" s="247"/>
      <c r="M471" s="247"/>
    </row>
    <row r="472">
      <c r="B472" s="247"/>
      <c r="C472" s="247"/>
      <c r="D472" s="247"/>
      <c r="E472" s="247"/>
      <c r="F472" s="247"/>
      <c r="G472" s="247"/>
      <c r="H472" s="247"/>
      <c r="I472" s="247"/>
      <c r="J472" s="247"/>
      <c r="K472" s="247"/>
      <c r="L472" s="247"/>
      <c r="M472" s="247"/>
    </row>
    <row r="473">
      <c r="B473" s="247"/>
      <c r="C473" s="247"/>
      <c r="D473" s="247"/>
      <c r="E473" s="247"/>
      <c r="F473" s="247"/>
      <c r="G473" s="247"/>
      <c r="H473" s="247"/>
      <c r="I473" s="247"/>
      <c r="J473" s="247"/>
      <c r="K473" s="247"/>
      <c r="L473" s="247"/>
      <c r="M473" s="247"/>
    </row>
    <row r="474">
      <c r="B474" s="247"/>
      <c r="C474" s="247"/>
      <c r="D474" s="247"/>
      <c r="E474" s="247"/>
      <c r="F474" s="247"/>
      <c r="G474" s="247"/>
      <c r="H474" s="247"/>
      <c r="I474" s="247"/>
      <c r="J474" s="247"/>
      <c r="K474" s="247"/>
      <c r="L474" s="247"/>
      <c r="M474" s="247"/>
    </row>
    <row r="475">
      <c r="B475" s="247"/>
      <c r="C475" s="247"/>
      <c r="D475" s="247"/>
      <c r="E475" s="247"/>
      <c r="F475" s="247"/>
      <c r="G475" s="247"/>
      <c r="H475" s="247"/>
      <c r="I475" s="247"/>
      <c r="J475" s="247"/>
      <c r="K475" s="247"/>
      <c r="L475" s="247"/>
      <c r="M475" s="247"/>
    </row>
    <row r="476">
      <c r="B476" s="247"/>
      <c r="C476" s="247"/>
      <c r="D476" s="247"/>
      <c r="E476" s="247"/>
      <c r="F476" s="247"/>
      <c r="G476" s="247"/>
      <c r="H476" s="247"/>
      <c r="I476" s="247"/>
      <c r="J476" s="247"/>
      <c r="K476" s="247"/>
      <c r="L476" s="247"/>
      <c r="M476" s="247"/>
    </row>
    <row r="477">
      <c r="B477" s="247"/>
      <c r="C477" s="247"/>
      <c r="D477" s="247"/>
      <c r="E477" s="247"/>
      <c r="F477" s="247"/>
      <c r="G477" s="247"/>
      <c r="H477" s="247"/>
      <c r="I477" s="247"/>
      <c r="J477" s="247"/>
      <c r="K477" s="247"/>
      <c r="L477" s="247"/>
      <c r="M477" s="247"/>
    </row>
    <row r="478">
      <c r="B478" s="247"/>
      <c r="C478" s="247"/>
      <c r="D478" s="247"/>
      <c r="E478" s="247"/>
      <c r="F478" s="247"/>
      <c r="G478" s="247"/>
      <c r="H478" s="247"/>
      <c r="I478" s="247"/>
      <c r="J478" s="247"/>
      <c r="K478" s="247"/>
      <c r="L478" s="247"/>
      <c r="M478" s="247"/>
    </row>
    <row r="479">
      <c r="B479" s="247"/>
      <c r="C479" s="247"/>
      <c r="D479" s="247"/>
      <c r="E479" s="247"/>
      <c r="F479" s="247"/>
      <c r="G479" s="247"/>
      <c r="H479" s="247"/>
      <c r="I479" s="247"/>
      <c r="J479" s="247"/>
      <c r="K479" s="247"/>
      <c r="L479" s="247"/>
      <c r="M479" s="247"/>
    </row>
    <row r="480">
      <c r="B480" s="247"/>
      <c r="C480" s="247"/>
      <c r="D480" s="247"/>
      <c r="E480" s="247"/>
      <c r="F480" s="247"/>
      <c r="G480" s="247"/>
      <c r="H480" s="247"/>
      <c r="I480" s="247"/>
      <c r="J480" s="247"/>
      <c r="K480" s="247"/>
      <c r="L480" s="247"/>
      <c r="M480" s="247"/>
    </row>
    <row r="481">
      <c r="B481" s="247"/>
      <c r="C481" s="247"/>
      <c r="D481" s="247"/>
      <c r="E481" s="247"/>
      <c r="F481" s="247"/>
      <c r="G481" s="247"/>
      <c r="H481" s="247"/>
      <c r="I481" s="247"/>
      <c r="J481" s="247"/>
      <c r="K481" s="247"/>
      <c r="L481" s="247"/>
      <c r="M481" s="247"/>
    </row>
    <row r="482">
      <c r="B482" s="247"/>
      <c r="C482" s="247"/>
      <c r="D482" s="247"/>
      <c r="E482" s="247"/>
      <c r="F482" s="247"/>
      <c r="G482" s="247"/>
      <c r="H482" s="247"/>
      <c r="I482" s="247"/>
      <c r="J482" s="247"/>
      <c r="K482" s="247"/>
      <c r="L482" s="247"/>
      <c r="M482" s="247"/>
    </row>
    <row r="483">
      <c r="B483" s="247"/>
      <c r="C483" s="247"/>
      <c r="D483" s="247"/>
      <c r="E483" s="247"/>
      <c r="F483" s="247"/>
      <c r="G483" s="247"/>
      <c r="H483" s="247"/>
      <c r="I483" s="247"/>
      <c r="J483" s="247"/>
      <c r="K483" s="247"/>
      <c r="L483" s="247"/>
      <c r="M483" s="247"/>
    </row>
    <row r="484">
      <c r="B484" s="247"/>
      <c r="C484" s="247"/>
      <c r="D484" s="247"/>
      <c r="E484" s="247"/>
      <c r="F484" s="247"/>
      <c r="G484" s="247"/>
      <c r="H484" s="247"/>
      <c r="I484" s="247"/>
      <c r="J484" s="247"/>
      <c r="K484" s="247"/>
      <c r="L484" s="247"/>
      <c r="M484" s="247"/>
    </row>
    <row r="485">
      <c r="B485" s="247"/>
      <c r="C485" s="247"/>
      <c r="D485" s="247"/>
      <c r="E485" s="247"/>
      <c r="F485" s="247"/>
      <c r="G485" s="247"/>
      <c r="H485" s="247"/>
      <c r="I485" s="247"/>
      <c r="J485" s="247"/>
      <c r="K485" s="247"/>
      <c r="L485" s="247"/>
      <c r="M485" s="247"/>
    </row>
    <row r="486">
      <c r="B486" s="247"/>
      <c r="C486" s="247"/>
      <c r="D486" s="247"/>
      <c r="E486" s="247"/>
      <c r="F486" s="247"/>
      <c r="G486" s="247"/>
      <c r="H486" s="247"/>
      <c r="I486" s="247"/>
      <c r="J486" s="247"/>
      <c r="K486" s="247"/>
      <c r="L486" s="247"/>
      <c r="M486" s="247"/>
    </row>
    <row r="487">
      <c r="B487" s="247"/>
      <c r="C487" s="247"/>
      <c r="D487" s="247"/>
      <c r="E487" s="247"/>
      <c r="F487" s="247"/>
      <c r="G487" s="247"/>
      <c r="H487" s="247"/>
      <c r="I487" s="247"/>
      <c r="J487" s="247"/>
      <c r="K487" s="247"/>
      <c r="L487" s="247"/>
      <c r="M487" s="247"/>
    </row>
    <row r="488">
      <c r="B488" s="247"/>
      <c r="C488" s="247"/>
      <c r="D488" s="247"/>
      <c r="E488" s="247"/>
      <c r="F488" s="247"/>
      <c r="G488" s="247"/>
      <c r="H488" s="247"/>
      <c r="I488" s="247"/>
      <c r="J488" s="247"/>
      <c r="K488" s="247"/>
      <c r="L488" s="247"/>
      <c r="M488" s="247"/>
    </row>
    <row r="489">
      <c r="B489" s="247"/>
      <c r="C489" s="247"/>
      <c r="D489" s="247"/>
      <c r="E489" s="247"/>
      <c r="F489" s="247"/>
      <c r="G489" s="247"/>
      <c r="H489" s="247"/>
      <c r="I489" s="247"/>
      <c r="J489" s="247"/>
      <c r="K489" s="247"/>
      <c r="L489" s="247"/>
      <c r="M489" s="247"/>
    </row>
    <row r="490">
      <c r="B490" s="247"/>
      <c r="C490" s="247"/>
      <c r="D490" s="247"/>
      <c r="E490" s="247"/>
      <c r="F490" s="247"/>
      <c r="G490" s="247"/>
      <c r="H490" s="247"/>
      <c r="I490" s="247"/>
      <c r="J490" s="247"/>
      <c r="K490" s="247"/>
      <c r="L490" s="247"/>
      <c r="M490" s="247"/>
    </row>
    <row r="491">
      <c r="B491" s="247"/>
      <c r="C491" s="247"/>
      <c r="D491" s="247"/>
      <c r="E491" s="247"/>
      <c r="F491" s="247"/>
      <c r="G491" s="247"/>
      <c r="H491" s="247"/>
      <c r="I491" s="247"/>
      <c r="J491" s="247"/>
      <c r="K491" s="247"/>
      <c r="L491" s="247"/>
      <c r="M491" s="247"/>
    </row>
    <row r="492">
      <c r="B492" s="247"/>
      <c r="C492" s="247"/>
      <c r="D492" s="247"/>
      <c r="E492" s="247"/>
      <c r="F492" s="247"/>
      <c r="G492" s="247"/>
      <c r="H492" s="247"/>
      <c r="I492" s="247"/>
      <c r="J492" s="247"/>
      <c r="K492" s="247"/>
      <c r="L492" s="247"/>
      <c r="M492" s="247"/>
    </row>
    <row r="493">
      <c r="B493" s="247"/>
      <c r="C493" s="247"/>
      <c r="D493" s="247"/>
      <c r="E493" s="247"/>
      <c r="F493" s="247"/>
      <c r="G493" s="247"/>
      <c r="H493" s="247"/>
      <c r="I493" s="247"/>
      <c r="J493" s="247"/>
      <c r="K493" s="247"/>
      <c r="L493" s="247"/>
      <c r="M493" s="247"/>
    </row>
    <row r="494">
      <c r="B494" s="247"/>
      <c r="C494" s="247"/>
      <c r="D494" s="247"/>
      <c r="E494" s="247"/>
      <c r="F494" s="247"/>
      <c r="G494" s="247"/>
      <c r="H494" s="247"/>
      <c r="I494" s="247"/>
      <c r="J494" s="247"/>
      <c r="K494" s="247"/>
      <c r="L494" s="247"/>
      <c r="M494" s="247"/>
    </row>
    <row r="495">
      <c r="B495" s="247"/>
      <c r="C495" s="247"/>
      <c r="D495" s="247"/>
      <c r="E495" s="247"/>
      <c r="F495" s="247"/>
      <c r="G495" s="247"/>
      <c r="H495" s="247"/>
      <c r="I495" s="247"/>
      <c r="J495" s="247"/>
      <c r="K495" s="247"/>
      <c r="L495" s="247"/>
      <c r="M495" s="247"/>
    </row>
    <row r="496">
      <c r="B496" s="247"/>
      <c r="C496" s="247"/>
      <c r="D496" s="247"/>
      <c r="E496" s="247"/>
      <c r="F496" s="247"/>
      <c r="G496" s="247"/>
      <c r="H496" s="247"/>
      <c r="I496" s="247"/>
      <c r="J496" s="247"/>
      <c r="K496" s="247"/>
      <c r="L496" s="247"/>
      <c r="M496" s="247"/>
    </row>
    <row r="497">
      <c r="B497" s="247"/>
      <c r="C497" s="247"/>
      <c r="D497" s="247"/>
      <c r="E497" s="247"/>
      <c r="F497" s="247"/>
      <c r="G497" s="247"/>
      <c r="H497" s="247"/>
      <c r="I497" s="247"/>
      <c r="J497" s="247"/>
      <c r="K497" s="247"/>
      <c r="L497" s="247"/>
      <c r="M497" s="247"/>
    </row>
    <row r="498">
      <c r="B498" s="247"/>
      <c r="C498" s="247"/>
      <c r="D498" s="247"/>
      <c r="E498" s="247"/>
      <c r="F498" s="247"/>
      <c r="G498" s="247"/>
      <c r="H498" s="247"/>
      <c r="I498" s="247"/>
      <c r="J498" s="247"/>
      <c r="K498" s="247"/>
      <c r="L498" s="247"/>
      <c r="M498" s="247"/>
    </row>
    <row r="499">
      <c r="B499" s="247"/>
      <c r="C499" s="247"/>
      <c r="D499" s="247"/>
      <c r="E499" s="247"/>
      <c r="F499" s="247"/>
      <c r="G499" s="247"/>
      <c r="H499" s="247"/>
      <c r="I499" s="247"/>
      <c r="J499" s="247"/>
      <c r="K499" s="247"/>
      <c r="L499" s="247"/>
      <c r="M499" s="247"/>
    </row>
    <row r="500">
      <c r="B500" s="247"/>
      <c r="C500" s="247"/>
      <c r="D500" s="247"/>
      <c r="E500" s="247"/>
      <c r="F500" s="247"/>
      <c r="G500" s="247"/>
      <c r="H500" s="247"/>
      <c r="I500" s="247"/>
      <c r="J500" s="247"/>
      <c r="K500" s="247"/>
      <c r="L500" s="247"/>
      <c r="M500" s="247"/>
    </row>
    <row r="501">
      <c r="B501" s="247"/>
      <c r="C501" s="247"/>
      <c r="D501" s="247"/>
      <c r="E501" s="247"/>
      <c r="F501" s="247"/>
      <c r="G501" s="247"/>
      <c r="H501" s="247"/>
      <c r="I501" s="247"/>
      <c r="J501" s="247"/>
      <c r="K501" s="247"/>
      <c r="L501" s="247"/>
      <c r="M501" s="247"/>
    </row>
    <row r="502">
      <c r="B502" s="247"/>
      <c r="C502" s="247"/>
      <c r="D502" s="247"/>
      <c r="E502" s="247"/>
      <c r="F502" s="247"/>
      <c r="G502" s="247"/>
      <c r="H502" s="247"/>
      <c r="I502" s="247"/>
      <c r="J502" s="247"/>
      <c r="K502" s="247"/>
      <c r="L502" s="247"/>
      <c r="M502" s="247"/>
    </row>
    <row r="503">
      <c r="B503" s="247"/>
      <c r="C503" s="247"/>
      <c r="D503" s="247"/>
      <c r="E503" s="247"/>
      <c r="F503" s="247"/>
      <c r="G503" s="247"/>
      <c r="H503" s="247"/>
      <c r="I503" s="247"/>
      <c r="J503" s="247"/>
      <c r="K503" s="247"/>
      <c r="L503" s="247"/>
      <c r="M503" s="247"/>
    </row>
    <row r="504">
      <c r="B504" s="247"/>
      <c r="C504" s="247"/>
      <c r="D504" s="247"/>
      <c r="E504" s="247"/>
      <c r="F504" s="247"/>
      <c r="G504" s="247"/>
      <c r="H504" s="247"/>
      <c r="I504" s="247"/>
      <c r="J504" s="247"/>
      <c r="K504" s="247"/>
      <c r="L504" s="247"/>
      <c r="M504" s="247"/>
    </row>
    <row r="505">
      <c r="B505" s="247"/>
      <c r="C505" s="247"/>
      <c r="D505" s="247"/>
      <c r="E505" s="247"/>
      <c r="F505" s="247"/>
      <c r="G505" s="247"/>
      <c r="H505" s="247"/>
      <c r="I505" s="247"/>
      <c r="J505" s="247"/>
      <c r="K505" s="247"/>
      <c r="L505" s="247"/>
      <c r="M505" s="247"/>
    </row>
    <row r="506">
      <c r="B506" s="247"/>
      <c r="C506" s="247"/>
      <c r="D506" s="247"/>
      <c r="E506" s="247"/>
      <c r="F506" s="247"/>
      <c r="G506" s="247"/>
      <c r="H506" s="247"/>
      <c r="I506" s="247"/>
      <c r="J506" s="247"/>
      <c r="K506" s="247"/>
      <c r="L506" s="247"/>
      <c r="M506" s="247"/>
    </row>
    <row r="507">
      <c r="B507" s="247"/>
      <c r="C507" s="247"/>
      <c r="D507" s="247"/>
      <c r="E507" s="247"/>
      <c r="F507" s="247"/>
      <c r="G507" s="247"/>
      <c r="H507" s="247"/>
      <c r="I507" s="247"/>
      <c r="J507" s="247"/>
      <c r="K507" s="247"/>
      <c r="L507" s="247"/>
      <c r="M507" s="247"/>
    </row>
    <row r="508">
      <c r="B508" s="247"/>
      <c r="C508" s="247"/>
      <c r="D508" s="247"/>
      <c r="E508" s="247"/>
      <c r="F508" s="247"/>
      <c r="G508" s="247"/>
      <c r="H508" s="247"/>
      <c r="I508" s="247"/>
      <c r="J508" s="247"/>
      <c r="K508" s="247"/>
      <c r="L508" s="247"/>
      <c r="M508" s="247"/>
    </row>
    <row r="509">
      <c r="B509" s="247"/>
      <c r="C509" s="247"/>
      <c r="D509" s="247"/>
      <c r="E509" s="247"/>
      <c r="F509" s="247"/>
      <c r="G509" s="247"/>
      <c r="H509" s="247"/>
      <c r="I509" s="247"/>
      <c r="J509" s="247"/>
      <c r="K509" s="247"/>
      <c r="L509" s="247"/>
      <c r="M509" s="247"/>
    </row>
    <row r="510">
      <c r="B510" s="247"/>
      <c r="C510" s="247"/>
      <c r="D510" s="247"/>
      <c r="E510" s="247"/>
      <c r="F510" s="247"/>
      <c r="G510" s="247"/>
      <c r="H510" s="247"/>
      <c r="I510" s="247"/>
      <c r="J510" s="247"/>
      <c r="K510" s="247"/>
      <c r="L510" s="247"/>
      <c r="M510" s="247"/>
    </row>
    <row r="511">
      <c r="B511" s="247"/>
      <c r="C511" s="247"/>
      <c r="D511" s="247"/>
      <c r="E511" s="247"/>
      <c r="F511" s="247"/>
      <c r="G511" s="247"/>
      <c r="H511" s="247"/>
      <c r="I511" s="247"/>
      <c r="J511" s="247"/>
      <c r="K511" s="247"/>
      <c r="L511" s="247"/>
      <c r="M511" s="247"/>
    </row>
    <row r="512">
      <c r="B512" s="247"/>
      <c r="C512" s="247"/>
      <c r="D512" s="247"/>
      <c r="E512" s="247"/>
      <c r="F512" s="247"/>
      <c r="G512" s="247"/>
      <c r="H512" s="247"/>
      <c r="I512" s="247"/>
      <c r="J512" s="247"/>
      <c r="K512" s="247"/>
      <c r="L512" s="247"/>
      <c r="M512" s="247"/>
    </row>
    <row r="513">
      <c r="B513" s="247"/>
      <c r="C513" s="247"/>
      <c r="D513" s="247"/>
      <c r="E513" s="247"/>
      <c r="F513" s="247"/>
      <c r="G513" s="247"/>
      <c r="H513" s="247"/>
      <c r="I513" s="247"/>
      <c r="J513" s="247"/>
      <c r="K513" s="247"/>
      <c r="L513" s="247"/>
      <c r="M513" s="247"/>
    </row>
    <row r="514">
      <c r="B514" s="247"/>
      <c r="C514" s="247"/>
      <c r="D514" s="247"/>
      <c r="E514" s="247"/>
      <c r="F514" s="247"/>
      <c r="G514" s="247"/>
      <c r="H514" s="247"/>
      <c r="I514" s="247"/>
      <c r="J514" s="247"/>
      <c r="K514" s="247"/>
      <c r="L514" s="247"/>
      <c r="M514" s="247"/>
    </row>
    <row r="515">
      <c r="B515" s="247"/>
      <c r="C515" s="247"/>
      <c r="D515" s="247"/>
      <c r="E515" s="247"/>
      <c r="F515" s="247"/>
      <c r="G515" s="247"/>
      <c r="H515" s="247"/>
      <c r="I515" s="247"/>
      <c r="J515" s="247"/>
      <c r="K515" s="247"/>
      <c r="L515" s="247"/>
      <c r="M515" s="247"/>
    </row>
    <row r="516">
      <c r="B516" s="247"/>
      <c r="C516" s="247"/>
      <c r="D516" s="247"/>
      <c r="E516" s="247"/>
      <c r="F516" s="247"/>
      <c r="G516" s="247"/>
      <c r="H516" s="247"/>
      <c r="I516" s="247"/>
      <c r="J516" s="247"/>
      <c r="K516" s="247"/>
      <c r="L516" s="247"/>
      <c r="M516" s="247"/>
    </row>
    <row r="517">
      <c r="B517" s="247"/>
      <c r="C517" s="247"/>
      <c r="D517" s="247"/>
      <c r="E517" s="247"/>
      <c r="F517" s="247"/>
      <c r="G517" s="247"/>
      <c r="H517" s="247"/>
      <c r="I517" s="247"/>
      <c r="J517" s="247"/>
      <c r="K517" s="247"/>
      <c r="L517" s="247"/>
      <c r="M517" s="247"/>
    </row>
    <row r="518">
      <c r="B518" s="247"/>
      <c r="C518" s="247"/>
      <c r="D518" s="247"/>
      <c r="E518" s="247"/>
      <c r="F518" s="247"/>
      <c r="G518" s="247"/>
      <c r="H518" s="247"/>
      <c r="I518" s="247"/>
      <c r="J518" s="247"/>
      <c r="K518" s="247"/>
      <c r="L518" s="247"/>
      <c r="M518" s="247"/>
    </row>
    <row r="519">
      <c r="B519" s="247"/>
      <c r="C519" s="247"/>
      <c r="D519" s="247"/>
      <c r="E519" s="247"/>
      <c r="F519" s="247"/>
      <c r="G519" s="247"/>
      <c r="H519" s="247"/>
      <c r="I519" s="247"/>
      <c r="J519" s="247"/>
      <c r="K519" s="247"/>
      <c r="L519" s="247"/>
      <c r="M519" s="247"/>
    </row>
    <row r="520">
      <c r="B520" s="247"/>
      <c r="C520" s="247"/>
      <c r="D520" s="247"/>
      <c r="E520" s="247"/>
      <c r="F520" s="247"/>
      <c r="G520" s="247"/>
      <c r="H520" s="247"/>
      <c r="I520" s="247"/>
      <c r="J520" s="247"/>
      <c r="K520" s="247"/>
      <c r="L520" s="247"/>
      <c r="M520" s="247"/>
    </row>
    <row r="521">
      <c r="B521" s="247"/>
      <c r="C521" s="247"/>
      <c r="D521" s="247"/>
      <c r="E521" s="247"/>
      <c r="F521" s="247"/>
      <c r="G521" s="247"/>
      <c r="H521" s="247"/>
      <c r="I521" s="247"/>
      <c r="J521" s="247"/>
      <c r="K521" s="247"/>
      <c r="L521" s="247"/>
      <c r="M521" s="247"/>
    </row>
    <row r="522">
      <c r="B522" s="247"/>
      <c r="C522" s="247"/>
      <c r="D522" s="247"/>
      <c r="E522" s="247"/>
      <c r="F522" s="247"/>
      <c r="G522" s="247"/>
      <c r="H522" s="247"/>
      <c r="I522" s="247"/>
      <c r="J522" s="247"/>
      <c r="K522" s="247"/>
      <c r="L522" s="247"/>
      <c r="M522" s="247"/>
    </row>
    <row r="523">
      <c r="B523" s="247"/>
      <c r="C523" s="247"/>
      <c r="D523" s="247"/>
      <c r="E523" s="247"/>
      <c r="F523" s="247"/>
      <c r="G523" s="247"/>
      <c r="H523" s="247"/>
      <c r="I523" s="247"/>
      <c r="J523" s="247"/>
      <c r="K523" s="247"/>
      <c r="L523" s="247"/>
      <c r="M523" s="247"/>
    </row>
    <row r="524">
      <c r="B524" s="247"/>
      <c r="C524" s="247"/>
      <c r="D524" s="247"/>
      <c r="E524" s="247"/>
      <c r="F524" s="247"/>
      <c r="G524" s="247"/>
      <c r="H524" s="247"/>
      <c r="I524" s="247"/>
      <c r="J524" s="247"/>
      <c r="K524" s="247"/>
      <c r="L524" s="247"/>
      <c r="M524" s="247"/>
    </row>
    <row r="525">
      <c r="B525" s="247"/>
      <c r="C525" s="247"/>
      <c r="D525" s="247"/>
      <c r="E525" s="247"/>
      <c r="F525" s="247"/>
      <c r="G525" s="247"/>
      <c r="H525" s="247"/>
      <c r="I525" s="247"/>
      <c r="J525" s="247"/>
      <c r="K525" s="247"/>
      <c r="L525" s="247"/>
      <c r="M525" s="247"/>
    </row>
    <row r="526">
      <c r="B526" s="247"/>
      <c r="C526" s="247"/>
      <c r="D526" s="247"/>
      <c r="E526" s="247"/>
      <c r="F526" s="247"/>
      <c r="G526" s="247"/>
      <c r="H526" s="247"/>
      <c r="I526" s="247"/>
      <c r="J526" s="247"/>
      <c r="K526" s="247"/>
      <c r="L526" s="247"/>
      <c r="M526" s="247"/>
    </row>
    <row r="527">
      <c r="B527" s="247"/>
      <c r="C527" s="247"/>
      <c r="D527" s="247"/>
      <c r="E527" s="247"/>
      <c r="F527" s="247"/>
      <c r="G527" s="247"/>
      <c r="H527" s="247"/>
      <c r="I527" s="247"/>
      <c r="J527" s="247"/>
      <c r="K527" s="247"/>
      <c r="L527" s="247"/>
      <c r="M527" s="247"/>
    </row>
    <row r="528">
      <c r="B528" s="247"/>
      <c r="C528" s="247"/>
      <c r="D528" s="247"/>
      <c r="E528" s="247"/>
      <c r="F528" s="247"/>
      <c r="G528" s="247"/>
      <c r="H528" s="247"/>
      <c r="I528" s="247"/>
      <c r="J528" s="247"/>
      <c r="K528" s="247"/>
      <c r="L528" s="247"/>
      <c r="M528" s="247"/>
    </row>
    <row r="529">
      <c r="B529" s="247"/>
      <c r="C529" s="247"/>
      <c r="D529" s="247"/>
      <c r="E529" s="247"/>
      <c r="F529" s="247"/>
      <c r="G529" s="247"/>
      <c r="H529" s="247"/>
      <c r="I529" s="247"/>
      <c r="J529" s="247"/>
      <c r="K529" s="247"/>
      <c r="L529" s="247"/>
      <c r="M529" s="247"/>
    </row>
    <row r="530">
      <c r="B530" s="247"/>
      <c r="C530" s="247"/>
      <c r="D530" s="247"/>
      <c r="E530" s="247"/>
      <c r="F530" s="247"/>
      <c r="G530" s="247"/>
      <c r="H530" s="247"/>
      <c r="I530" s="247"/>
      <c r="J530" s="247"/>
      <c r="K530" s="247"/>
      <c r="L530" s="247"/>
      <c r="M530" s="247"/>
    </row>
    <row r="531">
      <c r="B531" s="247"/>
      <c r="C531" s="247"/>
      <c r="D531" s="247"/>
      <c r="E531" s="247"/>
      <c r="F531" s="247"/>
      <c r="G531" s="247"/>
      <c r="H531" s="247"/>
      <c r="I531" s="247"/>
      <c r="J531" s="247"/>
      <c r="K531" s="247"/>
      <c r="L531" s="247"/>
      <c r="M531" s="247"/>
    </row>
    <row r="532">
      <c r="B532" s="247"/>
      <c r="C532" s="247"/>
      <c r="D532" s="247"/>
      <c r="E532" s="247"/>
      <c r="F532" s="247"/>
      <c r="G532" s="247"/>
      <c r="H532" s="247"/>
      <c r="I532" s="247"/>
      <c r="J532" s="247"/>
      <c r="K532" s="247"/>
      <c r="L532" s="247"/>
      <c r="M532" s="247"/>
    </row>
    <row r="533">
      <c r="B533" s="247"/>
      <c r="C533" s="247"/>
      <c r="D533" s="247"/>
      <c r="E533" s="247"/>
      <c r="F533" s="247"/>
      <c r="G533" s="247"/>
      <c r="H533" s="247"/>
      <c r="I533" s="247"/>
      <c r="J533" s="247"/>
      <c r="K533" s="247"/>
      <c r="L533" s="247"/>
      <c r="M533" s="247"/>
    </row>
    <row r="534">
      <c r="B534" s="247"/>
      <c r="C534" s="247"/>
      <c r="D534" s="247"/>
      <c r="E534" s="247"/>
      <c r="F534" s="247"/>
      <c r="G534" s="247"/>
      <c r="H534" s="247"/>
      <c r="I534" s="247"/>
      <c r="J534" s="247"/>
      <c r="K534" s="247"/>
      <c r="L534" s="247"/>
      <c r="M534" s="247"/>
    </row>
    <row r="535">
      <c r="B535" s="247"/>
      <c r="C535" s="247"/>
      <c r="D535" s="247"/>
      <c r="E535" s="247"/>
      <c r="F535" s="247"/>
      <c r="G535" s="247"/>
      <c r="H535" s="247"/>
      <c r="I535" s="247"/>
      <c r="J535" s="247"/>
      <c r="K535" s="247"/>
      <c r="L535" s="247"/>
      <c r="M535" s="247"/>
    </row>
    <row r="536">
      <c r="B536" s="247"/>
      <c r="C536" s="247"/>
      <c r="D536" s="247"/>
      <c r="E536" s="247"/>
      <c r="F536" s="247"/>
      <c r="G536" s="247"/>
      <c r="H536" s="247"/>
      <c r="I536" s="247"/>
      <c r="J536" s="247"/>
      <c r="K536" s="247"/>
      <c r="L536" s="247"/>
      <c r="M536" s="247"/>
    </row>
    <row r="537">
      <c r="B537" s="247"/>
      <c r="C537" s="247"/>
      <c r="D537" s="247"/>
      <c r="E537" s="247"/>
      <c r="F537" s="247"/>
      <c r="G537" s="247"/>
      <c r="H537" s="247"/>
      <c r="I537" s="247"/>
      <c r="J537" s="247"/>
      <c r="K537" s="247"/>
      <c r="L537" s="247"/>
      <c r="M537" s="247"/>
    </row>
    <row r="538">
      <c r="B538" s="247"/>
      <c r="C538" s="247"/>
      <c r="D538" s="247"/>
      <c r="E538" s="247"/>
      <c r="F538" s="247"/>
      <c r="G538" s="247"/>
      <c r="H538" s="247"/>
      <c r="I538" s="247"/>
      <c r="J538" s="247"/>
      <c r="K538" s="247"/>
      <c r="L538" s="247"/>
      <c r="M538" s="247"/>
    </row>
    <row r="539">
      <c r="B539" s="247"/>
      <c r="C539" s="247"/>
      <c r="D539" s="247"/>
      <c r="E539" s="247"/>
      <c r="F539" s="247"/>
      <c r="G539" s="247"/>
      <c r="H539" s="247"/>
      <c r="I539" s="247"/>
      <c r="J539" s="247"/>
      <c r="K539" s="247"/>
      <c r="L539" s="247"/>
      <c r="M539" s="247"/>
    </row>
    <row r="540">
      <c r="B540" s="247"/>
      <c r="C540" s="247"/>
      <c r="D540" s="247"/>
      <c r="E540" s="247"/>
      <c r="F540" s="247"/>
      <c r="G540" s="247"/>
      <c r="H540" s="247"/>
      <c r="I540" s="247"/>
      <c r="J540" s="247"/>
      <c r="K540" s="247"/>
      <c r="L540" s="247"/>
      <c r="M540" s="247"/>
    </row>
    <row r="541">
      <c r="B541" s="247"/>
      <c r="C541" s="247"/>
      <c r="D541" s="247"/>
      <c r="E541" s="247"/>
      <c r="F541" s="247"/>
      <c r="G541" s="247"/>
      <c r="H541" s="247"/>
      <c r="I541" s="247"/>
      <c r="J541" s="247"/>
      <c r="K541" s="247"/>
      <c r="L541" s="247"/>
      <c r="M541" s="247"/>
    </row>
    <row r="542">
      <c r="B542" s="247"/>
      <c r="C542" s="247"/>
      <c r="D542" s="247"/>
      <c r="E542" s="247"/>
      <c r="F542" s="247"/>
      <c r="G542" s="247"/>
      <c r="H542" s="247"/>
      <c r="I542" s="247"/>
      <c r="J542" s="247"/>
      <c r="K542" s="247"/>
      <c r="L542" s="247"/>
      <c r="M542" s="247"/>
    </row>
    <row r="543">
      <c r="B543" s="247"/>
      <c r="C543" s="247"/>
      <c r="D543" s="247"/>
      <c r="E543" s="247"/>
      <c r="F543" s="247"/>
      <c r="G543" s="247"/>
      <c r="H543" s="247"/>
      <c r="I543" s="247"/>
      <c r="J543" s="247"/>
      <c r="K543" s="247"/>
      <c r="L543" s="247"/>
      <c r="M543" s="247"/>
    </row>
    <row r="544">
      <c r="B544" s="247"/>
      <c r="C544" s="247"/>
      <c r="D544" s="247"/>
      <c r="E544" s="247"/>
      <c r="F544" s="247"/>
      <c r="G544" s="247"/>
      <c r="H544" s="247"/>
      <c r="I544" s="247"/>
      <c r="J544" s="247"/>
      <c r="K544" s="247"/>
      <c r="L544" s="247"/>
      <c r="M544" s="247"/>
    </row>
    <row r="545">
      <c r="B545" s="247"/>
      <c r="C545" s="247"/>
      <c r="D545" s="247"/>
      <c r="E545" s="247"/>
      <c r="F545" s="247"/>
      <c r="G545" s="247"/>
      <c r="H545" s="247"/>
      <c r="I545" s="247"/>
      <c r="J545" s="247"/>
      <c r="K545" s="247"/>
      <c r="L545" s="247"/>
      <c r="M545" s="247"/>
    </row>
    <row r="546">
      <c r="B546" s="247"/>
      <c r="C546" s="247"/>
      <c r="D546" s="247"/>
      <c r="E546" s="247"/>
      <c r="F546" s="247"/>
      <c r="G546" s="247"/>
      <c r="H546" s="247"/>
      <c r="I546" s="247"/>
      <c r="J546" s="247"/>
      <c r="K546" s="247"/>
      <c r="L546" s="247"/>
      <c r="M546" s="247"/>
    </row>
    <row r="547">
      <c r="B547" s="247"/>
      <c r="C547" s="247"/>
      <c r="D547" s="247"/>
      <c r="E547" s="247"/>
      <c r="F547" s="247"/>
      <c r="G547" s="247"/>
      <c r="H547" s="247"/>
      <c r="I547" s="247"/>
      <c r="J547" s="247"/>
      <c r="K547" s="247"/>
      <c r="L547" s="247"/>
      <c r="M547" s="247"/>
    </row>
    <row r="548">
      <c r="B548" s="247"/>
      <c r="C548" s="247"/>
      <c r="D548" s="247"/>
      <c r="E548" s="247"/>
      <c r="F548" s="247"/>
      <c r="G548" s="247"/>
      <c r="H548" s="247"/>
      <c r="I548" s="247"/>
      <c r="J548" s="247"/>
      <c r="K548" s="247"/>
      <c r="L548" s="247"/>
      <c r="M548" s="247"/>
    </row>
    <row r="549">
      <c r="B549" s="247"/>
      <c r="C549" s="247"/>
      <c r="D549" s="247"/>
      <c r="E549" s="247"/>
      <c r="F549" s="247"/>
      <c r="G549" s="247"/>
      <c r="H549" s="247"/>
      <c r="I549" s="247"/>
      <c r="J549" s="247"/>
      <c r="K549" s="247"/>
      <c r="L549" s="247"/>
      <c r="M549" s="247"/>
    </row>
    <row r="550">
      <c r="B550" s="247"/>
      <c r="C550" s="247"/>
      <c r="D550" s="247"/>
      <c r="E550" s="247"/>
      <c r="F550" s="247"/>
      <c r="G550" s="247"/>
      <c r="H550" s="247"/>
      <c r="I550" s="247"/>
      <c r="J550" s="247"/>
      <c r="K550" s="247"/>
      <c r="L550" s="247"/>
      <c r="M550" s="247"/>
    </row>
    <row r="551">
      <c r="B551" s="247"/>
      <c r="C551" s="247"/>
      <c r="D551" s="247"/>
      <c r="E551" s="247"/>
      <c r="F551" s="247"/>
      <c r="G551" s="247"/>
      <c r="H551" s="247"/>
      <c r="I551" s="247"/>
      <c r="J551" s="247"/>
      <c r="K551" s="247"/>
      <c r="L551" s="247"/>
      <c r="M551" s="247"/>
    </row>
    <row r="552">
      <c r="B552" s="247"/>
      <c r="C552" s="247"/>
      <c r="D552" s="247"/>
      <c r="E552" s="247"/>
      <c r="F552" s="247"/>
      <c r="G552" s="247"/>
      <c r="H552" s="247"/>
      <c r="I552" s="247"/>
      <c r="J552" s="247"/>
      <c r="K552" s="247"/>
      <c r="L552" s="247"/>
      <c r="M552" s="247"/>
    </row>
    <row r="553">
      <c r="B553" s="247"/>
      <c r="C553" s="247"/>
      <c r="D553" s="247"/>
      <c r="E553" s="247"/>
      <c r="F553" s="247"/>
      <c r="G553" s="247"/>
      <c r="H553" s="247"/>
      <c r="I553" s="247"/>
      <c r="J553" s="247"/>
      <c r="K553" s="247"/>
      <c r="L553" s="247"/>
      <c r="M553" s="247"/>
    </row>
    <row r="554">
      <c r="B554" s="247"/>
      <c r="C554" s="247"/>
      <c r="D554" s="247"/>
      <c r="E554" s="247"/>
      <c r="F554" s="247"/>
      <c r="G554" s="247"/>
      <c r="H554" s="247"/>
      <c r="I554" s="247"/>
      <c r="J554" s="247"/>
      <c r="K554" s="247"/>
      <c r="L554" s="247"/>
      <c r="M554" s="247"/>
    </row>
    <row r="555">
      <c r="B555" s="247"/>
      <c r="C555" s="247"/>
      <c r="D555" s="247"/>
      <c r="E555" s="247"/>
      <c r="F555" s="247"/>
      <c r="G555" s="247"/>
      <c r="H555" s="247"/>
      <c r="I555" s="247"/>
      <c r="J555" s="247"/>
      <c r="K555" s="247"/>
      <c r="L555" s="247"/>
      <c r="M555" s="247"/>
    </row>
    <row r="556">
      <c r="B556" s="247"/>
      <c r="C556" s="247"/>
      <c r="D556" s="247"/>
      <c r="E556" s="247"/>
      <c r="F556" s="247"/>
      <c r="G556" s="247"/>
      <c r="H556" s="247"/>
      <c r="I556" s="247"/>
      <c r="J556" s="247"/>
      <c r="K556" s="247"/>
      <c r="L556" s="247"/>
      <c r="M556" s="247"/>
    </row>
    <row r="557">
      <c r="B557" s="247"/>
      <c r="C557" s="247"/>
      <c r="D557" s="247"/>
      <c r="E557" s="247"/>
      <c r="F557" s="247"/>
      <c r="G557" s="247"/>
      <c r="H557" s="247"/>
      <c r="I557" s="247"/>
      <c r="J557" s="247"/>
      <c r="K557" s="247"/>
      <c r="L557" s="247"/>
      <c r="M557" s="247"/>
    </row>
    <row r="558">
      <c r="B558" s="247"/>
      <c r="C558" s="247"/>
      <c r="D558" s="247"/>
      <c r="E558" s="247"/>
      <c r="F558" s="247"/>
      <c r="G558" s="247"/>
      <c r="H558" s="247"/>
      <c r="I558" s="247"/>
      <c r="J558" s="247"/>
      <c r="K558" s="247"/>
      <c r="L558" s="247"/>
      <c r="M558" s="247"/>
    </row>
    <row r="559">
      <c r="B559" s="247"/>
      <c r="C559" s="247"/>
      <c r="D559" s="247"/>
      <c r="E559" s="247"/>
      <c r="F559" s="247"/>
      <c r="G559" s="247"/>
      <c r="H559" s="247"/>
      <c r="I559" s="247"/>
      <c r="J559" s="247"/>
      <c r="K559" s="247"/>
      <c r="L559" s="247"/>
      <c r="M559" s="247"/>
    </row>
    <row r="560">
      <c r="B560" s="247"/>
      <c r="C560" s="247"/>
      <c r="D560" s="247"/>
      <c r="E560" s="247"/>
      <c r="F560" s="247"/>
      <c r="G560" s="247"/>
      <c r="H560" s="247"/>
      <c r="I560" s="247"/>
      <c r="J560" s="247"/>
      <c r="K560" s="247"/>
      <c r="L560" s="247"/>
      <c r="M560" s="247"/>
    </row>
    <row r="561">
      <c r="B561" s="247"/>
      <c r="C561" s="247"/>
      <c r="D561" s="247"/>
      <c r="E561" s="247"/>
      <c r="F561" s="247"/>
      <c r="G561" s="247"/>
      <c r="H561" s="247"/>
      <c r="I561" s="247"/>
      <c r="J561" s="247"/>
      <c r="K561" s="247"/>
      <c r="L561" s="247"/>
      <c r="M561" s="247"/>
    </row>
    <row r="562">
      <c r="B562" s="247"/>
      <c r="C562" s="247"/>
      <c r="D562" s="247"/>
      <c r="E562" s="247"/>
      <c r="F562" s="247"/>
      <c r="G562" s="247"/>
      <c r="H562" s="247"/>
      <c r="I562" s="247"/>
      <c r="J562" s="247"/>
      <c r="K562" s="247"/>
      <c r="L562" s="247"/>
      <c r="M562" s="247"/>
    </row>
    <row r="563">
      <c r="B563" s="247"/>
      <c r="C563" s="247"/>
      <c r="D563" s="247"/>
      <c r="E563" s="247"/>
      <c r="F563" s="247"/>
      <c r="G563" s="247"/>
      <c r="H563" s="247"/>
      <c r="I563" s="247"/>
      <c r="J563" s="247"/>
      <c r="K563" s="247"/>
      <c r="L563" s="247"/>
      <c r="M563" s="247"/>
    </row>
    <row r="564">
      <c r="B564" s="247"/>
      <c r="C564" s="247"/>
      <c r="D564" s="247"/>
      <c r="E564" s="247"/>
      <c r="F564" s="247"/>
      <c r="G564" s="247"/>
      <c r="H564" s="247"/>
      <c r="I564" s="247"/>
      <c r="J564" s="247"/>
      <c r="K564" s="247"/>
      <c r="L564" s="247"/>
      <c r="M564" s="247"/>
    </row>
    <row r="565">
      <c r="B565" s="247"/>
      <c r="C565" s="247"/>
      <c r="D565" s="247"/>
      <c r="E565" s="247"/>
      <c r="F565" s="247"/>
      <c r="G565" s="247"/>
      <c r="H565" s="247"/>
      <c r="I565" s="247"/>
      <c r="J565" s="247"/>
      <c r="K565" s="247"/>
      <c r="L565" s="247"/>
      <c r="M565" s="247"/>
    </row>
    <row r="566">
      <c r="B566" s="247"/>
      <c r="C566" s="247"/>
      <c r="D566" s="247"/>
      <c r="E566" s="247"/>
      <c r="F566" s="247"/>
      <c r="G566" s="247"/>
      <c r="H566" s="247"/>
      <c r="I566" s="247"/>
      <c r="J566" s="247"/>
      <c r="K566" s="247"/>
      <c r="L566" s="247"/>
      <c r="M566" s="247"/>
    </row>
    <row r="567">
      <c r="B567" s="247"/>
      <c r="C567" s="247"/>
      <c r="D567" s="247"/>
      <c r="E567" s="247"/>
      <c r="F567" s="247"/>
      <c r="G567" s="247"/>
      <c r="H567" s="247"/>
      <c r="I567" s="247"/>
      <c r="J567" s="247"/>
      <c r="K567" s="247"/>
      <c r="L567" s="247"/>
      <c r="M567" s="247"/>
    </row>
    <row r="568">
      <c r="B568" s="247"/>
      <c r="C568" s="247"/>
      <c r="D568" s="247"/>
      <c r="E568" s="247"/>
      <c r="F568" s="247"/>
      <c r="G568" s="247"/>
      <c r="H568" s="247"/>
      <c r="I568" s="247"/>
      <c r="J568" s="247"/>
      <c r="K568" s="247"/>
      <c r="L568" s="247"/>
      <c r="M568" s="247"/>
    </row>
    <row r="569">
      <c r="B569" s="247"/>
      <c r="C569" s="247"/>
      <c r="D569" s="247"/>
      <c r="E569" s="247"/>
      <c r="F569" s="247"/>
      <c r="G569" s="247"/>
      <c r="H569" s="247"/>
      <c r="I569" s="247"/>
      <c r="J569" s="247"/>
      <c r="K569" s="247"/>
      <c r="L569" s="247"/>
      <c r="M569" s="247"/>
    </row>
    <row r="570">
      <c r="B570" s="247"/>
      <c r="C570" s="247"/>
      <c r="D570" s="247"/>
      <c r="E570" s="247"/>
      <c r="F570" s="247"/>
      <c r="G570" s="247"/>
      <c r="H570" s="247"/>
      <c r="I570" s="247"/>
      <c r="J570" s="247"/>
      <c r="K570" s="247"/>
      <c r="L570" s="247"/>
      <c r="M570" s="247"/>
    </row>
    <row r="571">
      <c r="B571" s="247"/>
      <c r="C571" s="247"/>
      <c r="D571" s="247"/>
      <c r="E571" s="247"/>
      <c r="F571" s="247"/>
      <c r="G571" s="247"/>
      <c r="H571" s="247"/>
      <c r="I571" s="247"/>
      <c r="J571" s="247"/>
      <c r="K571" s="247"/>
      <c r="L571" s="247"/>
      <c r="M571" s="247"/>
    </row>
    <row r="572">
      <c r="B572" s="247"/>
      <c r="C572" s="247"/>
      <c r="D572" s="247"/>
      <c r="E572" s="247"/>
      <c r="F572" s="247"/>
      <c r="G572" s="247"/>
      <c r="H572" s="247"/>
      <c r="I572" s="247"/>
      <c r="J572" s="247"/>
      <c r="K572" s="247"/>
      <c r="L572" s="247"/>
      <c r="M572" s="247"/>
    </row>
    <row r="573">
      <c r="B573" s="247"/>
      <c r="C573" s="247"/>
      <c r="D573" s="247"/>
      <c r="E573" s="247"/>
      <c r="F573" s="247"/>
      <c r="G573" s="247"/>
      <c r="H573" s="247"/>
      <c r="I573" s="247"/>
      <c r="J573" s="247"/>
      <c r="K573" s="247"/>
      <c r="L573" s="247"/>
      <c r="M573" s="247"/>
    </row>
    <row r="574">
      <c r="B574" s="247"/>
      <c r="C574" s="247"/>
      <c r="D574" s="247"/>
      <c r="E574" s="247"/>
      <c r="F574" s="247"/>
      <c r="G574" s="247"/>
      <c r="H574" s="247"/>
      <c r="I574" s="247"/>
      <c r="J574" s="247"/>
      <c r="K574" s="247"/>
      <c r="L574" s="247"/>
      <c r="M574" s="247"/>
    </row>
    <row r="575">
      <c r="B575" s="247"/>
      <c r="C575" s="247"/>
      <c r="D575" s="247"/>
      <c r="E575" s="247"/>
      <c r="F575" s="247"/>
      <c r="G575" s="247"/>
      <c r="H575" s="247"/>
      <c r="I575" s="247"/>
      <c r="J575" s="247"/>
      <c r="K575" s="247"/>
      <c r="L575" s="247"/>
      <c r="M575" s="247"/>
    </row>
    <row r="576">
      <c r="B576" s="247"/>
      <c r="C576" s="247"/>
      <c r="D576" s="247"/>
      <c r="E576" s="247"/>
      <c r="F576" s="247"/>
      <c r="G576" s="247"/>
      <c r="H576" s="247"/>
      <c r="I576" s="247"/>
      <c r="J576" s="247"/>
      <c r="K576" s="247"/>
      <c r="L576" s="247"/>
      <c r="M576" s="247"/>
    </row>
    <row r="577">
      <c r="B577" s="247"/>
      <c r="C577" s="247"/>
      <c r="D577" s="247"/>
      <c r="E577" s="247"/>
      <c r="F577" s="247"/>
      <c r="G577" s="247"/>
      <c r="H577" s="247"/>
      <c r="I577" s="247"/>
      <c r="J577" s="247"/>
      <c r="K577" s="247"/>
      <c r="L577" s="247"/>
      <c r="M577" s="247"/>
    </row>
    <row r="578">
      <c r="B578" s="247"/>
      <c r="C578" s="247"/>
      <c r="D578" s="247"/>
      <c r="E578" s="247"/>
      <c r="F578" s="247"/>
      <c r="G578" s="247"/>
      <c r="H578" s="247"/>
      <c r="I578" s="247"/>
      <c r="J578" s="247"/>
      <c r="K578" s="247"/>
      <c r="L578" s="247"/>
      <c r="M578" s="247"/>
    </row>
    <row r="579">
      <c r="B579" s="247"/>
      <c r="C579" s="247"/>
      <c r="D579" s="247"/>
      <c r="E579" s="247"/>
      <c r="F579" s="247"/>
      <c r="G579" s="247"/>
      <c r="H579" s="247"/>
      <c r="I579" s="247"/>
      <c r="J579" s="247"/>
      <c r="K579" s="247"/>
      <c r="L579" s="247"/>
      <c r="M579" s="247"/>
    </row>
    <row r="580">
      <c r="B580" s="247"/>
      <c r="C580" s="247"/>
      <c r="D580" s="247"/>
      <c r="E580" s="247"/>
      <c r="F580" s="247"/>
      <c r="G580" s="247"/>
      <c r="H580" s="247"/>
      <c r="I580" s="247"/>
      <c r="J580" s="247"/>
      <c r="K580" s="247"/>
      <c r="L580" s="247"/>
      <c r="M580" s="247"/>
    </row>
    <row r="581">
      <c r="B581" s="247"/>
      <c r="C581" s="247"/>
      <c r="D581" s="247"/>
      <c r="E581" s="247"/>
      <c r="F581" s="247"/>
      <c r="G581" s="247"/>
      <c r="H581" s="247"/>
      <c r="I581" s="247"/>
      <c r="J581" s="247"/>
      <c r="K581" s="247"/>
      <c r="L581" s="247"/>
      <c r="M581" s="247"/>
    </row>
    <row r="582">
      <c r="B582" s="247"/>
      <c r="C582" s="247"/>
      <c r="D582" s="247"/>
      <c r="E582" s="247"/>
      <c r="F582" s="247"/>
      <c r="G582" s="247"/>
      <c r="H582" s="247"/>
      <c r="I582" s="247"/>
      <c r="J582" s="247"/>
      <c r="K582" s="247"/>
      <c r="L582" s="247"/>
      <c r="M582" s="247"/>
    </row>
    <row r="583">
      <c r="B583" s="247"/>
      <c r="C583" s="247"/>
      <c r="D583" s="247"/>
      <c r="E583" s="247"/>
      <c r="F583" s="247"/>
      <c r="G583" s="247"/>
      <c r="H583" s="247"/>
      <c r="I583" s="247"/>
      <c r="J583" s="247"/>
      <c r="K583" s="247"/>
      <c r="L583" s="247"/>
      <c r="M583" s="247"/>
    </row>
    <row r="584">
      <c r="B584" s="247"/>
      <c r="C584" s="247"/>
      <c r="D584" s="247"/>
      <c r="E584" s="247"/>
      <c r="F584" s="247"/>
      <c r="G584" s="247"/>
      <c r="H584" s="247"/>
      <c r="I584" s="247"/>
      <c r="J584" s="247"/>
      <c r="K584" s="247"/>
      <c r="L584" s="247"/>
      <c r="M584" s="247"/>
    </row>
    <row r="585">
      <c r="B585" s="247"/>
      <c r="C585" s="247"/>
      <c r="D585" s="247"/>
      <c r="E585" s="247"/>
      <c r="F585" s="247"/>
      <c r="G585" s="247"/>
      <c r="H585" s="247"/>
      <c r="I585" s="247"/>
      <c r="J585" s="247"/>
      <c r="K585" s="247"/>
      <c r="L585" s="247"/>
      <c r="M585" s="247"/>
    </row>
    <row r="586">
      <c r="B586" s="247"/>
      <c r="C586" s="247"/>
      <c r="D586" s="247"/>
      <c r="E586" s="247"/>
      <c r="F586" s="247"/>
      <c r="G586" s="247"/>
      <c r="H586" s="247"/>
      <c r="I586" s="247"/>
      <c r="J586" s="247"/>
      <c r="K586" s="247"/>
      <c r="L586" s="247"/>
      <c r="M586" s="247"/>
    </row>
    <row r="587">
      <c r="B587" s="247"/>
      <c r="C587" s="247"/>
      <c r="D587" s="247"/>
      <c r="E587" s="247"/>
      <c r="F587" s="247"/>
      <c r="G587" s="247"/>
      <c r="H587" s="247"/>
      <c r="I587" s="247"/>
      <c r="J587" s="247"/>
      <c r="K587" s="247"/>
      <c r="L587" s="247"/>
      <c r="M587" s="247"/>
    </row>
    <row r="588">
      <c r="B588" s="247"/>
      <c r="C588" s="247"/>
      <c r="D588" s="247"/>
      <c r="E588" s="247"/>
      <c r="F588" s="247"/>
      <c r="G588" s="247"/>
      <c r="H588" s="247"/>
      <c r="I588" s="247"/>
      <c r="J588" s="247"/>
      <c r="K588" s="247"/>
      <c r="L588" s="247"/>
      <c r="M588" s="247"/>
    </row>
    <row r="589">
      <c r="B589" s="247"/>
      <c r="C589" s="247"/>
      <c r="D589" s="247"/>
      <c r="E589" s="247"/>
      <c r="F589" s="247"/>
      <c r="G589" s="247"/>
      <c r="H589" s="247"/>
      <c r="I589" s="247"/>
      <c r="J589" s="247"/>
      <c r="K589" s="247"/>
      <c r="L589" s="247"/>
      <c r="M589" s="247"/>
    </row>
    <row r="590">
      <c r="B590" s="247"/>
      <c r="C590" s="247"/>
      <c r="D590" s="247"/>
      <c r="E590" s="247"/>
      <c r="F590" s="247"/>
      <c r="G590" s="247"/>
      <c r="H590" s="247"/>
      <c r="I590" s="247"/>
      <c r="J590" s="247"/>
      <c r="K590" s="247"/>
      <c r="L590" s="247"/>
      <c r="M590" s="247"/>
    </row>
    <row r="591">
      <c r="B591" s="247"/>
      <c r="C591" s="247"/>
      <c r="D591" s="247"/>
      <c r="E591" s="247"/>
      <c r="F591" s="247"/>
      <c r="G591" s="247"/>
      <c r="H591" s="247"/>
      <c r="I591" s="247"/>
      <c r="J591" s="247"/>
      <c r="K591" s="247"/>
      <c r="L591" s="247"/>
      <c r="M591" s="247"/>
    </row>
    <row r="592">
      <c r="B592" s="247"/>
      <c r="C592" s="247"/>
      <c r="D592" s="247"/>
      <c r="E592" s="247"/>
      <c r="F592" s="247"/>
      <c r="G592" s="247"/>
      <c r="H592" s="247"/>
      <c r="I592" s="247"/>
      <c r="J592" s="247"/>
      <c r="K592" s="247"/>
      <c r="L592" s="247"/>
      <c r="M592" s="247"/>
    </row>
    <row r="593">
      <c r="B593" s="247"/>
      <c r="C593" s="247"/>
      <c r="D593" s="247"/>
      <c r="E593" s="247"/>
      <c r="F593" s="247"/>
      <c r="G593" s="247"/>
      <c r="H593" s="247"/>
      <c r="I593" s="247"/>
      <c r="J593" s="247"/>
      <c r="K593" s="247"/>
      <c r="L593" s="247"/>
      <c r="M593" s="247"/>
    </row>
    <row r="594">
      <c r="B594" s="247"/>
      <c r="C594" s="247"/>
      <c r="D594" s="247"/>
      <c r="E594" s="247"/>
      <c r="F594" s="247"/>
      <c r="G594" s="247"/>
      <c r="H594" s="247"/>
      <c r="I594" s="247"/>
      <c r="J594" s="247"/>
      <c r="K594" s="247"/>
      <c r="L594" s="247"/>
      <c r="M594" s="247"/>
    </row>
    <row r="595">
      <c r="B595" s="247"/>
      <c r="C595" s="247"/>
      <c r="D595" s="247"/>
      <c r="E595" s="247"/>
      <c r="F595" s="247"/>
      <c r="G595" s="247"/>
      <c r="H595" s="247"/>
      <c r="I595" s="247"/>
      <c r="J595" s="247"/>
      <c r="K595" s="247"/>
      <c r="L595" s="247"/>
      <c r="M595" s="247"/>
    </row>
    <row r="596">
      <c r="B596" s="247"/>
      <c r="C596" s="247"/>
      <c r="D596" s="247"/>
      <c r="E596" s="247"/>
      <c r="F596" s="247"/>
      <c r="G596" s="247"/>
      <c r="H596" s="247"/>
      <c r="I596" s="247"/>
      <c r="J596" s="247"/>
      <c r="K596" s="247"/>
      <c r="L596" s="247"/>
      <c r="M596" s="247"/>
    </row>
    <row r="597">
      <c r="B597" s="247"/>
      <c r="C597" s="247"/>
      <c r="D597" s="247"/>
      <c r="E597" s="247"/>
      <c r="F597" s="247"/>
      <c r="G597" s="247"/>
      <c r="H597" s="247"/>
      <c r="I597" s="247"/>
      <c r="J597" s="247"/>
      <c r="K597" s="247"/>
      <c r="L597" s="247"/>
      <c r="M597" s="247"/>
    </row>
    <row r="598">
      <c r="B598" s="247"/>
      <c r="C598" s="247"/>
      <c r="D598" s="247"/>
      <c r="E598" s="247"/>
      <c r="F598" s="247"/>
      <c r="G598" s="247"/>
      <c r="H598" s="247"/>
      <c r="I598" s="247"/>
      <c r="J598" s="247"/>
      <c r="K598" s="247"/>
      <c r="L598" s="247"/>
      <c r="M598" s="247"/>
    </row>
    <row r="599">
      <c r="B599" s="247"/>
      <c r="C599" s="247"/>
      <c r="D599" s="247"/>
      <c r="E599" s="247"/>
      <c r="F599" s="247"/>
      <c r="G599" s="247"/>
      <c r="H599" s="247"/>
      <c r="I599" s="247"/>
      <c r="J599" s="247"/>
      <c r="K599" s="247"/>
      <c r="L599" s="247"/>
      <c r="M599" s="247"/>
    </row>
    <row r="600">
      <c r="B600" s="247"/>
      <c r="C600" s="247"/>
      <c r="D600" s="247"/>
      <c r="E600" s="247"/>
      <c r="F600" s="247"/>
      <c r="G600" s="247"/>
      <c r="H600" s="247"/>
      <c r="I600" s="247"/>
      <c r="J600" s="247"/>
      <c r="K600" s="247"/>
      <c r="L600" s="247"/>
      <c r="M600" s="247"/>
    </row>
    <row r="601">
      <c r="B601" s="247"/>
      <c r="C601" s="247"/>
      <c r="D601" s="247"/>
      <c r="E601" s="247"/>
      <c r="F601" s="247"/>
      <c r="G601" s="247"/>
      <c r="H601" s="247"/>
      <c r="I601" s="247"/>
      <c r="J601" s="247"/>
      <c r="K601" s="247"/>
      <c r="L601" s="247"/>
      <c r="M601" s="247"/>
    </row>
    <row r="602">
      <c r="B602" s="247"/>
      <c r="C602" s="247"/>
      <c r="D602" s="247"/>
      <c r="E602" s="247"/>
      <c r="F602" s="247"/>
      <c r="G602" s="247"/>
      <c r="H602" s="247"/>
      <c r="I602" s="247"/>
      <c r="J602" s="247"/>
      <c r="K602" s="247"/>
      <c r="L602" s="247"/>
      <c r="M602" s="247"/>
    </row>
    <row r="603">
      <c r="B603" s="247"/>
      <c r="C603" s="247"/>
      <c r="D603" s="247"/>
      <c r="E603" s="247"/>
      <c r="F603" s="247"/>
      <c r="G603" s="247"/>
      <c r="H603" s="247"/>
      <c r="I603" s="247"/>
      <c r="J603" s="247"/>
      <c r="K603" s="247"/>
      <c r="L603" s="247"/>
      <c r="M603" s="247"/>
    </row>
    <row r="604">
      <c r="B604" s="247"/>
      <c r="C604" s="247"/>
      <c r="D604" s="247"/>
      <c r="E604" s="247"/>
      <c r="F604" s="247"/>
      <c r="G604" s="247"/>
      <c r="H604" s="247"/>
      <c r="I604" s="247"/>
      <c r="J604" s="247"/>
      <c r="K604" s="247"/>
      <c r="L604" s="247"/>
      <c r="M604" s="247"/>
    </row>
    <row r="605">
      <c r="B605" s="247"/>
      <c r="C605" s="247"/>
      <c r="D605" s="247"/>
      <c r="E605" s="247"/>
      <c r="F605" s="247"/>
      <c r="G605" s="247"/>
      <c r="H605" s="247"/>
      <c r="I605" s="247"/>
      <c r="J605" s="247"/>
      <c r="K605" s="247"/>
      <c r="L605" s="247"/>
      <c r="M605" s="247"/>
    </row>
    <row r="606">
      <c r="B606" s="247"/>
      <c r="C606" s="247"/>
      <c r="D606" s="247"/>
      <c r="E606" s="247"/>
      <c r="F606" s="247"/>
      <c r="G606" s="247"/>
      <c r="H606" s="247"/>
      <c r="I606" s="247"/>
      <c r="J606" s="247"/>
      <c r="K606" s="247"/>
      <c r="L606" s="247"/>
      <c r="M606" s="247"/>
    </row>
    <row r="607">
      <c r="B607" s="247"/>
      <c r="C607" s="247"/>
      <c r="D607" s="247"/>
      <c r="E607" s="247"/>
      <c r="F607" s="247"/>
      <c r="G607" s="247"/>
      <c r="H607" s="247"/>
      <c r="I607" s="247"/>
      <c r="J607" s="247"/>
      <c r="K607" s="247"/>
      <c r="L607" s="247"/>
      <c r="M607" s="247"/>
    </row>
    <row r="608">
      <c r="B608" s="247"/>
      <c r="C608" s="247"/>
      <c r="D608" s="247"/>
      <c r="E608" s="247"/>
      <c r="F608" s="247"/>
      <c r="G608" s="247"/>
      <c r="H608" s="247"/>
      <c r="I608" s="247"/>
      <c r="J608" s="247"/>
      <c r="K608" s="247"/>
      <c r="L608" s="247"/>
      <c r="M608" s="247"/>
    </row>
    <row r="609">
      <c r="B609" s="247"/>
      <c r="C609" s="247"/>
      <c r="D609" s="247"/>
      <c r="E609" s="247"/>
      <c r="F609" s="247"/>
      <c r="G609" s="247"/>
      <c r="H609" s="247"/>
      <c r="I609" s="247"/>
      <c r="J609" s="247"/>
      <c r="K609" s="247"/>
      <c r="L609" s="247"/>
      <c r="M609" s="247"/>
    </row>
    <row r="610">
      <c r="B610" s="247"/>
      <c r="C610" s="247"/>
      <c r="D610" s="247"/>
      <c r="E610" s="247"/>
      <c r="F610" s="247"/>
      <c r="G610" s="247"/>
      <c r="H610" s="247"/>
      <c r="I610" s="247"/>
      <c r="J610" s="247"/>
      <c r="K610" s="247"/>
      <c r="L610" s="247"/>
      <c r="M610" s="247"/>
    </row>
    <row r="611">
      <c r="B611" s="247"/>
      <c r="C611" s="247"/>
      <c r="D611" s="247"/>
      <c r="E611" s="247"/>
      <c r="F611" s="247"/>
      <c r="G611" s="247"/>
      <c r="H611" s="247"/>
      <c r="I611" s="247"/>
      <c r="J611" s="247"/>
      <c r="K611" s="247"/>
      <c r="L611" s="247"/>
      <c r="M611" s="247"/>
    </row>
    <row r="612">
      <c r="B612" s="247"/>
      <c r="C612" s="247"/>
      <c r="D612" s="247"/>
      <c r="E612" s="247"/>
      <c r="F612" s="247"/>
      <c r="G612" s="247"/>
      <c r="H612" s="247"/>
      <c r="I612" s="247"/>
      <c r="J612" s="247"/>
      <c r="K612" s="247"/>
      <c r="L612" s="247"/>
      <c r="M612" s="247"/>
    </row>
    <row r="613">
      <c r="B613" s="247"/>
      <c r="C613" s="247"/>
      <c r="D613" s="247"/>
      <c r="E613" s="247"/>
      <c r="F613" s="247"/>
      <c r="G613" s="247"/>
      <c r="H613" s="247"/>
      <c r="I613" s="247"/>
      <c r="J613" s="247"/>
      <c r="K613" s="247"/>
      <c r="L613" s="247"/>
      <c r="M613" s="247"/>
    </row>
    <row r="614">
      <c r="B614" s="247"/>
      <c r="C614" s="247"/>
      <c r="D614" s="247"/>
      <c r="E614" s="247"/>
      <c r="F614" s="247"/>
      <c r="G614" s="247"/>
      <c r="H614" s="247"/>
      <c r="I614" s="247"/>
      <c r="J614" s="247"/>
      <c r="K614" s="247"/>
      <c r="L614" s="247"/>
      <c r="M614" s="247"/>
    </row>
    <row r="615">
      <c r="B615" s="247"/>
      <c r="C615" s="247"/>
      <c r="D615" s="247"/>
      <c r="E615" s="247"/>
      <c r="F615" s="247"/>
      <c r="G615" s="247"/>
      <c r="H615" s="247"/>
      <c r="I615" s="247"/>
      <c r="J615" s="247"/>
      <c r="K615" s="247"/>
      <c r="L615" s="247"/>
      <c r="M615" s="247"/>
    </row>
    <row r="616">
      <c r="B616" s="247"/>
      <c r="C616" s="247"/>
      <c r="D616" s="247"/>
      <c r="E616" s="247"/>
      <c r="F616" s="247"/>
      <c r="G616" s="247"/>
      <c r="H616" s="247"/>
      <c r="I616" s="247"/>
      <c r="J616" s="247"/>
      <c r="K616" s="247"/>
      <c r="L616" s="247"/>
      <c r="M616" s="247"/>
    </row>
    <row r="617">
      <c r="B617" s="247"/>
      <c r="C617" s="247"/>
      <c r="D617" s="247"/>
      <c r="E617" s="247"/>
      <c r="F617" s="247"/>
      <c r="G617" s="247"/>
      <c r="H617" s="247"/>
      <c r="I617" s="247"/>
      <c r="J617" s="247"/>
      <c r="K617" s="247"/>
      <c r="L617" s="247"/>
      <c r="M617" s="247"/>
    </row>
    <row r="618">
      <c r="B618" s="247"/>
      <c r="C618" s="247"/>
      <c r="D618" s="247"/>
      <c r="E618" s="247"/>
      <c r="F618" s="247"/>
      <c r="G618" s="247"/>
      <c r="H618" s="247"/>
      <c r="I618" s="247"/>
      <c r="J618" s="247"/>
      <c r="K618" s="247"/>
      <c r="L618" s="247"/>
      <c r="M618" s="247"/>
    </row>
    <row r="619">
      <c r="B619" s="247"/>
      <c r="C619" s="247"/>
      <c r="D619" s="247"/>
      <c r="E619" s="247"/>
      <c r="F619" s="247"/>
      <c r="G619" s="247"/>
      <c r="H619" s="247"/>
      <c r="I619" s="247"/>
      <c r="J619" s="247"/>
      <c r="K619" s="247"/>
      <c r="L619" s="247"/>
      <c r="M619" s="247"/>
    </row>
    <row r="620">
      <c r="B620" s="247"/>
      <c r="C620" s="247"/>
      <c r="D620" s="247"/>
      <c r="E620" s="247"/>
      <c r="F620" s="247"/>
      <c r="G620" s="247"/>
      <c r="H620" s="247"/>
      <c r="I620" s="247"/>
      <c r="J620" s="247"/>
      <c r="K620" s="247"/>
      <c r="L620" s="247"/>
      <c r="M620" s="247"/>
    </row>
    <row r="621">
      <c r="B621" s="247"/>
      <c r="C621" s="247"/>
      <c r="D621" s="247"/>
      <c r="E621" s="247"/>
      <c r="F621" s="247"/>
      <c r="G621" s="247"/>
      <c r="H621" s="247"/>
      <c r="I621" s="247"/>
      <c r="J621" s="247"/>
      <c r="K621" s="247"/>
      <c r="L621" s="247"/>
      <c r="M621" s="247"/>
    </row>
    <row r="622">
      <c r="B622" s="247"/>
      <c r="C622" s="247"/>
      <c r="D622" s="247"/>
      <c r="E622" s="247"/>
      <c r="F622" s="247"/>
      <c r="G622" s="247"/>
      <c r="H622" s="247"/>
      <c r="I622" s="247"/>
      <c r="J622" s="247"/>
      <c r="K622" s="247"/>
      <c r="L622" s="247"/>
      <c r="M622" s="247"/>
    </row>
    <row r="623">
      <c r="B623" s="247"/>
      <c r="C623" s="247"/>
      <c r="D623" s="247"/>
      <c r="E623" s="247"/>
      <c r="F623" s="247"/>
      <c r="G623" s="247"/>
      <c r="H623" s="247"/>
      <c r="I623" s="247"/>
      <c r="J623" s="247"/>
      <c r="K623" s="247"/>
      <c r="L623" s="247"/>
      <c r="M623" s="247"/>
    </row>
    <row r="624">
      <c r="B624" s="247"/>
      <c r="C624" s="247"/>
      <c r="D624" s="247"/>
      <c r="E624" s="247"/>
      <c r="F624" s="247"/>
      <c r="G624" s="247"/>
      <c r="H624" s="247"/>
      <c r="I624" s="247"/>
      <c r="J624" s="247"/>
      <c r="K624" s="247"/>
      <c r="L624" s="247"/>
      <c r="M624" s="247"/>
    </row>
    <row r="625">
      <c r="B625" s="247"/>
      <c r="C625" s="247"/>
      <c r="D625" s="247"/>
      <c r="E625" s="247"/>
      <c r="F625" s="247"/>
      <c r="G625" s="247"/>
      <c r="H625" s="247"/>
      <c r="I625" s="247"/>
      <c r="J625" s="247"/>
      <c r="K625" s="247"/>
      <c r="L625" s="247"/>
      <c r="M625" s="247"/>
    </row>
    <row r="626">
      <c r="B626" s="247"/>
      <c r="C626" s="247"/>
      <c r="D626" s="247"/>
      <c r="E626" s="247"/>
      <c r="F626" s="247"/>
      <c r="G626" s="247"/>
      <c r="H626" s="247"/>
      <c r="I626" s="247"/>
      <c r="J626" s="247"/>
      <c r="K626" s="247"/>
      <c r="L626" s="247"/>
      <c r="M626" s="247"/>
    </row>
    <row r="627">
      <c r="B627" s="247"/>
      <c r="C627" s="247"/>
      <c r="D627" s="247"/>
      <c r="E627" s="247"/>
      <c r="F627" s="247"/>
      <c r="G627" s="247"/>
      <c r="H627" s="247"/>
      <c r="I627" s="247"/>
      <c r="J627" s="247"/>
      <c r="K627" s="247"/>
      <c r="L627" s="247"/>
      <c r="M627" s="247"/>
    </row>
    <row r="628">
      <c r="B628" s="247"/>
      <c r="C628" s="247"/>
      <c r="D628" s="247"/>
      <c r="E628" s="247"/>
      <c r="F628" s="247"/>
      <c r="G628" s="247"/>
      <c r="H628" s="247"/>
      <c r="I628" s="247"/>
      <c r="J628" s="247"/>
      <c r="K628" s="247"/>
      <c r="L628" s="247"/>
      <c r="M628" s="247"/>
    </row>
    <row r="629">
      <c r="B629" s="247"/>
      <c r="C629" s="247"/>
      <c r="D629" s="247"/>
      <c r="E629" s="247"/>
      <c r="F629" s="247"/>
      <c r="G629" s="247"/>
      <c r="H629" s="247"/>
      <c r="I629" s="247"/>
      <c r="J629" s="247"/>
      <c r="K629" s="247"/>
      <c r="L629" s="247"/>
      <c r="M629" s="247"/>
    </row>
    <row r="630">
      <c r="B630" s="247"/>
      <c r="C630" s="247"/>
      <c r="D630" s="247"/>
      <c r="E630" s="247"/>
      <c r="F630" s="247"/>
      <c r="G630" s="247"/>
      <c r="H630" s="247"/>
      <c r="I630" s="247"/>
      <c r="J630" s="247"/>
      <c r="K630" s="247"/>
      <c r="L630" s="247"/>
      <c r="M630" s="247"/>
    </row>
    <row r="631">
      <c r="B631" s="247"/>
      <c r="C631" s="247"/>
      <c r="D631" s="247"/>
      <c r="E631" s="247"/>
      <c r="F631" s="247"/>
      <c r="G631" s="247"/>
      <c r="H631" s="247"/>
      <c r="I631" s="247"/>
      <c r="J631" s="247"/>
      <c r="K631" s="247"/>
      <c r="L631" s="247"/>
      <c r="M631" s="247"/>
    </row>
    <row r="632">
      <c r="B632" s="247"/>
      <c r="C632" s="247"/>
      <c r="D632" s="247"/>
      <c r="E632" s="247"/>
      <c r="F632" s="247"/>
      <c r="G632" s="247"/>
      <c r="H632" s="247"/>
      <c r="I632" s="247"/>
      <c r="J632" s="247"/>
      <c r="K632" s="247"/>
      <c r="L632" s="247"/>
      <c r="M632" s="247"/>
    </row>
    <row r="633">
      <c r="B633" s="247"/>
      <c r="C633" s="247"/>
      <c r="D633" s="247"/>
      <c r="E633" s="247"/>
      <c r="F633" s="247"/>
      <c r="G633" s="247"/>
      <c r="H633" s="247"/>
      <c r="I633" s="247"/>
      <c r="J633" s="247"/>
      <c r="K633" s="247"/>
      <c r="L633" s="247"/>
      <c r="M633" s="247"/>
    </row>
    <row r="634">
      <c r="B634" s="247"/>
      <c r="C634" s="247"/>
      <c r="D634" s="247"/>
      <c r="E634" s="247"/>
      <c r="F634" s="247"/>
      <c r="G634" s="247"/>
      <c r="H634" s="247"/>
      <c r="I634" s="247"/>
      <c r="J634" s="247"/>
      <c r="K634" s="247"/>
      <c r="L634" s="247"/>
      <c r="M634" s="247"/>
    </row>
    <row r="635">
      <c r="B635" s="247"/>
      <c r="C635" s="247"/>
      <c r="D635" s="247"/>
      <c r="E635" s="247"/>
      <c r="F635" s="247"/>
      <c r="G635" s="247"/>
      <c r="H635" s="247"/>
      <c r="I635" s="247"/>
      <c r="J635" s="247"/>
      <c r="K635" s="247"/>
      <c r="L635" s="247"/>
      <c r="M635" s="247"/>
    </row>
    <row r="636">
      <c r="B636" s="247"/>
      <c r="C636" s="247"/>
      <c r="D636" s="247"/>
      <c r="E636" s="247"/>
      <c r="F636" s="247"/>
      <c r="G636" s="247"/>
      <c r="H636" s="247"/>
      <c r="I636" s="247"/>
      <c r="J636" s="247"/>
      <c r="K636" s="247"/>
      <c r="L636" s="247"/>
      <c r="M636" s="247"/>
    </row>
    <row r="637">
      <c r="B637" s="247"/>
      <c r="C637" s="247"/>
      <c r="D637" s="247"/>
      <c r="E637" s="247"/>
      <c r="F637" s="247"/>
      <c r="G637" s="247"/>
      <c r="H637" s="247"/>
      <c r="I637" s="247"/>
      <c r="J637" s="247"/>
      <c r="K637" s="247"/>
      <c r="L637" s="247"/>
      <c r="M637" s="247"/>
    </row>
    <row r="638">
      <c r="B638" s="247"/>
      <c r="C638" s="247"/>
      <c r="D638" s="247"/>
      <c r="E638" s="247"/>
      <c r="F638" s="247"/>
      <c r="G638" s="247"/>
      <c r="H638" s="247"/>
      <c r="I638" s="247"/>
      <c r="J638" s="247"/>
      <c r="K638" s="247"/>
      <c r="L638" s="247"/>
      <c r="M638" s="247"/>
    </row>
    <row r="639">
      <c r="B639" s="247"/>
      <c r="C639" s="247"/>
      <c r="D639" s="247"/>
      <c r="E639" s="247"/>
      <c r="F639" s="247"/>
      <c r="G639" s="247"/>
      <c r="H639" s="247"/>
      <c r="I639" s="247"/>
      <c r="J639" s="247"/>
      <c r="K639" s="247"/>
      <c r="L639" s="247"/>
      <c r="M639" s="247"/>
    </row>
    <row r="640">
      <c r="B640" s="247"/>
      <c r="C640" s="247"/>
      <c r="D640" s="247"/>
      <c r="E640" s="247"/>
      <c r="F640" s="247"/>
      <c r="G640" s="247"/>
      <c r="H640" s="247"/>
      <c r="I640" s="247"/>
      <c r="J640" s="247"/>
      <c r="K640" s="247"/>
      <c r="L640" s="247"/>
      <c r="M640" s="247"/>
    </row>
    <row r="641">
      <c r="B641" s="247"/>
      <c r="C641" s="247"/>
      <c r="D641" s="247"/>
      <c r="E641" s="247"/>
      <c r="F641" s="247"/>
      <c r="G641" s="247"/>
      <c r="H641" s="247"/>
      <c r="I641" s="247"/>
      <c r="J641" s="247"/>
      <c r="K641" s="247"/>
      <c r="L641" s="247"/>
      <c r="M641" s="247"/>
    </row>
    <row r="642">
      <c r="B642" s="247"/>
      <c r="C642" s="247"/>
      <c r="D642" s="247"/>
      <c r="E642" s="247"/>
      <c r="F642" s="247"/>
      <c r="G642" s="247"/>
      <c r="H642" s="247"/>
      <c r="I642" s="247"/>
      <c r="J642" s="247"/>
      <c r="K642" s="247"/>
      <c r="L642" s="247"/>
      <c r="M642" s="247"/>
    </row>
    <row r="643">
      <c r="B643" s="247"/>
      <c r="C643" s="247"/>
      <c r="D643" s="247"/>
      <c r="E643" s="247"/>
      <c r="F643" s="247"/>
      <c r="G643" s="247"/>
      <c r="H643" s="247"/>
      <c r="I643" s="247"/>
      <c r="J643" s="247"/>
      <c r="K643" s="247"/>
      <c r="L643" s="247"/>
      <c r="M643" s="247"/>
    </row>
    <row r="644">
      <c r="B644" s="247"/>
      <c r="C644" s="247"/>
      <c r="D644" s="247"/>
      <c r="E644" s="247"/>
      <c r="F644" s="247"/>
      <c r="G644" s="247"/>
      <c r="H644" s="247"/>
      <c r="I644" s="247"/>
      <c r="J644" s="247"/>
      <c r="K644" s="247"/>
      <c r="L644" s="247"/>
      <c r="M644" s="247"/>
    </row>
    <row r="645">
      <c r="B645" s="247"/>
      <c r="C645" s="247"/>
      <c r="D645" s="247"/>
      <c r="E645" s="247"/>
      <c r="F645" s="247"/>
      <c r="G645" s="247"/>
      <c r="H645" s="247"/>
      <c r="I645" s="247"/>
      <c r="J645" s="247"/>
      <c r="K645" s="247"/>
      <c r="L645" s="247"/>
      <c r="M645" s="247"/>
    </row>
    <row r="646">
      <c r="B646" s="247"/>
      <c r="C646" s="247"/>
      <c r="D646" s="247"/>
      <c r="E646" s="247"/>
      <c r="F646" s="247"/>
      <c r="G646" s="247"/>
      <c r="H646" s="247"/>
      <c r="I646" s="247"/>
      <c r="J646" s="247"/>
      <c r="K646" s="247"/>
      <c r="L646" s="247"/>
      <c r="M646" s="247"/>
    </row>
    <row r="647">
      <c r="B647" s="247"/>
      <c r="C647" s="247"/>
      <c r="D647" s="247"/>
      <c r="E647" s="247"/>
      <c r="F647" s="247"/>
      <c r="G647" s="247"/>
      <c r="H647" s="247"/>
      <c r="I647" s="247"/>
      <c r="J647" s="247"/>
      <c r="K647" s="247"/>
      <c r="L647" s="247"/>
      <c r="M647" s="247"/>
    </row>
    <row r="648">
      <c r="B648" s="247"/>
      <c r="C648" s="247"/>
      <c r="D648" s="247"/>
      <c r="E648" s="247"/>
      <c r="F648" s="247"/>
      <c r="G648" s="247"/>
      <c r="H648" s="247"/>
      <c r="I648" s="247"/>
      <c r="J648" s="247"/>
      <c r="K648" s="247"/>
      <c r="L648" s="247"/>
      <c r="M648" s="247"/>
    </row>
    <row r="649">
      <c r="B649" s="247"/>
      <c r="C649" s="247"/>
      <c r="D649" s="247"/>
      <c r="E649" s="247"/>
      <c r="F649" s="247"/>
      <c r="G649" s="247"/>
      <c r="H649" s="247"/>
      <c r="I649" s="247"/>
      <c r="J649" s="247"/>
      <c r="K649" s="247"/>
      <c r="L649" s="247"/>
      <c r="M649" s="247"/>
    </row>
    <row r="650">
      <c r="B650" s="247"/>
      <c r="C650" s="247"/>
      <c r="D650" s="247"/>
      <c r="E650" s="247"/>
      <c r="F650" s="247"/>
      <c r="G650" s="247"/>
      <c r="H650" s="247"/>
      <c r="I650" s="247"/>
      <c r="J650" s="247"/>
      <c r="K650" s="247"/>
      <c r="L650" s="247"/>
      <c r="M650" s="247"/>
    </row>
    <row r="651">
      <c r="B651" s="247"/>
      <c r="C651" s="247"/>
      <c r="D651" s="247"/>
      <c r="E651" s="247"/>
      <c r="F651" s="247"/>
      <c r="G651" s="247"/>
      <c r="H651" s="247"/>
      <c r="I651" s="247"/>
      <c r="J651" s="247"/>
      <c r="K651" s="247"/>
      <c r="L651" s="247"/>
      <c r="M651" s="247"/>
    </row>
    <row r="652">
      <c r="B652" s="247"/>
      <c r="C652" s="247"/>
      <c r="D652" s="247"/>
      <c r="E652" s="247"/>
      <c r="F652" s="247"/>
      <c r="G652" s="247"/>
      <c r="H652" s="247"/>
      <c r="I652" s="247"/>
      <c r="J652" s="247"/>
      <c r="K652" s="247"/>
      <c r="L652" s="247"/>
      <c r="M652" s="247"/>
    </row>
    <row r="653">
      <c r="B653" s="247"/>
      <c r="C653" s="247"/>
      <c r="D653" s="247"/>
      <c r="E653" s="247"/>
      <c r="F653" s="247"/>
      <c r="G653" s="247"/>
      <c r="H653" s="247"/>
      <c r="I653" s="247"/>
      <c r="J653" s="247"/>
      <c r="K653" s="247"/>
      <c r="L653" s="247"/>
      <c r="M653" s="247"/>
    </row>
    <row r="654">
      <c r="B654" s="247"/>
      <c r="C654" s="247"/>
      <c r="D654" s="247"/>
      <c r="E654" s="247"/>
      <c r="F654" s="247"/>
      <c r="G654" s="247"/>
      <c r="H654" s="247"/>
      <c r="I654" s="247"/>
      <c r="J654" s="247"/>
      <c r="K654" s="247"/>
      <c r="L654" s="247"/>
      <c r="M654" s="247"/>
    </row>
    <row r="655">
      <c r="B655" s="247"/>
      <c r="C655" s="247"/>
      <c r="D655" s="247"/>
      <c r="E655" s="247"/>
      <c r="F655" s="247"/>
      <c r="G655" s="247"/>
      <c r="H655" s="247"/>
      <c r="I655" s="247"/>
      <c r="J655" s="247"/>
      <c r="K655" s="247"/>
      <c r="L655" s="247"/>
      <c r="M655" s="247"/>
    </row>
    <row r="656">
      <c r="B656" s="247"/>
      <c r="C656" s="247"/>
      <c r="D656" s="247"/>
      <c r="E656" s="247"/>
      <c r="F656" s="247"/>
      <c r="G656" s="247"/>
      <c r="H656" s="247"/>
      <c r="I656" s="247"/>
      <c r="J656" s="247"/>
      <c r="K656" s="247"/>
      <c r="L656" s="247"/>
      <c r="M656" s="247"/>
    </row>
    <row r="657">
      <c r="B657" s="247"/>
      <c r="C657" s="247"/>
      <c r="D657" s="247"/>
      <c r="E657" s="247"/>
      <c r="F657" s="247"/>
      <c r="G657" s="247"/>
      <c r="H657" s="247"/>
      <c r="I657" s="247"/>
      <c r="J657" s="247"/>
      <c r="K657" s="247"/>
      <c r="L657" s="247"/>
      <c r="M657" s="247"/>
    </row>
    <row r="658">
      <c r="B658" s="247"/>
      <c r="C658" s="247"/>
      <c r="D658" s="247"/>
      <c r="E658" s="247"/>
      <c r="F658" s="247"/>
      <c r="G658" s="247"/>
      <c r="H658" s="247"/>
      <c r="I658" s="247"/>
      <c r="J658" s="247"/>
      <c r="K658" s="247"/>
      <c r="L658" s="247"/>
      <c r="M658" s="247"/>
    </row>
    <row r="659">
      <c r="B659" s="247"/>
      <c r="C659" s="247"/>
      <c r="D659" s="247"/>
      <c r="E659" s="247"/>
      <c r="F659" s="247"/>
      <c r="G659" s="247"/>
      <c r="H659" s="247"/>
      <c r="I659" s="247"/>
      <c r="J659" s="247"/>
      <c r="K659" s="247"/>
      <c r="L659" s="247"/>
      <c r="M659" s="247"/>
    </row>
    <row r="660">
      <c r="B660" s="247"/>
      <c r="C660" s="247"/>
      <c r="D660" s="247"/>
      <c r="E660" s="247"/>
      <c r="F660" s="247"/>
      <c r="G660" s="247"/>
      <c r="H660" s="247"/>
      <c r="I660" s="247"/>
      <c r="J660" s="247"/>
      <c r="K660" s="247"/>
      <c r="L660" s="247"/>
      <c r="M660" s="247"/>
    </row>
    <row r="661">
      <c r="B661" s="247"/>
      <c r="C661" s="247"/>
      <c r="D661" s="247"/>
      <c r="E661" s="247"/>
      <c r="F661" s="247"/>
      <c r="G661" s="247"/>
      <c r="H661" s="247"/>
      <c r="I661" s="247"/>
      <c r="J661" s="247"/>
      <c r="K661" s="247"/>
      <c r="L661" s="247"/>
      <c r="M661" s="247"/>
    </row>
    <row r="662">
      <c r="B662" s="247"/>
      <c r="C662" s="247"/>
      <c r="D662" s="247"/>
      <c r="E662" s="247"/>
      <c r="F662" s="247"/>
      <c r="G662" s="247"/>
      <c r="H662" s="247"/>
      <c r="I662" s="247"/>
      <c r="J662" s="247"/>
      <c r="K662" s="247"/>
      <c r="L662" s="247"/>
      <c r="M662" s="247"/>
    </row>
    <row r="663">
      <c r="B663" s="247"/>
      <c r="C663" s="247"/>
      <c r="D663" s="247"/>
      <c r="E663" s="247"/>
      <c r="F663" s="247"/>
      <c r="G663" s="247"/>
      <c r="H663" s="247"/>
      <c r="I663" s="247"/>
      <c r="J663" s="247"/>
      <c r="K663" s="247"/>
      <c r="L663" s="247"/>
      <c r="M663" s="247"/>
    </row>
    <row r="664">
      <c r="B664" s="247"/>
      <c r="C664" s="247"/>
      <c r="D664" s="247"/>
      <c r="E664" s="247"/>
      <c r="F664" s="247"/>
      <c r="G664" s="247"/>
      <c r="H664" s="247"/>
      <c r="I664" s="247"/>
      <c r="J664" s="247"/>
      <c r="K664" s="247"/>
      <c r="L664" s="247"/>
      <c r="M664" s="247"/>
    </row>
    <row r="665">
      <c r="B665" s="247"/>
      <c r="C665" s="247"/>
      <c r="D665" s="247"/>
      <c r="E665" s="247"/>
      <c r="F665" s="247"/>
      <c r="G665" s="247"/>
      <c r="H665" s="247"/>
      <c r="I665" s="247"/>
      <c r="J665" s="247"/>
      <c r="K665" s="247"/>
      <c r="L665" s="247"/>
      <c r="M665" s="247"/>
    </row>
    <row r="666">
      <c r="B666" s="247"/>
      <c r="C666" s="247"/>
      <c r="D666" s="247"/>
      <c r="E666" s="247"/>
      <c r="F666" s="247"/>
      <c r="G666" s="247"/>
      <c r="H666" s="247"/>
      <c r="I666" s="247"/>
      <c r="J666" s="247"/>
      <c r="K666" s="247"/>
      <c r="L666" s="247"/>
      <c r="M666" s="247"/>
    </row>
    <row r="667">
      <c r="B667" s="247"/>
      <c r="C667" s="247"/>
      <c r="D667" s="247"/>
      <c r="E667" s="247"/>
      <c r="F667" s="247"/>
      <c r="G667" s="247"/>
      <c r="H667" s="247"/>
      <c r="I667" s="247"/>
      <c r="J667" s="247"/>
      <c r="K667" s="247"/>
      <c r="L667" s="247"/>
      <c r="M667" s="247"/>
    </row>
    <row r="668">
      <c r="B668" s="247"/>
      <c r="C668" s="247"/>
      <c r="D668" s="247"/>
      <c r="E668" s="247"/>
      <c r="F668" s="247"/>
      <c r="G668" s="247"/>
      <c r="H668" s="247"/>
      <c r="I668" s="247"/>
      <c r="J668" s="247"/>
      <c r="K668" s="247"/>
      <c r="L668" s="247"/>
      <c r="M668" s="247"/>
    </row>
    <row r="669">
      <c r="B669" s="247"/>
      <c r="C669" s="247"/>
      <c r="D669" s="247"/>
      <c r="E669" s="247"/>
      <c r="F669" s="247"/>
      <c r="G669" s="247"/>
      <c r="H669" s="247"/>
      <c r="I669" s="247"/>
      <c r="J669" s="247"/>
      <c r="K669" s="247"/>
      <c r="L669" s="247"/>
      <c r="M669" s="247"/>
    </row>
    <row r="670">
      <c r="B670" s="247"/>
      <c r="C670" s="247"/>
      <c r="D670" s="247"/>
      <c r="E670" s="247"/>
      <c r="F670" s="247"/>
      <c r="G670" s="247"/>
      <c r="H670" s="247"/>
      <c r="I670" s="247"/>
      <c r="J670" s="247"/>
      <c r="K670" s="247"/>
      <c r="L670" s="247"/>
      <c r="M670" s="247"/>
    </row>
    <row r="671">
      <c r="B671" s="247"/>
      <c r="C671" s="247"/>
      <c r="D671" s="247"/>
      <c r="E671" s="247"/>
      <c r="F671" s="247"/>
      <c r="G671" s="247"/>
      <c r="H671" s="247"/>
      <c r="I671" s="247"/>
      <c r="J671" s="247"/>
      <c r="K671" s="247"/>
      <c r="L671" s="247"/>
      <c r="M671" s="247"/>
    </row>
    <row r="672">
      <c r="B672" s="247"/>
      <c r="C672" s="247"/>
      <c r="D672" s="247"/>
      <c r="E672" s="247"/>
      <c r="F672" s="247"/>
      <c r="G672" s="247"/>
      <c r="H672" s="247"/>
      <c r="I672" s="247"/>
      <c r="J672" s="247"/>
      <c r="K672" s="247"/>
      <c r="L672" s="247"/>
      <c r="M672" s="247"/>
    </row>
    <row r="673">
      <c r="B673" s="247"/>
      <c r="C673" s="247"/>
      <c r="D673" s="247"/>
      <c r="E673" s="247"/>
      <c r="F673" s="247"/>
      <c r="G673" s="247"/>
      <c r="H673" s="247"/>
      <c r="I673" s="247"/>
      <c r="J673" s="247"/>
      <c r="K673" s="247"/>
      <c r="L673" s="247"/>
      <c r="M673" s="247"/>
    </row>
    <row r="674">
      <c r="B674" s="247"/>
      <c r="C674" s="247"/>
      <c r="D674" s="247"/>
      <c r="E674" s="247"/>
      <c r="F674" s="247"/>
      <c r="G674" s="247"/>
      <c r="H674" s="247"/>
      <c r="I674" s="247"/>
      <c r="J674" s="247"/>
      <c r="K674" s="247"/>
      <c r="L674" s="247"/>
      <c r="M674" s="247"/>
    </row>
    <row r="675">
      <c r="B675" s="247"/>
      <c r="C675" s="247"/>
      <c r="D675" s="247"/>
      <c r="E675" s="247"/>
      <c r="F675" s="247"/>
      <c r="G675" s="247"/>
      <c r="H675" s="247"/>
      <c r="I675" s="247"/>
      <c r="J675" s="247"/>
      <c r="K675" s="247"/>
      <c r="L675" s="247"/>
      <c r="M675" s="247"/>
    </row>
    <row r="676">
      <c r="B676" s="247"/>
      <c r="C676" s="247"/>
      <c r="D676" s="247"/>
      <c r="E676" s="247"/>
      <c r="F676" s="247"/>
      <c r="G676" s="247"/>
      <c r="H676" s="247"/>
      <c r="I676" s="247"/>
      <c r="J676" s="247"/>
      <c r="K676" s="247"/>
      <c r="L676" s="247"/>
      <c r="M676" s="247"/>
    </row>
    <row r="677">
      <c r="B677" s="247"/>
      <c r="C677" s="247"/>
      <c r="D677" s="247"/>
      <c r="E677" s="247"/>
      <c r="F677" s="247"/>
      <c r="G677" s="247"/>
      <c r="H677" s="247"/>
      <c r="I677" s="247"/>
      <c r="J677" s="247"/>
      <c r="K677" s="247"/>
      <c r="L677" s="247"/>
      <c r="M677" s="247"/>
    </row>
    <row r="678">
      <c r="B678" s="247"/>
      <c r="C678" s="247"/>
      <c r="D678" s="247"/>
      <c r="E678" s="247"/>
      <c r="F678" s="247"/>
      <c r="G678" s="247"/>
      <c r="H678" s="247"/>
      <c r="I678" s="247"/>
      <c r="J678" s="247"/>
      <c r="K678" s="247"/>
      <c r="L678" s="247"/>
      <c r="M678" s="247"/>
    </row>
    <row r="679">
      <c r="B679" s="247"/>
      <c r="C679" s="247"/>
      <c r="D679" s="247"/>
      <c r="E679" s="247"/>
      <c r="F679" s="247"/>
      <c r="G679" s="247"/>
      <c r="H679" s="247"/>
      <c r="I679" s="247"/>
      <c r="J679" s="247"/>
      <c r="K679" s="247"/>
      <c r="L679" s="247"/>
      <c r="M679" s="247"/>
    </row>
    <row r="680">
      <c r="B680" s="247"/>
      <c r="C680" s="247"/>
      <c r="D680" s="247"/>
      <c r="E680" s="247"/>
      <c r="F680" s="247"/>
      <c r="G680" s="247"/>
      <c r="H680" s="247"/>
      <c r="I680" s="247"/>
      <c r="J680" s="247"/>
      <c r="K680" s="247"/>
      <c r="L680" s="247"/>
      <c r="M680" s="247"/>
    </row>
    <row r="681">
      <c r="B681" s="247"/>
      <c r="C681" s="247"/>
      <c r="D681" s="247"/>
      <c r="E681" s="247"/>
      <c r="F681" s="247"/>
      <c r="G681" s="247"/>
      <c r="H681" s="247"/>
      <c r="I681" s="247"/>
      <c r="J681" s="247"/>
      <c r="K681" s="247"/>
      <c r="L681" s="247"/>
      <c r="M681" s="247"/>
    </row>
    <row r="682">
      <c r="B682" s="247"/>
      <c r="C682" s="247"/>
      <c r="D682" s="247"/>
      <c r="E682" s="247"/>
      <c r="F682" s="247"/>
      <c r="G682" s="247"/>
      <c r="H682" s="247"/>
      <c r="I682" s="247"/>
      <c r="J682" s="247"/>
      <c r="K682" s="247"/>
      <c r="L682" s="247"/>
      <c r="M682" s="247"/>
    </row>
    <row r="683">
      <c r="B683" s="247"/>
      <c r="C683" s="247"/>
      <c r="D683" s="247"/>
      <c r="E683" s="247"/>
      <c r="F683" s="247"/>
      <c r="G683" s="247"/>
      <c r="H683" s="247"/>
      <c r="I683" s="247"/>
      <c r="J683" s="247"/>
      <c r="K683" s="247"/>
      <c r="L683" s="247"/>
      <c r="M683" s="247"/>
    </row>
    <row r="684">
      <c r="B684" s="247"/>
      <c r="C684" s="247"/>
      <c r="D684" s="247"/>
      <c r="E684" s="247"/>
      <c r="F684" s="247"/>
      <c r="G684" s="247"/>
      <c r="H684" s="247"/>
      <c r="I684" s="247"/>
      <c r="J684" s="247"/>
      <c r="K684" s="247"/>
      <c r="L684" s="247"/>
      <c r="M684" s="247"/>
    </row>
    <row r="685">
      <c r="B685" s="247"/>
      <c r="C685" s="247"/>
      <c r="D685" s="247"/>
      <c r="E685" s="247"/>
      <c r="F685" s="247"/>
      <c r="G685" s="247"/>
      <c r="H685" s="247"/>
      <c r="I685" s="247"/>
      <c r="J685" s="247"/>
      <c r="K685" s="247"/>
      <c r="L685" s="247"/>
      <c r="M685" s="247"/>
    </row>
    <row r="686">
      <c r="B686" s="247"/>
      <c r="C686" s="247"/>
      <c r="D686" s="247"/>
      <c r="E686" s="247"/>
      <c r="F686" s="247"/>
      <c r="G686" s="247"/>
      <c r="H686" s="247"/>
      <c r="I686" s="247"/>
      <c r="J686" s="247"/>
      <c r="K686" s="247"/>
      <c r="L686" s="247"/>
      <c r="M686" s="247"/>
    </row>
    <row r="687">
      <c r="B687" s="247"/>
      <c r="C687" s="247"/>
      <c r="D687" s="247"/>
      <c r="E687" s="247"/>
      <c r="F687" s="247"/>
      <c r="G687" s="247"/>
      <c r="H687" s="247"/>
      <c r="I687" s="247"/>
      <c r="J687" s="247"/>
      <c r="K687" s="247"/>
      <c r="L687" s="247"/>
      <c r="M687" s="247"/>
    </row>
    <row r="688">
      <c r="B688" s="247"/>
      <c r="C688" s="247"/>
      <c r="D688" s="247"/>
      <c r="E688" s="247"/>
      <c r="F688" s="247"/>
      <c r="G688" s="247"/>
      <c r="H688" s="247"/>
      <c r="I688" s="247"/>
      <c r="J688" s="247"/>
      <c r="K688" s="247"/>
      <c r="L688" s="247"/>
      <c r="M688" s="247"/>
    </row>
    <row r="689">
      <c r="B689" s="247"/>
      <c r="C689" s="247"/>
      <c r="D689" s="247"/>
      <c r="E689" s="247"/>
      <c r="F689" s="247"/>
      <c r="G689" s="247"/>
      <c r="H689" s="247"/>
      <c r="I689" s="247"/>
      <c r="J689" s="247"/>
      <c r="K689" s="247"/>
      <c r="L689" s="247"/>
      <c r="M689" s="247"/>
    </row>
    <row r="690">
      <c r="B690" s="247"/>
      <c r="C690" s="247"/>
      <c r="D690" s="247"/>
      <c r="E690" s="247"/>
      <c r="F690" s="247"/>
      <c r="G690" s="247"/>
      <c r="H690" s="247"/>
      <c r="I690" s="247"/>
      <c r="J690" s="247"/>
      <c r="K690" s="247"/>
      <c r="L690" s="247"/>
      <c r="M690" s="247"/>
    </row>
    <row r="691">
      <c r="B691" s="247"/>
      <c r="C691" s="247"/>
      <c r="D691" s="247"/>
      <c r="E691" s="247"/>
      <c r="F691" s="247"/>
      <c r="G691" s="247"/>
      <c r="H691" s="247"/>
      <c r="I691" s="247"/>
      <c r="J691" s="247"/>
      <c r="K691" s="247"/>
      <c r="L691" s="247"/>
      <c r="M691" s="247"/>
    </row>
    <row r="692">
      <c r="B692" s="247"/>
      <c r="C692" s="247"/>
      <c r="D692" s="247"/>
      <c r="E692" s="247"/>
      <c r="F692" s="247"/>
      <c r="G692" s="247"/>
      <c r="H692" s="247"/>
      <c r="I692" s="247"/>
      <c r="J692" s="247"/>
      <c r="K692" s="247"/>
      <c r="L692" s="247"/>
      <c r="M692" s="247"/>
    </row>
    <row r="693">
      <c r="B693" s="247"/>
      <c r="C693" s="247"/>
      <c r="D693" s="247"/>
      <c r="E693" s="247"/>
      <c r="F693" s="247"/>
      <c r="G693" s="247"/>
      <c r="H693" s="247"/>
      <c r="I693" s="247"/>
      <c r="J693" s="247"/>
      <c r="K693" s="247"/>
      <c r="L693" s="247"/>
      <c r="M693" s="247"/>
    </row>
    <row r="694">
      <c r="B694" s="247"/>
      <c r="C694" s="247"/>
      <c r="D694" s="247"/>
      <c r="E694" s="247"/>
      <c r="F694" s="247"/>
      <c r="G694" s="247"/>
      <c r="H694" s="247"/>
      <c r="I694" s="247"/>
      <c r="J694" s="247"/>
      <c r="K694" s="247"/>
      <c r="L694" s="247"/>
      <c r="M694" s="247"/>
    </row>
    <row r="695">
      <c r="B695" s="247"/>
      <c r="C695" s="247"/>
      <c r="D695" s="247"/>
      <c r="E695" s="247"/>
      <c r="F695" s="247"/>
      <c r="G695" s="247"/>
      <c r="H695" s="247"/>
      <c r="I695" s="247"/>
      <c r="J695" s="247"/>
      <c r="K695" s="247"/>
      <c r="L695" s="247"/>
      <c r="M695" s="247"/>
    </row>
    <row r="696">
      <c r="B696" s="247"/>
      <c r="C696" s="247"/>
      <c r="D696" s="247"/>
      <c r="E696" s="247"/>
      <c r="F696" s="247"/>
      <c r="G696" s="247"/>
      <c r="H696" s="247"/>
      <c r="I696" s="247"/>
      <c r="J696" s="247"/>
      <c r="K696" s="247"/>
      <c r="L696" s="247"/>
      <c r="M696" s="247"/>
    </row>
    <row r="697">
      <c r="B697" s="247"/>
      <c r="C697" s="247"/>
      <c r="D697" s="247"/>
      <c r="E697" s="247"/>
      <c r="F697" s="247"/>
      <c r="G697" s="247"/>
      <c r="H697" s="247"/>
      <c r="I697" s="247"/>
      <c r="J697" s="247"/>
      <c r="K697" s="247"/>
      <c r="L697" s="247"/>
      <c r="M697" s="247"/>
    </row>
    <row r="698">
      <c r="B698" s="247"/>
      <c r="C698" s="247"/>
      <c r="D698" s="247"/>
      <c r="E698" s="247"/>
      <c r="F698" s="247"/>
      <c r="G698" s="247"/>
      <c r="H698" s="247"/>
      <c r="I698" s="247"/>
      <c r="J698" s="247"/>
      <c r="K698" s="247"/>
      <c r="L698" s="247"/>
      <c r="M698" s="247"/>
    </row>
    <row r="699">
      <c r="B699" s="247"/>
      <c r="C699" s="247"/>
      <c r="D699" s="247"/>
      <c r="E699" s="247"/>
      <c r="F699" s="247"/>
      <c r="G699" s="247"/>
      <c r="H699" s="247"/>
      <c r="I699" s="247"/>
      <c r="J699" s="247"/>
      <c r="K699" s="247"/>
      <c r="L699" s="247"/>
      <c r="M699" s="247"/>
    </row>
    <row r="700">
      <c r="B700" s="247"/>
      <c r="C700" s="247"/>
      <c r="D700" s="247"/>
      <c r="E700" s="247"/>
      <c r="F700" s="247"/>
      <c r="G700" s="247"/>
      <c r="H700" s="247"/>
      <c r="I700" s="247"/>
      <c r="J700" s="247"/>
      <c r="K700" s="247"/>
      <c r="L700" s="247"/>
      <c r="M700" s="247"/>
    </row>
    <row r="701">
      <c r="B701" s="247"/>
      <c r="C701" s="247"/>
      <c r="D701" s="247"/>
      <c r="E701" s="247"/>
      <c r="F701" s="247"/>
      <c r="G701" s="247"/>
      <c r="H701" s="247"/>
      <c r="I701" s="247"/>
      <c r="J701" s="247"/>
      <c r="K701" s="247"/>
      <c r="L701" s="247"/>
      <c r="M701" s="247"/>
    </row>
    <row r="702">
      <c r="B702" s="247"/>
      <c r="C702" s="247"/>
      <c r="D702" s="247"/>
      <c r="E702" s="247"/>
      <c r="F702" s="247"/>
      <c r="G702" s="247"/>
      <c r="H702" s="247"/>
      <c r="I702" s="247"/>
      <c r="J702" s="247"/>
      <c r="K702" s="247"/>
      <c r="L702" s="247"/>
      <c r="M702" s="247"/>
    </row>
    <row r="703">
      <c r="B703" s="247"/>
      <c r="C703" s="247"/>
      <c r="D703" s="247"/>
      <c r="E703" s="247"/>
      <c r="F703" s="247"/>
      <c r="G703" s="247"/>
      <c r="H703" s="247"/>
      <c r="I703" s="247"/>
      <c r="J703" s="247"/>
      <c r="K703" s="247"/>
      <c r="L703" s="247"/>
      <c r="M703" s="247"/>
    </row>
    <row r="704">
      <c r="B704" s="247"/>
      <c r="C704" s="247"/>
      <c r="D704" s="247"/>
      <c r="E704" s="247"/>
      <c r="F704" s="247"/>
      <c r="G704" s="247"/>
      <c r="H704" s="247"/>
      <c r="I704" s="247"/>
      <c r="J704" s="247"/>
      <c r="K704" s="247"/>
      <c r="L704" s="247"/>
      <c r="M704" s="247"/>
    </row>
    <row r="705">
      <c r="B705" s="247"/>
      <c r="C705" s="247"/>
      <c r="D705" s="247"/>
      <c r="E705" s="247"/>
      <c r="F705" s="247"/>
      <c r="G705" s="247"/>
      <c r="H705" s="247"/>
      <c r="I705" s="247"/>
      <c r="J705" s="247"/>
      <c r="K705" s="247"/>
      <c r="L705" s="247"/>
      <c r="M705" s="247"/>
    </row>
    <row r="706">
      <c r="B706" s="247"/>
      <c r="C706" s="247"/>
      <c r="D706" s="247"/>
      <c r="E706" s="247"/>
      <c r="F706" s="247"/>
      <c r="G706" s="247"/>
      <c r="H706" s="247"/>
      <c r="I706" s="247"/>
      <c r="J706" s="247"/>
      <c r="K706" s="247"/>
      <c r="L706" s="247"/>
      <c r="M706" s="247"/>
    </row>
    <row r="707">
      <c r="B707" s="247"/>
      <c r="C707" s="247"/>
      <c r="D707" s="247"/>
      <c r="E707" s="247"/>
      <c r="F707" s="247"/>
      <c r="G707" s="247"/>
      <c r="H707" s="247"/>
      <c r="I707" s="247"/>
      <c r="J707" s="247"/>
      <c r="K707" s="247"/>
      <c r="L707" s="247"/>
      <c r="M707" s="247"/>
    </row>
    <row r="708">
      <c r="B708" s="247"/>
      <c r="C708" s="247"/>
      <c r="D708" s="247"/>
      <c r="E708" s="247"/>
      <c r="F708" s="247"/>
      <c r="G708" s="247"/>
      <c r="H708" s="247"/>
      <c r="I708" s="247"/>
      <c r="J708" s="247"/>
      <c r="K708" s="247"/>
      <c r="L708" s="247"/>
      <c r="M708" s="247"/>
    </row>
    <row r="709">
      <c r="B709" s="247"/>
      <c r="C709" s="247"/>
      <c r="D709" s="247"/>
      <c r="E709" s="247"/>
      <c r="F709" s="247"/>
      <c r="G709" s="247"/>
      <c r="H709" s="247"/>
      <c r="I709" s="247"/>
      <c r="J709" s="247"/>
      <c r="K709" s="247"/>
      <c r="L709" s="247"/>
      <c r="M709" s="247"/>
    </row>
    <row r="710">
      <c r="B710" s="247"/>
      <c r="C710" s="247"/>
      <c r="D710" s="247"/>
      <c r="E710" s="247"/>
      <c r="F710" s="247"/>
      <c r="G710" s="247"/>
      <c r="H710" s="247"/>
      <c r="I710" s="247"/>
      <c r="J710" s="247"/>
      <c r="K710" s="247"/>
      <c r="L710" s="247"/>
      <c r="M710" s="247"/>
    </row>
    <row r="711">
      <c r="B711" s="247"/>
      <c r="C711" s="247"/>
      <c r="D711" s="247"/>
      <c r="E711" s="247"/>
      <c r="F711" s="247"/>
      <c r="G711" s="247"/>
      <c r="H711" s="247"/>
      <c r="I711" s="247"/>
      <c r="J711" s="247"/>
      <c r="K711" s="247"/>
      <c r="L711" s="247"/>
      <c r="M711" s="247"/>
    </row>
    <row r="712">
      <c r="B712" s="247"/>
      <c r="C712" s="247"/>
      <c r="D712" s="247"/>
      <c r="E712" s="247"/>
      <c r="F712" s="247"/>
      <c r="G712" s="247"/>
      <c r="H712" s="247"/>
      <c r="I712" s="247"/>
      <c r="J712" s="247"/>
      <c r="K712" s="247"/>
      <c r="L712" s="247"/>
      <c r="M712" s="247"/>
    </row>
    <row r="713">
      <c r="B713" s="247"/>
      <c r="C713" s="247"/>
      <c r="D713" s="247"/>
      <c r="E713" s="247"/>
      <c r="F713" s="247"/>
      <c r="G713" s="247"/>
      <c r="H713" s="247"/>
      <c r="I713" s="247"/>
      <c r="J713" s="247"/>
      <c r="K713" s="247"/>
      <c r="L713" s="247"/>
      <c r="M713" s="247"/>
    </row>
    <row r="714">
      <c r="B714" s="247"/>
      <c r="C714" s="247"/>
      <c r="D714" s="247"/>
      <c r="E714" s="247"/>
      <c r="F714" s="247"/>
      <c r="G714" s="247"/>
      <c r="H714" s="247"/>
      <c r="I714" s="247"/>
      <c r="J714" s="247"/>
      <c r="K714" s="247"/>
      <c r="L714" s="247"/>
      <c r="M714" s="247"/>
    </row>
    <row r="715">
      <c r="B715" s="247"/>
      <c r="C715" s="247"/>
      <c r="D715" s="247"/>
      <c r="E715" s="247"/>
      <c r="F715" s="247"/>
      <c r="G715" s="247"/>
      <c r="H715" s="247"/>
      <c r="I715" s="247"/>
      <c r="J715" s="247"/>
      <c r="K715" s="247"/>
      <c r="L715" s="247"/>
      <c r="M715" s="247"/>
    </row>
    <row r="716">
      <c r="B716" s="247"/>
      <c r="C716" s="247"/>
      <c r="D716" s="247"/>
      <c r="E716" s="247"/>
      <c r="F716" s="247"/>
      <c r="G716" s="247"/>
      <c r="H716" s="247"/>
      <c r="I716" s="247"/>
      <c r="J716" s="247"/>
      <c r="K716" s="247"/>
      <c r="L716" s="247"/>
      <c r="M716" s="247"/>
    </row>
    <row r="717">
      <c r="B717" s="247"/>
      <c r="C717" s="247"/>
      <c r="D717" s="247"/>
      <c r="E717" s="247"/>
      <c r="F717" s="247"/>
      <c r="G717" s="247"/>
      <c r="H717" s="247"/>
      <c r="I717" s="247"/>
      <c r="J717" s="247"/>
      <c r="K717" s="247"/>
      <c r="L717" s="247"/>
      <c r="M717" s="247"/>
    </row>
    <row r="718">
      <c r="B718" s="247"/>
      <c r="C718" s="247"/>
      <c r="D718" s="247"/>
      <c r="E718" s="247"/>
      <c r="F718" s="247"/>
      <c r="G718" s="247"/>
      <c r="H718" s="247"/>
      <c r="I718" s="247"/>
      <c r="J718" s="247"/>
      <c r="K718" s="247"/>
      <c r="L718" s="247"/>
      <c r="M718" s="247"/>
    </row>
    <row r="719">
      <c r="B719" s="247"/>
      <c r="C719" s="247"/>
      <c r="D719" s="247"/>
      <c r="E719" s="247"/>
      <c r="F719" s="247"/>
      <c r="G719" s="247"/>
      <c r="H719" s="247"/>
      <c r="I719" s="247"/>
      <c r="J719" s="247"/>
      <c r="K719" s="247"/>
      <c r="L719" s="247"/>
      <c r="M719" s="247"/>
    </row>
    <row r="720">
      <c r="B720" s="247"/>
      <c r="C720" s="247"/>
      <c r="D720" s="247"/>
      <c r="E720" s="247"/>
      <c r="F720" s="247"/>
      <c r="G720" s="247"/>
      <c r="H720" s="247"/>
      <c r="I720" s="247"/>
      <c r="J720" s="247"/>
      <c r="K720" s="247"/>
      <c r="L720" s="247"/>
      <c r="M720" s="247"/>
    </row>
    <row r="721">
      <c r="B721" s="247"/>
      <c r="C721" s="247"/>
      <c r="D721" s="247"/>
      <c r="E721" s="247"/>
      <c r="F721" s="247"/>
      <c r="G721" s="247"/>
      <c r="H721" s="247"/>
      <c r="I721" s="247"/>
      <c r="J721" s="247"/>
      <c r="K721" s="247"/>
      <c r="L721" s="247"/>
      <c r="M721" s="247"/>
    </row>
    <row r="722">
      <c r="B722" s="247"/>
      <c r="C722" s="247"/>
      <c r="D722" s="247"/>
      <c r="E722" s="247"/>
      <c r="F722" s="247"/>
      <c r="G722" s="247"/>
      <c r="H722" s="247"/>
      <c r="I722" s="247"/>
      <c r="J722" s="247"/>
      <c r="K722" s="247"/>
      <c r="L722" s="247"/>
      <c r="M722" s="247"/>
    </row>
    <row r="723">
      <c r="B723" s="247"/>
      <c r="C723" s="247"/>
      <c r="D723" s="247"/>
      <c r="E723" s="247"/>
      <c r="F723" s="247"/>
      <c r="G723" s="247"/>
      <c r="H723" s="247"/>
      <c r="I723" s="247"/>
      <c r="J723" s="247"/>
      <c r="K723" s="247"/>
      <c r="L723" s="247"/>
      <c r="M723" s="247"/>
    </row>
    <row r="724">
      <c r="B724" s="247"/>
      <c r="C724" s="247"/>
      <c r="D724" s="247"/>
      <c r="E724" s="247"/>
      <c r="F724" s="247"/>
      <c r="G724" s="247"/>
      <c r="H724" s="247"/>
      <c r="I724" s="247"/>
      <c r="J724" s="247"/>
      <c r="K724" s="247"/>
      <c r="L724" s="247"/>
      <c r="M724" s="247"/>
    </row>
    <row r="725">
      <c r="B725" s="247"/>
      <c r="C725" s="247"/>
      <c r="D725" s="247"/>
      <c r="E725" s="247"/>
      <c r="F725" s="247"/>
      <c r="G725" s="247"/>
      <c r="H725" s="247"/>
      <c r="I725" s="247"/>
      <c r="J725" s="247"/>
      <c r="K725" s="247"/>
      <c r="L725" s="247"/>
      <c r="M725" s="247"/>
    </row>
    <row r="726">
      <c r="B726" s="247"/>
      <c r="C726" s="247"/>
      <c r="D726" s="247"/>
      <c r="E726" s="247"/>
      <c r="F726" s="247"/>
      <c r="G726" s="247"/>
      <c r="H726" s="247"/>
      <c r="I726" s="247"/>
      <c r="J726" s="247"/>
      <c r="K726" s="247"/>
      <c r="L726" s="247"/>
      <c r="M726" s="247"/>
    </row>
    <row r="727">
      <c r="B727" s="247"/>
      <c r="C727" s="247"/>
      <c r="D727" s="247"/>
      <c r="E727" s="247"/>
      <c r="F727" s="247"/>
      <c r="G727" s="247"/>
      <c r="H727" s="247"/>
      <c r="I727" s="247"/>
      <c r="J727" s="247"/>
      <c r="K727" s="247"/>
      <c r="L727" s="247"/>
      <c r="M727" s="247"/>
    </row>
    <row r="728">
      <c r="B728" s="247"/>
      <c r="C728" s="247"/>
      <c r="D728" s="247"/>
      <c r="E728" s="247"/>
      <c r="F728" s="247"/>
      <c r="G728" s="247"/>
      <c r="H728" s="247"/>
      <c r="I728" s="247"/>
      <c r="J728" s="247"/>
      <c r="K728" s="247"/>
      <c r="L728" s="247"/>
      <c r="M728" s="247"/>
    </row>
    <row r="729">
      <c r="B729" s="247"/>
      <c r="C729" s="247"/>
      <c r="D729" s="247"/>
      <c r="E729" s="247"/>
      <c r="F729" s="247"/>
      <c r="G729" s="247"/>
      <c r="H729" s="247"/>
      <c r="I729" s="247"/>
      <c r="J729" s="247"/>
      <c r="K729" s="247"/>
      <c r="L729" s="247"/>
      <c r="M729" s="247"/>
    </row>
    <row r="730">
      <c r="B730" s="247"/>
      <c r="C730" s="247"/>
      <c r="D730" s="247"/>
      <c r="E730" s="247"/>
      <c r="F730" s="247"/>
      <c r="G730" s="247"/>
      <c r="H730" s="247"/>
      <c r="I730" s="247"/>
      <c r="J730" s="247"/>
      <c r="K730" s="247"/>
      <c r="L730" s="247"/>
      <c r="M730" s="247"/>
    </row>
    <row r="731">
      <c r="B731" s="247"/>
      <c r="C731" s="247"/>
      <c r="D731" s="247"/>
      <c r="E731" s="247"/>
      <c r="F731" s="247"/>
      <c r="G731" s="247"/>
      <c r="H731" s="247"/>
      <c r="I731" s="247"/>
      <c r="J731" s="247"/>
      <c r="K731" s="247"/>
      <c r="L731" s="247"/>
      <c r="M731" s="247"/>
    </row>
    <row r="732">
      <c r="B732" s="247"/>
      <c r="C732" s="247"/>
      <c r="D732" s="247"/>
      <c r="E732" s="247"/>
      <c r="F732" s="247"/>
      <c r="G732" s="247"/>
      <c r="H732" s="247"/>
      <c r="I732" s="247"/>
      <c r="J732" s="247"/>
      <c r="K732" s="247"/>
      <c r="L732" s="247"/>
      <c r="M732" s="247"/>
    </row>
    <row r="733">
      <c r="B733" s="247"/>
      <c r="C733" s="247"/>
      <c r="D733" s="247"/>
      <c r="E733" s="247"/>
      <c r="F733" s="247"/>
      <c r="G733" s="247"/>
      <c r="H733" s="247"/>
      <c r="I733" s="247"/>
      <c r="J733" s="247"/>
      <c r="K733" s="247"/>
      <c r="L733" s="247"/>
      <c r="M733" s="247"/>
    </row>
    <row r="734">
      <c r="B734" s="247"/>
      <c r="C734" s="247"/>
      <c r="D734" s="247"/>
      <c r="E734" s="247"/>
      <c r="F734" s="247"/>
      <c r="G734" s="247"/>
      <c r="H734" s="247"/>
      <c r="I734" s="247"/>
      <c r="J734" s="247"/>
      <c r="K734" s="247"/>
      <c r="L734" s="247"/>
      <c r="M734" s="247"/>
    </row>
    <row r="735">
      <c r="B735" s="247"/>
      <c r="C735" s="247"/>
      <c r="D735" s="247"/>
      <c r="E735" s="247"/>
      <c r="F735" s="247"/>
      <c r="G735" s="247"/>
      <c r="H735" s="247"/>
      <c r="I735" s="247"/>
      <c r="J735" s="247"/>
      <c r="K735" s="247"/>
      <c r="L735" s="247"/>
      <c r="M735" s="247"/>
    </row>
    <row r="736">
      <c r="B736" s="247"/>
      <c r="C736" s="247"/>
      <c r="D736" s="247"/>
      <c r="E736" s="247"/>
      <c r="F736" s="247"/>
      <c r="G736" s="247"/>
      <c r="H736" s="247"/>
      <c r="I736" s="247"/>
      <c r="J736" s="247"/>
      <c r="K736" s="247"/>
      <c r="L736" s="247"/>
      <c r="M736" s="247"/>
    </row>
    <row r="737">
      <c r="B737" s="247"/>
      <c r="C737" s="247"/>
      <c r="D737" s="247"/>
      <c r="E737" s="247"/>
      <c r="F737" s="247"/>
      <c r="G737" s="247"/>
      <c r="H737" s="247"/>
      <c r="I737" s="247"/>
      <c r="J737" s="247"/>
      <c r="K737" s="247"/>
      <c r="L737" s="247"/>
      <c r="M737" s="247"/>
    </row>
    <row r="738">
      <c r="B738" s="247"/>
      <c r="C738" s="247"/>
      <c r="D738" s="247"/>
      <c r="E738" s="247"/>
      <c r="F738" s="247"/>
      <c r="G738" s="247"/>
      <c r="H738" s="247"/>
      <c r="I738" s="247"/>
      <c r="J738" s="247"/>
      <c r="K738" s="247"/>
      <c r="L738" s="247"/>
      <c r="M738" s="247"/>
    </row>
    <row r="739">
      <c r="B739" s="247"/>
      <c r="C739" s="247"/>
      <c r="D739" s="247"/>
      <c r="E739" s="247"/>
      <c r="F739" s="247"/>
      <c r="G739" s="247"/>
      <c r="H739" s="247"/>
      <c r="I739" s="247"/>
      <c r="J739" s="247"/>
      <c r="K739" s="247"/>
      <c r="L739" s="247"/>
      <c r="M739" s="247"/>
    </row>
    <row r="740">
      <c r="B740" s="247"/>
      <c r="C740" s="247"/>
      <c r="D740" s="247"/>
      <c r="E740" s="247"/>
      <c r="F740" s="247"/>
      <c r="G740" s="247"/>
      <c r="H740" s="247"/>
      <c r="I740" s="247"/>
      <c r="J740" s="247"/>
      <c r="K740" s="247"/>
      <c r="L740" s="247"/>
      <c r="M740" s="247"/>
    </row>
    <row r="741">
      <c r="B741" s="247"/>
      <c r="C741" s="247"/>
      <c r="D741" s="247"/>
      <c r="E741" s="247"/>
      <c r="F741" s="247"/>
      <c r="G741" s="247"/>
      <c r="H741" s="247"/>
      <c r="I741" s="247"/>
      <c r="J741" s="247"/>
      <c r="K741" s="247"/>
      <c r="L741" s="247"/>
      <c r="M741" s="247"/>
    </row>
    <row r="742">
      <c r="B742" s="247"/>
      <c r="C742" s="247"/>
      <c r="D742" s="247"/>
      <c r="E742" s="247"/>
      <c r="F742" s="247"/>
      <c r="G742" s="247"/>
      <c r="H742" s="247"/>
      <c r="I742" s="247"/>
      <c r="J742" s="247"/>
      <c r="K742" s="247"/>
      <c r="L742" s="247"/>
      <c r="M742" s="247"/>
    </row>
    <row r="743">
      <c r="B743" s="247"/>
      <c r="C743" s="247"/>
      <c r="D743" s="247"/>
      <c r="E743" s="247"/>
      <c r="F743" s="247"/>
      <c r="G743" s="247"/>
      <c r="H743" s="247"/>
      <c r="I743" s="247"/>
      <c r="J743" s="247"/>
      <c r="K743" s="247"/>
      <c r="L743" s="247"/>
      <c r="M743" s="247"/>
    </row>
    <row r="744">
      <c r="B744" s="247"/>
      <c r="C744" s="247"/>
      <c r="D744" s="247"/>
      <c r="E744" s="247"/>
      <c r="F744" s="247"/>
      <c r="G744" s="247"/>
      <c r="H744" s="247"/>
      <c r="I744" s="247"/>
      <c r="J744" s="247"/>
      <c r="K744" s="247"/>
      <c r="L744" s="247"/>
      <c r="M744" s="247"/>
    </row>
    <row r="745">
      <c r="B745" s="247"/>
      <c r="C745" s="247"/>
      <c r="D745" s="247"/>
      <c r="E745" s="247"/>
      <c r="F745" s="247"/>
      <c r="G745" s="247"/>
      <c r="H745" s="247"/>
      <c r="I745" s="247"/>
      <c r="J745" s="247"/>
      <c r="K745" s="247"/>
      <c r="L745" s="247"/>
      <c r="M745" s="247"/>
    </row>
    <row r="746">
      <c r="B746" s="247"/>
      <c r="C746" s="247"/>
      <c r="D746" s="247"/>
      <c r="E746" s="247"/>
      <c r="F746" s="247"/>
      <c r="G746" s="247"/>
      <c r="H746" s="247"/>
      <c r="I746" s="247"/>
      <c r="J746" s="247"/>
      <c r="K746" s="247"/>
      <c r="L746" s="247"/>
      <c r="M746" s="247"/>
    </row>
    <row r="747">
      <c r="B747" s="247"/>
      <c r="C747" s="247"/>
      <c r="D747" s="247"/>
      <c r="E747" s="247"/>
      <c r="F747" s="247"/>
      <c r="G747" s="247"/>
      <c r="H747" s="247"/>
      <c r="I747" s="247"/>
      <c r="J747" s="247"/>
      <c r="K747" s="247"/>
      <c r="L747" s="247"/>
      <c r="M747" s="247"/>
    </row>
    <row r="748">
      <c r="B748" s="247"/>
      <c r="C748" s="247"/>
      <c r="D748" s="247"/>
      <c r="E748" s="247"/>
      <c r="F748" s="247"/>
      <c r="G748" s="247"/>
      <c r="H748" s="247"/>
      <c r="I748" s="247"/>
      <c r="J748" s="247"/>
      <c r="K748" s="247"/>
      <c r="L748" s="247"/>
      <c r="M748" s="247"/>
    </row>
    <row r="749">
      <c r="B749" s="247"/>
      <c r="C749" s="247"/>
      <c r="D749" s="247"/>
      <c r="E749" s="247"/>
      <c r="F749" s="247"/>
      <c r="G749" s="247"/>
      <c r="H749" s="247"/>
      <c r="I749" s="247"/>
      <c r="J749" s="247"/>
      <c r="K749" s="247"/>
      <c r="L749" s="247"/>
      <c r="M749" s="247"/>
    </row>
    <row r="750">
      <c r="B750" s="247"/>
      <c r="C750" s="247"/>
      <c r="D750" s="247"/>
      <c r="E750" s="247"/>
      <c r="F750" s="247"/>
      <c r="G750" s="247"/>
      <c r="H750" s="247"/>
      <c r="I750" s="247"/>
      <c r="J750" s="247"/>
      <c r="K750" s="247"/>
      <c r="L750" s="247"/>
      <c r="M750" s="247"/>
    </row>
    <row r="751">
      <c r="B751" s="247"/>
      <c r="C751" s="247"/>
      <c r="D751" s="247"/>
      <c r="E751" s="247"/>
      <c r="F751" s="247"/>
      <c r="G751" s="247"/>
      <c r="H751" s="247"/>
      <c r="I751" s="247"/>
      <c r="J751" s="247"/>
      <c r="K751" s="247"/>
      <c r="L751" s="247"/>
      <c r="M751" s="247"/>
    </row>
    <row r="752">
      <c r="B752" s="247"/>
      <c r="C752" s="247"/>
      <c r="D752" s="247"/>
      <c r="E752" s="247"/>
      <c r="F752" s="247"/>
      <c r="G752" s="247"/>
      <c r="H752" s="247"/>
      <c r="I752" s="247"/>
      <c r="J752" s="247"/>
      <c r="K752" s="247"/>
      <c r="L752" s="247"/>
      <c r="M752" s="247"/>
    </row>
    <row r="753">
      <c r="B753" s="247"/>
      <c r="C753" s="247"/>
      <c r="D753" s="247"/>
      <c r="E753" s="247"/>
      <c r="F753" s="247"/>
      <c r="G753" s="247"/>
      <c r="H753" s="247"/>
      <c r="I753" s="247"/>
      <c r="J753" s="247"/>
      <c r="K753" s="247"/>
      <c r="L753" s="247"/>
      <c r="M753" s="247"/>
    </row>
    <row r="754">
      <c r="B754" s="247"/>
      <c r="C754" s="247"/>
      <c r="D754" s="247"/>
      <c r="E754" s="247"/>
      <c r="F754" s="247"/>
      <c r="G754" s="247"/>
      <c r="H754" s="247"/>
      <c r="I754" s="247"/>
      <c r="J754" s="247"/>
      <c r="K754" s="247"/>
      <c r="L754" s="247"/>
      <c r="M754" s="247"/>
    </row>
    <row r="755">
      <c r="B755" s="247"/>
      <c r="C755" s="247"/>
      <c r="D755" s="247"/>
      <c r="E755" s="247"/>
      <c r="F755" s="247"/>
      <c r="G755" s="247"/>
      <c r="H755" s="247"/>
      <c r="I755" s="247"/>
      <c r="J755" s="247"/>
      <c r="K755" s="247"/>
      <c r="L755" s="247"/>
      <c r="M755" s="247"/>
    </row>
    <row r="756">
      <c r="B756" s="247"/>
      <c r="C756" s="247"/>
      <c r="D756" s="247"/>
      <c r="E756" s="247"/>
      <c r="F756" s="247"/>
      <c r="G756" s="247"/>
      <c r="H756" s="247"/>
      <c r="I756" s="247"/>
      <c r="J756" s="247"/>
      <c r="K756" s="247"/>
      <c r="L756" s="247"/>
      <c r="M756" s="247"/>
    </row>
    <row r="757">
      <c r="B757" s="247"/>
      <c r="C757" s="247"/>
      <c r="D757" s="247"/>
      <c r="E757" s="247"/>
      <c r="F757" s="247"/>
      <c r="G757" s="247"/>
      <c r="H757" s="247"/>
      <c r="I757" s="247"/>
      <c r="J757" s="247"/>
      <c r="K757" s="247"/>
      <c r="L757" s="247"/>
      <c r="M757" s="247"/>
    </row>
    <row r="758">
      <c r="B758" s="247"/>
      <c r="C758" s="247"/>
      <c r="D758" s="247"/>
      <c r="E758" s="247"/>
      <c r="F758" s="247"/>
      <c r="G758" s="247"/>
      <c r="H758" s="247"/>
      <c r="I758" s="247"/>
      <c r="J758" s="247"/>
      <c r="K758" s="247"/>
      <c r="L758" s="247"/>
      <c r="M758" s="247"/>
    </row>
    <row r="759">
      <c r="B759" s="247"/>
      <c r="C759" s="247"/>
      <c r="D759" s="247"/>
      <c r="E759" s="247"/>
      <c r="F759" s="247"/>
      <c r="G759" s="247"/>
      <c r="H759" s="247"/>
      <c r="I759" s="247"/>
      <c r="J759" s="247"/>
      <c r="K759" s="247"/>
      <c r="L759" s="247"/>
      <c r="M759" s="247"/>
    </row>
    <row r="760">
      <c r="B760" s="247"/>
      <c r="C760" s="247"/>
      <c r="D760" s="247"/>
      <c r="E760" s="247"/>
      <c r="F760" s="247"/>
      <c r="G760" s="247"/>
      <c r="H760" s="247"/>
      <c r="I760" s="247"/>
      <c r="J760" s="247"/>
      <c r="K760" s="247"/>
      <c r="L760" s="247"/>
      <c r="M760" s="247"/>
    </row>
    <row r="761">
      <c r="B761" s="247"/>
      <c r="C761" s="247"/>
      <c r="D761" s="247"/>
      <c r="E761" s="247"/>
      <c r="F761" s="247"/>
      <c r="G761" s="247"/>
      <c r="H761" s="247"/>
      <c r="I761" s="247"/>
      <c r="J761" s="247"/>
      <c r="K761" s="247"/>
      <c r="L761" s="247"/>
      <c r="M761" s="247"/>
    </row>
    <row r="762">
      <c r="B762" s="247"/>
      <c r="C762" s="247"/>
      <c r="D762" s="247"/>
      <c r="E762" s="247"/>
      <c r="F762" s="247"/>
      <c r="G762" s="247"/>
      <c r="H762" s="247"/>
      <c r="I762" s="247"/>
      <c r="J762" s="247"/>
      <c r="K762" s="247"/>
      <c r="L762" s="247"/>
      <c r="M762" s="247"/>
    </row>
    <row r="763">
      <c r="B763" s="247"/>
      <c r="C763" s="247"/>
      <c r="D763" s="247"/>
      <c r="E763" s="247"/>
      <c r="F763" s="247"/>
      <c r="G763" s="247"/>
      <c r="H763" s="247"/>
      <c r="I763" s="247"/>
      <c r="J763" s="247"/>
      <c r="K763" s="247"/>
      <c r="L763" s="247"/>
      <c r="M763" s="247"/>
    </row>
    <row r="764">
      <c r="B764" s="247"/>
      <c r="C764" s="247"/>
      <c r="D764" s="247"/>
      <c r="E764" s="247"/>
      <c r="F764" s="247"/>
      <c r="G764" s="247"/>
      <c r="H764" s="247"/>
      <c r="I764" s="247"/>
      <c r="J764" s="247"/>
      <c r="K764" s="247"/>
      <c r="L764" s="247"/>
      <c r="M764" s="247"/>
    </row>
    <row r="765">
      <c r="B765" s="247"/>
      <c r="C765" s="247"/>
      <c r="D765" s="247"/>
      <c r="E765" s="247"/>
      <c r="F765" s="247"/>
      <c r="G765" s="247"/>
      <c r="H765" s="247"/>
      <c r="I765" s="247"/>
      <c r="J765" s="247"/>
      <c r="K765" s="247"/>
      <c r="L765" s="247"/>
      <c r="M765" s="247"/>
    </row>
    <row r="766">
      <c r="B766" s="247"/>
      <c r="C766" s="247"/>
      <c r="D766" s="247"/>
      <c r="E766" s="247"/>
      <c r="F766" s="247"/>
      <c r="G766" s="247"/>
      <c r="H766" s="247"/>
      <c r="I766" s="247"/>
      <c r="J766" s="247"/>
      <c r="K766" s="247"/>
      <c r="L766" s="247"/>
      <c r="M766" s="247"/>
    </row>
    <row r="767">
      <c r="B767" s="247"/>
      <c r="C767" s="247"/>
      <c r="D767" s="247"/>
      <c r="E767" s="247"/>
      <c r="F767" s="247"/>
      <c r="G767" s="247"/>
      <c r="H767" s="247"/>
      <c r="I767" s="247"/>
      <c r="J767" s="247"/>
      <c r="K767" s="247"/>
      <c r="L767" s="247"/>
      <c r="M767" s="247"/>
    </row>
    <row r="768">
      <c r="B768" s="247"/>
      <c r="C768" s="247"/>
      <c r="D768" s="247"/>
      <c r="E768" s="247"/>
      <c r="F768" s="247"/>
      <c r="G768" s="247"/>
      <c r="H768" s="247"/>
      <c r="I768" s="247"/>
      <c r="J768" s="247"/>
      <c r="K768" s="247"/>
      <c r="L768" s="247"/>
      <c r="M768" s="247"/>
    </row>
    <row r="769">
      <c r="B769" s="247"/>
      <c r="C769" s="247"/>
      <c r="D769" s="247"/>
      <c r="E769" s="247"/>
      <c r="F769" s="247"/>
      <c r="G769" s="247"/>
      <c r="H769" s="247"/>
      <c r="I769" s="247"/>
      <c r="J769" s="247"/>
      <c r="K769" s="247"/>
      <c r="L769" s="247"/>
      <c r="M769" s="247"/>
    </row>
    <row r="770">
      <c r="B770" s="247"/>
      <c r="C770" s="247"/>
      <c r="D770" s="247"/>
      <c r="E770" s="247"/>
      <c r="F770" s="247"/>
      <c r="G770" s="247"/>
      <c r="H770" s="247"/>
      <c r="I770" s="247"/>
      <c r="J770" s="247"/>
      <c r="K770" s="247"/>
      <c r="L770" s="247"/>
      <c r="M770" s="247"/>
    </row>
    <row r="771">
      <c r="B771" s="247"/>
      <c r="C771" s="247"/>
      <c r="D771" s="247"/>
      <c r="E771" s="247"/>
      <c r="F771" s="247"/>
      <c r="G771" s="247"/>
      <c r="H771" s="247"/>
      <c r="I771" s="247"/>
      <c r="J771" s="247"/>
      <c r="K771" s="247"/>
      <c r="L771" s="247"/>
      <c r="M771" s="247"/>
    </row>
    <row r="772">
      <c r="B772" s="247"/>
      <c r="C772" s="247"/>
      <c r="D772" s="247"/>
      <c r="E772" s="247"/>
      <c r="F772" s="247"/>
      <c r="G772" s="247"/>
      <c r="H772" s="247"/>
      <c r="I772" s="247"/>
      <c r="J772" s="247"/>
      <c r="K772" s="247"/>
      <c r="L772" s="247"/>
      <c r="M772" s="247"/>
    </row>
    <row r="773">
      <c r="B773" s="247"/>
      <c r="C773" s="247"/>
      <c r="D773" s="247"/>
      <c r="E773" s="247"/>
      <c r="F773" s="247"/>
      <c r="G773" s="247"/>
      <c r="H773" s="247"/>
      <c r="I773" s="247"/>
      <c r="J773" s="247"/>
      <c r="K773" s="247"/>
      <c r="L773" s="247"/>
      <c r="M773" s="247"/>
    </row>
    <row r="774">
      <c r="B774" s="247"/>
      <c r="C774" s="247"/>
      <c r="D774" s="247"/>
      <c r="E774" s="247"/>
      <c r="F774" s="247"/>
      <c r="G774" s="247"/>
      <c r="H774" s="247"/>
      <c r="I774" s="247"/>
      <c r="J774" s="247"/>
      <c r="K774" s="247"/>
      <c r="L774" s="247"/>
      <c r="M774" s="247"/>
    </row>
    <row r="775">
      <c r="B775" s="247"/>
      <c r="C775" s="247"/>
      <c r="D775" s="247"/>
      <c r="E775" s="247"/>
      <c r="F775" s="247"/>
      <c r="G775" s="247"/>
      <c r="H775" s="247"/>
      <c r="I775" s="247"/>
      <c r="J775" s="247"/>
      <c r="K775" s="247"/>
      <c r="L775" s="247"/>
      <c r="M775" s="247"/>
    </row>
    <row r="776">
      <c r="B776" s="247"/>
      <c r="C776" s="247"/>
      <c r="D776" s="247"/>
      <c r="E776" s="247"/>
      <c r="F776" s="247"/>
      <c r="G776" s="247"/>
      <c r="H776" s="247"/>
      <c r="I776" s="247"/>
      <c r="J776" s="247"/>
      <c r="K776" s="247"/>
      <c r="L776" s="247"/>
      <c r="M776" s="247"/>
    </row>
    <row r="777">
      <c r="B777" s="247"/>
      <c r="C777" s="247"/>
      <c r="D777" s="247"/>
      <c r="E777" s="247"/>
      <c r="F777" s="247"/>
      <c r="G777" s="247"/>
      <c r="H777" s="247"/>
      <c r="I777" s="247"/>
      <c r="J777" s="247"/>
      <c r="K777" s="247"/>
      <c r="L777" s="247"/>
      <c r="M777" s="247"/>
    </row>
    <row r="778">
      <c r="B778" s="247"/>
      <c r="C778" s="247"/>
      <c r="D778" s="247"/>
      <c r="E778" s="247"/>
      <c r="F778" s="247"/>
      <c r="G778" s="247"/>
      <c r="H778" s="247"/>
      <c r="I778" s="247"/>
      <c r="J778" s="247"/>
      <c r="K778" s="247"/>
      <c r="L778" s="247"/>
      <c r="M778" s="247"/>
    </row>
    <row r="779">
      <c r="B779" s="247"/>
      <c r="C779" s="247"/>
      <c r="D779" s="247"/>
      <c r="E779" s="247"/>
      <c r="F779" s="247"/>
      <c r="G779" s="247"/>
      <c r="H779" s="247"/>
      <c r="I779" s="247"/>
      <c r="J779" s="247"/>
      <c r="K779" s="247"/>
      <c r="L779" s="247"/>
      <c r="M779" s="247"/>
    </row>
    <row r="780">
      <c r="B780" s="247"/>
      <c r="C780" s="247"/>
      <c r="D780" s="247"/>
      <c r="E780" s="247"/>
      <c r="F780" s="247"/>
      <c r="G780" s="247"/>
      <c r="H780" s="247"/>
      <c r="I780" s="247"/>
      <c r="J780" s="247"/>
      <c r="K780" s="247"/>
      <c r="L780" s="247"/>
      <c r="M780" s="247"/>
    </row>
    <row r="781">
      <c r="B781" s="247"/>
      <c r="C781" s="247"/>
      <c r="D781" s="247"/>
      <c r="E781" s="247"/>
      <c r="F781" s="247"/>
      <c r="G781" s="247"/>
      <c r="H781" s="247"/>
      <c r="I781" s="247"/>
      <c r="J781" s="247"/>
      <c r="K781" s="247"/>
      <c r="L781" s="247"/>
      <c r="M781" s="247"/>
    </row>
    <row r="782">
      <c r="B782" s="247"/>
      <c r="C782" s="247"/>
      <c r="D782" s="247"/>
      <c r="E782" s="247"/>
      <c r="F782" s="247"/>
      <c r="G782" s="247"/>
      <c r="H782" s="247"/>
      <c r="I782" s="247"/>
      <c r="J782" s="247"/>
      <c r="K782" s="247"/>
      <c r="L782" s="247"/>
      <c r="M782" s="247"/>
    </row>
    <row r="783">
      <c r="B783" s="247"/>
      <c r="C783" s="247"/>
      <c r="D783" s="247"/>
      <c r="E783" s="247"/>
      <c r="F783" s="247"/>
      <c r="G783" s="247"/>
      <c r="H783" s="247"/>
      <c r="I783" s="247"/>
      <c r="J783" s="247"/>
      <c r="K783" s="247"/>
      <c r="L783" s="247"/>
      <c r="M783" s="247"/>
    </row>
    <row r="784">
      <c r="B784" s="247"/>
      <c r="C784" s="247"/>
      <c r="D784" s="247"/>
      <c r="E784" s="247"/>
      <c r="F784" s="247"/>
      <c r="G784" s="247"/>
      <c r="H784" s="247"/>
      <c r="I784" s="247"/>
      <c r="J784" s="247"/>
      <c r="K784" s="247"/>
      <c r="L784" s="247"/>
      <c r="M784" s="247"/>
    </row>
    <row r="785">
      <c r="B785" s="247"/>
      <c r="C785" s="247"/>
      <c r="D785" s="247"/>
      <c r="E785" s="247"/>
      <c r="F785" s="247"/>
      <c r="G785" s="247"/>
      <c r="H785" s="247"/>
      <c r="I785" s="247"/>
      <c r="J785" s="247"/>
      <c r="K785" s="247"/>
      <c r="L785" s="247"/>
      <c r="M785" s="247"/>
    </row>
    <row r="786">
      <c r="B786" s="247"/>
      <c r="C786" s="247"/>
      <c r="D786" s="247"/>
      <c r="E786" s="247"/>
      <c r="F786" s="247"/>
      <c r="G786" s="247"/>
      <c r="H786" s="247"/>
      <c r="I786" s="247"/>
      <c r="J786" s="247"/>
      <c r="K786" s="247"/>
      <c r="L786" s="247"/>
      <c r="M786" s="247"/>
    </row>
    <row r="787">
      <c r="B787" s="247"/>
      <c r="C787" s="247"/>
      <c r="D787" s="247"/>
      <c r="E787" s="247"/>
      <c r="F787" s="247"/>
      <c r="G787" s="247"/>
      <c r="H787" s="247"/>
      <c r="I787" s="247"/>
      <c r="J787" s="247"/>
      <c r="K787" s="247"/>
      <c r="L787" s="247"/>
      <c r="M787" s="247"/>
    </row>
    <row r="788">
      <c r="B788" s="247"/>
      <c r="C788" s="247"/>
      <c r="D788" s="247"/>
      <c r="E788" s="247"/>
      <c r="F788" s="247"/>
      <c r="G788" s="247"/>
      <c r="H788" s="247"/>
      <c r="I788" s="247"/>
      <c r="J788" s="247"/>
      <c r="K788" s="247"/>
      <c r="L788" s="247"/>
      <c r="M788" s="247"/>
    </row>
    <row r="789">
      <c r="B789" s="247"/>
      <c r="C789" s="247"/>
      <c r="D789" s="247"/>
      <c r="E789" s="247"/>
      <c r="F789" s="247"/>
      <c r="G789" s="247"/>
      <c r="H789" s="247"/>
      <c r="I789" s="247"/>
      <c r="J789" s="247"/>
      <c r="K789" s="247"/>
      <c r="L789" s="247"/>
      <c r="M789" s="247"/>
    </row>
    <row r="790">
      <c r="B790" s="247"/>
      <c r="C790" s="247"/>
      <c r="D790" s="247"/>
      <c r="E790" s="247"/>
      <c r="F790" s="247"/>
      <c r="G790" s="247"/>
      <c r="H790" s="247"/>
      <c r="I790" s="247"/>
      <c r="J790" s="247"/>
      <c r="K790" s="247"/>
      <c r="L790" s="247"/>
      <c r="M790" s="247"/>
    </row>
    <row r="791">
      <c r="B791" s="247"/>
      <c r="C791" s="247"/>
      <c r="D791" s="247"/>
      <c r="E791" s="247"/>
      <c r="F791" s="247"/>
      <c r="G791" s="247"/>
      <c r="H791" s="247"/>
      <c r="I791" s="247"/>
      <c r="J791" s="247"/>
      <c r="K791" s="247"/>
      <c r="L791" s="247"/>
      <c r="M791" s="247"/>
    </row>
    <row r="792">
      <c r="B792" s="247"/>
      <c r="C792" s="247"/>
      <c r="D792" s="247"/>
      <c r="E792" s="247"/>
      <c r="F792" s="247"/>
      <c r="G792" s="247"/>
      <c r="H792" s="247"/>
      <c r="I792" s="247"/>
      <c r="J792" s="247"/>
      <c r="K792" s="247"/>
      <c r="L792" s="247"/>
      <c r="M792" s="247"/>
    </row>
    <row r="793">
      <c r="B793" s="247"/>
      <c r="C793" s="247"/>
      <c r="D793" s="247"/>
      <c r="E793" s="247"/>
      <c r="F793" s="247"/>
      <c r="G793" s="247"/>
      <c r="H793" s="247"/>
      <c r="I793" s="247"/>
      <c r="J793" s="247"/>
      <c r="K793" s="247"/>
      <c r="L793" s="247"/>
      <c r="M793" s="247"/>
    </row>
    <row r="794">
      <c r="B794" s="247"/>
      <c r="C794" s="247"/>
      <c r="D794" s="247"/>
      <c r="E794" s="247"/>
      <c r="F794" s="247"/>
      <c r="G794" s="247"/>
      <c r="H794" s="247"/>
      <c r="I794" s="247"/>
      <c r="J794" s="247"/>
      <c r="K794" s="247"/>
      <c r="L794" s="247"/>
      <c r="M794" s="247"/>
    </row>
    <row r="795">
      <c r="B795" s="247"/>
      <c r="C795" s="247"/>
      <c r="D795" s="247"/>
      <c r="E795" s="247"/>
      <c r="F795" s="247"/>
      <c r="G795" s="247"/>
      <c r="H795" s="247"/>
      <c r="I795" s="247"/>
      <c r="J795" s="247"/>
      <c r="K795" s="247"/>
      <c r="L795" s="247"/>
      <c r="M795" s="247"/>
    </row>
    <row r="796">
      <c r="B796" s="247"/>
      <c r="C796" s="247"/>
      <c r="D796" s="247"/>
      <c r="E796" s="247"/>
      <c r="F796" s="247"/>
      <c r="G796" s="247"/>
      <c r="H796" s="247"/>
      <c r="I796" s="247"/>
      <c r="J796" s="247"/>
      <c r="K796" s="247"/>
      <c r="L796" s="247"/>
      <c r="M796" s="247"/>
    </row>
    <row r="797">
      <c r="B797" s="247"/>
      <c r="C797" s="247"/>
      <c r="D797" s="247"/>
      <c r="E797" s="247"/>
      <c r="F797" s="247"/>
      <c r="G797" s="247"/>
      <c r="H797" s="247"/>
      <c r="I797" s="247"/>
      <c r="J797" s="247"/>
      <c r="K797" s="247"/>
      <c r="L797" s="247"/>
      <c r="M797" s="247"/>
    </row>
    <row r="798">
      <c r="B798" s="247"/>
      <c r="C798" s="247"/>
      <c r="D798" s="247"/>
      <c r="E798" s="247"/>
      <c r="F798" s="247"/>
      <c r="G798" s="247"/>
      <c r="H798" s="247"/>
      <c r="I798" s="247"/>
      <c r="J798" s="247"/>
      <c r="K798" s="247"/>
      <c r="L798" s="247"/>
      <c r="M798" s="247"/>
    </row>
    <row r="799">
      <c r="B799" s="247"/>
      <c r="C799" s="247"/>
      <c r="D799" s="247"/>
      <c r="E799" s="247"/>
      <c r="F799" s="247"/>
      <c r="G799" s="247"/>
      <c r="H799" s="247"/>
      <c r="I799" s="247"/>
      <c r="J799" s="247"/>
      <c r="K799" s="247"/>
      <c r="L799" s="247"/>
      <c r="M799" s="247"/>
    </row>
    <row r="800">
      <c r="B800" s="247"/>
      <c r="C800" s="247"/>
      <c r="D800" s="247"/>
      <c r="E800" s="247"/>
      <c r="F800" s="247"/>
      <c r="G800" s="247"/>
      <c r="H800" s="247"/>
      <c r="I800" s="247"/>
      <c r="J800" s="247"/>
      <c r="K800" s="247"/>
      <c r="L800" s="247"/>
      <c r="M800" s="247"/>
    </row>
    <row r="801">
      <c r="B801" s="247"/>
      <c r="C801" s="247"/>
      <c r="D801" s="247"/>
      <c r="E801" s="247"/>
      <c r="F801" s="247"/>
      <c r="G801" s="247"/>
      <c r="H801" s="247"/>
      <c r="I801" s="247"/>
      <c r="J801" s="247"/>
      <c r="K801" s="247"/>
      <c r="L801" s="247"/>
      <c r="M801" s="247"/>
    </row>
    <row r="802">
      <c r="B802" s="247"/>
      <c r="C802" s="247"/>
      <c r="D802" s="247"/>
      <c r="E802" s="247"/>
      <c r="F802" s="247"/>
      <c r="G802" s="247"/>
      <c r="H802" s="247"/>
      <c r="I802" s="247"/>
      <c r="J802" s="247"/>
      <c r="K802" s="247"/>
      <c r="L802" s="247"/>
      <c r="M802" s="247"/>
    </row>
    <row r="803">
      <c r="B803" s="247"/>
      <c r="C803" s="247"/>
      <c r="D803" s="247"/>
      <c r="E803" s="247"/>
      <c r="F803" s="247"/>
      <c r="G803" s="247"/>
      <c r="H803" s="247"/>
      <c r="I803" s="247"/>
      <c r="J803" s="247"/>
      <c r="K803" s="247"/>
      <c r="L803" s="247"/>
      <c r="M803" s="247"/>
    </row>
    <row r="804">
      <c r="B804" s="247"/>
      <c r="C804" s="247"/>
      <c r="D804" s="247"/>
      <c r="E804" s="247"/>
      <c r="F804" s="247"/>
      <c r="G804" s="247"/>
      <c r="H804" s="247"/>
      <c r="I804" s="247"/>
      <c r="J804" s="247"/>
      <c r="K804" s="247"/>
      <c r="L804" s="247"/>
      <c r="M804" s="247"/>
    </row>
    <row r="805">
      <c r="B805" s="247"/>
      <c r="C805" s="247"/>
      <c r="D805" s="247"/>
      <c r="E805" s="247"/>
      <c r="F805" s="247"/>
      <c r="G805" s="247"/>
      <c r="H805" s="247"/>
      <c r="I805" s="247"/>
      <c r="J805" s="247"/>
      <c r="K805" s="247"/>
      <c r="L805" s="247"/>
      <c r="M805" s="247"/>
    </row>
    <row r="806">
      <c r="B806" s="247"/>
      <c r="C806" s="247"/>
      <c r="D806" s="247"/>
      <c r="E806" s="247"/>
      <c r="F806" s="247"/>
      <c r="G806" s="247"/>
      <c r="H806" s="247"/>
      <c r="I806" s="247"/>
      <c r="J806" s="247"/>
      <c r="K806" s="247"/>
      <c r="L806" s="247"/>
      <c r="M806" s="247"/>
    </row>
    <row r="807">
      <c r="B807" s="247"/>
      <c r="C807" s="247"/>
      <c r="D807" s="247"/>
      <c r="E807" s="247"/>
      <c r="F807" s="247"/>
      <c r="G807" s="247"/>
      <c r="H807" s="247"/>
      <c r="I807" s="247"/>
      <c r="J807" s="247"/>
      <c r="K807" s="247"/>
      <c r="L807" s="247"/>
      <c r="M807" s="247"/>
    </row>
    <row r="808">
      <c r="B808" s="247"/>
      <c r="C808" s="247"/>
      <c r="D808" s="247"/>
      <c r="E808" s="247"/>
      <c r="F808" s="247"/>
      <c r="G808" s="247"/>
      <c r="H808" s="247"/>
      <c r="I808" s="247"/>
      <c r="J808" s="247"/>
      <c r="K808" s="247"/>
      <c r="L808" s="247"/>
      <c r="M808" s="247"/>
    </row>
    <row r="809">
      <c r="B809" s="247"/>
      <c r="C809" s="247"/>
      <c r="D809" s="247"/>
      <c r="E809" s="247"/>
      <c r="F809" s="247"/>
      <c r="G809" s="247"/>
      <c r="H809" s="247"/>
      <c r="I809" s="247"/>
      <c r="J809" s="247"/>
      <c r="K809" s="247"/>
      <c r="L809" s="247"/>
      <c r="M809" s="247"/>
    </row>
    <row r="810">
      <c r="B810" s="247"/>
      <c r="C810" s="247"/>
      <c r="D810" s="247"/>
      <c r="E810" s="247"/>
      <c r="F810" s="247"/>
      <c r="G810" s="247"/>
      <c r="H810" s="247"/>
      <c r="I810" s="247"/>
      <c r="J810" s="247"/>
      <c r="K810" s="247"/>
      <c r="L810" s="247"/>
      <c r="M810" s="247"/>
    </row>
    <row r="811">
      <c r="B811" s="247"/>
      <c r="C811" s="247"/>
      <c r="D811" s="247"/>
      <c r="E811" s="247"/>
      <c r="F811" s="247"/>
      <c r="G811" s="247"/>
      <c r="H811" s="247"/>
      <c r="I811" s="247"/>
      <c r="J811" s="247"/>
      <c r="K811" s="247"/>
      <c r="L811" s="247"/>
      <c r="M811" s="247"/>
    </row>
    <row r="812">
      <c r="B812" s="247"/>
      <c r="C812" s="247"/>
      <c r="D812" s="247"/>
      <c r="E812" s="247"/>
      <c r="F812" s="247"/>
      <c r="G812" s="247"/>
      <c r="H812" s="247"/>
      <c r="I812" s="247"/>
      <c r="J812" s="247"/>
      <c r="K812" s="247"/>
      <c r="L812" s="247"/>
      <c r="M812" s="247"/>
    </row>
    <row r="813">
      <c r="B813" s="247"/>
      <c r="C813" s="247"/>
      <c r="D813" s="247"/>
      <c r="E813" s="247"/>
      <c r="F813" s="247"/>
      <c r="G813" s="247"/>
      <c r="H813" s="247"/>
      <c r="I813" s="247"/>
      <c r="J813" s="247"/>
      <c r="K813" s="247"/>
      <c r="L813" s="247"/>
      <c r="M813" s="247"/>
    </row>
    <row r="814">
      <c r="B814" s="247"/>
      <c r="C814" s="247"/>
      <c r="D814" s="247"/>
      <c r="E814" s="247"/>
      <c r="F814" s="247"/>
      <c r="G814" s="247"/>
      <c r="H814" s="247"/>
      <c r="I814" s="247"/>
      <c r="J814" s="247"/>
      <c r="K814" s="247"/>
      <c r="L814" s="247"/>
      <c r="M814" s="247"/>
    </row>
    <row r="815">
      <c r="B815" s="247"/>
      <c r="C815" s="247"/>
      <c r="D815" s="247"/>
      <c r="E815" s="247"/>
      <c r="F815" s="247"/>
      <c r="G815" s="247"/>
      <c r="H815" s="247"/>
      <c r="I815" s="247"/>
      <c r="J815" s="247"/>
      <c r="K815" s="247"/>
      <c r="L815" s="247"/>
      <c r="M815" s="247"/>
    </row>
    <row r="816">
      <c r="B816" s="247"/>
      <c r="C816" s="247"/>
      <c r="D816" s="247"/>
      <c r="E816" s="247"/>
      <c r="F816" s="247"/>
      <c r="G816" s="247"/>
      <c r="H816" s="247"/>
      <c r="I816" s="247"/>
      <c r="J816" s="247"/>
      <c r="K816" s="247"/>
      <c r="L816" s="247"/>
      <c r="M816" s="247"/>
    </row>
    <row r="817">
      <c r="B817" s="247"/>
      <c r="C817" s="247"/>
      <c r="D817" s="247"/>
      <c r="E817" s="247"/>
      <c r="F817" s="247"/>
      <c r="G817" s="247"/>
      <c r="H817" s="247"/>
      <c r="I817" s="247"/>
      <c r="J817" s="247"/>
      <c r="K817" s="247"/>
      <c r="L817" s="247"/>
      <c r="M817" s="247"/>
    </row>
    <row r="818">
      <c r="B818" s="247"/>
      <c r="C818" s="247"/>
      <c r="D818" s="247"/>
      <c r="E818" s="247"/>
      <c r="F818" s="247"/>
      <c r="G818" s="247"/>
      <c r="H818" s="247"/>
      <c r="I818" s="247"/>
      <c r="J818" s="247"/>
      <c r="K818" s="247"/>
      <c r="L818" s="247"/>
      <c r="M818" s="247"/>
    </row>
    <row r="819">
      <c r="B819" s="247"/>
      <c r="C819" s="247"/>
      <c r="D819" s="247"/>
      <c r="E819" s="247"/>
      <c r="F819" s="247"/>
      <c r="G819" s="247"/>
      <c r="H819" s="247"/>
      <c r="I819" s="247"/>
      <c r="J819" s="247"/>
      <c r="K819" s="247"/>
      <c r="L819" s="247"/>
      <c r="M819" s="247"/>
    </row>
    <row r="820">
      <c r="B820" s="247"/>
      <c r="C820" s="247"/>
      <c r="D820" s="247"/>
      <c r="E820" s="247"/>
      <c r="F820" s="247"/>
      <c r="G820" s="247"/>
      <c r="H820" s="247"/>
      <c r="I820" s="247"/>
      <c r="J820" s="247"/>
      <c r="K820" s="247"/>
      <c r="L820" s="247"/>
      <c r="M820" s="247"/>
    </row>
    <row r="821">
      <c r="B821" s="247"/>
      <c r="C821" s="247"/>
      <c r="D821" s="247"/>
      <c r="E821" s="247"/>
      <c r="F821" s="247"/>
      <c r="G821" s="247"/>
      <c r="H821" s="247"/>
      <c r="I821" s="247"/>
      <c r="J821" s="247"/>
      <c r="K821" s="247"/>
      <c r="L821" s="247"/>
      <c r="M821" s="247"/>
    </row>
    <row r="822">
      <c r="B822" s="247"/>
      <c r="C822" s="247"/>
      <c r="D822" s="247"/>
      <c r="E822" s="247"/>
      <c r="F822" s="247"/>
      <c r="G822" s="247"/>
      <c r="H822" s="247"/>
      <c r="I822" s="247"/>
      <c r="J822" s="247"/>
      <c r="K822" s="247"/>
      <c r="L822" s="247"/>
      <c r="M822" s="247"/>
    </row>
    <row r="823">
      <c r="B823" s="247"/>
      <c r="C823" s="247"/>
      <c r="D823" s="247"/>
      <c r="E823" s="247"/>
      <c r="F823" s="247"/>
      <c r="G823" s="247"/>
      <c r="H823" s="247"/>
      <c r="I823" s="247"/>
      <c r="J823" s="247"/>
      <c r="K823" s="247"/>
      <c r="L823" s="247"/>
      <c r="M823" s="247"/>
    </row>
    <row r="824">
      <c r="B824" s="247"/>
      <c r="C824" s="247"/>
      <c r="D824" s="247"/>
      <c r="E824" s="247"/>
      <c r="F824" s="247"/>
      <c r="G824" s="247"/>
      <c r="H824" s="247"/>
      <c r="I824" s="247"/>
      <c r="J824" s="247"/>
      <c r="K824" s="247"/>
      <c r="L824" s="247"/>
      <c r="M824" s="247"/>
    </row>
    <row r="825">
      <c r="B825" s="247"/>
      <c r="C825" s="247"/>
      <c r="D825" s="247"/>
      <c r="E825" s="247"/>
      <c r="F825" s="247"/>
      <c r="G825" s="247"/>
      <c r="H825" s="247"/>
      <c r="I825" s="247"/>
      <c r="J825" s="247"/>
      <c r="K825" s="247"/>
      <c r="L825" s="247"/>
      <c r="M825" s="247"/>
    </row>
    <row r="826">
      <c r="B826" s="247"/>
      <c r="C826" s="247"/>
      <c r="D826" s="247"/>
      <c r="E826" s="247"/>
      <c r="F826" s="247"/>
      <c r="G826" s="247"/>
      <c r="H826" s="247"/>
      <c r="I826" s="247"/>
      <c r="J826" s="247"/>
      <c r="K826" s="247"/>
      <c r="L826" s="247"/>
      <c r="M826" s="247"/>
    </row>
    <row r="827">
      <c r="B827" s="247"/>
      <c r="C827" s="247"/>
      <c r="D827" s="247"/>
      <c r="E827" s="247"/>
      <c r="F827" s="247"/>
      <c r="G827" s="247"/>
      <c r="H827" s="247"/>
      <c r="I827" s="247"/>
      <c r="J827" s="247"/>
      <c r="K827" s="247"/>
      <c r="L827" s="247"/>
      <c r="M827" s="247"/>
    </row>
    <row r="828">
      <c r="B828" s="247"/>
      <c r="C828" s="247"/>
      <c r="D828" s="247"/>
      <c r="E828" s="247"/>
      <c r="F828" s="247"/>
      <c r="G828" s="247"/>
      <c r="H828" s="247"/>
      <c r="I828" s="247"/>
      <c r="J828" s="247"/>
      <c r="K828" s="247"/>
      <c r="L828" s="247"/>
      <c r="M828" s="247"/>
    </row>
    <row r="829">
      <c r="B829" s="247"/>
      <c r="C829" s="247"/>
      <c r="D829" s="247"/>
      <c r="E829" s="247"/>
      <c r="F829" s="247"/>
      <c r="G829" s="247"/>
      <c r="H829" s="247"/>
      <c r="I829" s="247"/>
      <c r="J829" s="247"/>
      <c r="K829" s="247"/>
      <c r="L829" s="247"/>
      <c r="M829" s="247"/>
    </row>
    <row r="830">
      <c r="B830" s="247"/>
      <c r="C830" s="247"/>
      <c r="D830" s="247"/>
      <c r="E830" s="247"/>
      <c r="F830" s="247"/>
      <c r="G830" s="247"/>
      <c r="H830" s="247"/>
      <c r="I830" s="247"/>
      <c r="J830" s="247"/>
      <c r="K830" s="247"/>
      <c r="L830" s="247"/>
      <c r="M830" s="247"/>
    </row>
    <row r="831">
      <c r="B831" s="247"/>
      <c r="C831" s="247"/>
      <c r="D831" s="247"/>
      <c r="E831" s="247"/>
      <c r="F831" s="247"/>
      <c r="G831" s="247"/>
      <c r="H831" s="247"/>
      <c r="I831" s="247"/>
      <c r="J831" s="247"/>
      <c r="K831" s="247"/>
      <c r="L831" s="247"/>
      <c r="M831" s="247"/>
    </row>
    <row r="832">
      <c r="B832" s="247"/>
      <c r="C832" s="247"/>
      <c r="D832" s="247"/>
      <c r="E832" s="247"/>
      <c r="F832" s="247"/>
      <c r="G832" s="247"/>
      <c r="H832" s="247"/>
      <c r="I832" s="247"/>
      <c r="J832" s="247"/>
      <c r="K832" s="247"/>
      <c r="L832" s="247"/>
      <c r="M832" s="247"/>
    </row>
    <row r="833">
      <c r="B833" s="247"/>
      <c r="C833" s="247"/>
      <c r="D833" s="247"/>
      <c r="E833" s="247"/>
      <c r="F833" s="247"/>
      <c r="G833" s="247"/>
      <c r="H833" s="247"/>
      <c r="I833" s="247"/>
      <c r="J833" s="247"/>
      <c r="K833" s="247"/>
      <c r="L833" s="247"/>
      <c r="M833" s="247"/>
    </row>
    <row r="834">
      <c r="B834" s="247"/>
      <c r="C834" s="247"/>
      <c r="D834" s="247"/>
      <c r="E834" s="247"/>
      <c r="F834" s="247"/>
      <c r="G834" s="247"/>
      <c r="H834" s="247"/>
      <c r="I834" s="247"/>
      <c r="J834" s="247"/>
      <c r="K834" s="247"/>
      <c r="L834" s="247"/>
      <c r="M834" s="247"/>
    </row>
    <row r="835">
      <c r="B835" s="247"/>
      <c r="C835" s="247"/>
      <c r="D835" s="247"/>
      <c r="E835" s="247"/>
      <c r="F835" s="247"/>
      <c r="G835" s="247"/>
      <c r="H835" s="247"/>
      <c r="I835" s="247"/>
      <c r="J835" s="247"/>
      <c r="K835" s="247"/>
      <c r="L835" s="247"/>
      <c r="M835" s="247"/>
    </row>
    <row r="836">
      <c r="B836" s="247"/>
      <c r="C836" s="247"/>
      <c r="D836" s="247"/>
      <c r="E836" s="247"/>
      <c r="F836" s="247"/>
      <c r="G836" s="247"/>
      <c r="H836" s="247"/>
      <c r="I836" s="247"/>
      <c r="J836" s="247"/>
      <c r="K836" s="247"/>
      <c r="L836" s="247"/>
      <c r="M836" s="247"/>
    </row>
    <row r="837">
      <c r="B837" s="247"/>
      <c r="C837" s="247"/>
      <c r="D837" s="247"/>
      <c r="E837" s="247"/>
      <c r="F837" s="247"/>
      <c r="G837" s="247"/>
      <c r="H837" s="247"/>
      <c r="I837" s="247"/>
      <c r="J837" s="247"/>
      <c r="K837" s="247"/>
      <c r="L837" s="247"/>
      <c r="M837" s="247"/>
    </row>
    <row r="838">
      <c r="B838" s="247"/>
      <c r="C838" s="247"/>
      <c r="D838" s="247"/>
      <c r="E838" s="247"/>
      <c r="F838" s="247"/>
      <c r="G838" s="247"/>
      <c r="H838" s="247"/>
      <c r="I838" s="247"/>
      <c r="J838" s="247"/>
      <c r="K838" s="247"/>
      <c r="L838" s="247"/>
      <c r="M838" s="247"/>
    </row>
    <row r="839">
      <c r="B839" s="247"/>
      <c r="C839" s="247"/>
      <c r="D839" s="247"/>
      <c r="E839" s="247"/>
      <c r="F839" s="247"/>
      <c r="G839" s="247"/>
      <c r="H839" s="247"/>
      <c r="I839" s="247"/>
      <c r="J839" s="247"/>
      <c r="K839" s="247"/>
      <c r="L839" s="247"/>
      <c r="M839" s="247"/>
    </row>
    <row r="840">
      <c r="B840" s="247"/>
      <c r="C840" s="247"/>
      <c r="D840" s="247"/>
      <c r="E840" s="247"/>
      <c r="F840" s="247"/>
      <c r="G840" s="247"/>
      <c r="H840" s="247"/>
      <c r="I840" s="247"/>
      <c r="J840" s="247"/>
      <c r="K840" s="247"/>
      <c r="L840" s="247"/>
      <c r="M840" s="247"/>
    </row>
    <row r="841">
      <c r="B841" s="247"/>
      <c r="C841" s="247"/>
      <c r="D841" s="247"/>
      <c r="E841" s="247"/>
      <c r="F841" s="247"/>
      <c r="G841" s="247"/>
      <c r="H841" s="247"/>
      <c r="I841" s="247"/>
      <c r="J841" s="247"/>
      <c r="K841" s="247"/>
      <c r="L841" s="247"/>
      <c r="M841" s="247"/>
    </row>
    <row r="842">
      <c r="B842" s="247"/>
      <c r="C842" s="247"/>
      <c r="D842" s="247"/>
      <c r="E842" s="247"/>
      <c r="F842" s="247"/>
      <c r="G842" s="247"/>
      <c r="H842" s="247"/>
      <c r="I842" s="247"/>
      <c r="J842" s="247"/>
      <c r="K842" s="247"/>
      <c r="L842" s="247"/>
      <c r="M842" s="247"/>
    </row>
    <row r="843">
      <c r="B843" s="247"/>
      <c r="C843" s="247"/>
      <c r="D843" s="247"/>
      <c r="E843" s="247"/>
      <c r="F843" s="247"/>
      <c r="G843" s="247"/>
      <c r="H843" s="247"/>
      <c r="I843" s="247"/>
      <c r="J843" s="247"/>
      <c r="K843" s="247"/>
      <c r="L843" s="247"/>
      <c r="M843" s="247"/>
    </row>
    <row r="844">
      <c r="B844" s="247"/>
      <c r="C844" s="247"/>
      <c r="D844" s="247"/>
      <c r="E844" s="247"/>
      <c r="F844" s="247"/>
      <c r="G844" s="247"/>
      <c r="H844" s="247"/>
      <c r="I844" s="247"/>
      <c r="J844" s="247"/>
      <c r="K844" s="247"/>
      <c r="L844" s="247"/>
      <c r="M844" s="247"/>
    </row>
    <row r="845">
      <c r="B845" s="247"/>
      <c r="C845" s="247"/>
      <c r="D845" s="247"/>
      <c r="E845" s="247"/>
      <c r="F845" s="247"/>
      <c r="G845" s="247"/>
      <c r="H845" s="247"/>
      <c r="I845" s="247"/>
      <c r="J845" s="247"/>
      <c r="K845" s="247"/>
      <c r="L845" s="247"/>
      <c r="M845" s="247"/>
    </row>
    <row r="846">
      <c r="B846" s="247"/>
      <c r="C846" s="247"/>
      <c r="D846" s="247"/>
      <c r="E846" s="247"/>
      <c r="F846" s="247"/>
      <c r="G846" s="247"/>
      <c r="H846" s="247"/>
      <c r="I846" s="247"/>
      <c r="J846" s="247"/>
      <c r="K846" s="247"/>
      <c r="L846" s="247"/>
      <c r="M846" s="247"/>
    </row>
    <row r="847">
      <c r="B847" s="247"/>
      <c r="C847" s="247"/>
      <c r="D847" s="247"/>
      <c r="E847" s="247"/>
      <c r="F847" s="247"/>
      <c r="G847" s="247"/>
      <c r="H847" s="247"/>
      <c r="I847" s="247"/>
      <c r="J847" s="247"/>
      <c r="K847" s="247"/>
      <c r="L847" s="247"/>
      <c r="M847" s="247"/>
    </row>
    <row r="848">
      <c r="B848" s="247"/>
      <c r="C848" s="247"/>
      <c r="D848" s="247"/>
      <c r="E848" s="247"/>
      <c r="F848" s="247"/>
      <c r="G848" s="247"/>
      <c r="H848" s="247"/>
      <c r="I848" s="247"/>
      <c r="J848" s="247"/>
      <c r="K848" s="247"/>
      <c r="L848" s="247"/>
      <c r="M848" s="247"/>
    </row>
    <row r="849">
      <c r="B849" s="247"/>
      <c r="C849" s="247"/>
      <c r="D849" s="247"/>
      <c r="E849" s="247"/>
      <c r="F849" s="247"/>
      <c r="G849" s="247"/>
      <c r="H849" s="247"/>
      <c r="I849" s="247"/>
      <c r="J849" s="247"/>
      <c r="K849" s="247"/>
      <c r="L849" s="247"/>
      <c r="M849" s="247"/>
    </row>
    <row r="850">
      <c r="B850" s="247"/>
      <c r="C850" s="247"/>
      <c r="D850" s="247"/>
      <c r="E850" s="247"/>
      <c r="F850" s="247"/>
      <c r="G850" s="247"/>
      <c r="H850" s="247"/>
      <c r="I850" s="247"/>
      <c r="J850" s="247"/>
      <c r="K850" s="247"/>
      <c r="L850" s="247"/>
      <c r="M850" s="247"/>
    </row>
    <row r="851">
      <c r="B851" s="247"/>
      <c r="C851" s="247"/>
      <c r="D851" s="247"/>
      <c r="E851" s="247"/>
      <c r="F851" s="247"/>
      <c r="G851" s="247"/>
      <c r="H851" s="247"/>
      <c r="I851" s="247"/>
      <c r="J851" s="247"/>
      <c r="K851" s="247"/>
      <c r="L851" s="247"/>
      <c r="M851" s="247"/>
    </row>
    <row r="852">
      <c r="B852" s="247"/>
      <c r="C852" s="247"/>
      <c r="D852" s="247"/>
      <c r="E852" s="247"/>
      <c r="F852" s="247"/>
      <c r="G852" s="247"/>
      <c r="H852" s="247"/>
      <c r="I852" s="247"/>
      <c r="J852" s="247"/>
      <c r="K852" s="247"/>
      <c r="L852" s="247"/>
      <c r="M852" s="247"/>
    </row>
    <row r="853">
      <c r="B853" s="247"/>
      <c r="C853" s="247"/>
      <c r="D853" s="247"/>
      <c r="E853" s="247"/>
      <c r="F853" s="247"/>
      <c r="G853" s="247"/>
      <c r="H853" s="247"/>
      <c r="I853" s="247"/>
      <c r="J853" s="247"/>
      <c r="K853" s="247"/>
      <c r="L853" s="247"/>
      <c r="M853" s="247"/>
    </row>
    <row r="854">
      <c r="B854" s="247"/>
      <c r="C854" s="247"/>
      <c r="D854" s="247"/>
      <c r="E854" s="247"/>
      <c r="F854" s="247"/>
      <c r="G854" s="247"/>
      <c r="H854" s="247"/>
      <c r="I854" s="247"/>
      <c r="J854" s="247"/>
      <c r="K854" s="247"/>
      <c r="L854" s="247"/>
      <c r="M854" s="247"/>
    </row>
    <row r="855">
      <c r="B855" s="247"/>
      <c r="C855" s="247"/>
      <c r="D855" s="247"/>
      <c r="E855" s="247"/>
      <c r="F855" s="247"/>
      <c r="G855" s="247"/>
      <c r="H855" s="247"/>
      <c r="I855" s="247"/>
      <c r="J855" s="247"/>
      <c r="K855" s="247"/>
      <c r="L855" s="247"/>
      <c r="M855" s="247"/>
    </row>
    <row r="856">
      <c r="B856" s="247"/>
      <c r="C856" s="247"/>
      <c r="D856" s="247"/>
      <c r="E856" s="247"/>
      <c r="F856" s="247"/>
      <c r="G856" s="247"/>
      <c r="H856" s="247"/>
      <c r="I856" s="247"/>
      <c r="J856" s="247"/>
      <c r="K856" s="247"/>
      <c r="L856" s="247"/>
      <c r="M856" s="247"/>
    </row>
    <row r="857">
      <c r="B857" s="247"/>
      <c r="C857" s="247"/>
      <c r="D857" s="247"/>
      <c r="E857" s="247"/>
      <c r="F857" s="247"/>
      <c r="G857" s="247"/>
      <c r="H857" s="247"/>
      <c r="I857" s="247"/>
      <c r="J857" s="247"/>
      <c r="K857" s="247"/>
      <c r="L857" s="247"/>
      <c r="M857" s="247"/>
    </row>
    <row r="858">
      <c r="B858" s="247"/>
      <c r="C858" s="247"/>
      <c r="D858" s="247"/>
      <c r="E858" s="247"/>
      <c r="F858" s="247"/>
      <c r="G858" s="247"/>
      <c r="H858" s="247"/>
      <c r="I858" s="247"/>
      <c r="J858" s="247"/>
      <c r="K858" s="247"/>
      <c r="L858" s="247"/>
      <c r="M858" s="247"/>
    </row>
    <row r="859">
      <c r="B859" s="247"/>
      <c r="C859" s="247"/>
      <c r="D859" s="247"/>
      <c r="E859" s="247"/>
      <c r="F859" s="247"/>
      <c r="G859" s="247"/>
      <c r="H859" s="247"/>
      <c r="I859" s="247"/>
      <c r="J859" s="247"/>
      <c r="K859" s="247"/>
      <c r="L859" s="247"/>
      <c r="M859" s="247"/>
    </row>
    <row r="860">
      <c r="B860" s="247"/>
      <c r="C860" s="247"/>
      <c r="D860" s="247"/>
      <c r="E860" s="247"/>
      <c r="F860" s="247"/>
      <c r="G860" s="247"/>
      <c r="H860" s="247"/>
      <c r="I860" s="247"/>
      <c r="J860" s="247"/>
      <c r="K860" s="247"/>
      <c r="L860" s="247"/>
      <c r="M860" s="247"/>
    </row>
    <row r="861">
      <c r="B861" s="247"/>
      <c r="C861" s="247"/>
      <c r="D861" s="247"/>
      <c r="E861" s="247"/>
      <c r="F861" s="247"/>
      <c r="G861" s="247"/>
      <c r="H861" s="247"/>
      <c r="I861" s="247"/>
      <c r="J861" s="247"/>
      <c r="K861" s="247"/>
      <c r="L861" s="247"/>
      <c r="M861" s="247"/>
    </row>
    <row r="862">
      <c r="B862" s="247"/>
      <c r="C862" s="247"/>
      <c r="D862" s="247"/>
      <c r="E862" s="247"/>
      <c r="F862" s="247"/>
      <c r="G862" s="247"/>
      <c r="H862" s="247"/>
      <c r="I862" s="247"/>
      <c r="J862" s="247"/>
      <c r="K862" s="247"/>
      <c r="L862" s="247"/>
      <c r="M862" s="247"/>
    </row>
    <row r="863">
      <c r="B863" s="247"/>
      <c r="C863" s="247"/>
      <c r="D863" s="247"/>
      <c r="E863" s="247"/>
      <c r="F863" s="247"/>
      <c r="G863" s="247"/>
      <c r="H863" s="247"/>
      <c r="I863" s="247"/>
      <c r="J863" s="247"/>
      <c r="K863" s="247"/>
      <c r="L863" s="247"/>
      <c r="M863" s="247"/>
    </row>
    <row r="864">
      <c r="B864" s="247"/>
      <c r="C864" s="247"/>
      <c r="D864" s="247"/>
      <c r="E864" s="247"/>
      <c r="F864" s="247"/>
      <c r="G864" s="247"/>
      <c r="H864" s="247"/>
      <c r="I864" s="247"/>
      <c r="J864" s="247"/>
      <c r="K864" s="247"/>
      <c r="L864" s="247"/>
      <c r="M864" s="247"/>
    </row>
    <row r="865">
      <c r="B865" s="247"/>
      <c r="C865" s="247"/>
      <c r="D865" s="247"/>
      <c r="E865" s="247"/>
      <c r="F865" s="247"/>
      <c r="G865" s="247"/>
      <c r="H865" s="247"/>
      <c r="I865" s="247"/>
      <c r="J865" s="247"/>
      <c r="K865" s="247"/>
      <c r="L865" s="247"/>
      <c r="M865" s="247"/>
    </row>
    <row r="866">
      <c r="B866" s="247"/>
      <c r="C866" s="247"/>
      <c r="D866" s="247"/>
      <c r="E866" s="247"/>
      <c r="F866" s="247"/>
      <c r="G866" s="247"/>
      <c r="H866" s="247"/>
      <c r="I866" s="247"/>
      <c r="J866" s="247"/>
      <c r="K866" s="247"/>
      <c r="L866" s="247"/>
      <c r="M866" s="247"/>
    </row>
    <row r="867">
      <c r="B867" s="247"/>
      <c r="C867" s="247"/>
      <c r="D867" s="247"/>
      <c r="E867" s="247"/>
      <c r="F867" s="247"/>
      <c r="G867" s="247"/>
      <c r="H867" s="247"/>
      <c r="I867" s="247"/>
      <c r="J867" s="247"/>
      <c r="K867" s="247"/>
      <c r="L867" s="247"/>
      <c r="M867" s="247"/>
    </row>
    <row r="868">
      <c r="B868" s="247"/>
      <c r="C868" s="247"/>
      <c r="D868" s="247"/>
      <c r="E868" s="247"/>
      <c r="F868" s="247"/>
      <c r="G868" s="247"/>
      <c r="H868" s="247"/>
      <c r="I868" s="247"/>
      <c r="J868" s="247"/>
      <c r="K868" s="247"/>
      <c r="L868" s="247"/>
      <c r="M868" s="247"/>
    </row>
    <row r="869">
      <c r="B869" s="247"/>
      <c r="C869" s="247"/>
      <c r="D869" s="247"/>
      <c r="E869" s="247"/>
      <c r="F869" s="247"/>
      <c r="G869" s="247"/>
      <c r="H869" s="247"/>
      <c r="I869" s="247"/>
      <c r="J869" s="247"/>
      <c r="K869" s="247"/>
      <c r="L869" s="247"/>
      <c r="M869" s="247"/>
    </row>
    <row r="870">
      <c r="B870" s="247"/>
      <c r="C870" s="247"/>
      <c r="D870" s="247"/>
      <c r="E870" s="247"/>
      <c r="F870" s="247"/>
      <c r="G870" s="247"/>
      <c r="H870" s="247"/>
      <c r="I870" s="247"/>
      <c r="J870" s="247"/>
      <c r="K870" s="247"/>
      <c r="L870" s="247"/>
      <c r="M870" s="247"/>
    </row>
    <row r="871">
      <c r="B871" s="247"/>
      <c r="C871" s="247"/>
      <c r="D871" s="247"/>
      <c r="E871" s="247"/>
      <c r="F871" s="247"/>
      <c r="G871" s="247"/>
      <c r="H871" s="247"/>
      <c r="I871" s="247"/>
      <c r="J871" s="247"/>
      <c r="K871" s="247"/>
      <c r="L871" s="247"/>
      <c r="M871" s="247"/>
    </row>
    <row r="872">
      <c r="B872" s="247"/>
      <c r="C872" s="247"/>
      <c r="D872" s="247"/>
      <c r="E872" s="247"/>
      <c r="F872" s="247"/>
      <c r="G872" s="247"/>
      <c r="H872" s="247"/>
      <c r="I872" s="247"/>
      <c r="J872" s="247"/>
      <c r="K872" s="247"/>
      <c r="L872" s="247"/>
      <c r="M872" s="247"/>
    </row>
    <row r="873">
      <c r="B873" s="247"/>
      <c r="C873" s="247"/>
      <c r="D873" s="247"/>
      <c r="E873" s="247"/>
      <c r="F873" s="247"/>
      <c r="G873" s="247"/>
      <c r="H873" s="247"/>
      <c r="I873" s="247"/>
      <c r="J873" s="247"/>
      <c r="K873" s="247"/>
      <c r="L873" s="247"/>
      <c r="M873" s="247"/>
    </row>
    <row r="874">
      <c r="B874" s="247"/>
      <c r="C874" s="247"/>
      <c r="D874" s="247"/>
      <c r="E874" s="247"/>
      <c r="F874" s="247"/>
      <c r="G874" s="247"/>
      <c r="H874" s="247"/>
      <c r="I874" s="247"/>
      <c r="J874" s="247"/>
      <c r="K874" s="247"/>
      <c r="L874" s="247"/>
      <c r="M874" s="247"/>
    </row>
    <row r="875">
      <c r="B875" s="247"/>
      <c r="C875" s="247"/>
      <c r="D875" s="247"/>
      <c r="E875" s="247"/>
      <c r="F875" s="247"/>
      <c r="G875" s="247"/>
      <c r="H875" s="247"/>
      <c r="I875" s="247"/>
      <c r="J875" s="247"/>
      <c r="K875" s="247"/>
      <c r="L875" s="247"/>
      <c r="M875" s="247"/>
    </row>
    <row r="876">
      <c r="B876" s="247"/>
      <c r="C876" s="247"/>
      <c r="D876" s="247"/>
      <c r="E876" s="247"/>
      <c r="F876" s="247"/>
      <c r="G876" s="247"/>
      <c r="H876" s="247"/>
      <c r="I876" s="247"/>
      <c r="J876" s="247"/>
      <c r="K876" s="247"/>
      <c r="L876" s="247"/>
      <c r="M876" s="247"/>
    </row>
    <row r="877">
      <c r="B877" s="247"/>
      <c r="C877" s="247"/>
      <c r="D877" s="247"/>
      <c r="E877" s="247"/>
      <c r="F877" s="247"/>
      <c r="G877" s="247"/>
      <c r="H877" s="247"/>
      <c r="I877" s="247"/>
      <c r="J877" s="247"/>
      <c r="K877" s="247"/>
      <c r="L877" s="247"/>
      <c r="M877" s="247"/>
    </row>
    <row r="878">
      <c r="B878" s="247"/>
      <c r="C878" s="247"/>
      <c r="D878" s="247"/>
      <c r="E878" s="247"/>
      <c r="F878" s="247"/>
      <c r="G878" s="247"/>
      <c r="H878" s="247"/>
      <c r="I878" s="247"/>
      <c r="J878" s="247"/>
      <c r="K878" s="247"/>
      <c r="L878" s="247"/>
      <c r="M878" s="247"/>
    </row>
    <row r="879">
      <c r="B879" s="247"/>
      <c r="C879" s="247"/>
      <c r="D879" s="247"/>
      <c r="E879" s="247"/>
      <c r="F879" s="247"/>
      <c r="G879" s="247"/>
      <c r="H879" s="247"/>
      <c r="I879" s="247"/>
      <c r="J879" s="247"/>
      <c r="K879" s="247"/>
      <c r="L879" s="247"/>
      <c r="M879" s="247"/>
    </row>
    <row r="880">
      <c r="B880" s="247"/>
      <c r="C880" s="247"/>
      <c r="D880" s="247"/>
      <c r="E880" s="247"/>
      <c r="F880" s="247"/>
      <c r="G880" s="247"/>
      <c r="H880" s="247"/>
      <c r="I880" s="247"/>
      <c r="J880" s="247"/>
      <c r="K880" s="247"/>
      <c r="L880" s="247"/>
      <c r="M880" s="247"/>
    </row>
    <row r="881">
      <c r="B881" s="247"/>
      <c r="C881" s="247"/>
      <c r="D881" s="247"/>
      <c r="E881" s="247"/>
      <c r="F881" s="247"/>
      <c r="G881" s="247"/>
      <c r="H881" s="247"/>
      <c r="I881" s="247"/>
      <c r="J881" s="247"/>
      <c r="K881" s="247"/>
      <c r="L881" s="247"/>
      <c r="M881" s="247"/>
    </row>
    <row r="882">
      <c r="B882" s="247"/>
      <c r="C882" s="247"/>
      <c r="D882" s="247"/>
      <c r="E882" s="247"/>
      <c r="F882" s="247"/>
      <c r="G882" s="247"/>
      <c r="H882" s="247"/>
      <c r="I882" s="247"/>
      <c r="J882" s="247"/>
      <c r="K882" s="247"/>
      <c r="L882" s="247"/>
      <c r="M882" s="247"/>
    </row>
    <row r="883">
      <c r="B883" s="247"/>
      <c r="C883" s="247"/>
      <c r="D883" s="247"/>
      <c r="E883" s="247"/>
      <c r="F883" s="247"/>
      <c r="G883" s="247"/>
      <c r="H883" s="247"/>
      <c r="I883" s="247"/>
      <c r="J883" s="247"/>
      <c r="K883" s="247"/>
      <c r="L883" s="247"/>
      <c r="M883" s="247"/>
    </row>
    <row r="884">
      <c r="B884" s="247"/>
      <c r="C884" s="247"/>
      <c r="D884" s="247"/>
      <c r="E884" s="247"/>
      <c r="F884" s="247"/>
      <c r="G884" s="247"/>
      <c r="H884" s="247"/>
      <c r="I884" s="247"/>
      <c r="J884" s="247"/>
      <c r="K884" s="247"/>
      <c r="L884" s="247"/>
      <c r="M884" s="247"/>
    </row>
    <row r="885">
      <c r="B885" s="247"/>
      <c r="C885" s="247"/>
      <c r="D885" s="247"/>
      <c r="E885" s="247"/>
      <c r="F885" s="247"/>
      <c r="G885" s="247"/>
      <c r="H885" s="247"/>
      <c r="I885" s="247"/>
      <c r="J885" s="247"/>
      <c r="K885" s="247"/>
      <c r="L885" s="247"/>
      <c r="M885" s="247"/>
    </row>
    <row r="886">
      <c r="B886" s="247"/>
      <c r="C886" s="247"/>
      <c r="D886" s="247"/>
      <c r="E886" s="247"/>
      <c r="F886" s="247"/>
      <c r="G886" s="247"/>
      <c r="H886" s="247"/>
      <c r="I886" s="247"/>
      <c r="J886" s="247"/>
      <c r="K886" s="247"/>
      <c r="L886" s="247"/>
      <c r="M886" s="247"/>
    </row>
    <row r="887">
      <c r="B887" s="247"/>
      <c r="C887" s="247"/>
      <c r="D887" s="247"/>
      <c r="E887" s="247"/>
      <c r="F887" s="247"/>
      <c r="G887" s="247"/>
      <c r="H887" s="247"/>
      <c r="I887" s="247"/>
      <c r="J887" s="247"/>
      <c r="K887" s="247"/>
      <c r="L887" s="247"/>
      <c r="M887" s="247"/>
    </row>
    <row r="888">
      <c r="B888" s="247"/>
      <c r="C888" s="247"/>
      <c r="D888" s="247"/>
      <c r="E888" s="247"/>
      <c r="F888" s="247"/>
      <c r="G888" s="247"/>
      <c r="H888" s="247"/>
      <c r="I888" s="247"/>
      <c r="J888" s="247"/>
      <c r="K888" s="247"/>
      <c r="L888" s="247"/>
      <c r="M888" s="247"/>
    </row>
    <row r="889">
      <c r="B889" s="247"/>
      <c r="C889" s="247"/>
      <c r="D889" s="247"/>
      <c r="E889" s="247"/>
      <c r="F889" s="247"/>
      <c r="G889" s="247"/>
      <c r="H889" s="247"/>
      <c r="I889" s="247"/>
      <c r="J889" s="247"/>
      <c r="K889" s="247"/>
      <c r="L889" s="247"/>
      <c r="M889" s="247"/>
    </row>
    <row r="890">
      <c r="B890" s="247"/>
      <c r="C890" s="247"/>
      <c r="D890" s="247"/>
      <c r="E890" s="247"/>
      <c r="F890" s="247"/>
      <c r="G890" s="247"/>
      <c r="H890" s="247"/>
      <c r="I890" s="247"/>
      <c r="J890" s="247"/>
      <c r="K890" s="247"/>
      <c r="L890" s="247"/>
      <c r="M890" s="247"/>
    </row>
    <row r="891">
      <c r="B891" s="247"/>
      <c r="C891" s="247"/>
      <c r="D891" s="247"/>
      <c r="E891" s="247"/>
      <c r="F891" s="247"/>
      <c r="G891" s="247"/>
      <c r="H891" s="247"/>
      <c r="I891" s="247"/>
      <c r="J891" s="247"/>
      <c r="K891" s="247"/>
      <c r="L891" s="247"/>
      <c r="M891" s="247"/>
    </row>
    <row r="892">
      <c r="B892" s="247"/>
      <c r="C892" s="247"/>
      <c r="D892" s="247"/>
      <c r="E892" s="247"/>
      <c r="F892" s="247"/>
      <c r="G892" s="247"/>
      <c r="H892" s="247"/>
      <c r="I892" s="247"/>
      <c r="J892" s="247"/>
      <c r="K892" s="247"/>
      <c r="L892" s="247"/>
      <c r="M892" s="247"/>
    </row>
    <row r="893">
      <c r="B893" s="247"/>
      <c r="C893" s="247"/>
      <c r="D893" s="247"/>
      <c r="E893" s="247"/>
      <c r="F893" s="247"/>
      <c r="G893" s="247"/>
      <c r="H893" s="247"/>
      <c r="I893" s="247"/>
      <c r="J893" s="247"/>
      <c r="K893" s="247"/>
      <c r="L893" s="247"/>
      <c r="M893" s="247"/>
    </row>
    <row r="894">
      <c r="B894" s="247"/>
      <c r="C894" s="247"/>
      <c r="D894" s="247"/>
      <c r="E894" s="247"/>
      <c r="F894" s="247"/>
      <c r="G894" s="247"/>
      <c r="H894" s="247"/>
      <c r="I894" s="247"/>
      <c r="J894" s="247"/>
      <c r="K894" s="247"/>
      <c r="L894" s="247"/>
      <c r="M894" s="247"/>
    </row>
    <row r="895">
      <c r="B895" s="247"/>
      <c r="C895" s="247"/>
      <c r="D895" s="247"/>
      <c r="E895" s="247"/>
      <c r="F895" s="247"/>
      <c r="G895" s="247"/>
      <c r="H895" s="247"/>
      <c r="I895" s="247"/>
      <c r="J895" s="247"/>
      <c r="K895" s="247"/>
      <c r="L895" s="247"/>
      <c r="M895" s="247"/>
    </row>
    <row r="896">
      <c r="B896" s="247"/>
      <c r="C896" s="247"/>
      <c r="D896" s="247"/>
      <c r="E896" s="247"/>
      <c r="F896" s="247"/>
      <c r="G896" s="247"/>
      <c r="H896" s="247"/>
      <c r="I896" s="247"/>
      <c r="J896" s="247"/>
      <c r="K896" s="247"/>
      <c r="L896" s="247"/>
      <c r="M896" s="247"/>
    </row>
    <row r="897">
      <c r="B897" s="247"/>
      <c r="C897" s="247"/>
      <c r="D897" s="247"/>
      <c r="E897" s="247"/>
      <c r="F897" s="247"/>
      <c r="G897" s="247"/>
      <c r="H897" s="247"/>
      <c r="I897" s="247"/>
      <c r="J897" s="247"/>
      <c r="K897" s="247"/>
      <c r="L897" s="247"/>
      <c r="M897" s="247"/>
    </row>
    <row r="898">
      <c r="B898" s="247"/>
      <c r="C898" s="247"/>
      <c r="D898" s="247"/>
      <c r="E898" s="247"/>
      <c r="F898" s="247"/>
      <c r="G898" s="247"/>
      <c r="H898" s="247"/>
      <c r="I898" s="247"/>
      <c r="J898" s="247"/>
      <c r="K898" s="247"/>
      <c r="L898" s="247"/>
      <c r="M898" s="247"/>
    </row>
    <row r="899">
      <c r="B899" s="247"/>
      <c r="C899" s="247"/>
      <c r="D899" s="247"/>
      <c r="E899" s="247"/>
      <c r="F899" s="247"/>
      <c r="G899" s="247"/>
      <c r="H899" s="247"/>
      <c r="I899" s="247"/>
      <c r="J899" s="247"/>
      <c r="K899" s="247"/>
      <c r="L899" s="247"/>
      <c r="M899" s="247"/>
    </row>
    <row r="900">
      <c r="B900" s="247"/>
      <c r="C900" s="247"/>
      <c r="D900" s="247"/>
      <c r="E900" s="247"/>
      <c r="F900" s="247"/>
      <c r="G900" s="247"/>
      <c r="H900" s="247"/>
      <c r="I900" s="247"/>
      <c r="J900" s="247"/>
      <c r="K900" s="247"/>
      <c r="L900" s="247"/>
      <c r="M900" s="247"/>
    </row>
    <row r="901">
      <c r="B901" s="247"/>
      <c r="C901" s="247"/>
      <c r="D901" s="247"/>
      <c r="E901" s="247"/>
      <c r="F901" s="247"/>
      <c r="G901" s="247"/>
      <c r="H901" s="247"/>
      <c r="I901" s="247"/>
      <c r="J901" s="247"/>
      <c r="K901" s="247"/>
      <c r="L901" s="247"/>
      <c r="M901" s="247"/>
    </row>
    <row r="902">
      <c r="B902" s="247"/>
      <c r="C902" s="247"/>
      <c r="D902" s="247"/>
      <c r="E902" s="247"/>
      <c r="F902" s="247"/>
      <c r="G902" s="247"/>
      <c r="H902" s="247"/>
      <c r="I902" s="247"/>
      <c r="J902" s="247"/>
      <c r="K902" s="247"/>
      <c r="L902" s="247"/>
      <c r="M902" s="247"/>
    </row>
    <row r="903">
      <c r="B903" s="247"/>
      <c r="C903" s="247"/>
      <c r="D903" s="247"/>
      <c r="E903" s="247"/>
      <c r="F903" s="247"/>
      <c r="G903" s="247"/>
      <c r="H903" s="247"/>
      <c r="I903" s="247"/>
      <c r="J903" s="247"/>
      <c r="K903" s="247"/>
      <c r="L903" s="247"/>
      <c r="M903" s="247"/>
    </row>
    <row r="904">
      <c r="B904" s="247"/>
      <c r="C904" s="247"/>
      <c r="D904" s="247"/>
      <c r="E904" s="247"/>
      <c r="F904" s="247"/>
      <c r="G904" s="247"/>
      <c r="H904" s="247"/>
      <c r="I904" s="247"/>
      <c r="J904" s="247"/>
      <c r="K904" s="247"/>
      <c r="L904" s="247"/>
      <c r="M904" s="247"/>
    </row>
    <row r="905">
      <c r="B905" s="247"/>
      <c r="C905" s="247"/>
      <c r="D905" s="247"/>
      <c r="E905" s="247"/>
      <c r="F905" s="247"/>
      <c r="G905" s="247"/>
      <c r="H905" s="247"/>
      <c r="I905" s="247"/>
      <c r="J905" s="247"/>
      <c r="K905" s="247"/>
      <c r="L905" s="247"/>
      <c r="M905" s="247"/>
    </row>
    <row r="906">
      <c r="B906" s="247"/>
      <c r="C906" s="247"/>
      <c r="D906" s="247"/>
      <c r="E906" s="247"/>
      <c r="F906" s="247"/>
      <c r="G906" s="247"/>
      <c r="H906" s="247"/>
      <c r="I906" s="247"/>
      <c r="J906" s="247"/>
      <c r="K906" s="247"/>
      <c r="L906" s="247"/>
      <c r="M906" s="247"/>
    </row>
    <row r="907">
      <c r="B907" s="247"/>
      <c r="C907" s="247"/>
      <c r="D907" s="247"/>
      <c r="E907" s="247"/>
      <c r="F907" s="247"/>
      <c r="G907" s="247"/>
      <c r="H907" s="247"/>
      <c r="I907" s="247"/>
      <c r="J907" s="247"/>
      <c r="K907" s="247"/>
      <c r="L907" s="247"/>
      <c r="M907" s="247"/>
    </row>
    <row r="908">
      <c r="B908" s="247"/>
      <c r="C908" s="247"/>
      <c r="D908" s="247"/>
      <c r="E908" s="247"/>
      <c r="F908" s="247"/>
      <c r="G908" s="247"/>
      <c r="H908" s="247"/>
      <c r="I908" s="247"/>
      <c r="J908" s="247"/>
      <c r="K908" s="247"/>
      <c r="L908" s="247"/>
      <c r="M908" s="247"/>
    </row>
    <row r="909">
      <c r="B909" s="247"/>
      <c r="C909" s="247"/>
      <c r="D909" s="247"/>
      <c r="E909" s="247"/>
      <c r="F909" s="247"/>
      <c r="G909" s="247"/>
      <c r="H909" s="247"/>
      <c r="I909" s="247"/>
      <c r="J909" s="247"/>
      <c r="K909" s="247"/>
      <c r="L909" s="247"/>
      <c r="M909" s="247"/>
    </row>
    <row r="910">
      <c r="B910" s="247"/>
      <c r="C910" s="247"/>
      <c r="D910" s="247"/>
      <c r="E910" s="247"/>
      <c r="F910" s="247"/>
      <c r="G910" s="247"/>
      <c r="H910" s="247"/>
      <c r="I910" s="247"/>
      <c r="J910" s="247"/>
      <c r="K910" s="247"/>
      <c r="L910" s="247"/>
      <c r="M910" s="247"/>
    </row>
    <row r="911">
      <c r="B911" s="247"/>
      <c r="C911" s="247"/>
      <c r="D911" s="247"/>
      <c r="E911" s="247"/>
      <c r="F911" s="247"/>
      <c r="G911" s="247"/>
      <c r="H911" s="247"/>
      <c r="I911" s="247"/>
      <c r="J911" s="247"/>
      <c r="K911" s="247"/>
      <c r="L911" s="247"/>
      <c r="M911" s="247"/>
    </row>
    <row r="912">
      <c r="B912" s="247"/>
      <c r="C912" s="247"/>
      <c r="D912" s="247"/>
      <c r="E912" s="247"/>
      <c r="F912" s="247"/>
      <c r="G912" s="247"/>
      <c r="H912" s="247"/>
      <c r="I912" s="247"/>
      <c r="J912" s="247"/>
      <c r="K912" s="247"/>
      <c r="L912" s="247"/>
      <c r="M912" s="247"/>
    </row>
    <row r="913">
      <c r="B913" s="247"/>
      <c r="C913" s="247"/>
      <c r="D913" s="247"/>
      <c r="E913" s="247"/>
      <c r="F913" s="247"/>
      <c r="G913" s="247"/>
      <c r="H913" s="247"/>
      <c r="I913" s="247"/>
      <c r="J913" s="247"/>
      <c r="K913" s="247"/>
      <c r="L913" s="247"/>
      <c r="M913" s="247"/>
    </row>
    <row r="914">
      <c r="B914" s="247"/>
      <c r="C914" s="247"/>
      <c r="D914" s="247"/>
      <c r="E914" s="247"/>
      <c r="F914" s="247"/>
      <c r="G914" s="247"/>
      <c r="H914" s="247"/>
      <c r="I914" s="247"/>
      <c r="J914" s="247"/>
      <c r="K914" s="247"/>
      <c r="L914" s="247"/>
      <c r="M914" s="247"/>
    </row>
    <row r="915">
      <c r="B915" s="247"/>
      <c r="C915" s="247"/>
      <c r="D915" s="247"/>
      <c r="E915" s="247"/>
      <c r="F915" s="247"/>
      <c r="G915" s="247"/>
      <c r="H915" s="247"/>
      <c r="I915" s="247"/>
      <c r="J915" s="247"/>
      <c r="K915" s="247"/>
      <c r="L915" s="247"/>
      <c r="M915" s="247"/>
    </row>
    <row r="916">
      <c r="B916" s="247"/>
      <c r="C916" s="247"/>
      <c r="D916" s="247"/>
      <c r="E916" s="247"/>
      <c r="F916" s="247"/>
      <c r="G916" s="247"/>
      <c r="H916" s="247"/>
      <c r="I916" s="247"/>
      <c r="J916" s="247"/>
      <c r="K916" s="247"/>
      <c r="L916" s="247"/>
      <c r="M916" s="247"/>
    </row>
    <row r="917">
      <c r="B917" s="247"/>
      <c r="C917" s="247"/>
      <c r="D917" s="247"/>
      <c r="E917" s="247"/>
      <c r="F917" s="247"/>
      <c r="G917" s="247"/>
      <c r="H917" s="247"/>
      <c r="I917" s="247"/>
      <c r="J917" s="247"/>
      <c r="K917" s="247"/>
      <c r="L917" s="247"/>
      <c r="M917" s="247"/>
    </row>
    <row r="918">
      <c r="B918" s="247"/>
      <c r="C918" s="247"/>
      <c r="D918" s="247"/>
      <c r="E918" s="247"/>
      <c r="F918" s="247"/>
      <c r="G918" s="247"/>
      <c r="H918" s="247"/>
      <c r="I918" s="247"/>
      <c r="J918" s="247"/>
      <c r="K918" s="247"/>
      <c r="L918" s="247"/>
      <c r="M918" s="247"/>
    </row>
    <row r="919">
      <c r="B919" s="247"/>
      <c r="C919" s="247"/>
      <c r="D919" s="247"/>
      <c r="E919" s="247"/>
      <c r="F919" s="247"/>
      <c r="G919" s="247"/>
      <c r="H919" s="247"/>
      <c r="I919" s="247"/>
      <c r="J919" s="247"/>
      <c r="K919" s="247"/>
      <c r="L919" s="247"/>
      <c r="M919" s="247"/>
    </row>
    <row r="920">
      <c r="B920" s="247"/>
      <c r="C920" s="247"/>
      <c r="D920" s="247"/>
      <c r="E920" s="247"/>
      <c r="F920" s="247"/>
      <c r="G920" s="247"/>
      <c r="H920" s="247"/>
      <c r="I920" s="247"/>
      <c r="J920" s="247"/>
      <c r="K920" s="247"/>
      <c r="L920" s="247"/>
      <c r="M920" s="247"/>
    </row>
    <row r="921">
      <c r="B921" s="247"/>
      <c r="C921" s="247"/>
      <c r="D921" s="247"/>
      <c r="E921" s="247"/>
      <c r="F921" s="247"/>
      <c r="G921" s="247"/>
      <c r="H921" s="247"/>
      <c r="I921" s="247"/>
      <c r="J921" s="247"/>
      <c r="K921" s="247"/>
      <c r="L921" s="247"/>
      <c r="M921" s="247"/>
    </row>
    <row r="922">
      <c r="B922" s="247"/>
      <c r="C922" s="247"/>
      <c r="D922" s="247"/>
      <c r="E922" s="247"/>
      <c r="F922" s="247"/>
      <c r="G922" s="247"/>
      <c r="H922" s="247"/>
      <c r="I922" s="247"/>
      <c r="J922" s="247"/>
      <c r="K922" s="247"/>
      <c r="L922" s="247"/>
      <c r="M922" s="247"/>
    </row>
    <row r="923">
      <c r="B923" s="247"/>
      <c r="C923" s="247"/>
      <c r="D923" s="247"/>
      <c r="E923" s="247"/>
      <c r="F923" s="247"/>
      <c r="G923" s="247"/>
      <c r="H923" s="247"/>
      <c r="I923" s="247"/>
      <c r="J923" s="247"/>
      <c r="K923" s="247"/>
      <c r="L923" s="247"/>
      <c r="M923" s="247"/>
    </row>
    <row r="924">
      <c r="B924" s="247"/>
      <c r="C924" s="247"/>
      <c r="D924" s="247"/>
      <c r="E924" s="247"/>
      <c r="F924" s="247"/>
      <c r="G924" s="247"/>
      <c r="H924" s="247"/>
      <c r="I924" s="247"/>
      <c r="J924" s="247"/>
      <c r="K924" s="247"/>
      <c r="L924" s="247"/>
      <c r="M924" s="247"/>
    </row>
    <row r="925">
      <c r="B925" s="247"/>
      <c r="C925" s="247"/>
      <c r="D925" s="247"/>
      <c r="E925" s="247"/>
      <c r="F925" s="247"/>
      <c r="G925" s="247"/>
      <c r="H925" s="247"/>
      <c r="I925" s="247"/>
      <c r="J925" s="247"/>
      <c r="K925" s="247"/>
      <c r="L925" s="247"/>
      <c r="M925" s="247"/>
    </row>
    <row r="926">
      <c r="B926" s="247"/>
      <c r="C926" s="247"/>
      <c r="D926" s="247"/>
      <c r="E926" s="247"/>
      <c r="F926" s="247"/>
      <c r="G926" s="247"/>
      <c r="H926" s="247"/>
      <c r="I926" s="247"/>
      <c r="J926" s="247"/>
      <c r="K926" s="247"/>
      <c r="L926" s="247"/>
      <c r="M926" s="247"/>
    </row>
    <row r="927">
      <c r="B927" s="247"/>
      <c r="C927" s="247"/>
      <c r="D927" s="247"/>
      <c r="E927" s="247"/>
      <c r="F927" s="247"/>
      <c r="G927" s="247"/>
      <c r="H927" s="247"/>
      <c r="I927" s="247"/>
      <c r="J927" s="247"/>
      <c r="K927" s="247"/>
      <c r="L927" s="247"/>
      <c r="M927" s="247"/>
    </row>
    <row r="928">
      <c r="B928" s="247"/>
      <c r="C928" s="247"/>
      <c r="D928" s="247"/>
      <c r="E928" s="247"/>
      <c r="F928" s="247"/>
      <c r="G928" s="247"/>
      <c r="H928" s="247"/>
      <c r="I928" s="247"/>
      <c r="J928" s="247"/>
      <c r="K928" s="247"/>
      <c r="L928" s="247"/>
      <c r="M928" s="247"/>
    </row>
    <row r="929">
      <c r="B929" s="247"/>
      <c r="C929" s="247"/>
      <c r="D929" s="247"/>
      <c r="E929" s="247"/>
      <c r="F929" s="247"/>
      <c r="G929" s="247"/>
      <c r="H929" s="247"/>
      <c r="I929" s="247"/>
      <c r="J929" s="247"/>
      <c r="K929" s="247"/>
      <c r="L929" s="247"/>
      <c r="M929" s="247"/>
    </row>
    <row r="930">
      <c r="B930" s="247"/>
      <c r="C930" s="247"/>
      <c r="D930" s="247"/>
      <c r="E930" s="247"/>
      <c r="F930" s="247"/>
      <c r="G930" s="247"/>
      <c r="H930" s="247"/>
      <c r="I930" s="247"/>
      <c r="J930" s="247"/>
      <c r="K930" s="247"/>
      <c r="L930" s="247"/>
      <c r="M930" s="247"/>
    </row>
    <row r="931">
      <c r="B931" s="247"/>
      <c r="C931" s="247"/>
      <c r="D931" s="247"/>
      <c r="E931" s="247"/>
      <c r="F931" s="247"/>
      <c r="G931" s="247"/>
      <c r="H931" s="247"/>
      <c r="I931" s="247"/>
      <c r="J931" s="247"/>
      <c r="K931" s="247"/>
      <c r="L931" s="247"/>
      <c r="M931" s="247"/>
    </row>
    <row r="932">
      <c r="B932" s="247"/>
      <c r="C932" s="247"/>
      <c r="D932" s="247"/>
      <c r="E932" s="247"/>
      <c r="F932" s="247"/>
      <c r="G932" s="247"/>
      <c r="H932" s="247"/>
      <c r="I932" s="247"/>
      <c r="J932" s="247"/>
      <c r="K932" s="247"/>
      <c r="L932" s="247"/>
      <c r="M932" s="247"/>
    </row>
    <row r="933">
      <c r="B933" s="247"/>
      <c r="C933" s="247"/>
      <c r="D933" s="247"/>
      <c r="E933" s="247"/>
      <c r="F933" s="247"/>
      <c r="G933" s="247"/>
      <c r="H933" s="247"/>
      <c r="I933" s="247"/>
      <c r="J933" s="247"/>
      <c r="K933" s="247"/>
      <c r="L933" s="247"/>
      <c r="M933" s="247"/>
    </row>
    <row r="934">
      <c r="B934" s="247"/>
      <c r="C934" s="247"/>
      <c r="D934" s="247"/>
      <c r="E934" s="247"/>
      <c r="F934" s="247"/>
      <c r="G934" s="247"/>
      <c r="H934" s="247"/>
      <c r="I934" s="247"/>
      <c r="J934" s="247"/>
      <c r="K934" s="247"/>
      <c r="L934" s="247"/>
      <c r="M934" s="247"/>
    </row>
    <row r="935">
      <c r="B935" s="247"/>
      <c r="C935" s="247"/>
      <c r="D935" s="247"/>
      <c r="E935" s="247"/>
      <c r="F935" s="247"/>
      <c r="G935" s="247"/>
      <c r="H935" s="247"/>
      <c r="I935" s="247"/>
      <c r="J935" s="247"/>
      <c r="K935" s="247"/>
      <c r="L935" s="247"/>
      <c r="M935" s="247"/>
    </row>
    <row r="936">
      <c r="B936" s="247"/>
      <c r="C936" s="247"/>
      <c r="D936" s="247"/>
      <c r="E936" s="247"/>
      <c r="F936" s="247"/>
      <c r="G936" s="247"/>
      <c r="H936" s="247"/>
      <c r="I936" s="247"/>
      <c r="J936" s="247"/>
      <c r="K936" s="247"/>
      <c r="L936" s="247"/>
      <c r="M936" s="247"/>
    </row>
    <row r="937">
      <c r="B937" s="247"/>
      <c r="C937" s="247"/>
      <c r="D937" s="247"/>
      <c r="E937" s="247"/>
      <c r="F937" s="247"/>
      <c r="G937" s="247"/>
      <c r="H937" s="247"/>
      <c r="I937" s="247"/>
      <c r="J937" s="247"/>
      <c r="K937" s="247"/>
      <c r="L937" s="247"/>
      <c r="M937" s="247"/>
    </row>
    <row r="938">
      <c r="B938" s="247"/>
      <c r="C938" s="247"/>
      <c r="D938" s="247"/>
      <c r="E938" s="247"/>
      <c r="F938" s="247"/>
      <c r="G938" s="247"/>
      <c r="H938" s="247"/>
      <c r="I938" s="247"/>
      <c r="J938" s="247"/>
      <c r="K938" s="247"/>
      <c r="L938" s="247"/>
      <c r="M938" s="247"/>
    </row>
    <row r="939">
      <c r="B939" s="247"/>
      <c r="C939" s="247"/>
      <c r="D939" s="247"/>
      <c r="E939" s="247"/>
      <c r="F939" s="247"/>
      <c r="G939" s="247"/>
      <c r="H939" s="247"/>
      <c r="I939" s="247"/>
      <c r="J939" s="247"/>
      <c r="K939" s="247"/>
      <c r="L939" s="247"/>
      <c r="M939" s="247"/>
    </row>
    <row r="940">
      <c r="B940" s="247"/>
      <c r="C940" s="247"/>
      <c r="D940" s="247"/>
      <c r="E940" s="247"/>
      <c r="F940" s="247"/>
      <c r="G940" s="247"/>
      <c r="H940" s="247"/>
      <c r="I940" s="247"/>
      <c r="J940" s="247"/>
      <c r="K940" s="247"/>
      <c r="L940" s="247"/>
      <c r="M940" s="247"/>
    </row>
    <row r="941">
      <c r="B941" s="247"/>
      <c r="C941" s="247"/>
      <c r="D941" s="247"/>
      <c r="E941" s="247"/>
      <c r="F941" s="247"/>
      <c r="G941" s="247"/>
      <c r="H941" s="247"/>
      <c r="I941" s="247"/>
      <c r="J941" s="247"/>
      <c r="K941" s="247"/>
      <c r="L941" s="247"/>
      <c r="M941" s="247"/>
    </row>
    <row r="942">
      <c r="B942" s="247"/>
      <c r="C942" s="247"/>
      <c r="D942" s="247"/>
      <c r="E942" s="247"/>
      <c r="F942" s="247"/>
      <c r="G942" s="247"/>
      <c r="H942" s="247"/>
      <c r="I942" s="247"/>
      <c r="J942" s="247"/>
      <c r="K942" s="247"/>
      <c r="L942" s="247"/>
      <c r="M942" s="247"/>
    </row>
    <row r="943">
      <c r="B943" s="247"/>
      <c r="C943" s="247"/>
      <c r="D943" s="247"/>
      <c r="E943" s="247"/>
      <c r="F943" s="247"/>
      <c r="G943" s="247"/>
      <c r="H943" s="247"/>
      <c r="I943" s="247"/>
      <c r="J943" s="247"/>
      <c r="K943" s="247"/>
      <c r="L943" s="247"/>
      <c r="M943" s="247"/>
    </row>
    <row r="944">
      <c r="B944" s="247"/>
      <c r="C944" s="247"/>
      <c r="D944" s="247"/>
      <c r="E944" s="247"/>
      <c r="F944" s="247"/>
      <c r="G944" s="247"/>
      <c r="H944" s="247"/>
      <c r="I944" s="247"/>
      <c r="J944" s="247"/>
      <c r="K944" s="247"/>
      <c r="L944" s="247"/>
      <c r="M944" s="247"/>
    </row>
    <row r="945">
      <c r="B945" s="247"/>
      <c r="C945" s="247"/>
      <c r="D945" s="247"/>
      <c r="E945" s="247"/>
      <c r="F945" s="247"/>
      <c r="G945" s="247"/>
      <c r="H945" s="247"/>
      <c r="I945" s="247"/>
      <c r="J945" s="247"/>
      <c r="K945" s="247"/>
      <c r="L945" s="247"/>
      <c r="M945" s="247"/>
    </row>
    <row r="946">
      <c r="B946" s="247"/>
      <c r="C946" s="247"/>
      <c r="D946" s="247"/>
      <c r="E946" s="247"/>
      <c r="F946" s="247"/>
      <c r="G946" s="247"/>
      <c r="H946" s="247"/>
      <c r="I946" s="247"/>
      <c r="J946" s="247"/>
      <c r="K946" s="247"/>
      <c r="L946" s="247"/>
      <c r="M946" s="247"/>
    </row>
    <row r="947">
      <c r="B947" s="247"/>
      <c r="C947" s="247"/>
      <c r="D947" s="247"/>
      <c r="E947" s="247"/>
      <c r="F947" s="247"/>
      <c r="G947" s="247"/>
      <c r="H947" s="247"/>
      <c r="I947" s="247"/>
      <c r="J947" s="247"/>
      <c r="K947" s="247"/>
      <c r="L947" s="247"/>
      <c r="M947" s="247"/>
    </row>
    <row r="948">
      <c r="B948" s="247"/>
      <c r="C948" s="247"/>
      <c r="D948" s="247"/>
      <c r="E948" s="247"/>
      <c r="F948" s="247"/>
      <c r="G948" s="247"/>
      <c r="H948" s="247"/>
      <c r="I948" s="247"/>
      <c r="J948" s="247"/>
      <c r="K948" s="247"/>
      <c r="L948" s="247"/>
      <c r="M948" s="247"/>
    </row>
    <row r="949">
      <c r="B949" s="247"/>
      <c r="C949" s="247"/>
      <c r="D949" s="247"/>
      <c r="E949" s="247"/>
      <c r="F949" s="247"/>
      <c r="G949" s="247"/>
      <c r="H949" s="247"/>
      <c r="I949" s="247"/>
      <c r="J949" s="247"/>
      <c r="K949" s="247"/>
      <c r="L949" s="247"/>
      <c r="M949" s="247"/>
    </row>
    <row r="950">
      <c r="B950" s="247"/>
      <c r="C950" s="247"/>
      <c r="D950" s="247"/>
      <c r="E950" s="247"/>
      <c r="F950" s="247"/>
      <c r="G950" s="247"/>
      <c r="H950" s="247"/>
      <c r="I950" s="247"/>
      <c r="J950" s="247"/>
      <c r="K950" s="247"/>
      <c r="L950" s="247"/>
      <c r="M950" s="247"/>
    </row>
    <row r="951">
      <c r="B951" s="247"/>
      <c r="C951" s="247"/>
      <c r="D951" s="247"/>
      <c r="E951" s="247"/>
      <c r="F951" s="247"/>
      <c r="G951" s="247"/>
      <c r="H951" s="247"/>
      <c r="I951" s="247"/>
      <c r="J951" s="247"/>
      <c r="K951" s="247"/>
      <c r="L951" s="247"/>
      <c r="M951" s="247"/>
    </row>
    <row r="952">
      <c r="B952" s="247"/>
      <c r="C952" s="247"/>
      <c r="D952" s="247"/>
      <c r="E952" s="247"/>
      <c r="F952" s="247"/>
      <c r="G952" s="247"/>
      <c r="H952" s="247"/>
      <c r="I952" s="247"/>
      <c r="J952" s="247"/>
      <c r="K952" s="247"/>
      <c r="L952" s="247"/>
      <c r="M952" s="247"/>
    </row>
    <row r="953">
      <c r="B953" s="247"/>
      <c r="C953" s="247"/>
      <c r="D953" s="247"/>
      <c r="E953" s="247"/>
      <c r="F953" s="247"/>
      <c r="G953" s="247"/>
      <c r="H953" s="247"/>
      <c r="I953" s="247"/>
      <c r="J953" s="247"/>
      <c r="K953" s="247"/>
      <c r="L953" s="247"/>
      <c r="M953" s="247"/>
    </row>
    <row r="954">
      <c r="B954" s="247"/>
      <c r="C954" s="247"/>
      <c r="D954" s="247"/>
      <c r="E954" s="247"/>
      <c r="F954" s="247"/>
      <c r="G954" s="247"/>
      <c r="H954" s="247"/>
      <c r="I954" s="247"/>
      <c r="J954" s="247"/>
      <c r="K954" s="247"/>
      <c r="L954" s="247"/>
      <c r="M954" s="247"/>
    </row>
    <row r="955">
      <c r="B955" s="247"/>
      <c r="C955" s="247"/>
      <c r="D955" s="247"/>
      <c r="E955" s="247"/>
      <c r="F955" s="247"/>
      <c r="G955" s="247"/>
      <c r="H955" s="247"/>
      <c r="I955" s="247"/>
      <c r="J955" s="247"/>
      <c r="K955" s="247"/>
      <c r="L955" s="247"/>
      <c r="M955" s="247"/>
    </row>
    <row r="956">
      <c r="B956" s="247"/>
      <c r="C956" s="247"/>
      <c r="D956" s="247"/>
      <c r="E956" s="247"/>
      <c r="F956" s="247"/>
      <c r="G956" s="247"/>
      <c r="H956" s="247"/>
      <c r="I956" s="247"/>
      <c r="J956" s="247"/>
      <c r="K956" s="247"/>
      <c r="L956" s="247"/>
      <c r="M956" s="247"/>
    </row>
    <row r="957">
      <c r="B957" s="247"/>
      <c r="C957" s="247"/>
      <c r="D957" s="247"/>
      <c r="E957" s="247"/>
      <c r="F957" s="247"/>
      <c r="G957" s="247"/>
      <c r="H957" s="247"/>
      <c r="I957" s="247"/>
      <c r="J957" s="247"/>
      <c r="K957" s="247"/>
      <c r="L957" s="247"/>
      <c r="M957" s="247"/>
    </row>
    <row r="958">
      <c r="B958" s="247"/>
      <c r="C958" s="247"/>
      <c r="D958" s="247"/>
      <c r="E958" s="247"/>
      <c r="F958" s="247"/>
      <c r="G958" s="247"/>
      <c r="H958" s="247"/>
      <c r="I958" s="247"/>
      <c r="J958" s="247"/>
      <c r="K958" s="247"/>
      <c r="L958" s="247"/>
      <c r="M958" s="247"/>
    </row>
    <row r="959">
      <c r="B959" s="247"/>
      <c r="C959" s="247"/>
      <c r="D959" s="247"/>
      <c r="E959" s="247"/>
      <c r="F959" s="247"/>
      <c r="G959" s="247"/>
      <c r="H959" s="247"/>
      <c r="I959" s="247"/>
      <c r="J959" s="247"/>
      <c r="K959" s="247"/>
      <c r="L959" s="247"/>
      <c r="M959" s="247"/>
    </row>
    <row r="960">
      <c r="B960" s="247"/>
      <c r="C960" s="247"/>
      <c r="D960" s="247"/>
      <c r="E960" s="247"/>
      <c r="F960" s="247"/>
      <c r="G960" s="247"/>
      <c r="H960" s="247"/>
      <c r="I960" s="247"/>
      <c r="J960" s="247"/>
      <c r="K960" s="247"/>
      <c r="L960" s="247"/>
      <c r="M960" s="247"/>
    </row>
    <row r="961">
      <c r="B961" s="247"/>
      <c r="C961" s="247"/>
      <c r="D961" s="247"/>
      <c r="E961" s="247"/>
      <c r="F961" s="247"/>
      <c r="G961" s="247"/>
      <c r="H961" s="247"/>
      <c r="I961" s="247"/>
      <c r="J961" s="247"/>
      <c r="K961" s="247"/>
      <c r="L961" s="247"/>
      <c r="M961" s="247"/>
    </row>
    <row r="962">
      <c r="B962" s="247"/>
      <c r="C962" s="247"/>
      <c r="D962" s="247"/>
      <c r="E962" s="247"/>
      <c r="F962" s="247"/>
      <c r="G962" s="247"/>
      <c r="H962" s="247"/>
      <c r="I962" s="247"/>
      <c r="J962" s="247"/>
      <c r="K962" s="247"/>
      <c r="L962" s="247"/>
      <c r="M962" s="247"/>
    </row>
    <row r="963">
      <c r="B963" s="247"/>
      <c r="C963" s="247"/>
      <c r="D963" s="247"/>
      <c r="E963" s="247"/>
      <c r="F963" s="247"/>
      <c r="G963" s="247"/>
      <c r="H963" s="247"/>
      <c r="I963" s="247"/>
      <c r="J963" s="247"/>
      <c r="K963" s="247"/>
      <c r="L963" s="247"/>
      <c r="M963" s="247"/>
    </row>
    <row r="964">
      <c r="B964" s="247"/>
      <c r="C964" s="247"/>
      <c r="D964" s="247"/>
      <c r="E964" s="247"/>
      <c r="F964" s="247"/>
      <c r="G964" s="247"/>
      <c r="H964" s="247"/>
      <c r="I964" s="247"/>
      <c r="J964" s="247"/>
      <c r="K964" s="247"/>
      <c r="L964" s="247"/>
      <c r="M964" s="247"/>
    </row>
    <row r="965">
      <c r="B965" s="247"/>
      <c r="C965" s="247"/>
      <c r="D965" s="247"/>
      <c r="E965" s="247"/>
      <c r="F965" s="247"/>
      <c r="G965" s="247"/>
      <c r="H965" s="247"/>
      <c r="I965" s="247"/>
      <c r="J965" s="247"/>
      <c r="K965" s="247"/>
      <c r="L965" s="247"/>
      <c r="M965" s="247"/>
    </row>
    <row r="966">
      <c r="B966" s="247"/>
      <c r="C966" s="247"/>
      <c r="D966" s="247"/>
      <c r="E966" s="247"/>
      <c r="F966" s="247"/>
      <c r="G966" s="247"/>
      <c r="H966" s="247"/>
      <c r="I966" s="247"/>
      <c r="J966" s="247"/>
      <c r="K966" s="247"/>
      <c r="L966" s="247"/>
      <c r="M966" s="247"/>
    </row>
    <row r="967">
      <c r="B967" s="247"/>
      <c r="C967" s="247"/>
      <c r="D967" s="247"/>
      <c r="E967" s="247"/>
      <c r="F967" s="247"/>
      <c r="G967" s="247"/>
      <c r="H967" s="247"/>
      <c r="I967" s="247"/>
      <c r="J967" s="247"/>
      <c r="K967" s="247"/>
      <c r="L967" s="247"/>
      <c r="M967" s="247"/>
    </row>
    <row r="968">
      <c r="B968" s="247"/>
      <c r="C968" s="247"/>
      <c r="D968" s="247"/>
      <c r="E968" s="247"/>
      <c r="F968" s="247"/>
      <c r="G968" s="247"/>
      <c r="H968" s="247"/>
      <c r="I968" s="247"/>
      <c r="J968" s="247"/>
      <c r="K968" s="247"/>
      <c r="L968" s="247"/>
      <c r="M968" s="247"/>
    </row>
    <row r="969">
      <c r="B969" s="247"/>
      <c r="C969" s="247"/>
      <c r="D969" s="247"/>
      <c r="E969" s="247"/>
      <c r="F969" s="247"/>
      <c r="G969" s="247"/>
      <c r="H969" s="247"/>
      <c r="I969" s="247"/>
      <c r="J969" s="247"/>
      <c r="K969" s="247"/>
      <c r="L969" s="247"/>
      <c r="M969" s="247"/>
    </row>
    <row r="970">
      <c r="B970" s="247"/>
      <c r="C970" s="247"/>
      <c r="D970" s="247"/>
      <c r="E970" s="247"/>
      <c r="F970" s="247"/>
      <c r="G970" s="247"/>
      <c r="H970" s="247"/>
      <c r="I970" s="247"/>
      <c r="J970" s="247"/>
      <c r="K970" s="247"/>
      <c r="L970" s="247"/>
      <c r="M970" s="247"/>
    </row>
    <row r="971">
      <c r="B971" s="247"/>
      <c r="C971" s="247"/>
      <c r="D971" s="247"/>
      <c r="E971" s="247"/>
      <c r="F971" s="247"/>
      <c r="G971" s="247"/>
      <c r="H971" s="247"/>
      <c r="I971" s="247"/>
      <c r="J971" s="247"/>
      <c r="K971" s="247"/>
      <c r="L971" s="247"/>
      <c r="M971" s="247"/>
    </row>
    <row r="972">
      <c r="B972" s="247"/>
      <c r="C972" s="247"/>
      <c r="D972" s="247"/>
      <c r="E972" s="247"/>
      <c r="F972" s="247"/>
      <c r="G972" s="247"/>
      <c r="H972" s="247"/>
      <c r="I972" s="247"/>
      <c r="J972" s="247"/>
      <c r="K972" s="247"/>
      <c r="L972" s="247"/>
      <c r="M972" s="247"/>
    </row>
    <row r="973">
      <c r="B973" s="247"/>
      <c r="C973" s="247"/>
      <c r="D973" s="247"/>
      <c r="E973" s="247"/>
      <c r="F973" s="247"/>
      <c r="G973" s="247"/>
      <c r="H973" s="247"/>
      <c r="I973" s="247"/>
      <c r="J973" s="247"/>
      <c r="K973" s="247"/>
      <c r="L973" s="247"/>
      <c r="M973" s="247"/>
    </row>
    <row r="974">
      <c r="B974" s="247"/>
      <c r="C974" s="247"/>
      <c r="D974" s="247"/>
      <c r="E974" s="247"/>
      <c r="F974" s="247"/>
      <c r="G974" s="247"/>
      <c r="H974" s="247"/>
      <c r="I974" s="247"/>
      <c r="J974" s="247"/>
      <c r="K974" s="247"/>
      <c r="L974" s="247"/>
      <c r="M974" s="247"/>
    </row>
    <row r="975">
      <c r="B975" s="247"/>
      <c r="C975" s="247"/>
      <c r="D975" s="247"/>
      <c r="E975" s="247"/>
      <c r="F975" s="247"/>
      <c r="G975" s="247"/>
      <c r="H975" s="247"/>
      <c r="I975" s="247"/>
      <c r="J975" s="247"/>
      <c r="K975" s="247"/>
      <c r="L975" s="247"/>
      <c r="M975" s="247"/>
    </row>
    <row r="976">
      <c r="B976" s="247"/>
      <c r="C976" s="247"/>
      <c r="D976" s="247"/>
      <c r="E976" s="247"/>
      <c r="F976" s="247"/>
      <c r="G976" s="247"/>
      <c r="H976" s="247"/>
      <c r="I976" s="247"/>
      <c r="J976" s="247"/>
      <c r="K976" s="247"/>
      <c r="L976" s="247"/>
      <c r="M976" s="247"/>
    </row>
    <row r="977">
      <c r="B977" s="247"/>
      <c r="C977" s="247"/>
      <c r="D977" s="247"/>
      <c r="E977" s="247"/>
      <c r="F977" s="247"/>
      <c r="G977" s="247"/>
      <c r="H977" s="247"/>
      <c r="I977" s="247"/>
      <c r="J977" s="247"/>
      <c r="K977" s="247"/>
      <c r="L977" s="247"/>
      <c r="M977" s="247"/>
    </row>
    <row r="978">
      <c r="B978" s="247"/>
      <c r="C978" s="247"/>
      <c r="D978" s="247"/>
      <c r="E978" s="247"/>
      <c r="F978" s="247"/>
      <c r="G978" s="247"/>
      <c r="H978" s="247"/>
      <c r="I978" s="247"/>
      <c r="J978" s="247"/>
      <c r="K978" s="247"/>
      <c r="L978" s="247"/>
      <c r="M978" s="247"/>
    </row>
    <row r="979">
      <c r="B979" s="247"/>
      <c r="C979" s="247"/>
      <c r="D979" s="247"/>
      <c r="E979" s="247"/>
      <c r="F979" s="247"/>
      <c r="G979" s="247"/>
      <c r="H979" s="247"/>
      <c r="I979" s="247"/>
      <c r="J979" s="247"/>
      <c r="K979" s="247"/>
      <c r="L979" s="247"/>
      <c r="M979" s="247"/>
    </row>
    <row r="980">
      <c r="B980" s="247"/>
      <c r="C980" s="247"/>
      <c r="D980" s="247"/>
      <c r="E980" s="247"/>
      <c r="F980" s="247"/>
      <c r="G980" s="247"/>
      <c r="H980" s="247"/>
      <c r="I980" s="247"/>
      <c r="J980" s="247"/>
      <c r="K980" s="247"/>
      <c r="L980" s="247"/>
      <c r="M980" s="247"/>
    </row>
    <row r="981">
      <c r="B981" s="247"/>
      <c r="C981" s="247"/>
      <c r="D981" s="247"/>
      <c r="E981" s="247"/>
      <c r="F981" s="247"/>
      <c r="G981" s="247"/>
      <c r="H981" s="247"/>
      <c r="I981" s="247"/>
      <c r="J981" s="247"/>
      <c r="K981" s="247"/>
      <c r="L981" s="247"/>
      <c r="M981" s="247"/>
    </row>
    <row r="982">
      <c r="B982" s="247"/>
      <c r="C982" s="247"/>
      <c r="D982" s="247"/>
      <c r="E982" s="247"/>
      <c r="F982" s="247"/>
      <c r="G982" s="247"/>
      <c r="H982" s="247"/>
      <c r="I982" s="247"/>
      <c r="J982" s="247"/>
      <c r="K982" s="247"/>
      <c r="L982" s="247"/>
      <c r="M982" s="247"/>
    </row>
    <row r="983">
      <c r="B983" s="247"/>
      <c r="C983" s="247"/>
      <c r="D983" s="247"/>
      <c r="E983" s="247"/>
      <c r="F983" s="247"/>
      <c r="G983" s="247"/>
      <c r="H983" s="247"/>
      <c r="I983" s="247"/>
      <c r="J983" s="247"/>
      <c r="K983" s="247"/>
      <c r="L983" s="247"/>
      <c r="M983" s="247"/>
    </row>
    <row r="984">
      <c r="B984" s="247"/>
      <c r="C984" s="247"/>
      <c r="D984" s="247"/>
      <c r="E984" s="247"/>
      <c r="F984" s="247"/>
      <c r="G984" s="247"/>
      <c r="H984" s="247"/>
      <c r="I984" s="247"/>
      <c r="J984" s="247"/>
      <c r="K984" s="247"/>
      <c r="L984" s="247"/>
      <c r="M984" s="247"/>
    </row>
    <row r="985">
      <c r="B985" s="247"/>
      <c r="C985" s="247"/>
      <c r="D985" s="247"/>
      <c r="E985" s="247"/>
      <c r="F985" s="247"/>
      <c r="G985" s="247"/>
      <c r="H985" s="247"/>
      <c r="I985" s="247"/>
      <c r="J985" s="247"/>
      <c r="K985" s="247"/>
      <c r="L985" s="247"/>
      <c r="M985" s="247"/>
    </row>
    <row r="986">
      <c r="B986" s="247"/>
      <c r="C986" s="247"/>
      <c r="D986" s="247"/>
      <c r="E986" s="247"/>
      <c r="F986" s="247"/>
      <c r="G986" s="247"/>
      <c r="H986" s="247"/>
      <c r="I986" s="247"/>
      <c r="J986" s="247"/>
      <c r="K986" s="247"/>
      <c r="L986" s="247"/>
      <c r="M986" s="247"/>
    </row>
    <row r="987">
      <c r="B987" s="247"/>
      <c r="C987" s="247"/>
      <c r="D987" s="247"/>
      <c r="E987" s="247"/>
      <c r="F987" s="247"/>
      <c r="G987" s="247"/>
      <c r="H987" s="247"/>
      <c r="I987" s="247"/>
      <c r="J987" s="247"/>
      <c r="K987" s="247"/>
      <c r="L987" s="247"/>
      <c r="M987" s="247"/>
    </row>
    <row r="988">
      <c r="B988" s="247"/>
      <c r="C988" s="247"/>
      <c r="D988" s="247"/>
      <c r="E988" s="247"/>
      <c r="F988" s="247"/>
      <c r="G988" s="247"/>
      <c r="H988" s="247"/>
      <c r="I988" s="247"/>
      <c r="J988" s="247"/>
      <c r="K988" s="247"/>
      <c r="L988" s="247"/>
      <c r="M988" s="247"/>
    </row>
    <row r="989">
      <c r="B989" s="247"/>
      <c r="C989" s="247"/>
      <c r="D989" s="247"/>
      <c r="E989" s="247"/>
      <c r="F989" s="247"/>
      <c r="G989" s="247"/>
      <c r="H989" s="247"/>
      <c r="I989" s="247"/>
      <c r="J989" s="247"/>
      <c r="K989" s="247"/>
      <c r="L989" s="247"/>
      <c r="M989" s="247"/>
    </row>
    <row r="990">
      <c r="B990" s="247"/>
      <c r="C990" s="247"/>
      <c r="D990" s="247"/>
      <c r="E990" s="247"/>
      <c r="F990" s="247"/>
      <c r="G990" s="247"/>
      <c r="H990" s="247"/>
      <c r="I990" s="247"/>
      <c r="J990" s="247"/>
      <c r="K990" s="247"/>
      <c r="L990" s="247"/>
      <c r="M990" s="247"/>
    </row>
    <row r="991">
      <c r="B991" s="247"/>
      <c r="C991" s="247"/>
      <c r="D991" s="247"/>
      <c r="E991" s="247"/>
      <c r="F991" s="247"/>
      <c r="G991" s="247"/>
      <c r="H991" s="247"/>
      <c r="I991" s="247"/>
      <c r="J991" s="247"/>
      <c r="K991" s="247"/>
      <c r="L991" s="247"/>
      <c r="M991" s="247"/>
    </row>
    <row r="992">
      <c r="B992" s="247"/>
      <c r="C992" s="247"/>
      <c r="D992" s="247"/>
      <c r="E992" s="247"/>
      <c r="F992" s="247"/>
      <c r="G992" s="247"/>
      <c r="H992" s="247"/>
      <c r="I992" s="247"/>
      <c r="J992" s="247"/>
      <c r="K992" s="247"/>
      <c r="L992" s="247"/>
      <c r="M992" s="247"/>
    </row>
    <row r="993">
      <c r="B993" s="247"/>
      <c r="C993" s="247"/>
      <c r="D993" s="247"/>
      <c r="E993" s="247"/>
      <c r="F993" s="247"/>
      <c r="G993" s="247"/>
      <c r="H993" s="247"/>
      <c r="I993" s="247"/>
      <c r="J993" s="247"/>
      <c r="K993" s="247"/>
      <c r="L993" s="247"/>
      <c r="M993" s="247"/>
    </row>
    <row r="994">
      <c r="B994" s="247"/>
      <c r="C994" s="247"/>
      <c r="D994" s="247"/>
      <c r="E994" s="247"/>
      <c r="F994" s="247"/>
      <c r="G994" s="247"/>
      <c r="H994" s="247"/>
      <c r="I994" s="247"/>
      <c r="J994" s="247"/>
      <c r="K994" s="247"/>
      <c r="L994" s="247"/>
      <c r="M994" s="247"/>
    </row>
    <row r="995">
      <c r="B995" s="247"/>
      <c r="C995" s="247"/>
      <c r="D995" s="247"/>
      <c r="E995" s="247"/>
      <c r="F995" s="247"/>
      <c r="G995" s="247"/>
      <c r="H995" s="247"/>
      <c r="I995" s="247"/>
      <c r="J995" s="247"/>
      <c r="K995" s="247"/>
      <c r="L995" s="247"/>
      <c r="M995" s="247"/>
    </row>
    <row r="996">
      <c r="B996" s="247"/>
      <c r="C996" s="247"/>
      <c r="D996" s="247"/>
      <c r="E996" s="247"/>
      <c r="F996" s="247"/>
      <c r="G996" s="247"/>
      <c r="H996" s="247"/>
      <c r="I996" s="247"/>
      <c r="J996" s="247"/>
      <c r="K996" s="247"/>
      <c r="L996" s="247"/>
      <c r="M996" s="247"/>
    </row>
    <row r="997">
      <c r="B997" s="247"/>
      <c r="C997" s="247"/>
      <c r="D997" s="247"/>
      <c r="E997" s="247"/>
      <c r="F997" s="247"/>
      <c r="G997" s="247"/>
      <c r="H997" s="247"/>
      <c r="I997" s="247"/>
      <c r="J997" s="247"/>
      <c r="K997" s="247"/>
      <c r="L997" s="247"/>
      <c r="M997" s="247"/>
    </row>
    <row r="998">
      <c r="B998" s="247"/>
      <c r="C998" s="247"/>
      <c r="D998" s="247"/>
      <c r="E998" s="247"/>
      <c r="F998" s="247"/>
      <c r="G998" s="247"/>
      <c r="H998" s="247"/>
      <c r="I998" s="247"/>
      <c r="J998" s="247"/>
      <c r="K998" s="247"/>
      <c r="L998" s="247"/>
      <c r="M998" s="247"/>
    </row>
    <row r="999">
      <c r="B999" s="247"/>
      <c r="C999" s="247"/>
      <c r="D999" s="247"/>
      <c r="E999" s="247"/>
      <c r="F999" s="247"/>
      <c r="G999" s="247"/>
      <c r="H999" s="247"/>
      <c r="I999" s="247"/>
      <c r="J999" s="247"/>
      <c r="K999" s="247"/>
      <c r="L999" s="247"/>
      <c r="M999" s="247"/>
    </row>
    <row r="1000">
      <c r="B1000" s="247"/>
      <c r="C1000" s="247"/>
      <c r="D1000" s="247"/>
      <c r="E1000" s="247"/>
      <c r="F1000" s="247"/>
      <c r="G1000" s="247"/>
      <c r="H1000" s="247"/>
      <c r="I1000" s="247"/>
      <c r="J1000" s="247"/>
      <c r="K1000" s="247"/>
      <c r="L1000" s="247"/>
      <c r="M1000" s="24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s>
  <sheetData>
    <row r="1">
      <c r="A1" s="1" t="s">
        <v>0</v>
      </c>
      <c r="B1" s="1" t="s">
        <v>1</v>
      </c>
      <c r="C1" s="280" t="s">
        <v>3752</v>
      </c>
      <c r="D1" s="281" t="s">
        <v>2</v>
      </c>
      <c r="E1" s="281" t="s">
        <v>3</v>
      </c>
      <c r="F1" s="281" t="s">
        <v>4</v>
      </c>
      <c r="G1" s="281" t="s">
        <v>5</v>
      </c>
      <c r="H1" s="282" t="s">
        <v>6</v>
      </c>
      <c r="I1" s="280" t="s">
        <v>7</v>
      </c>
      <c r="J1" s="280" t="s">
        <v>8</v>
      </c>
      <c r="K1" s="280" t="s">
        <v>3877</v>
      </c>
      <c r="L1" s="1" t="s">
        <v>11</v>
      </c>
      <c r="M1" s="1" t="s">
        <v>12</v>
      </c>
      <c r="N1" s="1" t="s">
        <v>41</v>
      </c>
      <c r="O1" s="1" t="s">
        <v>42</v>
      </c>
      <c r="P1" s="1" t="s">
        <v>43</v>
      </c>
      <c r="Q1" s="1" t="s">
        <v>44</v>
      </c>
      <c r="R1" s="1" t="s">
        <v>45</v>
      </c>
      <c r="S1" s="1" t="s">
        <v>46</v>
      </c>
      <c r="T1" s="1" t="s">
        <v>47</v>
      </c>
      <c r="U1" s="1" t="s">
        <v>48</v>
      </c>
    </row>
    <row r="2">
      <c r="A2" s="243" t="s">
        <v>4005</v>
      </c>
      <c r="B2" s="218" t="s">
        <v>4006</v>
      </c>
      <c r="C2" s="218" t="s">
        <v>4007</v>
      </c>
      <c r="D2" s="218" t="s">
        <v>757</v>
      </c>
      <c r="E2" s="218" t="s">
        <v>99</v>
      </c>
      <c r="F2" s="218" t="s">
        <v>3882</v>
      </c>
      <c r="G2" s="218" t="s">
        <v>4008</v>
      </c>
      <c r="H2" s="218">
        <f>399+349</f>
        <v>748</v>
      </c>
      <c r="I2" s="247"/>
      <c r="J2" s="218" t="s">
        <v>55</v>
      </c>
      <c r="K2" s="218" t="s">
        <v>3941</v>
      </c>
      <c r="L2" s="218" t="s">
        <v>1514</v>
      </c>
      <c r="M2" s="218" t="s">
        <v>4009</v>
      </c>
      <c r="N2" s="251" t="s">
        <v>4010</v>
      </c>
      <c r="O2" s="293" t="s">
        <v>4011</v>
      </c>
      <c r="P2" s="251" t="s">
        <v>4012</v>
      </c>
      <c r="Q2" s="251" t="s">
        <v>4013</v>
      </c>
      <c r="R2" s="251" t="s">
        <v>4014</v>
      </c>
      <c r="S2" s="251" t="s">
        <v>4015</v>
      </c>
      <c r="T2" s="251" t="s">
        <v>4016</v>
      </c>
      <c r="U2" s="253"/>
    </row>
    <row r="3">
      <c r="A3" s="243" t="s">
        <v>4017</v>
      </c>
      <c r="B3" s="218" t="s">
        <v>4018</v>
      </c>
      <c r="C3" s="218" t="s">
        <v>4019</v>
      </c>
      <c r="D3" s="294" t="s">
        <v>4020</v>
      </c>
      <c r="E3" s="218" t="s">
        <v>99</v>
      </c>
      <c r="F3" s="218" t="s">
        <v>3882</v>
      </c>
      <c r="G3" s="218" t="s">
        <v>4021</v>
      </c>
      <c r="H3" s="218">
        <f>395+349</f>
        <v>744</v>
      </c>
      <c r="I3" s="247"/>
      <c r="J3" s="218" t="s">
        <v>55</v>
      </c>
      <c r="K3" s="218" t="s">
        <v>3955</v>
      </c>
      <c r="L3" s="218" t="s">
        <v>314</v>
      </c>
      <c r="M3" s="218" t="s">
        <v>4022</v>
      </c>
      <c r="N3" s="251" t="s">
        <v>4023</v>
      </c>
      <c r="O3" s="251" t="s">
        <v>4024</v>
      </c>
      <c r="P3" s="251" t="s">
        <v>4025</v>
      </c>
      <c r="Q3" s="251" t="s">
        <v>4026</v>
      </c>
      <c r="R3" s="251" t="s">
        <v>4027</v>
      </c>
      <c r="S3" s="251" t="s">
        <v>4028</v>
      </c>
      <c r="T3" s="251" t="s">
        <v>4029</v>
      </c>
      <c r="U3" s="253"/>
      <c r="V3" s="279"/>
    </row>
    <row r="4">
      <c r="A4" s="243" t="s">
        <v>4030</v>
      </c>
      <c r="B4" s="283" t="s">
        <v>4031</v>
      </c>
      <c r="C4" s="283" t="s">
        <v>4032</v>
      </c>
      <c r="D4" s="283" t="s">
        <v>3981</v>
      </c>
      <c r="E4" s="283" t="s">
        <v>99</v>
      </c>
      <c r="F4" s="283" t="s">
        <v>3882</v>
      </c>
      <c r="G4" s="283" t="s">
        <v>4033</v>
      </c>
      <c r="H4" s="283">
        <f>399+299</f>
        <v>698</v>
      </c>
      <c r="I4" s="284"/>
      <c r="J4" s="283" t="s">
        <v>55</v>
      </c>
      <c r="K4" s="283" t="s">
        <v>3884</v>
      </c>
      <c r="L4" s="283" t="s">
        <v>154</v>
      </c>
      <c r="M4" s="283" t="s">
        <v>4034</v>
      </c>
      <c r="N4" s="217" t="s">
        <v>4035</v>
      </c>
      <c r="O4" s="217" t="s">
        <v>4036</v>
      </c>
      <c r="P4" s="217" t="s">
        <v>4037</v>
      </c>
      <c r="Q4" s="217" t="s">
        <v>4038</v>
      </c>
      <c r="R4" s="217" t="s">
        <v>4039</v>
      </c>
      <c r="S4" s="217" t="s">
        <v>4040</v>
      </c>
      <c r="T4" s="217" t="s">
        <v>4041</v>
      </c>
      <c r="U4" s="92"/>
      <c r="V4" s="92"/>
      <c r="W4" s="92"/>
      <c r="X4" s="92"/>
      <c r="Y4" s="92"/>
      <c r="Z4" s="92"/>
      <c r="AA4" s="92"/>
    </row>
    <row r="5">
      <c r="A5" s="243" t="s">
        <v>4042</v>
      </c>
      <c r="B5" s="218" t="s">
        <v>4043</v>
      </c>
      <c r="C5" s="218" t="s">
        <v>4044</v>
      </c>
      <c r="D5" s="294" t="s">
        <v>4045</v>
      </c>
      <c r="E5" s="218" t="s">
        <v>99</v>
      </c>
      <c r="F5" s="218" t="s">
        <v>3882</v>
      </c>
      <c r="G5" s="218" t="s">
        <v>4046</v>
      </c>
      <c r="H5" s="218">
        <f>395+499</f>
        <v>894</v>
      </c>
      <c r="I5" s="247"/>
      <c r="J5" s="218" t="s">
        <v>55</v>
      </c>
      <c r="K5" s="218" t="s">
        <v>3884</v>
      </c>
      <c r="L5" s="218" t="s">
        <v>154</v>
      </c>
      <c r="M5" s="218" t="s">
        <v>4047</v>
      </c>
      <c r="N5" s="251" t="s">
        <v>4048</v>
      </c>
      <c r="O5" s="251" t="s">
        <v>4049</v>
      </c>
      <c r="P5" s="251" t="s">
        <v>4050</v>
      </c>
      <c r="Q5" s="251" t="s">
        <v>4051</v>
      </c>
      <c r="R5" s="251" t="s">
        <v>4052</v>
      </c>
      <c r="S5" s="251" t="s">
        <v>4053</v>
      </c>
      <c r="T5" s="251" t="s">
        <v>4054</v>
      </c>
      <c r="U5" s="253"/>
      <c r="V5" s="279"/>
    </row>
    <row r="6">
      <c r="A6" s="9" t="s">
        <v>4055</v>
      </c>
      <c r="B6" s="218" t="s">
        <v>4056</v>
      </c>
      <c r="C6" s="218" t="s">
        <v>4057</v>
      </c>
      <c r="D6" s="218" t="s">
        <v>4058</v>
      </c>
      <c r="E6" s="218" t="s">
        <v>99</v>
      </c>
      <c r="F6" s="218" t="s">
        <v>3882</v>
      </c>
      <c r="G6" s="218" t="s">
        <v>4059</v>
      </c>
      <c r="H6" s="218">
        <f>966+440</f>
        <v>1406</v>
      </c>
      <c r="I6" s="247"/>
      <c r="J6" s="218" t="s">
        <v>55</v>
      </c>
      <c r="K6" s="218" t="s">
        <v>4060</v>
      </c>
      <c r="L6" s="98" t="s">
        <v>3269</v>
      </c>
      <c r="M6" s="98" t="s">
        <v>4061</v>
      </c>
      <c r="N6" s="98" t="s">
        <v>4062</v>
      </c>
      <c r="O6" s="98" t="s">
        <v>4063</v>
      </c>
      <c r="P6" s="98" t="s">
        <v>4064</v>
      </c>
      <c r="Q6" s="98" t="s">
        <v>4065</v>
      </c>
      <c r="R6" s="98" t="s">
        <v>4066</v>
      </c>
      <c r="S6" s="94" t="s">
        <v>4067</v>
      </c>
      <c r="T6" s="94" t="s">
        <v>4068</v>
      </c>
      <c r="U6" s="253"/>
      <c r="V6" s="279"/>
    </row>
    <row r="7">
      <c r="A7" s="247"/>
      <c r="B7" s="247"/>
      <c r="C7" s="247"/>
      <c r="D7" s="247"/>
      <c r="E7" s="247"/>
      <c r="F7" s="247"/>
      <c r="G7" s="247"/>
      <c r="H7" s="247"/>
      <c r="I7" s="247"/>
      <c r="J7" s="247"/>
      <c r="K7" s="247"/>
      <c r="L7" s="247"/>
      <c r="M7" s="247"/>
      <c r="N7" s="253"/>
      <c r="O7" s="253"/>
      <c r="P7" s="253"/>
      <c r="Q7" s="253"/>
      <c r="R7" s="253"/>
      <c r="S7" s="253"/>
      <c r="T7" s="253"/>
      <c r="U7" s="253"/>
      <c r="V7" s="279"/>
    </row>
    <row r="8">
      <c r="A8" s="247"/>
      <c r="B8" s="247"/>
      <c r="C8" s="247"/>
      <c r="D8" s="247"/>
      <c r="E8" s="247"/>
      <c r="F8" s="247"/>
      <c r="G8" s="248"/>
      <c r="H8" s="248"/>
      <c r="I8" s="295"/>
      <c r="J8" s="248"/>
      <c r="K8" s="248"/>
      <c r="L8" s="248"/>
      <c r="M8" s="248"/>
      <c r="N8" s="255"/>
      <c r="O8" s="255"/>
      <c r="P8" s="255"/>
      <c r="Q8" s="253"/>
      <c r="R8" s="253"/>
      <c r="S8" s="253"/>
      <c r="T8" s="253"/>
      <c r="U8" s="253"/>
      <c r="V8" s="279"/>
    </row>
    <row r="9">
      <c r="A9" s="247"/>
      <c r="B9" s="247"/>
      <c r="C9" s="247"/>
      <c r="D9" s="247"/>
      <c r="E9" s="247"/>
      <c r="F9" s="247"/>
      <c r="G9" s="247"/>
      <c r="H9" s="247"/>
      <c r="I9" s="247"/>
      <c r="J9" s="247"/>
      <c r="K9" s="247"/>
      <c r="L9" s="247"/>
      <c r="M9" s="247"/>
      <c r="N9" s="253"/>
      <c r="O9" s="253"/>
      <c r="P9" s="253"/>
      <c r="Q9" s="253"/>
      <c r="R9" s="253"/>
      <c r="S9" s="253"/>
      <c r="T9" s="253"/>
      <c r="U9" s="253"/>
      <c r="V9" s="279"/>
    </row>
    <row r="10">
      <c r="A10" s="247"/>
      <c r="B10" s="247"/>
      <c r="Y10" s="296"/>
      <c r="Z10" s="296"/>
      <c r="AA10" s="296"/>
    </row>
    <row r="11">
      <c r="A11" s="247"/>
      <c r="B11" s="247"/>
      <c r="C11" s="247"/>
      <c r="D11" s="247"/>
      <c r="E11" s="247"/>
      <c r="F11" s="248"/>
      <c r="G11" s="247"/>
      <c r="H11" s="248"/>
      <c r="I11" s="248"/>
      <c r="J11" s="248"/>
      <c r="K11" s="248"/>
      <c r="L11" s="248"/>
      <c r="M11" s="248"/>
      <c r="N11" s="255"/>
      <c r="O11" s="255"/>
      <c r="P11" s="255"/>
      <c r="Q11" s="255"/>
      <c r="R11" s="253"/>
      <c r="S11" s="253"/>
      <c r="T11" s="253"/>
      <c r="U11" s="253"/>
      <c r="V11" s="279"/>
    </row>
    <row r="12">
      <c r="A12" s="247"/>
      <c r="B12" s="247"/>
      <c r="C12" s="247"/>
      <c r="D12" s="247"/>
      <c r="E12" s="247"/>
      <c r="F12" s="247"/>
      <c r="G12" s="247"/>
      <c r="H12" s="247"/>
      <c r="I12" s="247"/>
      <c r="J12" s="247"/>
      <c r="K12" s="247"/>
      <c r="L12" s="292"/>
      <c r="M12" s="247"/>
      <c r="N12" s="253"/>
      <c r="O12" s="253"/>
      <c r="P12" s="253"/>
      <c r="Q12" s="253"/>
      <c r="R12" s="253"/>
      <c r="S12" s="253"/>
      <c r="T12" s="253"/>
      <c r="U12" s="253"/>
      <c r="V12" s="279"/>
    </row>
    <row r="13">
      <c r="A13" s="247"/>
      <c r="B13" s="247"/>
      <c r="C13" s="247"/>
      <c r="D13" s="247"/>
      <c r="E13" s="247"/>
      <c r="F13" s="247"/>
      <c r="G13" s="247"/>
      <c r="H13" s="247"/>
      <c r="I13" s="247"/>
      <c r="J13" s="247"/>
      <c r="K13" s="247"/>
      <c r="L13" s="247"/>
      <c r="M13" s="247"/>
      <c r="N13" s="253"/>
      <c r="O13" s="253"/>
      <c r="P13" s="253"/>
      <c r="Q13" s="253"/>
      <c r="R13" s="253"/>
      <c r="S13" s="253"/>
      <c r="T13" s="253"/>
      <c r="U13" s="253"/>
      <c r="V13" s="279"/>
    </row>
    <row r="14">
      <c r="A14" s="247"/>
      <c r="B14" s="247"/>
      <c r="C14" s="247"/>
      <c r="D14" s="247"/>
      <c r="E14" s="247"/>
      <c r="F14" s="247"/>
      <c r="G14" s="55"/>
      <c r="H14" s="55"/>
      <c r="I14" s="55"/>
      <c r="J14" s="55"/>
      <c r="K14" s="55"/>
      <c r="L14" s="55"/>
      <c r="M14" s="55"/>
      <c r="N14" s="55"/>
      <c r="O14" s="55"/>
      <c r="P14" s="55"/>
      <c r="Q14" s="253"/>
      <c r="R14" s="253"/>
      <c r="S14" s="253"/>
      <c r="T14" s="253"/>
      <c r="U14" s="253"/>
      <c r="V14" s="279"/>
    </row>
    <row r="15">
      <c r="A15" s="247"/>
      <c r="B15" s="247"/>
      <c r="C15" s="247"/>
      <c r="D15" s="248"/>
      <c r="E15" s="248"/>
      <c r="F15" s="247"/>
      <c r="R15" s="253"/>
      <c r="S15" s="253"/>
      <c r="T15" s="253"/>
      <c r="U15" s="253"/>
      <c r="V15" s="279"/>
    </row>
    <row r="16">
      <c r="A16" s="247"/>
      <c r="B16" s="247"/>
      <c r="C16" s="247"/>
      <c r="D16" s="247"/>
      <c r="E16" s="247"/>
      <c r="F16" s="247"/>
      <c r="G16" s="247"/>
      <c r="H16" s="247"/>
      <c r="I16" s="247"/>
      <c r="J16" s="247"/>
      <c r="K16" s="247"/>
      <c r="L16" s="247"/>
      <c r="M16" s="247"/>
      <c r="N16" s="253"/>
      <c r="O16" s="253"/>
      <c r="P16" s="253"/>
      <c r="Q16" s="253"/>
      <c r="R16" s="253"/>
      <c r="S16" s="253"/>
      <c r="T16" s="253"/>
      <c r="U16" s="253"/>
      <c r="V16" s="279"/>
    </row>
    <row r="17">
      <c r="A17" s="247"/>
      <c r="B17" s="247"/>
      <c r="C17" s="247"/>
      <c r="D17" s="247"/>
      <c r="E17" s="247"/>
      <c r="F17" s="247"/>
      <c r="G17" s="247"/>
      <c r="H17" s="247"/>
      <c r="I17" s="247"/>
      <c r="J17" s="247"/>
      <c r="K17" s="247"/>
      <c r="L17" s="247"/>
      <c r="M17" s="247"/>
      <c r="N17" s="255"/>
      <c r="O17" s="255"/>
      <c r="P17" s="255"/>
      <c r="Q17" s="255"/>
      <c r="R17" s="255"/>
      <c r="S17" s="253"/>
      <c r="T17" s="253"/>
      <c r="U17" s="253"/>
      <c r="V17" s="279"/>
    </row>
    <row r="18">
      <c r="A18" s="247"/>
      <c r="B18" s="247"/>
      <c r="C18" s="247"/>
      <c r="D18" s="247"/>
      <c r="E18" s="247"/>
      <c r="F18" s="247"/>
      <c r="G18" s="247"/>
      <c r="H18" s="247"/>
      <c r="I18" s="247"/>
      <c r="J18" s="247"/>
      <c r="K18" s="247"/>
      <c r="L18" s="247"/>
      <c r="M18" s="247"/>
      <c r="N18" s="253"/>
      <c r="O18" s="253"/>
      <c r="P18" s="253"/>
      <c r="Q18" s="253"/>
      <c r="R18" s="253"/>
      <c r="S18" s="253"/>
      <c r="T18" s="253"/>
      <c r="U18" s="253"/>
      <c r="V18" s="279"/>
    </row>
    <row r="19">
      <c r="A19" s="247"/>
      <c r="B19" s="247"/>
      <c r="C19" s="247"/>
      <c r="D19" s="247"/>
      <c r="E19" s="247"/>
      <c r="F19" s="247"/>
      <c r="G19" s="247"/>
      <c r="H19" s="247"/>
      <c r="I19" s="247"/>
      <c r="J19" s="247"/>
      <c r="K19" s="247"/>
      <c r="L19" s="247"/>
      <c r="M19" s="247"/>
      <c r="N19" s="253"/>
      <c r="O19" s="253"/>
      <c r="P19" s="253"/>
      <c r="Q19" s="253"/>
      <c r="R19" s="255"/>
      <c r="S19" s="255"/>
      <c r="T19" s="255"/>
      <c r="U19" s="255"/>
      <c r="V19" s="255"/>
      <c r="W19" s="55"/>
      <c r="X19" s="55"/>
      <c r="Y19" s="55"/>
      <c r="Z19" s="55"/>
      <c r="AA19" s="55"/>
    </row>
    <row r="20">
      <c r="A20" s="247"/>
      <c r="B20" s="247"/>
      <c r="C20" s="247"/>
      <c r="D20" s="247"/>
      <c r="E20" s="247"/>
      <c r="F20" s="247"/>
      <c r="G20" s="247"/>
      <c r="H20" s="247"/>
      <c r="I20" s="247"/>
      <c r="J20" s="247"/>
      <c r="K20" s="247"/>
      <c r="L20" s="247"/>
      <c r="M20" s="247"/>
      <c r="N20" s="253"/>
      <c r="O20" s="253"/>
      <c r="P20" s="253"/>
      <c r="Q20" s="253"/>
      <c r="R20" s="253"/>
      <c r="S20" s="253"/>
      <c r="T20" s="253"/>
      <c r="U20" s="253"/>
      <c r="V20" s="279"/>
    </row>
    <row r="21">
      <c r="A21" s="247"/>
      <c r="B21" s="247"/>
      <c r="C21" s="247"/>
      <c r="D21" s="247"/>
      <c r="E21" s="247"/>
      <c r="F21" s="247"/>
      <c r="G21" s="247"/>
      <c r="H21" s="247"/>
      <c r="I21" s="247"/>
      <c r="J21" s="247"/>
      <c r="K21" s="247"/>
      <c r="L21" s="247"/>
      <c r="M21" s="247"/>
      <c r="N21" s="253"/>
      <c r="O21" s="253"/>
      <c r="P21" s="253"/>
      <c r="Q21" s="253"/>
      <c r="R21" s="253"/>
      <c r="S21" s="253"/>
      <c r="T21" s="253"/>
      <c r="U21" s="253"/>
      <c r="V21" s="279"/>
    </row>
    <row r="22">
      <c r="A22" s="247"/>
      <c r="B22" s="247"/>
      <c r="C22" s="247"/>
      <c r="D22" s="247"/>
      <c r="E22" s="247"/>
      <c r="F22" s="297"/>
      <c r="G22" s="291"/>
      <c r="H22" s="247"/>
      <c r="I22" s="247"/>
      <c r="J22" s="247"/>
      <c r="K22" s="247"/>
      <c r="L22" s="247"/>
      <c r="M22" s="247"/>
      <c r="N22" s="253"/>
      <c r="O22" s="253"/>
      <c r="P22" s="253"/>
      <c r="Q22" s="253"/>
      <c r="R22" s="253"/>
      <c r="S22" s="253"/>
      <c r="T22" s="253"/>
      <c r="U22" s="253"/>
      <c r="V22" s="279"/>
    </row>
    <row r="23">
      <c r="A23" s="247"/>
      <c r="B23" s="247"/>
      <c r="C23" s="247"/>
      <c r="D23" s="247"/>
      <c r="E23" s="247"/>
      <c r="F23" s="247"/>
      <c r="G23" s="247"/>
      <c r="H23" s="247"/>
      <c r="I23" s="247"/>
      <c r="J23" s="247"/>
      <c r="K23" s="247"/>
      <c r="L23" s="247"/>
      <c r="M23" s="247"/>
      <c r="N23" s="253"/>
      <c r="O23" s="253"/>
      <c r="P23" s="253"/>
      <c r="Q23" s="253"/>
      <c r="R23" s="253"/>
      <c r="S23" s="253"/>
      <c r="T23" s="253"/>
      <c r="U23" s="253"/>
      <c r="V23" s="279"/>
    </row>
    <row r="24">
      <c r="A24" s="247"/>
      <c r="B24" s="247"/>
      <c r="C24" s="247"/>
      <c r="D24" s="247"/>
      <c r="E24" s="247"/>
      <c r="F24" s="247"/>
      <c r="G24" s="247"/>
      <c r="H24" s="247"/>
      <c r="I24" s="247"/>
      <c r="J24" s="247"/>
      <c r="K24" s="247"/>
      <c r="L24" s="247"/>
      <c r="M24" s="247"/>
      <c r="N24" s="253"/>
      <c r="O24" s="253"/>
      <c r="P24" s="253"/>
      <c r="Q24" s="253"/>
      <c r="R24" s="253"/>
      <c r="S24" s="253"/>
      <c r="T24" s="253"/>
      <c r="U24" s="253"/>
      <c r="V24" s="279"/>
    </row>
    <row r="25">
      <c r="A25" s="247"/>
      <c r="B25" s="247"/>
      <c r="C25" s="247"/>
      <c r="D25" s="247"/>
      <c r="E25" s="247"/>
      <c r="F25" s="247"/>
      <c r="G25" s="247"/>
      <c r="H25" s="247"/>
      <c r="I25" s="247"/>
      <c r="J25" s="247"/>
      <c r="K25" s="247"/>
      <c r="L25" s="247"/>
      <c r="M25" s="247"/>
      <c r="N25" s="253"/>
      <c r="O25" s="253"/>
      <c r="P25" s="253"/>
      <c r="Q25" s="253"/>
      <c r="R25" s="253"/>
      <c r="S25" s="253"/>
      <c r="T25" s="253"/>
      <c r="U25" s="253"/>
      <c r="V25" s="279"/>
    </row>
    <row r="26">
      <c r="A26" s="247"/>
      <c r="B26" s="247"/>
      <c r="C26" s="247"/>
      <c r="D26" s="247"/>
      <c r="E26" s="247"/>
      <c r="F26" s="247"/>
      <c r="G26" s="247"/>
      <c r="H26" s="247"/>
      <c r="I26" s="247"/>
      <c r="J26" s="247"/>
      <c r="K26" s="247"/>
      <c r="L26" s="247"/>
      <c r="M26" s="247"/>
      <c r="N26" s="253"/>
      <c r="O26" s="253"/>
      <c r="P26" s="253"/>
      <c r="Q26" s="253"/>
      <c r="R26" s="253"/>
      <c r="S26" s="253"/>
      <c r="T26" s="253"/>
      <c r="U26" s="253"/>
      <c r="V26" s="279"/>
    </row>
    <row r="27">
      <c r="A27" s="247"/>
      <c r="B27" s="247"/>
      <c r="C27" s="247"/>
      <c r="D27" s="247"/>
      <c r="E27" s="247"/>
      <c r="F27" s="247"/>
      <c r="G27" s="247"/>
      <c r="H27" s="247"/>
      <c r="I27" s="247"/>
      <c r="J27" s="247"/>
      <c r="K27" s="247"/>
      <c r="L27" s="247"/>
      <c r="M27" s="247"/>
      <c r="N27" s="253"/>
      <c r="O27" s="253"/>
      <c r="P27" s="253"/>
      <c r="Q27" s="253"/>
      <c r="R27" s="253"/>
      <c r="S27" s="253"/>
      <c r="T27" s="253"/>
      <c r="U27" s="253"/>
      <c r="V27" s="279"/>
    </row>
    <row r="28">
      <c r="A28" s="247"/>
      <c r="B28" s="247"/>
      <c r="C28" s="247"/>
      <c r="D28" s="247"/>
      <c r="E28" s="247"/>
      <c r="F28" s="247"/>
      <c r="G28" s="247"/>
      <c r="H28" s="247"/>
      <c r="I28" s="247"/>
      <c r="J28" s="247"/>
      <c r="K28" s="247"/>
      <c r="L28" s="247"/>
      <c r="M28" s="247"/>
      <c r="N28" s="253"/>
      <c r="O28" s="253"/>
      <c r="P28" s="253"/>
      <c r="Q28" s="253"/>
      <c r="R28" s="253"/>
      <c r="S28" s="253"/>
      <c r="T28" s="253"/>
      <c r="U28" s="253"/>
      <c r="V28" s="279"/>
    </row>
    <row r="29">
      <c r="A29" s="247"/>
      <c r="B29" s="247"/>
      <c r="C29" s="247"/>
      <c r="D29" s="247"/>
      <c r="E29" s="247"/>
      <c r="F29" s="247"/>
      <c r="G29" s="247"/>
      <c r="H29" s="247"/>
      <c r="I29" s="247"/>
      <c r="J29" s="247"/>
      <c r="K29" s="247"/>
      <c r="L29" s="247"/>
      <c r="M29" s="247"/>
      <c r="N29" s="253"/>
      <c r="O29" s="253"/>
      <c r="P29" s="253"/>
      <c r="Q29" s="253"/>
      <c r="R29" s="253"/>
      <c r="S29" s="253"/>
      <c r="T29" s="253"/>
      <c r="U29" s="253"/>
      <c r="V29" s="279"/>
    </row>
    <row r="30">
      <c r="A30" s="247"/>
      <c r="B30" s="247"/>
      <c r="C30" s="247"/>
      <c r="D30" s="247"/>
      <c r="E30" s="247"/>
      <c r="F30" s="247"/>
      <c r="G30" s="247"/>
      <c r="H30" s="247"/>
      <c r="I30" s="247"/>
      <c r="J30" s="247"/>
      <c r="K30" s="247"/>
      <c r="L30" s="247"/>
      <c r="M30" s="247"/>
      <c r="N30" s="253"/>
      <c r="O30" s="253"/>
      <c r="P30" s="253"/>
      <c r="Q30" s="253"/>
      <c r="R30" s="253"/>
      <c r="S30" s="253"/>
      <c r="T30" s="253"/>
      <c r="U30" s="253"/>
      <c r="V30" s="279"/>
    </row>
    <row r="31">
      <c r="A31" s="247"/>
      <c r="B31" s="247"/>
      <c r="C31" s="247"/>
      <c r="D31" s="247"/>
      <c r="E31" s="247"/>
      <c r="F31" s="247"/>
      <c r="G31" s="247"/>
      <c r="H31" s="247"/>
      <c r="I31" s="247"/>
      <c r="J31" s="247"/>
      <c r="K31" s="247"/>
      <c r="L31" s="247"/>
      <c r="M31" s="247"/>
      <c r="N31" s="253"/>
      <c r="O31" s="253"/>
      <c r="P31" s="253"/>
      <c r="Q31" s="253"/>
      <c r="R31" s="253"/>
      <c r="S31" s="253"/>
      <c r="T31" s="253"/>
      <c r="U31" s="253"/>
      <c r="V31" s="279"/>
    </row>
    <row r="32">
      <c r="A32" s="247"/>
      <c r="B32" s="247"/>
      <c r="C32" s="247"/>
      <c r="D32" s="247"/>
      <c r="E32" s="247"/>
      <c r="F32" s="247"/>
      <c r="G32" s="247"/>
      <c r="H32" s="247"/>
      <c r="I32" s="247"/>
      <c r="J32" s="247"/>
      <c r="K32" s="247"/>
      <c r="L32" s="247"/>
      <c r="M32" s="247"/>
      <c r="N32" s="253"/>
      <c r="O32" s="253"/>
      <c r="P32" s="253"/>
      <c r="Q32" s="253"/>
      <c r="R32" s="253"/>
      <c r="S32" s="253"/>
      <c r="T32" s="253"/>
      <c r="U32" s="253"/>
      <c r="V32" s="279"/>
    </row>
    <row r="33">
      <c r="A33" s="247"/>
      <c r="B33" s="247"/>
      <c r="C33" s="247"/>
      <c r="D33" s="247"/>
      <c r="E33" s="247"/>
      <c r="F33" s="247"/>
      <c r="G33" s="247"/>
      <c r="H33" s="247"/>
      <c r="I33" s="247"/>
      <c r="J33" s="247"/>
      <c r="K33" s="247"/>
      <c r="L33" s="247"/>
      <c r="M33" s="247"/>
      <c r="N33" s="253"/>
      <c r="O33" s="253"/>
      <c r="P33" s="253"/>
      <c r="Q33" s="253"/>
      <c r="R33" s="253"/>
      <c r="S33" s="253"/>
      <c r="T33" s="253"/>
      <c r="U33" s="253"/>
      <c r="V33" s="279"/>
    </row>
    <row r="34">
      <c r="A34" s="247"/>
      <c r="B34" s="247"/>
      <c r="C34" s="247"/>
      <c r="D34" s="247"/>
      <c r="E34" s="247"/>
      <c r="F34" s="247"/>
      <c r="G34" s="247"/>
      <c r="H34" s="247"/>
      <c r="I34" s="247"/>
      <c r="J34" s="247"/>
      <c r="K34" s="247"/>
      <c r="L34" s="247"/>
      <c r="M34" s="247"/>
      <c r="N34" s="253"/>
      <c r="O34" s="253"/>
      <c r="P34" s="253"/>
      <c r="Q34" s="253"/>
      <c r="R34" s="253"/>
      <c r="S34" s="253"/>
      <c r="T34" s="253"/>
      <c r="U34" s="253"/>
      <c r="V34" s="279"/>
    </row>
    <row r="35">
      <c r="A35" s="247"/>
      <c r="B35" s="247"/>
      <c r="C35" s="247"/>
      <c r="D35" s="247"/>
      <c r="E35" s="247"/>
      <c r="F35" s="247"/>
      <c r="G35" s="247"/>
      <c r="H35" s="247"/>
      <c r="I35" s="247"/>
      <c r="J35" s="247"/>
      <c r="K35" s="247"/>
      <c r="L35" s="247"/>
      <c r="M35" s="247"/>
      <c r="N35" s="253"/>
      <c r="O35" s="253"/>
      <c r="P35" s="253"/>
      <c r="Q35" s="253"/>
      <c r="R35" s="253"/>
      <c r="S35" s="253"/>
      <c r="T35" s="253"/>
      <c r="U35" s="253"/>
      <c r="V35" s="279"/>
    </row>
    <row r="36">
      <c r="A36" s="247"/>
      <c r="B36" s="247"/>
      <c r="C36" s="247"/>
      <c r="D36" s="247"/>
      <c r="E36" s="247"/>
      <c r="F36" s="247"/>
      <c r="G36" s="247"/>
      <c r="H36" s="247"/>
      <c r="I36" s="247"/>
      <c r="J36" s="247"/>
      <c r="K36" s="247"/>
      <c r="L36" s="247"/>
      <c r="M36" s="247"/>
      <c r="N36" s="253"/>
      <c r="O36" s="253"/>
      <c r="P36" s="253"/>
      <c r="Q36" s="253"/>
      <c r="R36" s="253"/>
      <c r="S36" s="253"/>
      <c r="T36" s="253"/>
      <c r="U36" s="253"/>
      <c r="V36" s="279"/>
    </row>
    <row r="37">
      <c r="A37" s="247"/>
      <c r="B37" s="247"/>
      <c r="C37" s="247"/>
      <c r="D37" s="247"/>
      <c r="E37" s="247"/>
      <c r="F37" s="247"/>
      <c r="G37" s="247"/>
      <c r="H37" s="247"/>
      <c r="I37" s="247"/>
      <c r="J37" s="247"/>
      <c r="K37" s="247"/>
      <c r="L37" s="247"/>
      <c r="M37" s="247"/>
      <c r="N37" s="253"/>
      <c r="O37" s="253"/>
      <c r="P37" s="253"/>
      <c r="Q37" s="253"/>
      <c r="R37" s="253"/>
      <c r="S37" s="253"/>
      <c r="T37" s="253"/>
      <c r="U37" s="253"/>
      <c r="V37" s="279"/>
    </row>
    <row r="38">
      <c r="A38" s="247"/>
      <c r="B38" s="247"/>
      <c r="C38" s="247"/>
      <c r="D38" s="247"/>
      <c r="E38" s="247"/>
      <c r="F38" s="247"/>
      <c r="G38" s="247"/>
      <c r="H38" s="247"/>
      <c r="I38" s="247"/>
      <c r="J38" s="247"/>
      <c r="K38" s="247"/>
      <c r="L38" s="247"/>
      <c r="M38" s="247"/>
      <c r="N38" s="253"/>
      <c r="O38" s="253"/>
      <c r="P38" s="253"/>
      <c r="Q38" s="253"/>
      <c r="R38" s="253"/>
      <c r="S38" s="253"/>
      <c r="T38" s="253"/>
      <c r="U38" s="253"/>
      <c r="V38" s="279"/>
    </row>
    <row r="39">
      <c r="A39" s="247"/>
      <c r="B39" s="247"/>
      <c r="C39" s="247"/>
      <c r="D39" s="247"/>
      <c r="E39" s="247"/>
      <c r="F39" s="247"/>
      <c r="G39" s="247"/>
      <c r="H39" s="247"/>
      <c r="I39" s="247"/>
      <c r="J39" s="247"/>
      <c r="K39" s="247"/>
      <c r="L39" s="247"/>
      <c r="M39" s="247"/>
      <c r="N39" s="253"/>
      <c r="O39" s="253"/>
      <c r="P39" s="253"/>
      <c r="Q39" s="253"/>
      <c r="R39" s="253"/>
      <c r="S39" s="253"/>
      <c r="T39" s="253"/>
      <c r="U39" s="253"/>
      <c r="V39" s="279"/>
    </row>
    <row r="40">
      <c r="A40" s="247"/>
      <c r="B40" s="247"/>
      <c r="C40" s="247"/>
      <c r="D40" s="247"/>
      <c r="E40" s="247"/>
      <c r="F40" s="247"/>
      <c r="G40" s="247"/>
      <c r="H40" s="247"/>
      <c r="I40" s="247"/>
      <c r="J40" s="247"/>
      <c r="K40" s="247"/>
      <c r="L40" s="247"/>
      <c r="M40" s="247"/>
      <c r="N40" s="253"/>
      <c r="O40" s="253"/>
      <c r="P40" s="253"/>
      <c r="Q40" s="253"/>
      <c r="R40" s="253"/>
      <c r="S40" s="253"/>
      <c r="T40" s="253"/>
      <c r="U40" s="253"/>
      <c r="V40" s="279"/>
    </row>
    <row r="41">
      <c r="A41" s="247"/>
      <c r="B41" s="247"/>
      <c r="C41" s="247"/>
      <c r="D41" s="247"/>
      <c r="E41" s="247"/>
      <c r="F41" s="247"/>
      <c r="G41" s="247"/>
      <c r="H41" s="247"/>
      <c r="I41" s="247"/>
      <c r="J41" s="247"/>
      <c r="K41" s="247"/>
      <c r="L41" s="247"/>
      <c r="M41" s="247"/>
      <c r="N41" s="253"/>
      <c r="O41" s="253"/>
      <c r="P41" s="253"/>
      <c r="Q41" s="253"/>
      <c r="R41" s="253"/>
      <c r="S41" s="253"/>
      <c r="T41" s="253"/>
      <c r="U41" s="253"/>
      <c r="V41" s="279"/>
    </row>
    <row r="42">
      <c r="A42" s="247"/>
      <c r="B42" s="247"/>
      <c r="C42" s="247"/>
      <c r="D42" s="247"/>
      <c r="E42" s="247"/>
      <c r="F42" s="247"/>
      <c r="G42" s="247"/>
      <c r="H42" s="247"/>
      <c r="I42" s="247"/>
      <c r="J42" s="247"/>
      <c r="K42" s="247"/>
      <c r="L42" s="247"/>
      <c r="M42" s="247"/>
      <c r="N42" s="253"/>
      <c r="O42" s="253"/>
      <c r="P42" s="253"/>
      <c r="Q42" s="253"/>
      <c r="R42" s="253"/>
      <c r="S42" s="253"/>
      <c r="T42" s="253"/>
      <c r="U42" s="253"/>
      <c r="V42" s="279"/>
    </row>
    <row r="43">
      <c r="A43" s="247"/>
      <c r="B43" s="247"/>
      <c r="C43" s="247"/>
      <c r="D43" s="247"/>
      <c r="E43" s="247"/>
      <c r="F43" s="247"/>
      <c r="G43" s="247"/>
      <c r="H43" s="247"/>
      <c r="I43" s="247"/>
      <c r="J43" s="247"/>
      <c r="K43" s="247"/>
      <c r="L43" s="247"/>
      <c r="M43" s="247"/>
      <c r="N43" s="253"/>
      <c r="O43" s="253"/>
      <c r="P43" s="253"/>
      <c r="Q43" s="253"/>
      <c r="R43" s="253"/>
      <c r="S43" s="253"/>
      <c r="T43" s="253"/>
      <c r="U43" s="253"/>
      <c r="V43" s="279"/>
    </row>
    <row r="44">
      <c r="A44" s="247"/>
      <c r="B44" s="247"/>
      <c r="C44" s="247"/>
      <c r="D44" s="247"/>
      <c r="E44" s="247"/>
      <c r="F44" s="247"/>
      <c r="G44" s="247"/>
      <c r="H44" s="247"/>
      <c r="I44" s="247"/>
      <c r="J44" s="247"/>
      <c r="K44" s="247"/>
      <c r="L44" s="247"/>
      <c r="M44" s="247"/>
      <c r="N44" s="253"/>
      <c r="O44" s="253"/>
      <c r="P44" s="253"/>
      <c r="Q44" s="253"/>
      <c r="R44" s="253"/>
      <c r="S44" s="253"/>
      <c r="T44" s="253"/>
      <c r="U44" s="253"/>
      <c r="V44" s="279"/>
    </row>
    <row r="45">
      <c r="A45" s="247"/>
      <c r="B45" s="247"/>
      <c r="C45" s="247"/>
      <c r="D45" s="247"/>
      <c r="E45" s="247"/>
      <c r="F45" s="247"/>
      <c r="G45" s="247"/>
      <c r="H45" s="247"/>
      <c r="I45" s="247"/>
      <c r="J45" s="247"/>
      <c r="K45" s="247"/>
      <c r="L45" s="247"/>
      <c r="M45" s="247"/>
      <c r="N45" s="253"/>
      <c r="O45" s="253"/>
      <c r="P45" s="253"/>
      <c r="Q45" s="253"/>
      <c r="R45" s="253"/>
      <c r="S45" s="253"/>
      <c r="T45" s="253"/>
      <c r="U45" s="253"/>
      <c r="V45" s="279"/>
    </row>
    <row r="46">
      <c r="A46" s="247"/>
      <c r="B46" s="247"/>
      <c r="C46" s="247"/>
      <c r="D46" s="247"/>
      <c r="E46" s="247"/>
      <c r="F46" s="247"/>
      <c r="G46" s="247"/>
      <c r="H46" s="247"/>
      <c r="I46" s="247"/>
      <c r="J46" s="247"/>
      <c r="K46" s="247"/>
      <c r="L46" s="247"/>
      <c r="M46" s="247"/>
      <c r="N46" s="253"/>
      <c r="O46" s="253"/>
      <c r="P46" s="253"/>
      <c r="Q46" s="253"/>
      <c r="R46" s="253"/>
      <c r="S46" s="253"/>
      <c r="T46" s="253"/>
      <c r="U46" s="253"/>
      <c r="V46" s="279"/>
    </row>
    <row r="47">
      <c r="A47" s="247"/>
      <c r="B47" s="247"/>
      <c r="C47" s="247"/>
      <c r="D47" s="247"/>
      <c r="E47" s="247"/>
      <c r="F47" s="247"/>
      <c r="G47" s="247"/>
      <c r="H47" s="247"/>
      <c r="I47" s="247"/>
      <c r="J47" s="247"/>
      <c r="K47" s="247"/>
      <c r="L47" s="247"/>
      <c r="M47" s="247"/>
      <c r="N47" s="253"/>
      <c r="O47" s="253"/>
      <c r="P47" s="253"/>
      <c r="Q47" s="253"/>
      <c r="R47" s="253"/>
      <c r="S47" s="253"/>
      <c r="T47" s="253"/>
      <c r="U47" s="253"/>
      <c r="V47" s="279"/>
    </row>
    <row r="48">
      <c r="A48" s="247"/>
      <c r="B48" s="247"/>
      <c r="C48" s="247"/>
      <c r="D48" s="247"/>
      <c r="E48" s="247"/>
      <c r="F48" s="247"/>
      <c r="G48" s="247"/>
      <c r="H48" s="247"/>
      <c r="I48" s="247"/>
      <c r="J48" s="247"/>
      <c r="K48" s="247"/>
      <c r="L48" s="247"/>
      <c r="M48" s="247"/>
      <c r="N48" s="253"/>
      <c r="O48" s="253"/>
      <c r="P48" s="253"/>
      <c r="Q48" s="253"/>
      <c r="R48" s="253"/>
      <c r="S48" s="253"/>
      <c r="T48" s="253"/>
      <c r="U48" s="253"/>
      <c r="V48" s="279"/>
    </row>
    <row r="49">
      <c r="A49" s="247"/>
      <c r="B49" s="247"/>
      <c r="C49" s="247"/>
      <c r="D49" s="247"/>
      <c r="E49" s="247"/>
      <c r="F49" s="247"/>
      <c r="G49" s="247"/>
      <c r="H49" s="247"/>
      <c r="I49" s="247"/>
      <c r="J49" s="247"/>
      <c r="K49" s="247"/>
      <c r="L49" s="247"/>
      <c r="M49" s="247"/>
      <c r="N49" s="253"/>
      <c r="O49" s="253"/>
      <c r="P49" s="253"/>
      <c r="Q49" s="253"/>
      <c r="R49" s="253"/>
      <c r="S49" s="253"/>
      <c r="T49" s="253"/>
      <c r="U49" s="253"/>
      <c r="V49" s="279"/>
    </row>
    <row r="50">
      <c r="A50" s="247"/>
      <c r="B50" s="247"/>
      <c r="C50" s="247"/>
      <c r="D50" s="247"/>
      <c r="E50" s="247"/>
      <c r="F50" s="247"/>
      <c r="G50" s="247"/>
      <c r="H50" s="247"/>
      <c r="I50" s="247"/>
      <c r="J50" s="247"/>
      <c r="K50" s="247"/>
      <c r="L50" s="247"/>
      <c r="M50" s="247"/>
      <c r="N50" s="253"/>
      <c r="O50" s="253"/>
      <c r="P50" s="253"/>
      <c r="Q50" s="253"/>
      <c r="R50" s="253"/>
      <c r="S50" s="253"/>
      <c r="T50" s="253"/>
      <c r="U50" s="253"/>
      <c r="V50" s="279"/>
    </row>
    <row r="51">
      <c r="A51" s="247"/>
      <c r="B51" s="247"/>
      <c r="C51" s="247"/>
      <c r="D51" s="247"/>
      <c r="E51" s="247"/>
      <c r="F51" s="247"/>
      <c r="G51" s="247"/>
      <c r="H51" s="247"/>
      <c r="I51" s="247"/>
      <c r="J51" s="247"/>
      <c r="K51" s="247"/>
      <c r="L51" s="247"/>
      <c r="M51" s="247"/>
      <c r="N51" s="253"/>
      <c r="O51" s="253"/>
      <c r="P51" s="253"/>
      <c r="Q51" s="253"/>
      <c r="R51" s="253"/>
      <c r="S51" s="253"/>
      <c r="T51" s="253"/>
      <c r="U51" s="253"/>
      <c r="V51" s="279"/>
    </row>
    <row r="52">
      <c r="A52" s="247"/>
      <c r="B52" s="247"/>
      <c r="C52" s="247"/>
      <c r="D52" s="247"/>
      <c r="E52" s="247"/>
      <c r="F52" s="247"/>
      <c r="G52" s="247"/>
      <c r="H52" s="247"/>
      <c r="I52" s="247"/>
      <c r="J52" s="247"/>
      <c r="K52" s="247"/>
      <c r="L52" s="247"/>
      <c r="M52" s="247"/>
      <c r="N52" s="247"/>
      <c r="O52" s="247"/>
      <c r="P52" s="247"/>
      <c r="Q52" s="247"/>
      <c r="R52" s="247"/>
      <c r="S52" s="247"/>
      <c r="T52" s="247"/>
      <c r="U52" s="247"/>
    </row>
    <row r="53">
      <c r="A53" s="247"/>
      <c r="B53" s="247"/>
      <c r="C53" s="247"/>
      <c r="D53" s="247"/>
      <c r="E53" s="247"/>
      <c r="F53" s="247"/>
      <c r="G53" s="247"/>
      <c r="H53" s="247"/>
      <c r="I53" s="247"/>
      <c r="J53" s="247"/>
      <c r="K53" s="247"/>
      <c r="L53" s="247"/>
      <c r="M53" s="247"/>
      <c r="N53" s="247"/>
      <c r="O53" s="247"/>
      <c r="P53" s="247"/>
      <c r="Q53" s="247"/>
      <c r="R53" s="247"/>
      <c r="S53" s="247"/>
      <c r="T53" s="247"/>
      <c r="U53" s="247"/>
    </row>
    <row r="54">
      <c r="A54" s="247"/>
      <c r="B54" s="247"/>
      <c r="C54" s="247"/>
      <c r="D54" s="247"/>
      <c r="E54" s="247"/>
      <c r="F54" s="247"/>
      <c r="G54" s="247"/>
      <c r="H54" s="247"/>
      <c r="I54" s="247"/>
      <c r="J54" s="247"/>
      <c r="K54" s="247"/>
      <c r="L54" s="247"/>
      <c r="M54" s="247"/>
      <c r="N54" s="247"/>
      <c r="O54" s="247"/>
      <c r="P54" s="247"/>
      <c r="Q54" s="247"/>
      <c r="R54" s="247"/>
      <c r="S54" s="247"/>
      <c r="T54" s="247"/>
      <c r="U54" s="247"/>
    </row>
    <row r="55">
      <c r="A55" s="247"/>
      <c r="B55" s="247"/>
      <c r="C55" s="247"/>
      <c r="D55" s="247"/>
      <c r="E55" s="247"/>
      <c r="F55" s="247"/>
      <c r="G55" s="247"/>
      <c r="H55" s="247"/>
      <c r="I55" s="247"/>
      <c r="J55" s="247"/>
      <c r="K55" s="247"/>
      <c r="L55" s="247"/>
      <c r="M55" s="247"/>
      <c r="N55" s="247"/>
      <c r="O55" s="247"/>
      <c r="P55" s="247"/>
      <c r="Q55" s="247"/>
      <c r="R55" s="247"/>
      <c r="S55" s="247"/>
      <c r="T55" s="247"/>
      <c r="U55" s="247"/>
    </row>
    <row r="56">
      <c r="A56" s="247"/>
      <c r="B56" s="247"/>
      <c r="C56" s="247"/>
      <c r="D56" s="247"/>
      <c r="E56" s="247"/>
      <c r="F56" s="247"/>
      <c r="G56" s="247"/>
      <c r="H56" s="247"/>
      <c r="I56" s="247"/>
      <c r="J56" s="247"/>
      <c r="K56" s="247"/>
      <c r="L56" s="247"/>
      <c r="M56" s="247"/>
      <c r="N56" s="247"/>
      <c r="O56" s="247"/>
      <c r="P56" s="247"/>
      <c r="Q56" s="247"/>
      <c r="R56" s="247"/>
      <c r="S56" s="247"/>
      <c r="T56" s="247"/>
      <c r="U56" s="247"/>
    </row>
    <row r="57">
      <c r="A57" s="247"/>
      <c r="B57" s="247"/>
      <c r="C57" s="247"/>
      <c r="D57" s="247"/>
      <c r="E57" s="247"/>
      <c r="F57" s="247"/>
      <c r="G57" s="247"/>
      <c r="H57" s="247"/>
      <c r="I57" s="247"/>
      <c r="J57" s="247"/>
      <c r="K57" s="247"/>
      <c r="L57" s="247"/>
      <c r="M57" s="247"/>
      <c r="N57" s="247"/>
      <c r="O57" s="247"/>
      <c r="P57" s="247"/>
      <c r="Q57" s="247"/>
      <c r="R57" s="247"/>
      <c r="S57" s="247"/>
      <c r="T57" s="247"/>
      <c r="U57" s="247"/>
    </row>
    <row r="58">
      <c r="A58" s="247"/>
      <c r="B58" s="247"/>
      <c r="C58" s="247"/>
      <c r="D58" s="247"/>
      <c r="E58" s="247"/>
      <c r="F58" s="247"/>
      <c r="G58" s="247"/>
      <c r="H58" s="247"/>
      <c r="I58" s="247"/>
      <c r="J58" s="247"/>
      <c r="K58" s="247"/>
      <c r="L58" s="247"/>
      <c r="M58" s="247"/>
      <c r="N58" s="247"/>
      <c r="O58" s="247"/>
      <c r="P58" s="247"/>
      <c r="Q58" s="247"/>
      <c r="R58" s="247"/>
      <c r="S58" s="247"/>
      <c r="T58" s="247"/>
      <c r="U58" s="247"/>
    </row>
    <row r="59">
      <c r="A59" s="247"/>
      <c r="B59" s="247"/>
      <c r="C59" s="247"/>
      <c r="D59" s="247"/>
      <c r="E59" s="247"/>
      <c r="F59" s="247"/>
      <c r="G59" s="247"/>
      <c r="H59" s="247"/>
      <c r="I59" s="247"/>
      <c r="J59" s="247"/>
      <c r="K59" s="247"/>
      <c r="L59" s="247"/>
      <c r="M59" s="247"/>
      <c r="N59" s="247"/>
      <c r="O59" s="247"/>
      <c r="P59" s="247"/>
      <c r="Q59" s="247"/>
      <c r="R59" s="247"/>
      <c r="S59" s="247"/>
      <c r="T59" s="247"/>
      <c r="U59" s="247"/>
    </row>
    <row r="60">
      <c r="A60" s="247"/>
      <c r="B60" s="247"/>
      <c r="C60" s="247"/>
      <c r="D60" s="247"/>
      <c r="E60" s="247"/>
      <c r="F60" s="247"/>
      <c r="G60" s="247"/>
      <c r="H60" s="247"/>
      <c r="I60" s="247"/>
      <c r="J60" s="247"/>
      <c r="K60" s="247"/>
      <c r="L60" s="247"/>
      <c r="M60" s="247"/>
      <c r="N60" s="247"/>
      <c r="O60" s="247"/>
      <c r="P60" s="247"/>
      <c r="Q60" s="247"/>
      <c r="R60" s="247"/>
      <c r="S60" s="247"/>
      <c r="T60" s="247"/>
      <c r="U60" s="247"/>
    </row>
    <row r="61">
      <c r="A61" s="247"/>
      <c r="B61" s="247"/>
      <c r="C61" s="247"/>
      <c r="D61" s="247"/>
      <c r="E61" s="247"/>
      <c r="F61" s="247"/>
      <c r="G61" s="247"/>
      <c r="H61" s="247"/>
      <c r="I61" s="247"/>
      <c r="J61" s="247"/>
      <c r="K61" s="247"/>
      <c r="L61" s="247"/>
      <c r="M61" s="247"/>
      <c r="N61" s="247"/>
      <c r="O61" s="247"/>
      <c r="P61" s="247"/>
      <c r="Q61" s="247"/>
      <c r="R61" s="247"/>
      <c r="S61" s="247"/>
      <c r="T61" s="247"/>
      <c r="U61" s="247"/>
    </row>
    <row r="62">
      <c r="A62" s="247"/>
      <c r="B62" s="247"/>
      <c r="C62" s="247"/>
      <c r="D62" s="247"/>
      <c r="E62" s="247"/>
      <c r="F62" s="247"/>
      <c r="G62" s="247"/>
      <c r="H62" s="247"/>
      <c r="I62" s="247"/>
      <c r="J62" s="247"/>
      <c r="K62" s="247"/>
      <c r="L62" s="247"/>
      <c r="M62" s="247"/>
      <c r="N62" s="247"/>
      <c r="O62" s="247"/>
      <c r="P62" s="247"/>
      <c r="Q62" s="247"/>
      <c r="R62" s="247"/>
      <c r="S62" s="247"/>
      <c r="T62" s="247"/>
      <c r="U62" s="247"/>
    </row>
    <row r="63">
      <c r="A63" s="247"/>
      <c r="B63" s="247"/>
      <c r="C63" s="247"/>
      <c r="D63" s="247"/>
      <c r="E63" s="247"/>
      <c r="F63" s="247"/>
      <c r="G63" s="247"/>
      <c r="H63" s="247"/>
      <c r="I63" s="247"/>
      <c r="J63" s="247"/>
      <c r="K63" s="247"/>
      <c r="L63" s="247"/>
      <c r="M63" s="247"/>
      <c r="N63" s="247"/>
      <c r="O63" s="247"/>
      <c r="P63" s="247"/>
      <c r="Q63" s="247"/>
      <c r="R63" s="247"/>
      <c r="S63" s="247"/>
      <c r="T63" s="247"/>
      <c r="U63" s="247"/>
    </row>
    <row r="64">
      <c r="A64" s="247"/>
      <c r="B64" s="247"/>
      <c r="C64" s="247"/>
      <c r="D64" s="247"/>
      <c r="E64" s="247"/>
      <c r="F64" s="247"/>
      <c r="G64" s="247"/>
      <c r="H64" s="247"/>
      <c r="I64" s="247"/>
      <c r="J64" s="247"/>
      <c r="K64" s="247"/>
      <c r="L64" s="247"/>
      <c r="M64" s="247"/>
      <c r="N64" s="247"/>
      <c r="O64" s="247"/>
      <c r="P64" s="247"/>
      <c r="Q64" s="247"/>
      <c r="R64" s="247"/>
      <c r="S64" s="247"/>
      <c r="T64" s="247"/>
      <c r="U64" s="247"/>
    </row>
    <row r="65">
      <c r="A65" s="247"/>
      <c r="B65" s="247"/>
      <c r="C65" s="247"/>
      <c r="D65" s="247"/>
      <c r="E65" s="247"/>
      <c r="F65" s="247"/>
      <c r="G65" s="247"/>
      <c r="H65" s="247"/>
      <c r="I65" s="247"/>
      <c r="J65" s="247"/>
      <c r="K65" s="247"/>
      <c r="L65" s="247"/>
      <c r="M65" s="247"/>
      <c r="N65" s="247"/>
      <c r="O65" s="247"/>
      <c r="P65" s="247"/>
      <c r="Q65" s="247"/>
      <c r="R65" s="247"/>
      <c r="S65" s="247"/>
      <c r="T65" s="247"/>
      <c r="U65" s="247"/>
    </row>
    <row r="66">
      <c r="A66" s="247"/>
      <c r="B66" s="247"/>
      <c r="C66" s="247"/>
      <c r="D66" s="247"/>
      <c r="E66" s="247"/>
      <c r="F66" s="247"/>
      <c r="G66" s="247"/>
      <c r="H66" s="247"/>
      <c r="I66" s="247"/>
      <c r="J66" s="247"/>
      <c r="K66" s="247"/>
      <c r="L66" s="247"/>
      <c r="M66" s="247"/>
      <c r="N66" s="247"/>
      <c r="O66" s="247"/>
      <c r="P66" s="247"/>
      <c r="Q66" s="247"/>
      <c r="R66" s="247"/>
      <c r="S66" s="247"/>
      <c r="T66" s="247"/>
      <c r="U66" s="247"/>
    </row>
    <row r="67">
      <c r="A67" s="247"/>
      <c r="B67" s="247"/>
      <c r="C67" s="247"/>
      <c r="D67" s="247"/>
      <c r="E67" s="247"/>
      <c r="F67" s="247"/>
      <c r="G67" s="247"/>
      <c r="H67" s="247"/>
      <c r="I67" s="247"/>
      <c r="J67" s="247"/>
      <c r="K67" s="247"/>
      <c r="L67" s="247"/>
      <c r="M67" s="247"/>
      <c r="N67" s="247"/>
      <c r="O67" s="247"/>
      <c r="P67" s="247"/>
      <c r="Q67" s="247"/>
      <c r="R67" s="247"/>
      <c r="S67" s="247"/>
      <c r="T67" s="247"/>
      <c r="U67" s="247"/>
    </row>
    <row r="68">
      <c r="A68" s="247"/>
      <c r="B68" s="247"/>
      <c r="C68" s="247"/>
      <c r="D68" s="247"/>
      <c r="E68" s="247"/>
      <c r="F68" s="247"/>
      <c r="G68" s="247"/>
      <c r="H68" s="247"/>
      <c r="I68" s="247"/>
      <c r="J68" s="247"/>
      <c r="K68" s="247"/>
      <c r="L68" s="247"/>
      <c r="M68" s="247"/>
      <c r="N68" s="247"/>
      <c r="O68" s="247"/>
      <c r="P68" s="247"/>
      <c r="Q68" s="247"/>
      <c r="R68" s="247"/>
      <c r="S68" s="247"/>
      <c r="T68" s="247"/>
      <c r="U68" s="247"/>
    </row>
    <row r="69">
      <c r="A69" s="247"/>
      <c r="B69" s="247"/>
      <c r="C69" s="247"/>
      <c r="D69" s="247"/>
      <c r="E69" s="247"/>
      <c r="F69" s="247"/>
      <c r="G69" s="247"/>
      <c r="H69" s="247"/>
      <c r="I69" s="247"/>
      <c r="J69" s="247"/>
      <c r="K69" s="247"/>
      <c r="L69" s="247"/>
      <c r="M69" s="247"/>
      <c r="N69" s="247"/>
      <c r="O69" s="247"/>
      <c r="P69" s="247"/>
      <c r="Q69" s="247"/>
      <c r="R69" s="247"/>
      <c r="S69" s="247"/>
      <c r="T69" s="247"/>
      <c r="U69" s="247"/>
    </row>
    <row r="70">
      <c r="A70" s="247"/>
      <c r="B70" s="247"/>
      <c r="C70" s="247"/>
      <c r="D70" s="247"/>
      <c r="E70" s="247"/>
      <c r="F70" s="247"/>
      <c r="G70" s="247"/>
      <c r="H70" s="247"/>
      <c r="I70" s="247"/>
      <c r="J70" s="247"/>
      <c r="K70" s="247"/>
      <c r="L70" s="247"/>
      <c r="M70" s="247"/>
      <c r="N70" s="247"/>
      <c r="O70" s="247"/>
      <c r="P70" s="247"/>
      <c r="Q70" s="247"/>
      <c r="R70" s="247"/>
      <c r="S70" s="247"/>
      <c r="T70" s="247"/>
      <c r="U70" s="247"/>
    </row>
    <row r="71">
      <c r="A71" s="247"/>
      <c r="B71" s="247"/>
      <c r="C71" s="247"/>
      <c r="D71" s="247"/>
      <c r="E71" s="247"/>
      <c r="F71" s="247"/>
      <c r="G71" s="247"/>
      <c r="H71" s="247"/>
      <c r="I71" s="247"/>
      <c r="J71" s="247"/>
      <c r="K71" s="247"/>
      <c r="L71" s="247"/>
      <c r="M71" s="247"/>
      <c r="N71" s="247"/>
      <c r="O71" s="247"/>
      <c r="P71" s="247"/>
      <c r="Q71" s="247"/>
      <c r="R71" s="247"/>
      <c r="S71" s="247"/>
      <c r="T71" s="247"/>
      <c r="U71" s="247"/>
    </row>
    <row r="72">
      <c r="A72" s="247"/>
      <c r="B72" s="247"/>
      <c r="C72" s="247"/>
      <c r="D72" s="247"/>
      <c r="E72" s="247"/>
      <c r="F72" s="247"/>
      <c r="G72" s="247"/>
      <c r="H72" s="247"/>
      <c r="I72" s="247"/>
      <c r="J72" s="247"/>
      <c r="K72" s="247"/>
      <c r="L72" s="247"/>
      <c r="M72" s="247"/>
      <c r="N72" s="247"/>
      <c r="O72" s="247"/>
      <c r="P72" s="247"/>
      <c r="Q72" s="247"/>
      <c r="R72" s="247"/>
      <c r="S72" s="247"/>
      <c r="T72" s="247"/>
      <c r="U72" s="247"/>
    </row>
    <row r="73">
      <c r="A73" s="247"/>
      <c r="B73" s="247"/>
      <c r="C73" s="247"/>
      <c r="D73" s="247"/>
      <c r="E73" s="247"/>
      <c r="F73" s="247"/>
      <c r="G73" s="247"/>
      <c r="H73" s="247"/>
      <c r="I73" s="247"/>
      <c r="J73" s="247"/>
      <c r="K73" s="247"/>
      <c r="L73" s="247"/>
      <c r="M73" s="247"/>
      <c r="N73" s="247"/>
      <c r="O73" s="247"/>
      <c r="P73" s="247"/>
      <c r="Q73" s="247"/>
      <c r="R73" s="247"/>
      <c r="S73" s="247"/>
      <c r="T73" s="247"/>
      <c r="U73" s="247"/>
    </row>
    <row r="74">
      <c r="A74" s="247"/>
      <c r="B74" s="247"/>
      <c r="C74" s="247"/>
      <c r="D74" s="247"/>
      <c r="E74" s="247"/>
      <c r="F74" s="247"/>
      <c r="G74" s="247"/>
      <c r="H74" s="247"/>
      <c r="I74" s="247"/>
      <c r="J74" s="247"/>
      <c r="K74" s="247"/>
      <c r="L74" s="247"/>
      <c r="M74" s="247"/>
      <c r="N74" s="247"/>
      <c r="O74" s="247"/>
      <c r="P74" s="247"/>
      <c r="Q74" s="247"/>
      <c r="R74" s="247"/>
      <c r="S74" s="247"/>
      <c r="T74" s="247"/>
      <c r="U74" s="247"/>
    </row>
    <row r="75">
      <c r="A75" s="247"/>
      <c r="B75" s="247"/>
      <c r="C75" s="247"/>
      <c r="D75" s="247"/>
      <c r="E75" s="247"/>
      <c r="F75" s="247"/>
      <c r="G75" s="247"/>
      <c r="H75" s="247"/>
      <c r="I75" s="247"/>
      <c r="J75" s="247"/>
      <c r="K75" s="247"/>
      <c r="L75" s="247"/>
      <c r="M75" s="247"/>
      <c r="N75" s="247"/>
      <c r="O75" s="247"/>
      <c r="P75" s="247"/>
      <c r="Q75" s="247"/>
      <c r="R75" s="247"/>
      <c r="S75" s="247"/>
      <c r="T75" s="247"/>
      <c r="U75" s="247"/>
    </row>
    <row r="76">
      <c r="A76" s="247"/>
      <c r="B76" s="247"/>
      <c r="C76" s="247"/>
      <c r="D76" s="247"/>
      <c r="E76" s="247"/>
      <c r="F76" s="247"/>
      <c r="G76" s="247"/>
      <c r="H76" s="247"/>
      <c r="I76" s="247"/>
      <c r="J76" s="247"/>
      <c r="K76" s="247"/>
      <c r="L76" s="247"/>
      <c r="M76" s="247"/>
      <c r="N76" s="247"/>
      <c r="O76" s="247"/>
      <c r="P76" s="247"/>
      <c r="Q76" s="247"/>
      <c r="R76" s="247"/>
      <c r="S76" s="247"/>
      <c r="T76" s="247"/>
      <c r="U76" s="247"/>
    </row>
    <row r="77">
      <c r="A77" s="247"/>
      <c r="B77" s="247"/>
      <c r="C77" s="247"/>
      <c r="D77" s="247"/>
      <c r="E77" s="247"/>
      <c r="F77" s="247"/>
      <c r="G77" s="247"/>
      <c r="H77" s="247"/>
      <c r="I77" s="247"/>
      <c r="J77" s="247"/>
      <c r="K77" s="247"/>
      <c r="L77" s="247"/>
      <c r="M77" s="247"/>
      <c r="N77" s="247"/>
      <c r="O77" s="247"/>
      <c r="P77" s="247"/>
      <c r="Q77" s="247"/>
      <c r="R77" s="247"/>
      <c r="S77" s="247"/>
      <c r="T77" s="247"/>
      <c r="U77" s="247"/>
    </row>
    <row r="78">
      <c r="A78" s="247"/>
      <c r="B78" s="247"/>
      <c r="C78" s="247"/>
      <c r="D78" s="247"/>
      <c r="E78" s="247"/>
      <c r="F78" s="247"/>
      <c r="G78" s="247"/>
      <c r="H78" s="247"/>
      <c r="I78" s="247"/>
      <c r="J78" s="247"/>
      <c r="K78" s="247"/>
      <c r="L78" s="247"/>
      <c r="M78" s="247"/>
      <c r="N78" s="247"/>
      <c r="O78" s="247"/>
      <c r="P78" s="247"/>
      <c r="Q78" s="247"/>
      <c r="R78" s="247"/>
      <c r="S78" s="247"/>
      <c r="T78" s="247"/>
      <c r="U78" s="247"/>
    </row>
    <row r="79">
      <c r="A79" s="247"/>
      <c r="B79" s="247"/>
      <c r="C79" s="247"/>
      <c r="D79" s="247"/>
      <c r="E79" s="247"/>
      <c r="F79" s="247"/>
      <c r="G79" s="247"/>
      <c r="H79" s="247"/>
      <c r="I79" s="247"/>
      <c r="J79" s="247"/>
      <c r="K79" s="247"/>
      <c r="L79" s="247"/>
      <c r="M79" s="247"/>
      <c r="N79" s="247"/>
      <c r="O79" s="247"/>
      <c r="P79" s="247"/>
      <c r="Q79" s="247"/>
      <c r="R79" s="247"/>
      <c r="S79" s="247"/>
      <c r="T79" s="247"/>
      <c r="U79" s="247"/>
    </row>
    <row r="80">
      <c r="A80" s="247"/>
      <c r="B80" s="247"/>
      <c r="C80" s="247"/>
      <c r="D80" s="247"/>
      <c r="E80" s="247"/>
      <c r="F80" s="247"/>
      <c r="G80" s="247"/>
      <c r="H80" s="247"/>
      <c r="I80" s="247"/>
      <c r="J80" s="247"/>
      <c r="K80" s="247"/>
      <c r="L80" s="247"/>
      <c r="M80" s="247"/>
      <c r="N80" s="247"/>
      <c r="O80" s="247"/>
      <c r="P80" s="247"/>
      <c r="Q80" s="247"/>
      <c r="R80" s="247"/>
      <c r="S80" s="247"/>
      <c r="T80" s="247"/>
      <c r="U80" s="247"/>
    </row>
    <row r="81">
      <c r="A81" s="247"/>
      <c r="B81" s="247"/>
      <c r="C81" s="247"/>
      <c r="D81" s="247"/>
      <c r="E81" s="247"/>
      <c r="F81" s="247"/>
      <c r="G81" s="247"/>
      <c r="H81" s="247"/>
      <c r="I81" s="247"/>
      <c r="J81" s="247"/>
      <c r="K81" s="247"/>
      <c r="L81" s="247"/>
      <c r="M81" s="247"/>
      <c r="N81" s="247"/>
      <c r="O81" s="247"/>
      <c r="P81" s="247"/>
      <c r="Q81" s="247"/>
      <c r="R81" s="247"/>
      <c r="S81" s="247"/>
      <c r="T81" s="247"/>
      <c r="U81" s="247"/>
    </row>
    <row r="82">
      <c r="A82" s="247"/>
      <c r="B82" s="247"/>
      <c r="C82" s="247"/>
      <c r="D82" s="247"/>
      <c r="E82" s="247"/>
      <c r="F82" s="247"/>
      <c r="G82" s="247"/>
      <c r="H82" s="247"/>
      <c r="I82" s="247"/>
      <c r="J82" s="247"/>
      <c r="K82" s="247"/>
      <c r="L82" s="247"/>
      <c r="M82" s="247"/>
      <c r="N82" s="247"/>
      <c r="O82" s="247"/>
      <c r="P82" s="247"/>
      <c r="Q82" s="247"/>
      <c r="R82" s="247"/>
      <c r="S82" s="247"/>
      <c r="T82" s="247"/>
      <c r="U82" s="247"/>
    </row>
    <row r="83">
      <c r="A83" s="247"/>
      <c r="B83" s="247"/>
      <c r="C83" s="247"/>
      <c r="D83" s="247"/>
      <c r="E83" s="247"/>
      <c r="F83" s="247"/>
      <c r="G83" s="247"/>
      <c r="H83" s="247"/>
      <c r="I83" s="247"/>
      <c r="J83" s="247"/>
      <c r="K83" s="247"/>
      <c r="L83" s="247"/>
      <c r="M83" s="247"/>
      <c r="N83" s="247"/>
      <c r="O83" s="247"/>
      <c r="P83" s="247"/>
      <c r="Q83" s="247"/>
      <c r="R83" s="247"/>
      <c r="S83" s="247"/>
      <c r="T83" s="247"/>
      <c r="U83" s="247"/>
    </row>
    <row r="84">
      <c r="A84" s="247"/>
      <c r="B84" s="247"/>
      <c r="C84" s="247"/>
      <c r="D84" s="247"/>
      <c r="E84" s="247"/>
      <c r="F84" s="247"/>
      <c r="G84" s="247"/>
      <c r="H84" s="247"/>
      <c r="I84" s="247"/>
      <c r="J84" s="247"/>
      <c r="K84" s="247"/>
      <c r="L84" s="247"/>
      <c r="M84" s="247"/>
      <c r="N84" s="247"/>
      <c r="O84" s="247"/>
      <c r="P84" s="247"/>
      <c r="Q84" s="247"/>
      <c r="R84" s="247"/>
      <c r="S84" s="247"/>
      <c r="T84" s="247"/>
      <c r="U84" s="247"/>
    </row>
    <row r="85">
      <c r="A85" s="247"/>
      <c r="B85" s="247"/>
      <c r="C85" s="247"/>
      <c r="D85" s="247"/>
      <c r="E85" s="247"/>
      <c r="F85" s="247"/>
      <c r="G85" s="247"/>
      <c r="H85" s="247"/>
      <c r="I85" s="247"/>
      <c r="J85" s="247"/>
      <c r="K85" s="247"/>
      <c r="L85" s="247"/>
      <c r="M85" s="247"/>
      <c r="N85" s="247"/>
      <c r="O85" s="247"/>
      <c r="P85" s="247"/>
      <c r="Q85" s="247"/>
      <c r="R85" s="247"/>
      <c r="S85" s="247"/>
      <c r="T85" s="247"/>
      <c r="U85" s="247"/>
    </row>
    <row r="86">
      <c r="A86" s="247"/>
      <c r="B86" s="247"/>
      <c r="C86" s="247"/>
      <c r="D86" s="247"/>
      <c r="E86" s="247"/>
      <c r="F86" s="247"/>
      <c r="G86" s="247"/>
      <c r="H86" s="247"/>
      <c r="I86" s="247"/>
      <c r="J86" s="247"/>
      <c r="K86" s="247"/>
      <c r="L86" s="247"/>
      <c r="M86" s="247"/>
      <c r="N86" s="247"/>
      <c r="O86" s="247"/>
      <c r="P86" s="247"/>
      <c r="Q86" s="247"/>
      <c r="R86" s="247"/>
      <c r="S86" s="247"/>
      <c r="T86" s="247"/>
      <c r="U86" s="247"/>
    </row>
    <row r="87">
      <c r="A87" s="247"/>
      <c r="B87" s="247"/>
      <c r="C87" s="247"/>
      <c r="D87" s="247"/>
      <c r="E87" s="247"/>
      <c r="F87" s="247"/>
      <c r="G87" s="247"/>
      <c r="H87" s="247"/>
      <c r="I87" s="247"/>
      <c r="J87" s="247"/>
      <c r="K87" s="247"/>
      <c r="L87" s="247"/>
      <c r="M87" s="247"/>
      <c r="N87" s="247"/>
      <c r="O87" s="247"/>
      <c r="P87" s="247"/>
      <c r="Q87" s="247"/>
      <c r="R87" s="247"/>
      <c r="S87" s="247"/>
      <c r="T87" s="247"/>
      <c r="U87" s="247"/>
    </row>
    <row r="88">
      <c r="A88" s="247"/>
      <c r="B88" s="247"/>
      <c r="C88" s="247"/>
      <c r="D88" s="247"/>
      <c r="E88" s="247"/>
      <c r="F88" s="247"/>
      <c r="G88" s="247"/>
      <c r="H88" s="247"/>
      <c r="I88" s="247"/>
      <c r="J88" s="247"/>
      <c r="K88" s="247"/>
      <c r="L88" s="247"/>
      <c r="M88" s="247"/>
      <c r="N88" s="247"/>
      <c r="O88" s="247"/>
      <c r="P88" s="247"/>
      <c r="Q88" s="247"/>
      <c r="R88" s="247"/>
      <c r="S88" s="247"/>
      <c r="T88" s="247"/>
      <c r="U88" s="247"/>
    </row>
    <row r="89">
      <c r="A89" s="247"/>
      <c r="B89" s="247"/>
      <c r="C89" s="247"/>
      <c r="D89" s="247"/>
      <c r="E89" s="247"/>
      <c r="F89" s="247"/>
      <c r="G89" s="247"/>
      <c r="H89" s="247"/>
      <c r="I89" s="247"/>
      <c r="J89" s="247"/>
      <c r="K89" s="247"/>
      <c r="L89" s="247"/>
      <c r="M89" s="247"/>
      <c r="N89" s="247"/>
      <c r="O89" s="247"/>
      <c r="P89" s="247"/>
      <c r="Q89" s="247"/>
      <c r="R89" s="247"/>
      <c r="S89" s="247"/>
      <c r="T89" s="247"/>
      <c r="U89" s="247"/>
    </row>
    <row r="90">
      <c r="A90" s="247"/>
      <c r="B90" s="247"/>
      <c r="C90" s="247"/>
      <c r="D90" s="247"/>
      <c r="E90" s="247"/>
      <c r="F90" s="247"/>
      <c r="G90" s="247"/>
      <c r="H90" s="247"/>
      <c r="I90" s="247"/>
      <c r="J90" s="247"/>
      <c r="K90" s="247"/>
      <c r="L90" s="247"/>
      <c r="M90" s="247"/>
      <c r="N90" s="247"/>
      <c r="O90" s="247"/>
      <c r="P90" s="247"/>
      <c r="Q90" s="247"/>
      <c r="R90" s="247"/>
      <c r="S90" s="247"/>
      <c r="T90" s="247"/>
      <c r="U90" s="247"/>
    </row>
    <row r="91">
      <c r="A91" s="247"/>
      <c r="B91" s="247"/>
      <c r="C91" s="247"/>
      <c r="D91" s="247"/>
      <c r="E91" s="247"/>
      <c r="F91" s="247"/>
      <c r="G91" s="247"/>
      <c r="H91" s="247"/>
      <c r="I91" s="247"/>
      <c r="J91" s="247"/>
      <c r="K91" s="247"/>
      <c r="L91" s="247"/>
      <c r="M91" s="247"/>
      <c r="N91" s="247"/>
      <c r="O91" s="247"/>
      <c r="P91" s="247"/>
      <c r="Q91" s="247"/>
      <c r="R91" s="247"/>
      <c r="S91" s="247"/>
      <c r="T91" s="247"/>
      <c r="U91" s="247"/>
    </row>
    <row r="92">
      <c r="A92" s="247"/>
      <c r="B92" s="247"/>
      <c r="C92" s="247"/>
      <c r="D92" s="247"/>
      <c r="E92" s="247"/>
      <c r="F92" s="247"/>
      <c r="G92" s="247"/>
      <c r="H92" s="247"/>
      <c r="I92" s="247"/>
      <c r="J92" s="247"/>
      <c r="K92" s="247"/>
      <c r="L92" s="247"/>
      <c r="M92" s="247"/>
      <c r="N92" s="247"/>
      <c r="O92" s="247"/>
      <c r="P92" s="247"/>
      <c r="Q92" s="247"/>
      <c r="R92" s="247"/>
      <c r="S92" s="247"/>
      <c r="T92" s="247"/>
      <c r="U92" s="247"/>
    </row>
    <row r="93">
      <c r="A93" s="247"/>
      <c r="B93" s="247"/>
      <c r="C93" s="247"/>
      <c r="D93" s="247"/>
      <c r="E93" s="247"/>
      <c r="F93" s="247"/>
      <c r="G93" s="247"/>
      <c r="H93" s="247"/>
      <c r="I93" s="247"/>
      <c r="J93" s="247"/>
      <c r="K93" s="247"/>
      <c r="L93" s="247"/>
      <c r="M93" s="247"/>
      <c r="N93" s="247"/>
      <c r="O93" s="247"/>
      <c r="P93" s="247"/>
      <c r="Q93" s="247"/>
      <c r="R93" s="247"/>
      <c r="S93" s="247"/>
      <c r="T93" s="247"/>
      <c r="U93" s="247"/>
    </row>
    <row r="94">
      <c r="A94" s="247"/>
      <c r="B94" s="247"/>
      <c r="C94" s="247"/>
      <c r="D94" s="247"/>
      <c r="E94" s="247"/>
      <c r="F94" s="247"/>
      <c r="G94" s="247"/>
      <c r="H94" s="247"/>
      <c r="I94" s="247"/>
      <c r="J94" s="247"/>
      <c r="K94" s="247"/>
      <c r="L94" s="247"/>
      <c r="M94" s="247"/>
      <c r="N94" s="247"/>
      <c r="O94" s="247"/>
      <c r="P94" s="247"/>
      <c r="Q94" s="247"/>
      <c r="R94" s="247"/>
      <c r="S94" s="247"/>
      <c r="T94" s="247"/>
      <c r="U94" s="247"/>
    </row>
    <row r="95">
      <c r="A95" s="247"/>
      <c r="B95" s="247"/>
      <c r="C95" s="247"/>
      <c r="D95" s="247"/>
      <c r="E95" s="247"/>
      <c r="F95" s="247"/>
      <c r="G95" s="247"/>
      <c r="H95" s="247"/>
      <c r="I95" s="247"/>
      <c r="J95" s="247"/>
      <c r="K95" s="247"/>
      <c r="L95" s="247"/>
      <c r="M95" s="247"/>
      <c r="N95" s="247"/>
      <c r="O95" s="247"/>
      <c r="P95" s="247"/>
      <c r="Q95" s="247"/>
      <c r="R95" s="247"/>
      <c r="S95" s="247"/>
      <c r="T95" s="247"/>
      <c r="U95" s="247"/>
    </row>
    <row r="96">
      <c r="A96" s="247"/>
      <c r="B96" s="247"/>
      <c r="C96" s="247"/>
      <c r="D96" s="247"/>
      <c r="E96" s="247"/>
      <c r="F96" s="247"/>
      <c r="G96" s="247"/>
      <c r="H96" s="247"/>
      <c r="I96" s="247"/>
      <c r="J96" s="247"/>
      <c r="K96" s="247"/>
      <c r="L96" s="247"/>
      <c r="M96" s="247"/>
      <c r="N96" s="247"/>
      <c r="O96" s="247"/>
      <c r="P96" s="247"/>
      <c r="Q96" s="247"/>
      <c r="R96" s="247"/>
      <c r="S96" s="247"/>
      <c r="T96" s="247"/>
      <c r="U96" s="247"/>
    </row>
    <row r="97">
      <c r="A97" s="247"/>
      <c r="B97" s="247"/>
      <c r="C97" s="247"/>
      <c r="D97" s="247"/>
      <c r="E97" s="247"/>
      <c r="F97" s="247"/>
      <c r="G97" s="247"/>
      <c r="H97" s="247"/>
      <c r="I97" s="247"/>
      <c r="J97" s="247"/>
      <c r="K97" s="247"/>
      <c r="L97" s="247"/>
      <c r="M97" s="247"/>
      <c r="N97" s="247"/>
      <c r="O97" s="247"/>
      <c r="P97" s="247"/>
      <c r="Q97" s="247"/>
      <c r="R97" s="247"/>
      <c r="S97" s="247"/>
      <c r="T97" s="247"/>
      <c r="U97" s="247"/>
    </row>
    <row r="98">
      <c r="A98" s="247"/>
      <c r="B98" s="247"/>
      <c r="C98" s="247"/>
      <c r="D98" s="247"/>
      <c r="E98" s="247"/>
      <c r="F98" s="247"/>
      <c r="G98" s="247"/>
      <c r="H98" s="247"/>
      <c r="I98" s="247"/>
      <c r="J98" s="247"/>
      <c r="K98" s="247"/>
      <c r="L98" s="247"/>
      <c r="M98" s="247"/>
      <c r="N98" s="247"/>
      <c r="O98" s="247"/>
      <c r="P98" s="247"/>
      <c r="Q98" s="247"/>
      <c r="R98" s="247"/>
      <c r="S98" s="247"/>
      <c r="T98" s="247"/>
      <c r="U98" s="247"/>
    </row>
    <row r="99">
      <c r="A99" s="247"/>
      <c r="B99" s="247"/>
      <c r="C99" s="247"/>
      <c r="D99" s="247"/>
      <c r="E99" s="247"/>
      <c r="F99" s="247"/>
      <c r="G99" s="247"/>
      <c r="H99" s="247"/>
      <c r="I99" s="247"/>
      <c r="J99" s="247"/>
      <c r="K99" s="247"/>
      <c r="L99" s="247"/>
      <c r="M99" s="247"/>
      <c r="N99" s="247"/>
      <c r="O99" s="247"/>
      <c r="P99" s="247"/>
      <c r="Q99" s="247"/>
      <c r="R99" s="247"/>
      <c r="S99" s="247"/>
      <c r="T99" s="247"/>
      <c r="U99" s="247"/>
    </row>
    <row r="100">
      <c r="A100" s="247"/>
      <c r="B100" s="247"/>
      <c r="C100" s="247"/>
      <c r="D100" s="247"/>
      <c r="E100" s="247"/>
      <c r="F100" s="247"/>
      <c r="G100" s="247"/>
      <c r="H100" s="247"/>
      <c r="I100" s="247"/>
      <c r="J100" s="247"/>
      <c r="K100" s="247"/>
      <c r="L100" s="247"/>
      <c r="M100" s="247"/>
      <c r="N100" s="247"/>
      <c r="O100" s="247"/>
      <c r="P100" s="247"/>
      <c r="Q100" s="247"/>
      <c r="R100" s="247"/>
      <c r="S100" s="247"/>
      <c r="T100" s="247"/>
      <c r="U100" s="247"/>
    </row>
    <row r="101">
      <c r="A101" s="247"/>
      <c r="B101" s="247"/>
      <c r="C101" s="247"/>
      <c r="D101" s="247"/>
      <c r="E101" s="247"/>
      <c r="F101" s="247"/>
      <c r="G101" s="247"/>
      <c r="H101" s="247"/>
      <c r="I101" s="247"/>
      <c r="J101" s="247"/>
      <c r="K101" s="247"/>
      <c r="L101" s="247"/>
      <c r="M101" s="247"/>
      <c r="N101" s="247"/>
      <c r="O101" s="247"/>
      <c r="P101" s="247"/>
      <c r="Q101" s="247"/>
      <c r="R101" s="247"/>
      <c r="S101" s="247"/>
      <c r="T101" s="247"/>
      <c r="U101" s="247"/>
    </row>
    <row r="102">
      <c r="A102" s="247"/>
      <c r="B102" s="247"/>
      <c r="C102" s="247"/>
      <c r="D102" s="247"/>
      <c r="E102" s="247"/>
      <c r="F102" s="247"/>
      <c r="G102" s="247"/>
      <c r="H102" s="247"/>
      <c r="I102" s="247"/>
      <c r="J102" s="247"/>
      <c r="K102" s="247"/>
      <c r="L102" s="247"/>
      <c r="M102" s="247"/>
      <c r="N102" s="247"/>
      <c r="O102" s="247"/>
      <c r="P102" s="247"/>
      <c r="Q102" s="247"/>
      <c r="R102" s="247"/>
      <c r="S102" s="247"/>
      <c r="T102" s="247"/>
      <c r="U102" s="247"/>
    </row>
    <row r="103">
      <c r="A103" s="247"/>
      <c r="B103" s="247"/>
      <c r="C103" s="247"/>
      <c r="D103" s="247"/>
      <c r="E103" s="247"/>
      <c r="F103" s="247"/>
      <c r="G103" s="247"/>
      <c r="H103" s="247"/>
      <c r="I103" s="247"/>
      <c r="J103" s="247"/>
      <c r="K103" s="247"/>
      <c r="L103" s="247"/>
      <c r="M103" s="247"/>
      <c r="N103" s="247"/>
      <c r="O103" s="247"/>
      <c r="P103" s="247"/>
      <c r="Q103" s="247"/>
      <c r="R103" s="247"/>
      <c r="S103" s="247"/>
      <c r="T103" s="247"/>
      <c r="U103" s="247"/>
    </row>
    <row r="104">
      <c r="A104" s="247"/>
      <c r="B104" s="247"/>
      <c r="C104" s="247"/>
      <c r="D104" s="247"/>
      <c r="E104" s="247"/>
      <c r="F104" s="247"/>
      <c r="G104" s="247"/>
      <c r="H104" s="247"/>
      <c r="I104" s="247"/>
      <c r="J104" s="247"/>
      <c r="K104" s="247"/>
      <c r="L104" s="247"/>
      <c r="M104" s="247"/>
      <c r="N104" s="247"/>
      <c r="O104" s="247"/>
      <c r="P104" s="247"/>
      <c r="Q104" s="247"/>
      <c r="R104" s="247"/>
      <c r="S104" s="247"/>
      <c r="T104" s="247"/>
      <c r="U104" s="247"/>
    </row>
    <row r="105">
      <c r="A105" s="247"/>
      <c r="B105" s="247"/>
      <c r="C105" s="247"/>
      <c r="D105" s="247"/>
      <c r="E105" s="247"/>
      <c r="F105" s="247"/>
      <c r="G105" s="247"/>
      <c r="H105" s="247"/>
      <c r="I105" s="247"/>
      <c r="J105" s="247"/>
      <c r="K105" s="247"/>
      <c r="L105" s="247"/>
      <c r="M105" s="247"/>
      <c r="N105" s="247"/>
      <c r="O105" s="247"/>
      <c r="P105" s="247"/>
      <c r="Q105" s="247"/>
      <c r="R105" s="247"/>
      <c r="S105" s="247"/>
      <c r="T105" s="247"/>
      <c r="U105" s="247"/>
    </row>
    <row r="106">
      <c r="A106" s="247"/>
      <c r="B106" s="247"/>
      <c r="C106" s="247"/>
      <c r="D106" s="247"/>
      <c r="E106" s="247"/>
      <c r="F106" s="247"/>
      <c r="G106" s="247"/>
      <c r="H106" s="247"/>
      <c r="I106" s="247"/>
      <c r="J106" s="247"/>
      <c r="K106" s="247"/>
      <c r="L106" s="247"/>
      <c r="M106" s="247"/>
      <c r="N106" s="247"/>
      <c r="O106" s="247"/>
      <c r="P106" s="247"/>
      <c r="Q106" s="247"/>
      <c r="R106" s="247"/>
      <c r="S106" s="247"/>
      <c r="T106" s="247"/>
      <c r="U106" s="247"/>
    </row>
    <row r="107">
      <c r="A107" s="247"/>
      <c r="B107" s="247"/>
      <c r="C107" s="247"/>
      <c r="D107" s="247"/>
      <c r="E107" s="247"/>
      <c r="F107" s="247"/>
      <c r="G107" s="247"/>
      <c r="H107" s="247"/>
      <c r="I107" s="247"/>
      <c r="J107" s="247"/>
      <c r="K107" s="247"/>
      <c r="L107" s="247"/>
      <c r="M107" s="247"/>
      <c r="N107" s="247"/>
      <c r="O107" s="247"/>
      <c r="P107" s="247"/>
      <c r="Q107" s="247"/>
      <c r="R107" s="247"/>
      <c r="S107" s="247"/>
      <c r="T107" s="247"/>
      <c r="U107" s="247"/>
    </row>
    <row r="108">
      <c r="A108" s="247"/>
      <c r="B108" s="247"/>
      <c r="C108" s="247"/>
      <c r="D108" s="247"/>
      <c r="E108" s="247"/>
      <c r="F108" s="247"/>
      <c r="G108" s="247"/>
      <c r="H108" s="247"/>
      <c r="I108" s="247"/>
      <c r="J108" s="247"/>
      <c r="K108" s="247"/>
      <c r="L108" s="247"/>
      <c r="M108" s="247"/>
      <c r="N108" s="247"/>
      <c r="O108" s="247"/>
      <c r="P108" s="247"/>
      <c r="Q108" s="247"/>
      <c r="R108" s="247"/>
      <c r="S108" s="247"/>
      <c r="T108" s="247"/>
      <c r="U108" s="247"/>
    </row>
    <row r="109">
      <c r="A109" s="247"/>
      <c r="B109" s="247"/>
      <c r="C109" s="247"/>
      <c r="D109" s="247"/>
      <c r="E109" s="247"/>
      <c r="F109" s="247"/>
      <c r="G109" s="247"/>
      <c r="H109" s="247"/>
      <c r="I109" s="247"/>
      <c r="J109" s="247"/>
      <c r="K109" s="247"/>
      <c r="L109" s="247"/>
      <c r="M109" s="247"/>
      <c r="N109" s="247"/>
      <c r="O109" s="247"/>
      <c r="P109" s="247"/>
      <c r="Q109" s="247"/>
      <c r="R109" s="247"/>
      <c r="S109" s="247"/>
      <c r="T109" s="247"/>
      <c r="U109" s="247"/>
    </row>
    <row r="110">
      <c r="A110" s="247"/>
      <c r="B110" s="247"/>
      <c r="C110" s="247"/>
      <c r="D110" s="247"/>
      <c r="E110" s="247"/>
      <c r="F110" s="247"/>
      <c r="G110" s="247"/>
      <c r="H110" s="247"/>
      <c r="I110" s="247"/>
      <c r="J110" s="247"/>
      <c r="K110" s="247"/>
      <c r="L110" s="247"/>
      <c r="M110" s="247"/>
      <c r="N110" s="247"/>
      <c r="O110" s="247"/>
      <c r="P110" s="247"/>
      <c r="Q110" s="247"/>
      <c r="R110" s="247"/>
      <c r="S110" s="247"/>
      <c r="T110" s="247"/>
      <c r="U110" s="247"/>
    </row>
    <row r="111">
      <c r="A111" s="247"/>
      <c r="B111" s="247"/>
      <c r="C111" s="247"/>
      <c r="D111" s="247"/>
      <c r="E111" s="247"/>
      <c r="F111" s="247"/>
      <c r="G111" s="247"/>
      <c r="H111" s="247"/>
      <c r="I111" s="247"/>
      <c r="J111" s="247"/>
      <c r="K111" s="247"/>
      <c r="L111" s="247"/>
      <c r="M111" s="247"/>
      <c r="N111" s="247"/>
      <c r="O111" s="247"/>
      <c r="P111" s="247"/>
      <c r="Q111" s="247"/>
      <c r="R111" s="247"/>
      <c r="S111" s="247"/>
      <c r="T111" s="247"/>
      <c r="U111" s="247"/>
    </row>
    <row r="112">
      <c r="A112" s="247"/>
      <c r="B112" s="247"/>
      <c r="C112" s="247"/>
      <c r="D112" s="247"/>
      <c r="E112" s="247"/>
      <c r="F112" s="247"/>
      <c r="G112" s="247"/>
      <c r="H112" s="247"/>
      <c r="I112" s="247"/>
      <c r="J112" s="247"/>
      <c r="K112" s="247"/>
      <c r="L112" s="247"/>
      <c r="M112" s="247"/>
      <c r="N112" s="247"/>
      <c r="O112" s="247"/>
      <c r="P112" s="247"/>
      <c r="Q112" s="247"/>
      <c r="R112" s="247"/>
      <c r="S112" s="247"/>
      <c r="T112" s="247"/>
      <c r="U112" s="247"/>
    </row>
    <row r="113">
      <c r="A113" s="247"/>
      <c r="B113" s="247"/>
      <c r="C113" s="247"/>
      <c r="D113" s="247"/>
      <c r="E113" s="247"/>
      <c r="F113" s="247"/>
      <c r="G113" s="247"/>
      <c r="H113" s="247"/>
      <c r="I113" s="247"/>
      <c r="J113" s="247"/>
      <c r="K113" s="247"/>
      <c r="L113" s="247"/>
      <c r="M113" s="247"/>
      <c r="N113" s="247"/>
      <c r="O113" s="247"/>
      <c r="P113" s="247"/>
      <c r="Q113" s="247"/>
      <c r="R113" s="247"/>
      <c r="S113" s="247"/>
      <c r="T113" s="247"/>
      <c r="U113" s="247"/>
    </row>
    <row r="114">
      <c r="A114" s="247"/>
      <c r="B114" s="247"/>
      <c r="C114" s="247"/>
      <c r="D114" s="247"/>
      <c r="E114" s="247"/>
      <c r="F114" s="247"/>
      <c r="G114" s="247"/>
      <c r="H114" s="247"/>
      <c r="I114" s="247"/>
      <c r="J114" s="247"/>
      <c r="K114" s="247"/>
      <c r="L114" s="247"/>
      <c r="M114" s="247"/>
      <c r="N114" s="247"/>
      <c r="O114" s="247"/>
      <c r="P114" s="247"/>
      <c r="Q114" s="247"/>
      <c r="R114" s="247"/>
      <c r="S114" s="247"/>
      <c r="T114" s="247"/>
      <c r="U114" s="247"/>
    </row>
    <row r="115">
      <c r="A115" s="247"/>
      <c r="B115" s="247"/>
      <c r="C115" s="247"/>
      <c r="D115" s="247"/>
      <c r="E115" s="247"/>
      <c r="F115" s="247"/>
      <c r="G115" s="247"/>
      <c r="H115" s="247"/>
      <c r="I115" s="247"/>
      <c r="J115" s="247"/>
      <c r="K115" s="247"/>
      <c r="L115" s="247"/>
      <c r="M115" s="247"/>
      <c r="N115" s="247"/>
      <c r="O115" s="247"/>
      <c r="P115" s="247"/>
      <c r="Q115" s="247"/>
      <c r="R115" s="247"/>
      <c r="S115" s="247"/>
      <c r="T115" s="247"/>
      <c r="U115" s="247"/>
    </row>
    <row r="116">
      <c r="A116" s="247"/>
      <c r="B116" s="247"/>
      <c r="C116" s="247"/>
      <c r="D116" s="247"/>
      <c r="E116" s="247"/>
      <c r="F116" s="247"/>
      <c r="G116" s="247"/>
      <c r="H116" s="247"/>
      <c r="I116" s="247"/>
      <c r="J116" s="247"/>
      <c r="K116" s="247"/>
      <c r="L116" s="247"/>
      <c r="M116" s="247"/>
      <c r="N116" s="247"/>
      <c r="O116" s="247"/>
      <c r="P116" s="247"/>
      <c r="Q116" s="247"/>
      <c r="R116" s="247"/>
      <c r="S116" s="247"/>
      <c r="T116" s="247"/>
      <c r="U116" s="247"/>
    </row>
    <row r="117">
      <c r="A117" s="247"/>
      <c r="B117" s="247"/>
      <c r="C117" s="247"/>
      <c r="D117" s="247"/>
      <c r="E117" s="247"/>
      <c r="F117" s="247"/>
      <c r="G117" s="247"/>
      <c r="H117" s="247"/>
      <c r="I117" s="247"/>
      <c r="J117" s="247"/>
      <c r="K117" s="247"/>
      <c r="L117" s="247"/>
      <c r="M117" s="247"/>
      <c r="N117" s="247"/>
      <c r="O117" s="247"/>
      <c r="P117" s="247"/>
      <c r="Q117" s="247"/>
      <c r="R117" s="247"/>
      <c r="S117" s="247"/>
      <c r="T117" s="247"/>
      <c r="U117" s="247"/>
    </row>
    <row r="118">
      <c r="A118" s="247"/>
      <c r="B118" s="247"/>
      <c r="C118" s="247"/>
      <c r="D118" s="247"/>
      <c r="E118" s="247"/>
      <c r="F118" s="247"/>
      <c r="G118" s="247"/>
      <c r="H118" s="247"/>
      <c r="I118" s="247"/>
      <c r="J118" s="247"/>
      <c r="K118" s="247"/>
      <c r="L118" s="247"/>
      <c r="M118" s="247"/>
      <c r="N118" s="247"/>
      <c r="O118" s="247"/>
      <c r="P118" s="247"/>
      <c r="Q118" s="247"/>
      <c r="R118" s="247"/>
      <c r="S118" s="247"/>
      <c r="T118" s="247"/>
      <c r="U118" s="247"/>
    </row>
    <row r="119">
      <c r="A119" s="247"/>
      <c r="B119" s="247"/>
      <c r="C119" s="247"/>
      <c r="D119" s="247"/>
      <c r="E119" s="247"/>
      <c r="F119" s="247"/>
      <c r="G119" s="247"/>
      <c r="H119" s="247"/>
      <c r="I119" s="247"/>
      <c r="J119" s="247"/>
      <c r="K119" s="247"/>
      <c r="L119" s="247"/>
      <c r="M119" s="247"/>
      <c r="N119" s="247"/>
      <c r="O119" s="247"/>
      <c r="P119" s="247"/>
      <c r="Q119" s="247"/>
      <c r="R119" s="247"/>
      <c r="S119" s="247"/>
      <c r="T119" s="247"/>
      <c r="U119" s="247"/>
    </row>
    <row r="120">
      <c r="A120" s="247"/>
      <c r="B120" s="247"/>
      <c r="C120" s="247"/>
      <c r="D120" s="247"/>
      <c r="E120" s="247"/>
      <c r="F120" s="247"/>
      <c r="G120" s="247"/>
      <c r="H120" s="247"/>
      <c r="I120" s="247"/>
      <c r="J120" s="247"/>
      <c r="K120" s="247"/>
      <c r="L120" s="247"/>
      <c r="M120" s="247"/>
      <c r="N120" s="247"/>
      <c r="O120" s="247"/>
      <c r="P120" s="247"/>
      <c r="Q120" s="247"/>
      <c r="R120" s="247"/>
      <c r="S120" s="247"/>
      <c r="T120" s="247"/>
      <c r="U120" s="247"/>
    </row>
    <row r="121">
      <c r="A121" s="247"/>
      <c r="B121" s="247"/>
      <c r="C121" s="247"/>
      <c r="D121" s="247"/>
      <c r="E121" s="247"/>
      <c r="F121" s="247"/>
      <c r="G121" s="247"/>
      <c r="H121" s="247"/>
      <c r="I121" s="247"/>
      <c r="J121" s="247"/>
      <c r="K121" s="247"/>
      <c r="L121" s="247"/>
      <c r="M121" s="247"/>
      <c r="N121" s="247"/>
      <c r="O121" s="247"/>
      <c r="P121" s="247"/>
      <c r="Q121" s="247"/>
      <c r="R121" s="247"/>
      <c r="S121" s="247"/>
      <c r="T121" s="247"/>
      <c r="U121" s="247"/>
    </row>
    <row r="122">
      <c r="A122" s="247"/>
      <c r="B122" s="247"/>
      <c r="C122" s="247"/>
      <c r="D122" s="247"/>
      <c r="E122" s="247"/>
      <c r="F122" s="247"/>
      <c r="G122" s="247"/>
      <c r="H122" s="247"/>
      <c r="I122" s="247"/>
      <c r="J122" s="247"/>
      <c r="K122" s="247"/>
      <c r="L122" s="247"/>
      <c r="M122" s="247"/>
      <c r="N122" s="247"/>
      <c r="O122" s="247"/>
      <c r="P122" s="247"/>
      <c r="Q122" s="247"/>
      <c r="R122" s="247"/>
      <c r="S122" s="247"/>
      <c r="T122" s="247"/>
      <c r="U122" s="247"/>
    </row>
    <row r="123">
      <c r="A123" s="247"/>
      <c r="B123" s="247"/>
      <c r="C123" s="247"/>
      <c r="D123" s="247"/>
      <c r="E123" s="247"/>
      <c r="F123" s="247"/>
      <c r="G123" s="247"/>
      <c r="H123" s="247"/>
      <c r="I123" s="247"/>
      <c r="J123" s="247"/>
      <c r="K123" s="247"/>
      <c r="L123" s="247"/>
      <c r="M123" s="247"/>
      <c r="N123" s="247"/>
      <c r="O123" s="247"/>
      <c r="P123" s="247"/>
      <c r="Q123" s="247"/>
      <c r="R123" s="247"/>
      <c r="S123" s="247"/>
      <c r="T123" s="247"/>
      <c r="U123" s="247"/>
    </row>
    <row r="124">
      <c r="A124" s="247"/>
      <c r="B124" s="247"/>
      <c r="C124" s="247"/>
      <c r="D124" s="247"/>
      <c r="E124" s="247"/>
      <c r="F124" s="247"/>
      <c r="G124" s="247"/>
      <c r="H124" s="247"/>
      <c r="I124" s="247"/>
      <c r="J124" s="247"/>
      <c r="K124" s="247"/>
      <c r="L124" s="247"/>
      <c r="M124" s="247"/>
      <c r="N124" s="247"/>
      <c r="O124" s="247"/>
      <c r="P124" s="247"/>
      <c r="Q124" s="247"/>
      <c r="R124" s="247"/>
      <c r="S124" s="247"/>
      <c r="T124" s="247"/>
      <c r="U124" s="247"/>
    </row>
    <row r="125">
      <c r="A125" s="247"/>
      <c r="B125" s="247"/>
      <c r="C125" s="247"/>
      <c r="D125" s="247"/>
      <c r="E125" s="247"/>
      <c r="F125" s="247"/>
      <c r="G125" s="247"/>
      <c r="H125" s="247"/>
      <c r="I125" s="247"/>
      <c r="J125" s="247"/>
      <c r="K125" s="247"/>
      <c r="L125" s="247"/>
      <c r="M125" s="247"/>
      <c r="N125" s="247"/>
      <c r="O125" s="247"/>
      <c r="P125" s="247"/>
      <c r="Q125" s="247"/>
      <c r="R125" s="247"/>
      <c r="S125" s="247"/>
      <c r="T125" s="247"/>
      <c r="U125" s="247"/>
    </row>
    <row r="126">
      <c r="A126" s="247"/>
      <c r="B126" s="247"/>
      <c r="C126" s="247"/>
      <c r="D126" s="247"/>
      <c r="E126" s="247"/>
      <c r="F126" s="247"/>
      <c r="G126" s="247"/>
      <c r="H126" s="247"/>
      <c r="I126" s="247"/>
      <c r="J126" s="247"/>
      <c r="K126" s="247"/>
      <c r="L126" s="247"/>
      <c r="M126" s="247"/>
      <c r="N126" s="247"/>
      <c r="O126" s="247"/>
      <c r="P126" s="247"/>
      <c r="Q126" s="247"/>
      <c r="R126" s="247"/>
      <c r="S126" s="247"/>
      <c r="T126" s="247"/>
      <c r="U126" s="247"/>
    </row>
    <row r="127">
      <c r="A127" s="247"/>
      <c r="B127" s="247"/>
      <c r="C127" s="247"/>
      <c r="D127" s="247"/>
      <c r="E127" s="247"/>
      <c r="F127" s="247"/>
      <c r="G127" s="247"/>
      <c r="H127" s="247"/>
      <c r="I127" s="247"/>
      <c r="J127" s="247"/>
      <c r="K127" s="247"/>
      <c r="L127" s="247"/>
      <c r="M127" s="247"/>
      <c r="N127" s="247"/>
      <c r="O127" s="247"/>
      <c r="P127" s="247"/>
      <c r="Q127" s="247"/>
      <c r="R127" s="247"/>
      <c r="S127" s="247"/>
      <c r="T127" s="247"/>
      <c r="U127" s="247"/>
    </row>
    <row r="128">
      <c r="A128" s="247"/>
      <c r="B128" s="247"/>
      <c r="C128" s="247"/>
      <c r="D128" s="247"/>
      <c r="E128" s="247"/>
      <c r="F128" s="247"/>
      <c r="G128" s="247"/>
      <c r="H128" s="247"/>
      <c r="I128" s="247"/>
      <c r="J128" s="247"/>
      <c r="K128" s="247"/>
      <c r="L128" s="247"/>
      <c r="M128" s="247"/>
      <c r="N128" s="247"/>
      <c r="O128" s="247"/>
      <c r="P128" s="247"/>
      <c r="Q128" s="247"/>
      <c r="R128" s="247"/>
      <c r="S128" s="247"/>
      <c r="T128" s="247"/>
      <c r="U128" s="247"/>
    </row>
    <row r="129">
      <c r="A129" s="247"/>
      <c r="B129" s="247"/>
      <c r="C129" s="247"/>
      <c r="D129" s="247"/>
      <c r="E129" s="247"/>
      <c r="F129" s="247"/>
      <c r="G129" s="247"/>
      <c r="H129" s="247"/>
      <c r="I129" s="247"/>
      <c r="J129" s="247"/>
      <c r="K129" s="247"/>
      <c r="L129" s="247"/>
      <c r="M129" s="247"/>
      <c r="N129" s="247"/>
      <c r="O129" s="247"/>
      <c r="P129" s="247"/>
      <c r="Q129" s="247"/>
      <c r="R129" s="247"/>
      <c r="S129" s="247"/>
      <c r="T129" s="247"/>
      <c r="U129" s="247"/>
    </row>
    <row r="130">
      <c r="A130" s="247"/>
      <c r="B130" s="247"/>
      <c r="C130" s="247"/>
      <c r="D130" s="247"/>
      <c r="E130" s="247"/>
      <c r="F130" s="247"/>
      <c r="G130" s="247"/>
      <c r="H130" s="247"/>
      <c r="I130" s="247"/>
      <c r="J130" s="247"/>
      <c r="K130" s="247"/>
      <c r="L130" s="247"/>
      <c r="M130" s="247"/>
      <c r="N130" s="247"/>
      <c r="O130" s="247"/>
      <c r="P130" s="247"/>
      <c r="Q130" s="247"/>
      <c r="R130" s="247"/>
      <c r="S130" s="247"/>
      <c r="T130" s="247"/>
      <c r="U130" s="247"/>
    </row>
    <row r="131">
      <c r="A131" s="247"/>
      <c r="B131" s="247"/>
      <c r="C131" s="247"/>
      <c r="D131" s="247"/>
      <c r="E131" s="247"/>
      <c r="F131" s="247"/>
      <c r="G131" s="247"/>
      <c r="H131" s="247"/>
      <c r="I131" s="247"/>
      <c r="J131" s="247"/>
      <c r="K131" s="247"/>
      <c r="L131" s="247"/>
      <c r="M131" s="247"/>
      <c r="N131" s="247"/>
      <c r="O131" s="247"/>
      <c r="P131" s="247"/>
      <c r="Q131" s="247"/>
      <c r="R131" s="247"/>
      <c r="S131" s="247"/>
      <c r="T131" s="247"/>
      <c r="U131" s="247"/>
    </row>
    <row r="132">
      <c r="A132" s="247"/>
      <c r="B132" s="247"/>
      <c r="C132" s="247"/>
      <c r="D132" s="247"/>
      <c r="E132" s="247"/>
      <c r="F132" s="247"/>
      <c r="G132" s="247"/>
      <c r="H132" s="247"/>
      <c r="I132" s="247"/>
      <c r="J132" s="247"/>
      <c r="K132" s="247"/>
      <c r="L132" s="247"/>
      <c r="M132" s="247"/>
      <c r="N132" s="247"/>
      <c r="O132" s="247"/>
      <c r="P132" s="247"/>
      <c r="Q132" s="247"/>
      <c r="R132" s="247"/>
      <c r="S132" s="247"/>
      <c r="T132" s="247"/>
      <c r="U132" s="247"/>
    </row>
    <row r="133">
      <c r="A133" s="247"/>
      <c r="B133" s="247"/>
      <c r="C133" s="247"/>
      <c r="D133" s="247"/>
      <c r="E133" s="247"/>
      <c r="F133" s="247"/>
      <c r="G133" s="247"/>
      <c r="H133" s="247"/>
      <c r="I133" s="247"/>
      <c r="J133" s="247"/>
      <c r="K133" s="247"/>
      <c r="L133" s="247"/>
      <c r="M133" s="247"/>
      <c r="N133" s="247"/>
      <c r="O133" s="247"/>
      <c r="P133" s="247"/>
      <c r="Q133" s="247"/>
      <c r="R133" s="247"/>
      <c r="S133" s="247"/>
      <c r="T133" s="247"/>
      <c r="U133" s="247"/>
    </row>
    <row r="134">
      <c r="A134" s="247"/>
      <c r="B134" s="247"/>
      <c r="C134" s="247"/>
      <c r="D134" s="247"/>
      <c r="E134" s="247"/>
      <c r="F134" s="247"/>
      <c r="G134" s="247"/>
      <c r="H134" s="247"/>
      <c r="I134" s="247"/>
      <c r="J134" s="247"/>
      <c r="K134" s="247"/>
      <c r="L134" s="247"/>
      <c r="M134" s="247"/>
      <c r="N134" s="247"/>
      <c r="O134" s="247"/>
      <c r="P134" s="247"/>
      <c r="Q134" s="247"/>
      <c r="R134" s="247"/>
      <c r="S134" s="247"/>
      <c r="T134" s="247"/>
      <c r="U134" s="247"/>
    </row>
    <row r="135">
      <c r="A135" s="247"/>
      <c r="B135" s="247"/>
      <c r="C135" s="247"/>
      <c r="D135" s="247"/>
      <c r="E135" s="247"/>
      <c r="F135" s="247"/>
      <c r="G135" s="247"/>
      <c r="H135" s="247"/>
      <c r="I135" s="247"/>
      <c r="J135" s="247"/>
      <c r="K135" s="247"/>
      <c r="L135" s="247"/>
      <c r="M135" s="247"/>
      <c r="N135" s="247"/>
      <c r="O135" s="247"/>
      <c r="P135" s="247"/>
      <c r="Q135" s="247"/>
      <c r="R135" s="247"/>
      <c r="S135" s="247"/>
      <c r="T135" s="247"/>
      <c r="U135" s="247"/>
    </row>
    <row r="136">
      <c r="A136" s="247"/>
      <c r="B136" s="247"/>
      <c r="C136" s="247"/>
      <c r="D136" s="247"/>
      <c r="E136" s="247"/>
      <c r="F136" s="247"/>
      <c r="G136" s="247"/>
      <c r="H136" s="247"/>
      <c r="I136" s="247"/>
      <c r="J136" s="247"/>
      <c r="K136" s="247"/>
      <c r="L136" s="247"/>
      <c r="M136" s="247"/>
      <c r="N136" s="247"/>
      <c r="O136" s="247"/>
      <c r="P136" s="247"/>
      <c r="Q136" s="247"/>
      <c r="R136" s="247"/>
      <c r="S136" s="247"/>
      <c r="T136" s="247"/>
      <c r="U136" s="247"/>
    </row>
    <row r="137">
      <c r="A137" s="247"/>
      <c r="B137" s="247"/>
      <c r="C137" s="247"/>
      <c r="D137" s="247"/>
      <c r="E137" s="247"/>
      <c r="F137" s="247"/>
      <c r="G137" s="247"/>
      <c r="H137" s="247"/>
      <c r="I137" s="247"/>
      <c r="J137" s="247"/>
      <c r="K137" s="247"/>
      <c r="L137" s="247"/>
      <c r="M137" s="247"/>
      <c r="N137" s="247"/>
      <c r="O137" s="247"/>
      <c r="P137" s="247"/>
      <c r="Q137" s="247"/>
      <c r="R137" s="247"/>
      <c r="S137" s="247"/>
      <c r="T137" s="247"/>
      <c r="U137" s="247"/>
    </row>
    <row r="138">
      <c r="A138" s="247"/>
      <c r="B138" s="247"/>
      <c r="C138" s="247"/>
      <c r="D138" s="247"/>
      <c r="E138" s="247"/>
      <c r="F138" s="247"/>
      <c r="G138" s="247"/>
      <c r="H138" s="247"/>
      <c r="I138" s="247"/>
      <c r="J138" s="247"/>
      <c r="K138" s="247"/>
      <c r="L138" s="247"/>
      <c r="M138" s="247"/>
      <c r="N138" s="247"/>
      <c r="O138" s="247"/>
      <c r="P138" s="247"/>
      <c r="Q138" s="247"/>
      <c r="R138" s="247"/>
      <c r="S138" s="247"/>
      <c r="T138" s="247"/>
      <c r="U138" s="247"/>
    </row>
    <row r="139">
      <c r="A139" s="247"/>
      <c r="B139" s="247"/>
      <c r="C139" s="247"/>
      <c r="D139" s="247"/>
      <c r="E139" s="247"/>
      <c r="F139" s="247"/>
      <c r="G139" s="247"/>
      <c r="H139" s="247"/>
      <c r="I139" s="247"/>
      <c r="J139" s="247"/>
      <c r="K139" s="247"/>
      <c r="L139" s="247"/>
      <c r="M139" s="247"/>
      <c r="N139" s="247"/>
      <c r="O139" s="247"/>
      <c r="P139" s="247"/>
      <c r="Q139" s="247"/>
      <c r="R139" s="247"/>
      <c r="S139" s="247"/>
      <c r="T139" s="247"/>
      <c r="U139" s="247"/>
    </row>
    <row r="140">
      <c r="A140" s="247"/>
      <c r="B140" s="247"/>
      <c r="C140" s="247"/>
      <c r="D140" s="247"/>
      <c r="E140" s="247"/>
      <c r="F140" s="247"/>
      <c r="G140" s="247"/>
      <c r="H140" s="247"/>
      <c r="I140" s="247"/>
      <c r="J140" s="247"/>
      <c r="K140" s="247"/>
      <c r="L140" s="247"/>
      <c r="M140" s="247"/>
      <c r="N140" s="247"/>
      <c r="O140" s="247"/>
      <c r="P140" s="247"/>
      <c r="Q140" s="247"/>
      <c r="R140" s="247"/>
      <c r="S140" s="247"/>
      <c r="T140" s="247"/>
      <c r="U140" s="247"/>
    </row>
    <row r="141">
      <c r="A141" s="247"/>
      <c r="B141" s="247"/>
      <c r="C141" s="247"/>
      <c r="D141" s="247"/>
      <c r="E141" s="247"/>
      <c r="F141" s="247"/>
      <c r="G141" s="247"/>
      <c r="H141" s="247"/>
      <c r="I141" s="247"/>
      <c r="J141" s="247"/>
      <c r="K141" s="247"/>
      <c r="L141" s="247"/>
      <c r="M141" s="247"/>
      <c r="N141" s="247"/>
      <c r="O141" s="247"/>
      <c r="P141" s="247"/>
      <c r="Q141" s="247"/>
      <c r="R141" s="247"/>
      <c r="S141" s="247"/>
      <c r="T141" s="247"/>
      <c r="U141" s="247"/>
    </row>
    <row r="142">
      <c r="A142" s="247"/>
      <c r="B142" s="247"/>
      <c r="C142" s="247"/>
      <c r="D142" s="247"/>
      <c r="E142" s="247"/>
      <c r="F142" s="247"/>
      <c r="G142" s="247"/>
      <c r="H142" s="247"/>
      <c r="I142" s="247"/>
      <c r="J142" s="247"/>
      <c r="K142" s="247"/>
      <c r="L142" s="247"/>
      <c r="M142" s="247"/>
      <c r="N142" s="247"/>
      <c r="O142" s="247"/>
      <c r="P142" s="247"/>
      <c r="Q142" s="247"/>
      <c r="R142" s="247"/>
      <c r="S142" s="247"/>
      <c r="T142" s="247"/>
      <c r="U142" s="247"/>
    </row>
    <row r="143">
      <c r="A143" s="247"/>
      <c r="B143" s="247"/>
      <c r="C143" s="247"/>
      <c r="D143" s="247"/>
      <c r="E143" s="247"/>
      <c r="F143" s="247"/>
      <c r="G143" s="247"/>
      <c r="H143" s="247"/>
      <c r="I143" s="247"/>
      <c r="J143" s="247"/>
      <c r="K143" s="247"/>
      <c r="L143" s="247"/>
      <c r="M143" s="247"/>
      <c r="N143" s="247"/>
      <c r="O143" s="247"/>
      <c r="P143" s="247"/>
      <c r="Q143" s="247"/>
      <c r="R143" s="247"/>
      <c r="S143" s="247"/>
      <c r="T143" s="247"/>
      <c r="U143" s="247"/>
    </row>
    <row r="144">
      <c r="A144" s="247"/>
      <c r="B144" s="247"/>
      <c r="C144" s="247"/>
      <c r="D144" s="247"/>
      <c r="E144" s="247"/>
      <c r="F144" s="247"/>
      <c r="G144" s="247"/>
      <c r="H144" s="247"/>
      <c r="I144" s="247"/>
      <c r="J144" s="247"/>
      <c r="K144" s="247"/>
      <c r="L144" s="247"/>
      <c r="M144" s="247"/>
      <c r="N144" s="247"/>
      <c r="O144" s="247"/>
      <c r="P144" s="247"/>
      <c r="Q144" s="247"/>
      <c r="R144" s="247"/>
      <c r="S144" s="247"/>
      <c r="T144" s="247"/>
      <c r="U144" s="247"/>
    </row>
    <row r="145">
      <c r="A145" s="247"/>
      <c r="B145" s="247"/>
      <c r="C145" s="247"/>
      <c r="D145" s="247"/>
      <c r="E145" s="247"/>
      <c r="F145" s="247"/>
      <c r="G145" s="247"/>
      <c r="H145" s="247"/>
      <c r="I145" s="247"/>
      <c r="J145" s="247"/>
      <c r="K145" s="247"/>
      <c r="L145" s="247"/>
      <c r="M145" s="247"/>
      <c r="N145" s="247"/>
      <c r="O145" s="247"/>
      <c r="P145" s="247"/>
      <c r="Q145" s="247"/>
      <c r="R145" s="247"/>
      <c r="S145" s="247"/>
      <c r="T145" s="247"/>
      <c r="U145" s="247"/>
    </row>
    <row r="146">
      <c r="A146" s="247"/>
      <c r="B146" s="247"/>
      <c r="C146" s="247"/>
      <c r="D146" s="247"/>
      <c r="E146" s="247"/>
      <c r="F146" s="247"/>
      <c r="G146" s="247"/>
      <c r="H146" s="247"/>
      <c r="I146" s="247"/>
      <c r="J146" s="247"/>
      <c r="K146" s="247"/>
      <c r="L146" s="247"/>
      <c r="M146" s="247"/>
      <c r="N146" s="247"/>
      <c r="O146" s="247"/>
      <c r="P146" s="247"/>
      <c r="Q146" s="247"/>
      <c r="R146" s="247"/>
      <c r="S146" s="247"/>
      <c r="T146" s="247"/>
      <c r="U146" s="247"/>
    </row>
    <row r="147">
      <c r="A147" s="247"/>
      <c r="B147" s="247"/>
      <c r="C147" s="247"/>
      <c r="D147" s="247"/>
      <c r="E147" s="247"/>
      <c r="F147" s="247"/>
      <c r="G147" s="247"/>
      <c r="H147" s="247"/>
      <c r="I147" s="247"/>
      <c r="J147" s="247"/>
      <c r="K147" s="247"/>
      <c r="L147" s="247"/>
      <c r="M147" s="247"/>
      <c r="N147" s="247"/>
      <c r="O147" s="247"/>
      <c r="P147" s="247"/>
      <c r="Q147" s="247"/>
      <c r="R147" s="247"/>
      <c r="S147" s="247"/>
      <c r="T147" s="247"/>
      <c r="U147" s="247"/>
    </row>
    <row r="148">
      <c r="A148" s="247"/>
      <c r="B148" s="247"/>
      <c r="C148" s="247"/>
      <c r="D148" s="247"/>
      <c r="E148" s="247"/>
      <c r="F148" s="247"/>
      <c r="G148" s="247"/>
      <c r="H148" s="247"/>
      <c r="I148" s="247"/>
      <c r="J148" s="247"/>
      <c r="K148" s="247"/>
      <c r="L148" s="247"/>
      <c r="M148" s="247"/>
      <c r="N148" s="247"/>
      <c r="O148" s="247"/>
      <c r="P148" s="247"/>
      <c r="Q148" s="247"/>
      <c r="R148" s="247"/>
      <c r="S148" s="247"/>
      <c r="T148" s="247"/>
      <c r="U148" s="247"/>
    </row>
    <row r="149">
      <c r="A149" s="247"/>
      <c r="B149" s="247"/>
      <c r="C149" s="247"/>
      <c r="D149" s="247"/>
      <c r="E149" s="247"/>
      <c r="F149" s="247"/>
      <c r="G149" s="247"/>
      <c r="H149" s="247"/>
      <c r="I149" s="247"/>
      <c r="J149" s="247"/>
      <c r="K149" s="247"/>
      <c r="L149" s="247"/>
      <c r="M149" s="247"/>
      <c r="N149" s="247"/>
      <c r="O149" s="247"/>
      <c r="P149" s="247"/>
      <c r="Q149" s="247"/>
      <c r="R149" s="247"/>
      <c r="S149" s="247"/>
      <c r="T149" s="247"/>
      <c r="U149" s="247"/>
    </row>
    <row r="150">
      <c r="A150" s="247"/>
      <c r="B150" s="247"/>
      <c r="C150" s="247"/>
      <c r="D150" s="247"/>
      <c r="E150" s="247"/>
      <c r="F150" s="247"/>
      <c r="G150" s="247"/>
      <c r="H150" s="247"/>
      <c r="I150" s="247"/>
      <c r="J150" s="247"/>
      <c r="K150" s="247"/>
      <c r="L150" s="247"/>
      <c r="M150" s="247"/>
      <c r="N150" s="247"/>
      <c r="O150" s="247"/>
      <c r="P150" s="247"/>
      <c r="Q150" s="247"/>
      <c r="R150" s="247"/>
      <c r="S150" s="247"/>
      <c r="T150" s="247"/>
      <c r="U150" s="247"/>
    </row>
    <row r="151">
      <c r="A151" s="247"/>
      <c r="B151" s="247"/>
      <c r="C151" s="247"/>
      <c r="D151" s="247"/>
      <c r="E151" s="247"/>
      <c r="F151" s="247"/>
      <c r="G151" s="247"/>
      <c r="H151" s="247"/>
      <c r="I151" s="247"/>
      <c r="J151" s="247"/>
      <c r="K151" s="247"/>
      <c r="L151" s="247"/>
      <c r="M151" s="247"/>
      <c r="N151" s="247"/>
      <c r="O151" s="247"/>
      <c r="P151" s="247"/>
      <c r="Q151" s="247"/>
      <c r="R151" s="247"/>
      <c r="S151" s="247"/>
      <c r="T151" s="247"/>
      <c r="U151" s="247"/>
    </row>
    <row r="152">
      <c r="A152" s="247"/>
      <c r="B152" s="247"/>
      <c r="C152" s="247"/>
      <c r="D152" s="247"/>
      <c r="E152" s="247"/>
      <c r="F152" s="247"/>
      <c r="G152" s="247"/>
      <c r="H152" s="247"/>
      <c r="I152" s="247"/>
      <c r="J152" s="247"/>
      <c r="K152" s="247"/>
      <c r="L152" s="247"/>
      <c r="M152" s="247"/>
      <c r="N152" s="247"/>
      <c r="O152" s="247"/>
      <c r="P152" s="247"/>
      <c r="Q152" s="247"/>
      <c r="R152" s="247"/>
      <c r="S152" s="247"/>
      <c r="T152" s="247"/>
      <c r="U152" s="247"/>
    </row>
    <row r="153">
      <c r="A153" s="247"/>
      <c r="B153" s="247"/>
      <c r="C153" s="247"/>
      <c r="D153" s="247"/>
      <c r="E153" s="247"/>
      <c r="F153" s="247"/>
      <c r="G153" s="247"/>
      <c r="H153" s="247"/>
      <c r="I153" s="247"/>
      <c r="J153" s="247"/>
      <c r="K153" s="247"/>
      <c r="L153" s="247"/>
      <c r="M153" s="247"/>
      <c r="N153" s="247"/>
      <c r="O153" s="247"/>
      <c r="P153" s="247"/>
      <c r="Q153" s="247"/>
      <c r="R153" s="247"/>
      <c r="S153" s="247"/>
      <c r="T153" s="247"/>
      <c r="U153" s="247"/>
    </row>
    <row r="154">
      <c r="A154" s="247"/>
      <c r="B154" s="247"/>
      <c r="C154" s="247"/>
      <c r="D154" s="247"/>
      <c r="E154" s="247"/>
      <c r="F154" s="247"/>
      <c r="G154" s="247"/>
      <c r="H154" s="247"/>
      <c r="I154" s="247"/>
      <c r="J154" s="247"/>
      <c r="K154" s="247"/>
      <c r="L154" s="247"/>
      <c r="M154" s="247"/>
      <c r="N154" s="247"/>
      <c r="O154" s="247"/>
      <c r="P154" s="247"/>
      <c r="Q154" s="247"/>
      <c r="R154" s="247"/>
      <c r="S154" s="247"/>
      <c r="T154" s="247"/>
      <c r="U154" s="247"/>
    </row>
    <row r="155">
      <c r="A155" s="247"/>
      <c r="B155" s="247"/>
      <c r="C155" s="247"/>
      <c r="D155" s="247"/>
      <c r="E155" s="247"/>
      <c r="F155" s="247"/>
      <c r="G155" s="247"/>
      <c r="H155" s="247"/>
      <c r="I155" s="247"/>
      <c r="J155" s="247"/>
      <c r="K155" s="247"/>
      <c r="L155" s="247"/>
      <c r="M155" s="247"/>
      <c r="N155" s="247"/>
      <c r="O155" s="247"/>
      <c r="P155" s="247"/>
      <c r="Q155" s="247"/>
      <c r="R155" s="247"/>
      <c r="S155" s="247"/>
      <c r="T155" s="247"/>
      <c r="U155" s="247"/>
    </row>
    <row r="156">
      <c r="A156" s="247"/>
      <c r="B156" s="247"/>
      <c r="C156" s="247"/>
      <c r="D156" s="247"/>
      <c r="E156" s="247"/>
      <c r="F156" s="247"/>
      <c r="G156" s="247"/>
      <c r="H156" s="247"/>
      <c r="I156" s="247"/>
      <c r="J156" s="247"/>
      <c r="K156" s="247"/>
      <c r="L156" s="247"/>
      <c r="M156" s="247"/>
      <c r="N156" s="247"/>
      <c r="O156" s="247"/>
      <c r="P156" s="247"/>
      <c r="Q156" s="247"/>
      <c r="R156" s="247"/>
      <c r="S156" s="247"/>
      <c r="T156" s="247"/>
      <c r="U156" s="247"/>
    </row>
    <row r="157">
      <c r="A157" s="247"/>
      <c r="B157" s="247"/>
      <c r="C157" s="247"/>
      <c r="D157" s="247"/>
      <c r="E157" s="247"/>
      <c r="F157" s="247"/>
      <c r="G157" s="247"/>
      <c r="H157" s="247"/>
      <c r="I157" s="247"/>
      <c r="J157" s="247"/>
      <c r="K157" s="247"/>
      <c r="L157" s="247"/>
      <c r="M157" s="247"/>
      <c r="N157" s="247"/>
      <c r="O157" s="247"/>
      <c r="P157" s="247"/>
      <c r="Q157" s="247"/>
      <c r="R157" s="247"/>
      <c r="S157" s="247"/>
      <c r="T157" s="247"/>
      <c r="U157" s="247"/>
    </row>
    <row r="158">
      <c r="A158" s="247"/>
      <c r="B158" s="247"/>
      <c r="C158" s="247"/>
      <c r="D158" s="247"/>
      <c r="E158" s="247"/>
      <c r="F158" s="247"/>
      <c r="G158" s="247"/>
      <c r="H158" s="247"/>
      <c r="I158" s="247"/>
      <c r="J158" s="247"/>
      <c r="K158" s="247"/>
      <c r="L158" s="247"/>
      <c r="M158" s="247"/>
      <c r="N158" s="247"/>
      <c r="O158" s="247"/>
      <c r="P158" s="247"/>
      <c r="Q158" s="247"/>
      <c r="R158" s="247"/>
      <c r="S158" s="247"/>
      <c r="T158" s="247"/>
      <c r="U158" s="247"/>
    </row>
    <row r="159">
      <c r="A159" s="247"/>
      <c r="B159" s="247"/>
      <c r="C159" s="247"/>
      <c r="D159" s="247"/>
      <c r="E159" s="247"/>
      <c r="F159" s="247"/>
      <c r="G159" s="247"/>
      <c r="H159" s="247"/>
      <c r="I159" s="247"/>
      <c r="J159" s="247"/>
      <c r="K159" s="247"/>
      <c r="L159" s="247"/>
      <c r="M159" s="247"/>
      <c r="N159" s="247"/>
      <c r="O159" s="247"/>
      <c r="P159" s="247"/>
      <c r="Q159" s="247"/>
      <c r="R159" s="247"/>
      <c r="S159" s="247"/>
      <c r="T159" s="247"/>
      <c r="U159" s="247"/>
    </row>
    <row r="160">
      <c r="A160" s="247"/>
      <c r="B160" s="247"/>
      <c r="C160" s="247"/>
      <c r="D160" s="247"/>
      <c r="E160" s="247"/>
      <c r="F160" s="247"/>
      <c r="G160" s="247"/>
      <c r="H160" s="247"/>
      <c r="I160" s="247"/>
      <c r="J160" s="247"/>
      <c r="K160" s="247"/>
      <c r="L160" s="247"/>
      <c r="M160" s="247"/>
      <c r="N160" s="247"/>
      <c r="O160" s="247"/>
      <c r="P160" s="247"/>
      <c r="Q160" s="247"/>
      <c r="R160" s="247"/>
      <c r="S160" s="247"/>
      <c r="T160" s="247"/>
      <c r="U160" s="247"/>
    </row>
    <row r="161">
      <c r="A161" s="247"/>
      <c r="B161" s="247"/>
      <c r="C161" s="247"/>
      <c r="D161" s="247"/>
      <c r="E161" s="247"/>
      <c r="F161" s="247"/>
      <c r="G161" s="247"/>
      <c r="H161" s="247"/>
      <c r="I161" s="247"/>
      <c r="J161" s="247"/>
      <c r="K161" s="247"/>
      <c r="L161" s="247"/>
      <c r="M161" s="247"/>
      <c r="N161" s="247"/>
      <c r="O161" s="247"/>
      <c r="P161" s="247"/>
      <c r="Q161" s="247"/>
      <c r="R161" s="247"/>
      <c r="S161" s="247"/>
      <c r="T161" s="247"/>
      <c r="U161" s="247"/>
    </row>
    <row r="162">
      <c r="A162" s="247"/>
      <c r="B162" s="247"/>
      <c r="C162" s="247"/>
      <c r="D162" s="247"/>
      <c r="E162" s="247"/>
      <c r="F162" s="247"/>
      <c r="G162" s="247"/>
      <c r="H162" s="247"/>
      <c r="I162" s="247"/>
      <c r="J162" s="247"/>
      <c r="K162" s="247"/>
      <c r="L162" s="247"/>
      <c r="M162" s="247"/>
      <c r="N162" s="247"/>
      <c r="O162" s="247"/>
      <c r="P162" s="247"/>
      <c r="Q162" s="247"/>
      <c r="R162" s="247"/>
      <c r="S162" s="247"/>
      <c r="T162" s="247"/>
      <c r="U162" s="247"/>
    </row>
    <row r="163">
      <c r="A163" s="247"/>
      <c r="B163" s="247"/>
      <c r="C163" s="247"/>
      <c r="D163" s="247"/>
      <c r="E163" s="247"/>
      <c r="F163" s="247"/>
      <c r="G163" s="247"/>
      <c r="H163" s="247"/>
      <c r="I163" s="247"/>
      <c r="J163" s="247"/>
      <c r="K163" s="247"/>
      <c r="L163" s="247"/>
      <c r="M163" s="247"/>
      <c r="N163" s="247"/>
      <c r="O163" s="247"/>
      <c r="P163" s="247"/>
      <c r="Q163" s="247"/>
      <c r="R163" s="247"/>
      <c r="S163" s="247"/>
      <c r="T163" s="247"/>
      <c r="U163" s="247"/>
    </row>
    <row r="164">
      <c r="A164" s="247"/>
      <c r="B164" s="247"/>
      <c r="C164" s="247"/>
      <c r="D164" s="247"/>
      <c r="E164" s="247"/>
      <c r="F164" s="247"/>
      <c r="G164" s="247"/>
      <c r="H164" s="247"/>
      <c r="I164" s="247"/>
      <c r="J164" s="247"/>
      <c r="K164" s="247"/>
      <c r="L164" s="247"/>
      <c r="M164" s="247"/>
      <c r="N164" s="247"/>
      <c r="O164" s="247"/>
      <c r="P164" s="247"/>
      <c r="Q164" s="247"/>
      <c r="R164" s="247"/>
      <c r="S164" s="247"/>
      <c r="T164" s="247"/>
      <c r="U164" s="247"/>
    </row>
    <row r="165">
      <c r="A165" s="247"/>
      <c r="B165" s="247"/>
      <c r="C165" s="247"/>
      <c r="D165" s="247"/>
      <c r="E165" s="247"/>
      <c r="F165" s="247"/>
      <c r="G165" s="247"/>
      <c r="H165" s="247"/>
      <c r="I165" s="247"/>
      <c r="J165" s="247"/>
      <c r="K165" s="247"/>
      <c r="L165" s="247"/>
      <c r="M165" s="247"/>
      <c r="N165" s="247"/>
      <c r="O165" s="247"/>
      <c r="P165" s="247"/>
      <c r="Q165" s="247"/>
      <c r="R165" s="247"/>
      <c r="S165" s="247"/>
      <c r="T165" s="247"/>
      <c r="U165" s="247"/>
    </row>
    <row r="166">
      <c r="A166" s="247"/>
      <c r="B166" s="247"/>
      <c r="C166" s="247"/>
      <c r="D166" s="247"/>
      <c r="E166" s="247"/>
      <c r="F166" s="247"/>
      <c r="G166" s="247"/>
      <c r="H166" s="247"/>
      <c r="I166" s="247"/>
      <c r="J166" s="247"/>
      <c r="K166" s="247"/>
      <c r="L166" s="247"/>
      <c r="M166" s="247"/>
      <c r="N166" s="247"/>
      <c r="O166" s="247"/>
      <c r="P166" s="247"/>
      <c r="Q166" s="247"/>
      <c r="R166" s="247"/>
      <c r="S166" s="247"/>
      <c r="T166" s="247"/>
      <c r="U166" s="247"/>
    </row>
    <row r="167">
      <c r="A167" s="247"/>
      <c r="B167" s="247"/>
      <c r="C167" s="247"/>
      <c r="D167" s="247"/>
      <c r="E167" s="247"/>
      <c r="F167" s="247"/>
      <c r="G167" s="247"/>
      <c r="H167" s="247"/>
      <c r="I167" s="247"/>
      <c r="J167" s="247"/>
      <c r="K167" s="247"/>
      <c r="L167" s="247"/>
      <c r="M167" s="247"/>
      <c r="N167" s="247"/>
      <c r="O167" s="247"/>
      <c r="P167" s="247"/>
      <c r="Q167" s="247"/>
      <c r="R167" s="247"/>
      <c r="S167" s="247"/>
      <c r="T167" s="247"/>
      <c r="U167" s="247"/>
    </row>
    <row r="168">
      <c r="A168" s="247"/>
      <c r="B168" s="247"/>
      <c r="C168" s="247"/>
      <c r="D168" s="247"/>
      <c r="E168" s="247"/>
      <c r="F168" s="247"/>
      <c r="G168" s="247"/>
      <c r="H168" s="247"/>
      <c r="I168" s="247"/>
      <c r="J168" s="247"/>
      <c r="K168" s="247"/>
      <c r="L168" s="247"/>
      <c r="M168" s="247"/>
      <c r="N168" s="247"/>
      <c r="O168" s="247"/>
      <c r="P168" s="247"/>
      <c r="Q168" s="247"/>
      <c r="R168" s="247"/>
      <c r="S168" s="247"/>
      <c r="T168" s="247"/>
      <c r="U168" s="247"/>
    </row>
    <row r="169">
      <c r="A169" s="247"/>
      <c r="B169" s="247"/>
      <c r="C169" s="247"/>
      <c r="D169" s="247"/>
      <c r="E169" s="247"/>
      <c r="F169" s="247"/>
      <c r="G169" s="247"/>
      <c r="H169" s="247"/>
      <c r="I169" s="247"/>
      <c r="J169" s="247"/>
      <c r="K169" s="247"/>
      <c r="L169" s="247"/>
      <c r="M169" s="247"/>
      <c r="N169" s="247"/>
      <c r="O169" s="247"/>
      <c r="P169" s="247"/>
      <c r="Q169" s="247"/>
      <c r="R169" s="247"/>
      <c r="S169" s="247"/>
      <c r="T169" s="247"/>
      <c r="U169" s="247"/>
    </row>
    <row r="170">
      <c r="A170" s="247"/>
      <c r="B170" s="247"/>
      <c r="C170" s="247"/>
      <c r="D170" s="247"/>
      <c r="E170" s="247"/>
      <c r="F170" s="247"/>
      <c r="G170" s="247"/>
      <c r="H170" s="247"/>
      <c r="I170" s="247"/>
      <c r="J170" s="247"/>
      <c r="K170" s="247"/>
      <c r="L170" s="247"/>
      <c r="M170" s="247"/>
      <c r="N170" s="247"/>
      <c r="O170" s="247"/>
      <c r="P170" s="247"/>
      <c r="Q170" s="247"/>
      <c r="R170" s="247"/>
      <c r="S170" s="247"/>
      <c r="T170" s="247"/>
      <c r="U170" s="247"/>
    </row>
    <row r="171">
      <c r="A171" s="247"/>
      <c r="B171" s="247"/>
      <c r="C171" s="247"/>
      <c r="D171" s="247"/>
      <c r="E171" s="247"/>
      <c r="F171" s="247"/>
      <c r="G171" s="247"/>
      <c r="H171" s="247"/>
      <c r="I171" s="247"/>
      <c r="J171" s="247"/>
      <c r="K171" s="247"/>
      <c r="L171" s="247"/>
      <c r="M171" s="247"/>
      <c r="N171" s="247"/>
      <c r="O171" s="247"/>
      <c r="P171" s="247"/>
      <c r="Q171" s="247"/>
      <c r="R171" s="247"/>
      <c r="S171" s="247"/>
      <c r="T171" s="247"/>
      <c r="U171" s="247"/>
    </row>
    <row r="172">
      <c r="A172" s="247"/>
      <c r="B172" s="247"/>
      <c r="C172" s="247"/>
      <c r="D172" s="247"/>
      <c r="E172" s="247"/>
      <c r="F172" s="247"/>
      <c r="G172" s="247"/>
      <c r="H172" s="247"/>
      <c r="I172" s="247"/>
      <c r="J172" s="247"/>
      <c r="K172" s="247"/>
      <c r="L172" s="247"/>
      <c r="M172" s="247"/>
      <c r="N172" s="247"/>
      <c r="O172" s="247"/>
      <c r="P172" s="247"/>
      <c r="Q172" s="247"/>
      <c r="R172" s="247"/>
      <c r="S172" s="247"/>
      <c r="T172" s="247"/>
      <c r="U172" s="247"/>
    </row>
    <row r="173">
      <c r="A173" s="247"/>
      <c r="B173" s="247"/>
      <c r="C173" s="247"/>
      <c r="D173" s="247"/>
      <c r="E173" s="247"/>
      <c r="F173" s="247"/>
      <c r="G173" s="247"/>
      <c r="H173" s="247"/>
      <c r="I173" s="247"/>
      <c r="J173" s="247"/>
      <c r="K173" s="247"/>
      <c r="L173" s="247"/>
      <c r="M173" s="247"/>
      <c r="N173" s="247"/>
      <c r="O173" s="247"/>
      <c r="P173" s="247"/>
      <c r="Q173" s="247"/>
      <c r="R173" s="247"/>
      <c r="S173" s="247"/>
      <c r="T173" s="247"/>
      <c r="U173" s="247"/>
    </row>
    <row r="174">
      <c r="A174" s="247"/>
      <c r="B174" s="247"/>
      <c r="C174" s="247"/>
      <c r="D174" s="247"/>
      <c r="E174" s="247"/>
      <c r="F174" s="247"/>
      <c r="G174" s="247"/>
      <c r="H174" s="247"/>
      <c r="I174" s="247"/>
      <c r="J174" s="247"/>
      <c r="K174" s="247"/>
      <c r="L174" s="247"/>
      <c r="M174" s="247"/>
      <c r="N174" s="247"/>
      <c r="O174" s="247"/>
      <c r="P174" s="247"/>
      <c r="Q174" s="247"/>
      <c r="R174" s="247"/>
      <c r="S174" s="247"/>
      <c r="T174" s="247"/>
      <c r="U174" s="247"/>
    </row>
    <row r="175">
      <c r="A175" s="247"/>
      <c r="B175" s="247"/>
      <c r="C175" s="247"/>
      <c r="D175" s="247"/>
      <c r="E175" s="247"/>
      <c r="F175" s="247"/>
      <c r="G175" s="247"/>
      <c r="H175" s="247"/>
      <c r="I175" s="247"/>
      <c r="J175" s="247"/>
      <c r="K175" s="247"/>
      <c r="L175" s="247"/>
      <c r="M175" s="247"/>
      <c r="N175" s="247"/>
      <c r="O175" s="247"/>
      <c r="P175" s="247"/>
      <c r="Q175" s="247"/>
      <c r="R175" s="247"/>
      <c r="S175" s="247"/>
      <c r="T175" s="247"/>
      <c r="U175" s="247"/>
    </row>
    <row r="176">
      <c r="A176" s="247"/>
      <c r="B176" s="247"/>
      <c r="C176" s="247"/>
      <c r="D176" s="247"/>
      <c r="E176" s="247"/>
      <c r="F176" s="247"/>
      <c r="G176" s="247"/>
      <c r="H176" s="247"/>
      <c r="I176" s="247"/>
      <c r="J176" s="247"/>
      <c r="K176" s="247"/>
      <c r="L176" s="247"/>
      <c r="M176" s="247"/>
      <c r="N176" s="247"/>
      <c r="O176" s="247"/>
      <c r="P176" s="247"/>
      <c r="Q176" s="247"/>
      <c r="R176" s="247"/>
      <c r="S176" s="247"/>
      <c r="T176" s="247"/>
      <c r="U176" s="247"/>
    </row>
    <row r="177">
      <c r="A177" s="247"/>
      <c r="B177" s="247"/>
      <c r="C177" s="247"/>
      <c r="D177" s="247"/>
      <c r="E177" s="247"/>
      <c r="F177" s="247"/>
      <c r="G177" s="247"/>
      <c r="H177" s="247"/>
      <c r="I177" s="247"/>
      <c r="J177" s="247"/>
      <c r="K177" s="247"/>
      <c r="L177" s="247"/>
      <c r="M177" s="247"/>
      <c r="N177" s="247"/>
      <c r="O177" s="247"/>
      <c r="P177" s="247"/>
      <c r="Q177" s="247"/>
      <c r="R177" s="247"/>
      <c r="S177" s="247"/>
      <c r="T177" s="247"/>
      <c r="U177" s="247"/>
    </row>
    <row r="178">
      <c r="A178" s="247"/>
      <c r="B178" s="247"/>
      <c r="C178" s="247"/>
      <c r="D178" s="247"/>
      <c r="E178" s="247"/>
      <c r="F178" s="247"/>
      <c r="G178" s="247"/>
      <c r="H178" s="247"/>
      <c r="I178" s="247"/>
      <c r="J178" s="247"/>
      <c r="K178" s="247"/>
      <c r="L178" s="247"/>
      <c r="M178" s="247"/>
      <c r="N178" s="247"/>
      <c r="O178" s="247"/>
      <c r="P178" s="247"/>
      <c r="Q178" s="247"/>
      <c r="R178" s="247"/>
      <c r="S178" s="247"/>
      <c r="T178" s="247"/>
      <c r="U178" s="247"/>
    </row>
    <row r="179">
      <c r="A179" s="247"/>
      <c r="B179" s="247"/>
      <c r="C179" s="247"/>
      <c r="D179" s="247"/>
      <c r="E179" s="247"/>
      <c r="F179" s="247"/>
      <c r="G179" s="247"/>
      <c r="H179" s="247"/>
      <c r="I179" s="247"/>
      <c r="J179" s="247"/>
      <c r="K179" s="247"/>
      <c r="L179" s="247"/>
      <c r="M179" s="247"/>
      <c r="N179" s="247"/>
      <c r="O179" s="247"/>
      <c r="P179" s="247"/>
      <c r="Q179" s="247"/>
      <c r="R179" s="247"/>
      <c r="S179" s="247"/>
      <c r="T179" s="247"/>
      <c r="U179" s="247"/>
    </row>
    <row r="180">
      <c r="A180" s="247"/>
      <c r="B180" s="247"/>
      <c r="C180" s="247"/>
      <c r="D180" s="247"/>
      <c r="E180" s="247"/>
      <c r="F180" s="247"/>
      <c r="G180" s="247"/>
      <c r="H180" s="247"/>
      <c r="I180" s="247"/>
      <c r="J180" s="247"/>
      <c r="K180" s="247"/>
      <c r="L180" s="247"/>
      <c r="M180" s="247"/>
      <c r="N180" s="247"/>
      <c r="O180" s="247"/>
      <c r="P180" s="247"/>
      <c r="Q180" s="247"/>
      <c r="R180" s="247"/>
      <c r="S180" s="247"/>
      <c r="T180" s="247"/>
      <c r="U180" s="247"/>
    </row>
    <row r="181">
      <c r="A181" s="247"/>
      <c r="B181" s="247"/>
      <c r="C181" s="247"/>
      <c r="D181" s="247"/>
      <c r="E181" s="247"/>
      <c r="F181" s="247"/>
      <c r="G181" s="247"/>
      <c r="H181" s="247"/>
      <c r="I181" s="247"/>
      <c r="J181" s="247"/>
      <c r="K181" s="247"/>
      <c r="L181" s="247"/>
      <c r="M181" s="247"/>
      <c r="N181" s="247"/>
      <c r="O181" s="247"/>
      <c r="P181" s="247"/>
      <c r="Q181" s="247"/>
      <c r="R181" s="247"/>
      <c r="S181" s="247"/>
      <c r="T181" s="247"/>
      <c r="U181" s="247"/>
    </row>
    <row r="182">
      <c r="A182" s="247"/>
      <c r="B182" s="247"/>
      <c r="C182" s="247"/>
      <c r="D182" s="247"/>
      <c r="E182" s="247"/>
      <c r="F182" s="247"/>
      <c r="G182" s="247"/>
      <c r="H182" s="247"/>
      <c r="I182" s="247"/>
      <c r="J182" s="247"/>
      <c r="K182" s="247"/>
      <c r="L182" s="247"/>
      <c r="M182" s="247"/>
      <c r="N182" s="247"/>
      <c r="O182" s="247"/>
      <c r="P182" s="247"/>
      <c r="Q182" s="247"/>
      <c r="R182" s="247"/>
      <c r="S182" s="247"/>
      <c r="T182" s="247"/>
      <c r="U182" s="247"/>
    </row>
    <row r="183">
      <c r="A183" s="247"/>
      <c r="B183" s="247"/>
      <c r="C183" s="247"/>
      <c r="D183" s="247"/>
      <c r="E183" s="247"/>
      <c r="F183" s="247"/>
      <c r="G183" s="247"/>
      <c r="H183" s="247"/>
      <c r="I183" s="247"/>
      <c r="J183" s="247"/>
      <c r="K183" s="247"/>
      <c r="L183" s="247"/>
      <c r="M183" s="247"/>
      <c r="N183" s="247"/>
      <c r="O183" s="247"/>
      <c r="P183" s="247"/>
      <c r="Q183" s="247"/>
      <c r="R183" s="247"/>
      <c r="S183" s="247"/>
      <c r="T183" s="247"/>
      <c r="U183" s="247"/>
    </row>
    <row r="184">
      <c r="A184" s="247"/>
      <c r="B184" s="247"/>
      <c r="C184" s="247"/>
      <c r="D184" s="247"/>
      <c r="E184" s="247"/>
      <c r="F184" s="247"/>
      <c r="G184" s="247"/>
      <c r="H184" s="247"/>
      <c r="I184" s="247"/>
      <c r="J184" s="247"/>
      <c r="K184" s="247"/>
      <c r="L184" s="247"/>
      <c r="M184" s="247"/>
      <c r="N184" s="247"/>
      <c r="O184" s="247"/>
      <c r="P184" s="247"/>
      <c r="Q184" s="247"/>
      <c r="R184" s="247"/>
      <c r="S184" s="247"/>
      <c r="T184" s="247"/>
      <c r="U184" s="247"/>
    </row>
    <row r="185">
      <c r="A185" s="247"/>
      <c r="B185" s="247"/>
      <c r="C185" s="247"/>
      <c r="D185" s="247"/>
      <c r="E185" s="247"/>
      <c r="F185" s="247"/>
      <c r="G185" s="247"/>
      <c r="H185" s="247"/>
      <c r="I185" s="247"/>
      <c r="J185" s="247"/>
      <c r="K185" s="247"/>
      <c r="L185" s="247"/>
      <c r="M185" s="247"/>
      <c r="N185" s="247"/>
      <c r="O185" s="247"/>
      <c r="P185" s="247"/>
      <c r="Q185" s="247"/>
      <c r="R185" s="247"/>
      <c r="S185" s="247"/>
      <c r="T185" s="247"/>
      <c r="U185" s="247"/>
    </row>
    <row r="186">
      <c r="A186" s="247"/>
      <c r="B186" s="247"/>
      <c r="C186" s="247"/>
      <c r="D186" s="247"/>
      <c r="E186" s="247"/>
      <c r="F186" s="247"/>
      <c r="G186" s="247"/>
      <c r="H186" s="247"/>
      <c r="I186" s="247"/>
      <c r="J186" s="247"/>
      <c r="K186" s="247"/>
      <c r="L186" s="247"/>
      <c r="M186" s="247"/>
      <c r="N186" s="247"/>
      <c r="O186" s="247"/>
      <c r="P186" s="247"/>
      <c r="Q186" s="247"/>
      <c r="R186" s="247"/>
      <c r="S186" s="247"/>
      <c r="T186" s="247"/>
      <c r="U186" s="247"/>
    </row>
    <row r="187">
      <c r="A187" s="247"/>
      <c r="B187" s="247"/>
      <c r="C187" s="247"/>
      <c r="D187" s="247"/>
      <c r="E187" s="247"/>
      <c r="F187" s="247"/>
      <c r="G187" s="247"/>
      <c r="H187" s="247"/>
      <c r="I187" s="247"/>
      <c r="J187" s="247"/>
      <c r="K187" s="247"/>
      <c r="L187" s="247"/>
      <c r="M187" s="247"/>
      <c r="N187" s="247"/>
      <c r="O187" s="247"/>
      <c r="P187" s="247"/>
      <c r="Q187" s="247"/>
      <c r="R187" s="247"/>
      <c r="S187" s="247"/>
      <c r="T187" s="247"/>
      <c r="U187" s="247"/>
    </row>
    <row r="188">
      <c r="A188" s="247"/>
      <c r="B188" s="247"/>
      <c r="C188" s="247"/>
      <c r="D188" s="247"/>
      <c r="E188" s="247"/>
      <c r="F188" s="247"/>
      <c r="G188" s="247"/>
      <c r="H188" s="247"/>
      <c r="I188" s="247"/>
      <c r="J188" s="247"/>
      <c r="K188" s="247"/>
      <c r="L188" s="247"/>
      <c r="M188" s="247"/>
      <c r="N188" s="247"/>
      <c r="O188" s="247"/>
      <c r="P188" s="247"/>
      <c r="Q188" s="247"/>
      <c r="R188" s="247"/>
      <c r="S188" s="247"/>
      <c r="T188" s="247"/>
      <c r="U188" s="247"/>
    </row>
    <row r="189">
      <c r="A189" s="247"/>
      <c r="B189" s="247"/>
      <c r="C189" s="247"/>
      <c r="D189" s="247"/>
      <c r="E189" s="247"/>
      <c r="F189" s="247"/>
      <c r="G189" s="247"/>
      <c r="H189" s="247"/>
      <c r="I189" s="247"/>
      <c r="J189" s="247"/>
      <c r="K189" s="247"/>
      <c r="L189" s="247"/>
      <c r="M189" s="247"/>
      <c r="N189" s="247"/>
      <c r="O189" s="247"/>
      <c r="P189" s="247"/>
      <c r="Q189" s="247"/>
      <c r="R189" s="247"/>
      <c r="S189" s="247"/>
      <c r="T189" s="247"/>
      <c r="U189" s="247"/>
    </row>
    <row r="190">
      <c r="A190" s="247"/>
      <c r="B190" s="247"/>
      <c r="C190" s="247"/>
      <c r="D190" s="247"/>
      <c r="E190" s="247"/>
      <c r="F190" s="247"/>
      <c r="G190" s="247"/>
      <c r="H190" s="247"/>
      <c r="I190" s="247"/>
      <c r="J190" s="247"/>
      <c r="K190" s="247"/>
      <c r="L190" s="247"/>
      <c r="M190" s="247"/>
      <c r="N190" s="247"/>
      <c r="O190" s="247"/>
      <c r="P190" s="247"/>
      <c r="Q190" s="247"/>
      <c r="R190" s="247"/>
      <c r="S190" s="247"/>
      <c r="T190" s="247"/>
      <c r="U190" s="247"/>
    </row>
    <row r="191">
      <c r="A191" s="247"/>
      <c r="B191" s="247"/>
      <c r="C191" s="247"/>
      <c r="D191" s="247"/>
      <c r="E191" s="247"/>
      <c r="F191" s="247"/>
      <c r="G191" s="247"/>
      <c r="H191" s="247"/>
      <c r="I191" s="247"/>
      <c r="J191" s="247"/>
      <c r="K191" s="247"/>
      <c r="L191" s="247"/>
      <c r="M191" s="247"/>
      <c r="N191" s="247"/>
      <c r="O191" s="247"/>
      <c r="P191" s="247"/>
      <c r="Q191" s="247"/>
      <c r="R191" s="247"/>
      <c r="S191" s="247"/>
      <c r="T191" s="247"/>
      <c r="U191" s="247"/>
    </row>
    <row r="192">
      <c r="A192" s="247"/>
      <c r="B192" s="247"/>
      <c r="C192" s="247"/>
      <c r="D192" s="247"/>
      <c r="E192" s="247"/>
      <c r="F192" s="247"/>
      <c r="G192" s="247"/>
      <c r="H192" s="247"/>
      <c r="I192" s="247"/>
      <c r="J192" s="247"/>
      <c r="K192" s="247"/>
      <c r="L192" s="247"/>
      <c r="M192" s="247"/>
      <c r="N192" s="247"/>
      <c r="O192" s="247"/>
      <c r="P192" s="247"/>
      <c r="Q192" s="247"/>
      <c r="R192" s="247"/>
      <c r="S192" s="247"/>
      <c r="T192" s="247"/>
      <c r="U192" s="247"/>
    </row>
    <row r="193">
      <c r="A193" s="247"/>
      <c r="B193" s="247"/>
      <c r="C193" s="247"/>
      <c r="D193" s="247"/>
      <c r="E193" s="247"/>
      <c r="F193" s="247"/>
      <c r="G193" s="247"/>
      <c r="H193" s="247"/>
      <c r="I193" s="247"/>
      <c r="J193" s="247"/>
      <c r="K193" s="247"/>
      <c r="L193" s="247"/>
      <c r="M193" s="247"/>
      <c r="N193" s="247"/>
      <c r="O193" s="247"/>
      <c r="P193" s="247"/>
      <c r="Q193" s="247"/>
      <c r="R193" s="247"/>
      <c r="S193" s="247"/>
      <c r="T193" s="247"/>
      <c r="U193" s="247"/>
    </row>
    <row r="194">
      <c r="A194" s="247"/>
      <c r="B194" s="247"/>
      <c r="C194" s="247"/>
      <c r="D194" s="247"/>
      <c r="E194" s="247"/>
      <c r="F194" s="247"/>
      <c r="G194" s="247"/>
      <c r="H194" s="247"/>
      <c r="I194" s="247"/>
      <c r="J194" s="247"/>
      <c r="K194" s="247"/>
      <c r="L194" s="247"/>
      <c r="M194" s="247"/>
      <c r="N194" s="247"/>
      <c r="O194" s="247"/>
      <c r="P194" s="247"/>
      <c r="Q194" s="247"/>
      <c r="R194" s="247"/>
      <c r="S194" s="247"/>
      <c r="T194" s="247"/>
      <c r="U194" s="247"/>
    </row>
    <row r="195">
      <c r="A195" s="247"/>
      <c r="B195" s="247"/>
      <c r="C195" s="247"/>
      <c r="D195" s="247"/>
      <c r="E195" s="247"/>
      <c r="F195" s="247"/>
      <c r="G195" s="247"/>
      <c r="H195" s="247"/>
      <c r="I195" s="247"/>
      <c r="J195" s="247"/>
      <c r="K195" s="247"/>
      <c r="L195" s="247"/>
      <c r="M195" s="247"/>
      <c r="N195" s="247"/>
      <c r="O195" s="247"/>
      <c r="P195" s="247"/>
      <c r="Q195" s="247"/>
      <c r="R195" s="247"/>
      <c r="S195" s="247"/>
      <c r="T195" s="247"/>
      <c r="U195" s="247"/>
    </row>
    <row r="196">
      <c r="A196" s="247"/>
      <c r="B196" s="247"/>
      <c r="C196" s="247"/>
      <c r="D196" s="247"/>
      <c r="E196" s="247"/>
      <c r="F196" s="247"/>
      <c r="G196" s="247"/>
      <c r="H196" s="247"/>
      <c r="I196" s="247"/>
      <c r="J196" s="247"/>
      <c r="K196" s="247"/>
      <c r="L196" s="247"/>
      <c r="M196" s="247"/>
      <c r="N196" s="247"/>
      <c r="O196" s="247"/>
      <c r="P196" s="247"/>
      <c r="Q196" s="247"/>
      <c r="R196" s="247"/>
      <c r="S196" s="247"/>
      <c r="T196" s="247"/>
      <c r="U196" s="247"/>
    </row>
    <row r="197">
      <c r="A197" s="247"/>
      <c r="B197" s="247"/>
      <c r="C197" s="247"/>
      <c r="D197" s="247"/>
      <c r="E197" s="247"/>
      <c r="F197" s="247"/>
      <c r="G197" s="247"/>
      <c r="H197" s="247"/>
      <c r="I197" s="247"/>
      <c r="J197" s="247"/>
      <c r="K197" s="247"/>
      <c r="L197" s="247"/>
      <c r="M197" s="247"/>
      <c r="N197" s="247"/>
      <c r="O197" s="247"/>
      <c r="P197" s="247"/>
      <c r="Q197" s="247"/>
      <c r="R197" s="247"/>
      <c r="S197" s="247"/>
      <c r="T197" s="247"/>
      <c r="U197" s="247"/>
    </row>
    <row r="198">
      <c r="A198" s="247"/>
      <c r="B198" s="247"/>
      <c r="C198" s="247"/>
      <c r="D198" s="247"/>
      <c r="E198" s="247"/>
      <c r="F198" s="247"/>
      <c r="G198" s="247"/>
      <c r="H198" s="247"/>
      <c r="I198" s="247"/>
      <c r="J198" s="247"/>
      <c r="K198" s="247"/>
      <c r="L198" s="247"/>
      <c r="M198" s="247"/>
      <c r="N198" s="247"/>
      <c r="O198" s="247"/>
      <c r="P198" s="247"/>
      <c r="Q198" s="247"/>
      <c r="R198" s="247"/>
      <c r="S198" s="247"/>
      <c r="T198" s="247"/>
      <c r="U198" s="247"/>
    </row>
    <row r="199">
      <c r="A199" s="247"/>
      <c r="B199" s="247"/>
      <c r="C199" s="247"/>
      <c r="D199" s="247"/>
      <c r="E199" s="247"/>
      <c r="F199" s="247"/>
      <c r="G199" s="247"/>
      <c r="H199" s="247"/>
      <c r="I199" s="247"/>
      <c r="J199" s="247"/>
      <c r="K199" s="247"/>
      <c r="L199" s="247"/>
      <c r="M199" s="247"/>
      <c r="N199" s="247"/>
      <c r="O199" s="247"/>
      <c r="P199" s="247"/>
      <c r="Q199" s="247"/>
      <c r="R199" s="247"/>
      <c r="S199" s="247"/>
      <c r="T199" s="247"/>
      <c r="U199" s="247"/>
    </row>
    <row r="200">
      <c r="A200" s="247"/>
      <c r="B200" s="247"/>
      <c r="C200" s="247"/>
      <c r="D200" s="247"/>
      <c r="E200" s="247"/>
      <c r="F200" s="247"/>
      <c r="G200" s="247"/>
      <c r="H200" s="247"/>
      <c r="I200" s="247"/>
      <c r="J200" s="247"/>
      <c r="K200" s="247"/>
      <c r="L200" s="247"/>
      <c r="M200" s="247"/>
      <c r="N200" s="247"/>
      <c r="O200" s="247"/>
      <c r="P200" s="247"/>
      <c r="Q200" s="247"/>
      <c r="R200" s="247"/>
      <c r="S200" s="247"/>
      <c r="T200" s="247"/>
      <c r="U200" s="247"/>
    </row>
    <row r="201">
      <c r="A201" s="247"/>
      <c r="B201" s="247"/>
      <c r="C201" s="247"/>
      <c r="D201" s="247"/>
      <c r="E201" s="247"/>
      <c r="F201" s="247"/>
      <c r="G201" s="247"/>
      <c r="H201" s="247"/>
      <c r="I201" s="247"/>
      <c r="J201" s="247"/>
      <c r="K201" s="247"/>
      <c r="L201" s="247"/>
      <c r="M201" s="247"/>
      <c r="N201" s="247"/>
      <c r="O201" s="247"/>
      <c r="P201" s="247"/>
      <c r="Q201" s="247"/>
      <c r="R201" s="247"/>
      <c r="S201" s="247"/>
      <c r="T201" s="247"/>
      <c r="U201" s="247"/>
    </row>
    <row r="202">
      <c r="A202" s="247"/>
      <c r="B202" s="247"/>
      <c r="C202" s="247"/>
      <c r="D202" s="247"/>
      <c r="E202" s="247"/>
      <c r="F202" s="247"/>
      <c r="G202" s="247"/>
      <c r="H202" s="247"/>
      <c r="I202" s="247"/>
      <c r="J202" s="247"/>
      <c r="K202" s="247"/>
      <c r="L202" s="247"/>
      <c r="M202" s="247"/>
      <c r="N202" s="247"/>
      <c r="O202" s="247"/>
      <c r="P202" s="247"/>
      <c r="Q202" s="247"/>
      <c r="R202" s="247"/>
      <c r="S202" s="247"/>
      <c r="T202" s="247"/>
      <c r="U202" s="247"/>
    </row>
    <row r="203">
      <c r="A203" s="247"/>
      <c r="B203" s="247"/>
      <c r="C203" s="247"/>
      <c r="D203" s="247"/>
      <c r="E203" s="247"/>
      <c r="F203" s="247"/>
      <c r="G203" s="247"/>
      <c r="H203" s="247"/>
      <c r="I203" s="247"/>
      <c r="J203" s="247"/>
      <c r="K203" s="247"/>
      <c r="L203" s="247"/>
      <c r="M203" s="247"/>
      <c r="N203" s="247"/>
      <c r="O203" s="247"/>
      <c r="P203" s="247"/>
      <c r="Q203" s="247"/>
      <c r="R203" s="247"/>
      <c r="S203" s="247"/>
      <c r="T203" s="247"/>
      <c r="U203" s="247"/>
    </row>
    <row r="204">
      <c r="A204" s="247"/>
      <c r="B204" s="247"/>
      <c r="C204" s="247"/>
      <c r="D204" s="247"/>
      <c r="E204" s="247"/>
      <c r="F204" s="247"/>
      <c r="G204" s="247"/>
      <c r="H204" s="247"/>
      <c r="I204" s="247"/>
      <c r="J204" s="247"/>
      <c r="K204" s="247"/>
      <c r="L204" s="247"/>
      <c r="M204" s="247"/>
      <c r="N204" s="247"/>
      <c r="O204" s="247"/>
      <c r="P204" s="247"/>
      <c r="Q204" s="247"/>
      <c r="R204" s="247"/>
      <c r="S204" s="247"/>
      <c r="T204" s="247"/>
      <c r="U204" s="247"/>
    </row>
    <row r="205">
      <c r="A205" s="247"/>
      <c r="B205" s="247"/>
      <c r="C205" s="247"/>
      <c r="D205" s="247"/>
      <c r="E205" s="247"/>
      <c r="F205" s="247"/>
      <c r="G205" s="247"/>
      <c r="H205" s="247"/>
      <c r="I205" s="247"/>
      <c r="J205" s="247"/>
      <c r="K205" s="247"/>
      <c r="L205" s="247"/>
      <c r="M205" s="247"/>
      <c r="N205" s="247"/>
      <c r="O205" s="247"/>
      <c r="P205" s="247"/>
      <c r="Q205" s="247"/>
      <c r="R205" s="247"/>
      <c r="S205" s="247"/>
      <c r="T205" s="247"/>
      <c r="U205" s="247"/>
    </row>
    <row r="206">
      <c r="A206" s="247"/>
      <c r="B206" s="247"/>
      <c r="C206" s="247"/>
      <c r="D206" s="247"/>
      <c r="E206" s="247"/>
      <c r="F206" s="247"/>
      <c r="G206" s="247"/>
      <c r="H206" s="247"/>
      <c r="I206" s="247"/>
      <c r="J206" s="247"/>
      <c r="K206" s="247"/>
      <c r="L206" s="247"/>
      <c r="M206" s="247"/>
      <c r="N206" s="247"/>
      <c r="O206" s="247"/>
      <c r="P206" s="247"/>
      <c r="Q206" s="247"/>
      <c r="R206" s="247"/>
      <c r="S206" s="247"/>
      <c r="T206" s="247"/>
      <c r="U206" s="247"/>
    </row>
    <row r="207">
      <c r="A207" s="247"/>
      <c r="B207" s="247"/>
      <c r="C207" s="247"/>
      <c r="D207" s="247"/>
      <c r="E207" s="247"/>
      <c r="F207" s="247"/>
      <c r="G207" s="247"/>
      <c r="H207" s="247"/>
      <c r="I207" s="247"/>
      <c r="J207" s="247"/>
      <c r="K207" s="247"/>
      <c r="L207" s="247"/>
      <c r="M207" s="247"/>
      <c r="N207" s="247"/>
      <c r="O207" s="247"/>
      <c r="P207" s="247"/>
      <c r="Q207" s="247"/>
      <c r="R207" s="247"/>
      <c r="S207" s="247"/>
      <c r="T207" s="247"/>
      <c r="U207" s="247"/>
    </row>
    <row r="208">
      <c r="A208" s="247"/>
      <c r="B208" s="247"/>
      <c r="C208" s="247"/>
      <c r="D208" s="247"/>
      <c r="E208" s="247"/>
      <c r="F208" s="247"/>
      <c r="G208" s="247"/>
      <c r="H208" s="247"/>
      <c r="I208" s="247"/>
      <c r="J208" s="247"/>
      <c r="K208" s="247"/>
      <c r="L208" s="247"/>
      <c r="M208" s="247"/>
      <c r="N208" s="247"/>
      <c r="O208" s="247"/>
      <c r="P208" s="247"/>
      <c r="Q208" s="247"/>
      <c r="R208" s="247"/>
      <c r="S208" s="247"/>
      <c r="T208" s="247"/>
      <c r="U208" s="247"/>
    </row>
    <row r="209">
      <c r="A209" s="247"/>
      <c r="B209" s="247"/>
      <c r="C209" s="247"/>
      <c r="D209" s="247"/>
      <c r="E209" s="247"/>
      <c r="F209" s="247"/>
      <c r="G209" s="247"/>
      <c r="H209" s="247"/>
      <c r="I209" s="247"/>
      <c r="J209" s="247"/>
      <c r="K209" s="247"/>
      <c r="L209" s="247"/>
      <c r="M209" s="247"/>
      <c r="N209" s="247"/>
      <c r="O209" s="247"/>
      <c r="P209" s="247"/>
      <c r="Q209" s="247"/>
      <c r="R209" s="247"/>
      <c r="S209" s="247"/>
      <c r="T209" s="247"/>
      <c r="U209" s="247"/>
    </row>
    <row r="210">
      <c r="A210" s="247"/>
      <c r="B210" s="247"/>
      <c r="C210" s="247"/>
      <c r="D210" s="247"/>
      <c r="E210" s="247"/>
      <c r="F210" s="247"/>
      <c r="G210" s="247"/>
      <c r="H210" s="247"/>
      <c r="I210" s="247"/>
      <c r="J210" s="247"/>
      <c r="K210" s="247"/>
      <c r="L210" s="247"/>
      <c r="M210" s="247"/>
      <c r="N210" s="247"/>
      <c r="O210" s="247"/>
      <c r="P210" s="247"/>
      <c r="Q210" s="247"/>
      <c r="R210" s="247"/>
      <c r="S210" s="247"/>
      <c r="T210" s="247"/>
      <c r="U210" s="247"/>
    </row>
    <row r="211">
      <c r="A211" s="247"/>
      <c r="B211" s="247"/>
      <c r="C211" s="247"/>
      <c r="D211" s="247"/>
      <c r="E211" s="247"/>
      <c r="F211" s="247"/>
      <c r="G211" s="247"/>
      <c r="H211" s="247"/>
      <c r="I211" s="247"/>
      <c r="J211" s="247"/>
      <c r="K211" s="247"/>
      <c r="L211" s="247"/>
      <c r="M211" s="247"/>
      <c r="N211" s="247"/>
      <c r="O211" s="247"/>
      <c r="P211" s="247"/>
      <c r="Q211" s="247"/>
      <c r="R211" s="247"/>
      <c r="S211" s="247"/>
      <c r="T211" s="247"/>
      <c r="U211" s="247"/>
    </row>
    <row r="212">
      <c r="A212" s="247"/>
      <c r="B212" s="247"/>
      <c r="C212" s="247"/>
      <c r="D212" s="247"/>
      <c r="E212" s="247"/>
      <c r="F212" s="247"/>
      <c r="G212" s="247"/>
      <c r="H212" s="247"/>
      <c r="I212" s="247"/>
      <c r="J212" s="247"/>
      <c r="K212" s="247"/>
      <c r="L212" s="247"/>
      <c r="M212" s="247"/>
      <c r="N212" s="247"/>
      <c r="O212" s="247"/>
      <c r="P212" s="247"/>
      <c r="Q212" s="247"/>
      <c r="R212" s="247"/>
      <c r="S212" s="247"/>
      <c r="T212" s="247"/>
      <c r="U212" s="247"/>
    </row>
    <row r="213">
      <c r="A213" s="247"/>
      <c r="B213" s="247"/>
      <c r="C213" s="247"/>
      <c r="D213" s="247"/>
      <c r="E213" s="247"/>
      <c r="F213" s="247"/>
      <c r="G213" s="247"/>
      <c r="H213" s="247"/>
      <c r="I213" s="247"/>
      <c r="J213" s="247"/>
      <c r="K213" s="247"/>
      <c r="L213" s="247"/>
      <c r="M213" s="247"/>
      <c r="N213" s="247"/>
      <c r="O213" s="247"/>
      <c r="P213" s="247"/>
      <c r="Q213" s="247"/>
      <c r="R213" s="247"/>
      <c r="S213" s="247"/>
      <c r="T213" s="247"/>
      <c r="U213" s="247"/>
    </row>
    <row r="214">
      <c r="A214" s="247"/>
      <c r="B214" s="247"/>
      <c r="C214" s="247"/>
      <c r="D214" s="247"/>
      <c r="E214" s="247"/>
      <c r="F214" s="247"/>
      <c r="G214" s="247"/>
      <c r="H214" s="247"/>
      <c r="I214" s="247"/>
      <c r="J214" s="247"/>
      <c r="K214" s="247"/>
      <c r="L214" s="247"/>
      <c r="M214" s="247"/>
      <c r="N214" s="247"/>
      <c r="O214" s="247"/>
      <c r="P214" s="247"/>
      <c r="Q214" s="247"/>
      <c r="R214" s="247"/>
      <c r="S214" s="247"/>
      <c r="T214" s="247"/>
      <c r="U214" s="247"/>
    </row>
    <row r="215">
      <c r="A215" s="247"/>
      <c r="B215" s="247"/>
      <c r="C215" s="247"/>
      <c r="D215" s="247"/>
      <c r="E215" s="247"/>
      <c r="F215" s="247"/>
      <c r="G215" s="247"/>
      <c r="H215" s="247"/>
      <c r="I215" s="247"/>
      <c r="J215" s="247"/>
      <c r="K215" s="247"/>
      <c r="L215" s="247"/>
      <c r="M215" s="247"/>
      <c r="N215" s="247"/>
      <c r="O215" s="247"/>
      <c r="P215" s="247"/>
      <c r="Q215" s="247"/>
      <c r="R215" s="247"/>
      <c r="S215" s="247"/>
      <c r="T215" s="247"/>
      <c r="U215" s="247"/>
    </row>
    <row r="216">
      <c r="A216" s="247"/>
      <c r="B216" s="247"/>
      <c r="C216" s="247"/>
      <c r="D216" s="247"/>
      <c r="E216" s="247"/>
      <c r="F216" s="247"/>
      <c r="G216" s="247"/>
      <c r="H216" s="247"/>
      <c r="I216" s="247"/>
      <c r="J216" s="247"/>
      <c r="K216" s="247"/>
      <c r="L216" s="247"/>
      <c r="M216" s="247"/>
      <c r="N216" s="247"/>
      <c r="O216" s="247"/>
      <c r="P216" s="247"/>
      <c r="Q216" s="247"/>
      <c r="R216" s="247"/>
      <c r="S216" s="247"/>
      <c r="T216" s="247"/>
      <c r="U216" s="247"/>
    </row>
    <row r="217">
      <c r="A217" s="247"/>
      <c r="B217" s="247"/>
      <c r="C217" s="247"/>
      <c r="D217" s="247"/>
      <c r="E217" s="247"/>
      <c r="F217" s="247"/>
      <c r="G217" s="247"/>
      <c r="H217" s="247"/>
      <c r="I217" s="247"/>
      <c r="J217" s="247"/>
      <c r="K217" s="247"/>
      <c r="L217" s="247"/>
      <c r="M217" s="247"/>
      <c r="N217" s="247"/>
      <c r="O217" s="247"/>
      <c r="P217" s="247"/>
      <c r="Q217" s="247"/>
      <c r="R217" s="247"/>
      <c r="S217" s="247"/>
      <c r="T217" s="247"/>
      <c r="U217" s="247"/>
    </row>
    <row r="218">
      <c r="A218" s="247"/>
      <c r="B218" s="247"/>
      <c r="C218" s="247"/>
      <c r="D218" s="247"/>
      <c r="E218" s="247"/>
      <c r="F218" s="247"/>
      <c r="G218" s="247"/>
      <c r="H218" s="247"/>
      <c r="I218" s="247"/>
      <c r="J218" s="247"/>
      <c r="K218" s="247"/>
      <c r="L218" s="247"/>
      <c r="M218" s="247"/>
      <c r="N218" s="247"/>
      <c r="O218" s="247"/>
      <c r="P218" s="247"/>
      <c r="Q218" s="247"/>
      <c r="R218" s="247"/>
      <c r="S218" s="247"/>
      <c r="T218" s="247"/>
      <c r="U218" s="247"/>
    </row>
    <row r="219">
      <c r="A219" s="247"/>
      <c r="B219" s="247"/>
      <c r="C219" s="247"/>
      <c r="D219" s="247"/>
      <c r="E219" s="247"/>
      <c r="F219" s="247"/>
      <c r="G219" s="247"/>
      <c r="H219" s="247"/>
      <c r="I219" s="247"/>
      <c r="J219" s="247"/>
      <c r="K219" s="247"/>
      <c r="L219" s="247"/>
      <c r="M219" s="247"/>
      <c r="N219" s="247"/>
      <c r="O219" s="247"/>
      <c r="P219" s="247"/>
      <c r="Q219" s="247"/>
      <c r="R219" s="247"/>
      <c r="S219" s="247"/>
      <c r="T219" s="247"/>
      <c r="U219" s="247"/>
    </row>
    <row r="220">
      <c r="A220" s="247"/>
      <c r="B220" s="247"/>
      <c r="C220" s="247"/>
      <c r="D220" s="247"/>
      <c r="E220" s="247"/>
      <c r="F220" s="247"/>
      <c r="G220" s="247"/>
      <c r="H220" s="247"/>
      <c r="I220" s="247"/>
      <c r="J220" s="247"/>
      <c r="K220" s="247"/>
      <c r="L220" s="247"/>
      <c r="M220" s="247"/>
      <c r="N220" s="247"/>
      <c r="O220" s="247"/>
      <c r="P220" s="247"/>
      <c r="Q220" s="247"/>
      <c r="R220" s="247"/>
      <c r="S220" s="247"/>
      <c r="T220" s="247"/>
      <c r="U220" s="247"/>
    </row>
    <row r="221">
      <c r="A221" s="247"/>
      <c r="B221" s="247"/>
      <c r="C221" s="247"/>
      <c r="D221" s="247"/>
      <c r="E221" s="247"/>
      <c r="F221" s="247"/>
      <c r="G221" s="247"/>
      <c r="H221" s="247"/>
      <c r="I221" s="247"/>
      <c r="J221" s="247"/>
      <c r="K221" s="247"/>
      <c r="L221" s="247"/>
      <c r="M221" s="247"/>
      <c r="N221" s="247"/>
      <c r="O221" s="247"/>
      <c r="P221" s="247"/>
      <c r="Q221" s="247"/>
      <c r="R221" s="247"/>
      <c r="S221" s="247"/>
      <c r="T221" s="247"/>
      <c r="U221" s="247"/>
    </row>
    <row r="222">
      <c r="A222" s="247"/>
      <c r="B222" s="247"/>
      <c r="C222" s="247"/>
      <c r="D222" s="247"/>
      <c r="E222" s="247"/>
      <c r="F222" s="247"/>
      <c r="G222" s="247"/>
      <c r="H222" s="247"/>
      <c r="I222" s="247"/>
      <c r="J222" s="247"/>
      <c r="K222" s="247"/>
      <c r="L222" s="247"/>
      <c r="M222" s="247"/>
      <c r="N222" s="247"/>
      <c r="O222" s="247"/>
      <c r="P222" s="247"/>
      <c r="Q222" s="247"/>
      <c r="R222" s="247"/>
      <c r="S222" s="247"/>
      <c r="T222" s="247"/>
      <c r="U222" s="247"/>
    </row>
    <row r="223">
      <c r="A223" s="247"/>
      <c r="B223" s="247"/>
      <c r="C223" s="247"/>
      <c r="D223" s="247"/>
      <c r="E223" s="247"/>
      <c r="F223" s="247"/>
      <c r="G223" s="247"/>
      <c r="H223" s="247"/>
      <c r="I223" s="247"/>
      <c r="J223" s="247"/>
      <c r="K223" s="247"/>
      <c r="L223" s="247"/>
      <c r="M223" s="247"/>
      <c r="N223" s="247"/>
      <c r="O223" s="247"/>
      <c r="P223" s="247"/>
      <c r="Q223" s="247"/>
      <c r="R223" s="247"/>
      <c r="S223" s="247"/>
      <c r="T223" s="247"/>
      <c r="U223" s="247"/>
    </row>
    <row r="224">
      <c r="A224" s="247"/>
      <c r="B224" s="247"/>
      <c r="C224" s="247"/>
      <c r="D224" s="247"/>
      <c r="E224" s="247"/>
      <c r="F224" s="247"/>
      <c r="G224" s="247"/>
      <c r="H224" s="247"/>
      <c r="I224" s="247"/>
      <c r="J224" s="247"/>
      <c r="K224" s="247"/>
      <c r="L224" s="247"/>
      <c r="M224" s="247"/>
      <c r="N224" s="247"/>
      <c r="O224" s="247"/>
      <c r="P224" s="247"/>
      <c r="Q224" s="247"/>
      <c r="R224" s="247"/>
      <c r="S224" s="247"/>
      <c r="T224" s="247"/>
      <c r="U224" s="247"/>
    </row>
    <row r="225">
      <c r="A225" s="247"/>
      <c r="B225" s="247"/>
      <c r="C225" s="247"/>
      <c r="D225" s="247"/>
      <c r="E225" s="247"/>
      <c r="F225" s="247"/>
      <c r="G225" s="247"/>
      <c r="H225" s="247"/>
      <c r="I225" s="247"/>
      <c r="J225" s="247"/>
      <c r="K225" s="247"/>
      <c r="L225" s="247"/>
      <c r="M225" s="247"/>
      <c r="N225" s="247"/>
      <c r="O225" s="247"/>
      <c r="P225" s="247"/>
      <c r="Q225" s="247"/>
      <c r="R225" s="247"/>
      <c r="S225" s="247"/>
      <c r="T225" s="247"/>
      <c r="U225" s="247"/>
    </row>
    <row r="226">
      <c r="A226" s="247"/>
      <c r="B226" s="247"/>
      <c r="C226" s="247"/>
      <c r="D226" s="247"/>
      <c r="E226" s="247"/>
      <c r="F226" s="247"/>
      <c r="G226" s="247"/>
      <c r="H226" s="247"/>
      <c r="I226" s="247"/>
      <c r="J226" s="247"/>
      <c r="K226" s="247"/>
      <c r="L226" s="247"/>
      <c r="M226" s="247"/>
      <c r="N226" s="247"/>
      <c r="O226" s="247"/>
      <c r="P226" s="247"/>
      <c r="Q226" s="247"/>
      <c r="R226" s="247"/>
      <c r="S226" s="247"/>
      <c r="T226" s="247"/>
      <c r="U226" s="247"/>
    </row>
    <row r="227">
      <c r="A227" s="247"/>
      <c r="B227" s="247"/>
      <c r="C227" s="247"/>
      <c r="D227" s="247"/>
      <c r="E227" s="247"/>
      <c r="F227" s="247"/>
      <c r="G227" s="247"/>
      <c r="H227" s="247"/>
      <c r="I227" s="247"/>
      <c r="J227" s="247"/>
      <c r="K227" s="247"/>
      <c r="L227" s="247"/>
      <c r="M227" s="247"/>
      <c r="N227" s="247"/>
      <c r="O227" s="247"/>
      <c r="P227" s="247"/>
      <c r="Q227" s="247"/>
      <c r="R227" s="247"/>
      <c r="S227" s="247"/>
      <c r="T227" s="247"/>
      <c r="U227" s="247"/>
    </row>
    <row r="228">
      <c r="A228" s="247"/>
      <c r="B228" s="247"/>
      <c r="C228" s="247"/>
      <c r="D228" s="247"/>
      <c r="E228" s="247"/>
      <c r="F228" s="247"/>
      <c r="G228" s="247"/>
      <c r="H228" s="247"/>
      <c r="I228" s="247"/>
      <c r="J228" s="247"/>
      <c r="K228" s="247"/>
      <c r="L228" s="247"/>
      <c r="M228" s="247"/>
      <c r="N228" s="247"/>
      <c r="O228" s="247"/>
      <c r="P228" s="247"/>
      <c r="Q228" s="247"/>
      <c r="R228" s="247"/>
      <c r="S228" s="247"/>
      <c r="T228" s="247"/>
      <c r="U228" s="247"/>
    </row>
    <row r="229">
      <c r="A229" s="247"/>
      <c r="B229" s="247"/>
      <c r="C229" s="247"/>
      <c r="D229" s="247"/>
      <c r="E229" s="247"/>
      <c r="F229" s="247"/>
      <c r="G229" s="247"/>
      <c r="H229" s="247"/>
      <c r="I229" s="247"/>
      <c r="J229" s="247"/>
      <c r="K229" s="247"/>
      <c r="L229" s="247"/>
      <c r="M229" s="247"/>
      <c r="N229" s="247"/>
      <c r="O229" s="247"/>
      <c r="P229" s="247"/>
      <c r="Q229" s="247"/>
      <c r="R229" s="247"/>
      <c r="S229" s="247"/>
      <c r="T229" s="247"/>
      <c r="U229" s="247"/>
    </row>
    <row r="230">
      <c r="A230" s="247"/>
      <c r="B230" s="247"/>
      <c r="C230" s="247"/>
      <c r="D230" s="247"/>
      <c r="E230" s="247"/>
      <c r="F230" s="247"/>
      <c r="G230" s="247"/>
      <c r="H230" s="247"/>
      <c r="I230" s="247"/>
      <c r="J230" s="247"/>
      <c r="K230" s="247"/>
      <c r="L230" s="247"/>
      <c r="M230" s="247"/>
      <c r="N230" s="247"/>
      <c r="O230" s="247"/>
      <c r="P230" s="247"/>
      <c r="Q230" s="247"/>
      <c r="R230" s="247"/>
      <c r="S230" s="247"/>
      <c r="T230" s="247"/>
      <c r="U230" s="247"/>
    </row>
    <row r="231">
      <c r="A231" s="247"/>
      <c r="B231" s="247"/>
      <c r="C231" s="247"/>
      <c r="D231" s="247"/>
      <c r="E231" s="247"/>
      <c r="F231" s="247"/>
      <c r="G231" s="247"/>
      <c r="H231" s="247"/>
      <c r="I231" s="247"/>
      <c r="J231" s="247"/>
      <c r="K231" s="247"/>
      <c r="L231" s="247"/>
      <c r="M231" s="247"/>
      <c r="N231" s="247"/>
      <c r="O231" s="247"/>
      <c r="P231" s="247"/>
      <c r="Q231" s="247"/>
      <c r="R231" s="247"/>
      <c r="S231" s="247"/>
      <c r="T231" s="247"/>
      <c r="U231" s="247"/>
    </row>
    <row r="232">
      <c r="A232" s="247"/>
      <c r="B232" s="247"/>
      <c r="C232" s="247"/>
      <c r="D232" s="247"/>
      <c r="E232" s="247"/>
      <c r="F232" s="247"/>
      <c r="G232" s="247"/>
      <c r="H232" s="247"/>
      <c r="I232" s="247"/>
      <c r="J232" s="247"/>
      <c r="K232" s="247"/>
      <c r="L232" s="247"/>
      <c r="M232" s="247"/>
      <c r="N232" s="247"/>
      <c r="O232" s="247"/>
      <c r="P232" s="247"/>
      <c r="Q232" s="247"/>
      <c r="R232" s="247"/>
      <c r="S232" s="247"/>
      <c r="T232" s="247"/>
      <c r="U232" s="247"/>
    </row>
    <row r="233">
      <c r="A233" s="247"/>
      <c r="B233" s="247"/>
      <c r="C233" s="247"/>
      <c r="D233" s="247"/>
      <c r="E233" s="247"/>
      <c r="F233" s="247"/>
      <c r="G233" s="247"/>
      <c r="H233" s="247"/>
      <c r="I233" s="247"/>
      <c r="J233" s="247"/>
      <c r="K233" s="247"/>
      <c r="L233" s="247"/>
      <c r="M233" s="247"/>
      <c r="N233" s="247"/>
      <c r="O233" s="247"/>
      <c r="P233" s="247"/>
      <c r="Q233" s="247"/>
      <c r="R233" s="247"/>
      <c r="S233" s="247"/>
      <c r="T233" s="247"/>
      <c r="U233" s="247"/>
    </row>
    <row r="234">
      <c r="A234" s="247"/>
      <c r="B234" s="247"/>
      <c r="C234" s="247"/>
      <c r="D234" s="247"/>
      <c r="E234" s="247"/>
      <c r="F234" s="247"/>
      <c r="G234" s="247"/>
      <c r="H234" s="247"/>
      <c r="I234" s="247"/>
      <c r="J234" s="247"/>
      <c r="K234" s="247"/>
      <c r="L234" s="247"/>
      <c r="M234" s="247"/>
      <c r="N234" s="247"/>
      <c r="O234" s="247"/>
      <c r="P234" s="247"/>
      <c r="Q234" s="247"/>
      <c r="R234" s="247"/>
      <c r="S234" s="247"/>
      <c r="T234" s="247"/>
      <c r="U234" s="247"/>
    </row>
    <row r="235">
      <c r="A235" s="247"/>
      <c r="B235" s="247"/>
      <c r="C235" s="247"/>
      <c r="D235" s="247"/>
      <c r="E235" s="247"/>
      <c r="F235" s="247"/>
      <c r="G235" s="247"/>
      <c r="H235" s="247"/>
      <c r="I235" s="247"/>
      <c r="J235" s="247"/>
      <c r="K235" s="247"/>
      <c r="L235" s="247"/>
      <c r="M235" s="247"/>
      <c r="N235" s="247"/>
      <c r="O235" s="247"/>
      <c r="P235" s="247"/>
      <c r="Q235" s="247"/>
      <c r="R235" s="247"/>
      <c r="S235" s="247"/>
      <c r="T235" s="247"/>
      <c r="U235" s="247"/>
    </row>
    <row r="236">
      <c r="A236" s="247"/>
      <c r="B236" s="247"/>
      <c r="C236" s="247"/>
      <c r="D236" s="247"/>
      <c r="E236" s="247"/>
      <c r="F236" s="247"/>
      <c r="G236" s="247"/>
      <c r="H236" s="247"/>
      <c r="I236" s="247"/>
      <c r="J236" s="247"/>
      <c r="K236" s="247"/>
      <c r="L236" s="247"/>
      <c r="M236" s="247"/>
      <c r="N236" s="247"/>
      <c r="O236" s="247"/>
      <c r="P236" s="247"/>
      <c r="Q236" s="247"/>
      <c r="R236" s="247"/>
      <c r="S236" s="247"/>
      <c r="T236" s="247"/>
      <c r="U236" s="247"/>
    </row>
    <row r="237">
      <c r="A237" s="247"/>
      <c r="B237" s="247"/>
      <c r="C237" s="247"/>
      <c r="D237" s="247"/>
      <c r="E237" s="247"/>
      <c r="F237" s="247"/>
      <c r="G237" s="247"/>
      <c r="H237" s="247"/>
      <c r="I237" s="247"/>
      <c r="J237" s="247"/>
      <c r="K237" s="247"/>
      <c r="L237" s="247"/>
      <c r="M237" s="247"/>
      <c r="N237" s="247"/>
      <c r="O237" s="247"/>
      <c r="P237" s="247"/>
      <c r="Q237" s="247"/>
      <c r="R237" s="247"/>
      <c r="S237" s="247"/>
      <c r="T237" s="247"/>
      <c r="U237" s="247"/>
    </row>
    <row r="238">
      <c r="A238" s="247"/>
      <c r="B238" s="247"/>
      <c r="C238" s="247"/>
      <c r="D238" s="247"/>
      <c r="E238" s="247"/>
      <c r="F238" s="247"/>
      <c r="G238" s="247"/>
      <c r="H238" s="247"/>
      <c r="I238" s="247"/>
      <c r="J238" s="247"/>
      <c r="K238" s="247"/>
      <c r="L238" s="247"/>
      <c r="M238" s="247"/>
      <c r="N238" s="247"/>
      <c r="O238" s="247"/>
      <c r="P238" s="247"/>
      <c r="Q238" s="247"/>
      <c r="R238" s="247"/>
      <c r="S238" s="247"/>
      <c r="T238" s="247"/>
      <c r="U238" s="247"/>
    </row>
    <row r="239">
      <c r="A239" s="247"/>
      <c r="B239" s="247"/>
      <c r="C239" s="247"/>
      <c r="D239" s="247"/>
      <c r="E239" s="247"/>
      <c r="F239" s="247"/>
      <c r="G239" s="247"/>
      <c r="H239" s="247"/>
      <c r="I239" s="247"/>
      <c r="J239" s="247"/>
      <c r="K239" s="247"/>
      <c r="L239" s="247"/>
      <c r="M239" s="247"/>
      <c r="N239" s="247"/>
      <c r="O239" s="247"/>
      <c r="P239" s="247"/>
      <c r="Q239" s="247"/>
      <c r="R239" s="247"/>
      <c r="S239" s="247"/>
      <c r="T239" s="247"/>
      <c r="U239" s="247"/>
    </row>
    <row r="240">
      <c r="A240" s="247"/>
      <c r="B240" s="247"/>
      <c r="C240" s="247"/>
      <c r="D240" s="247"/>
      <c r="E240" s="247"/>
      <c r="F240" s="247"/>
      <c r="G240" s="247"/>
      <c r="H240" s="247"/>
      <c r="I240" s="247"/>
      <c r="J240" s="247"/>
      <c r="K240" s="247"/>
      <c r="L240" s="247"/>
      <c r="M240" s="247"/>
      <c r="N240" s="247"/>
      <c r="O240" s="247"/>
      <c r="P240" s="247"/>
      <c r="Q240" s="247"/>
      <c r="R240" s="247"/>
      <c r="S240" s="247"/>
      <c r="T240" s="247"/>
      <c r="U240" s="247"/>
    </row>
    <row r="241">
      <c r="A241" s="247"/>
      <c r="B241" s="247"/>
      <c r="C241" s="247"/>
      <c r="D241" s="247"/>
      <c r="E241" s="247"/>
      <c r="F241" s="247"/>
      <c r="G241" s="247"/>
      <c r="H241" s="247"/>
      <c r="I241" s="247"/>
      <c r="J241" s="247"/>
      <c r="K241" s="247"/>
      <c r="L241" s="247"/>
      <c r="M241" s="247"/>
      <c r="N241" s="247"/>
      <c r="O241" s="247"/>
      <c r="P241" s="247"/>
      <c r="Q241" s="247"/>
      <c r="R241" s="247"/>
      <c r="S241" s="247"/>
      <c r="T241" s="247"/>
      <c r="U241" s="247"/>
    </row>
    <row r="242">
      <c r="A242" s="247"/>
      <c r="B242" s="247"/>
      <c r="C242" s="247"/>
      <c r="D242" s="247"/>
      <c r="E242" s="247"/>
      <c r="F242" s="247"/>
      <c r="G242" s="247"/>
      <c r="H242" s="247"/>
      <c r="I242" s="247"/>
      <c r="J242" s="247"/>
      <c r="K242" s="247"/>
      <c r="L242" s="247"/>
      <c r="M242" s="247"/>
      <c r="N242" s="247"/>
      <c r="O242" s="247"/>
      <c r="P242" s="247"/>
      <c r="Q242" s="247"/>
      <c r="R242" s="247"/>
      <c r="S242" s="247"/>
      <c r="T242" s="247"/>
      <c r="U242" s="247"/>
    </row>
    <row r="243">
      <c r="A243" s="247"/>
      <c r="B243" s="247"/>
      <c r="C243" s="247"/>
      <c r="D243" s="247"/>
      <c r="E243" s="247"/>
      <c r="F243" s="247"/>
      <c r="G243" s="247"/>
      <c r="H243" s="247"/>
      <c r="I243" s="247"/>
      <c r="J243" s="247"/>
      <c r="K243" s="247"/>
      <c r="L243" s="247"/>
      <c r="M243" s="247"/>
      <c r="N243" s="247"/>
      <c r="O243" s="247"/>
      <c r="P243" s="247"/>
      <c r="Q243" s="247"/>
      <c r="R243" s="247"/>
      <c r="S243" s="247"/>
      <c r="T243" s="247"/>
      <c r="U243" s="247"/>
    </row>
    <row r="244">
      <c r="A244" s="247"/>
      <c r="B244" s="247"/>
      <c r="C244" s="247"/>
      <c r="D244" s="247"/>
      <c r="E244" s="247"/>
      <c r="F244" s="247"/>
      <c r="G244" s="247"/>
      <c r="H244" s="247"/>
      <c r="I244" s="247"/>
      <c r="J244" s="247"/>
      <c r="K244" s="247"/>
      <c r="L244" s="247"/>
      <c r="M244" s="247"/>
      <c r="N244" s="247"/>
      <c r="O244" s="247"/>
      <c r="P244" s="247"/>
      <c r="Q244" s="247"/>
      <c r="R244" s="247"/>
      <c r="S244" s="247"/>
      <c r="T244" s="247"/>
      <c r="U244" s="247"/>
    </row>
    <row r="245">
      <c r="A245" s="247"/>
      <c r="B245" s="247"/>
      <c r="C245" s="247"/>
      <c r="D245" s="247"/>
      <c r="E245" s="247"/>
      <c r="F245" s="247"/>
      <c r="G245" s="247"/>
      <c r="H245" s="247"/>
      <c r="I245" s="247"/>
      <c r="J245" s="247"/>
      <c r="K245" s="247"/>
      <c r="L245" s="247"/>
      <c r="M245" s="247"/>
      <c r="N245" s="247"/>
      <c r="O245" s="247"/>
      <c r="P245" s="247"/>
      <c r="Q245" s="247"/>
      <c r="R245" s="247"/>
      <c r="S245" s="247"/>
      <c r="T245" s="247"/>
      <c r="U245" s="247"/>
    </row>
    <row r="246">
      <c r="A246" s="247"/>
      <c r="B246" s="247"/>
      <c r="C246" s="247"/>
      <c r="D246" s="247"/>
      <c r="E246" s="247"/>
      <c r="F246" s="247"/>
      <c r="G246" s="247"/>
      <c r="H246" s="247"/>
      <c r="I246" s="247"/>
      <c r="J246" s="247"/>
      <c r="K246" s="247"/>
      <c r="L246" s="247"/>
      <c r="M246" s="247"/>
      <c r="N246" s="247"/>
      <c r="O246" s="247"/>
      <c r="P246" s="247"/>
      <c r="Q246" s="247"/>
      <c r="R246" s="247"/>
      <c r="S246" s="247"/>
      <c r="T246" s="247"/>
      <c r="U246" s="247"/>
    </row>
    <row r="247">
      <c r="A247" s="247"/>
      <c r="B247" s="247"/>
      <c r="C247" s="247"/>
      <c r="D247" s="247"/>
      <c r="E247" s="247"/>
      <c r="F247" s="247"/>
      <c r="G247" s="247"/>
      <c r="H247" s="247"/>
      <c r="I247" s="247"/>
      <c r="J247" s="247"/>
      <c r="K247" s="247"/>
      <c r="L247" s="247"/>
      <c r="M247" s="247"/>
      <c r="N247" s="247"/>
      <c r="O247" s="247"/>
      <c r="P247" s="247"/>
      <c r="Q247" s="247"/>
      <c r="R247" s="247"/>
      <c r="S247" s="247"/>
      <c r="T247" s="247"/>
      <c r="U247" s="247"/>
    </row>
    <row r="248">
      <c r="A248" s="247"/>
      <c r="B248" s="247"/>
      <c r="C248" s="247"/>
      <c r="D248" s="247"/>
      <c r="E248" s="247"/>
      <c r="F248" s="247"/>
      <c r="G248" s="247"/>
      <c r="H248" s="247"/>
      <c r="I248" s="247"/>
      <c r="J248" s="247"/>
      <c r="K248" s="247"/>
      <c r="L248" s="247"/>
      <c r="M248" s="247"/>
      <c r="N248" s="247"/>
      <c r="O248" s="247"/>
      <c r="P248" s="247"/>
      <c r="Q248" s="247"/>
      <c r="R248" s="247"/>
      <c r="S248" s="247"/>
      <c r="T248" s="247"/>
      <c r="U248" s="247"/>
    </row>
    <row r="249">
      <c r="A249" s="247"/>
      <c r="B249" s="247"/>
      <c r="C249" s="247"/>
      <c r="D249" s="247"/>
      <c r="E249" s="247"/>
      <c r="F249" s="247"/>
      <c r="G249" s="247"/>
      <c r="H249" s="247"/>
      <c r="I249" s="247"/>
      <c r="J249" s="247"/>
      <c r="K249" s="247"/>
      <c r="L249" s="247"/>
      <c r="M249" s="247"/>
      <c r="N249" s="247"/>
      <c r="O249" s="247"/>
      <c r="P249" s="247"/>
      <c r="Q249" s="247"/>
      <c r="R249" s="247"/>
      <c r="S249" s="247"/>
      <c r="T249" s="247"/>
      <c r="U249" s="247"/>
    </row>
    <row r="250">
      <c r="A250" s="247"/>
      <c r="B250" s="247"/>
      <c r="C250" s="247"/>
      <c r="D250" s="247"/>
      <c r="E250" s="247"/>
      <c r="F250" s="247"/>
      <c r="G250" s="247"/>
      <c r="H250" s="247"/>
      <c r="I250" s="247"/>
      <c r="J250" s="247"/>
      <c r="K250" s="247"/>
      <c r="L250" s="247"/>
      <c r="M250" s="247"/>
      <c r="N250" s="247"/>
      <c r="O250" s="247"/>
      <c r="P250" s="247"/>
      <c r="Q250" s="247"/>
      <c r="R250" s="247"/>
      <c r="S250" s="247"/>
      <c r="T250" s="247"/>
      <c r="U250" s="247"/>
    </row>
    <row r="251">
      <c r="A251" s="247"/>
      <c r="B251" s="247"/>
      <c r="C251" s="247"/>
      <c r="D251" s="247"/>
      <c r="E251" s="247"/>
      <c r="F251" s="247"/>
      <c r="G251" s="247"/>
      <c r="H251" s="247"/>
      <c r="I251" s="247"/>
      <c r="J251" s="247"/>
      <c r="K251" s="247"/>
      <c r="L251" s="247"/>
      <c r="M251" s="247"/>
      <c r="N251" s="247"/>
      <c r="O251" s="247"/>
      <c r="P251" s="247"/>
      <c r="Q251" s="247"/>
      <c r="R251" s="247"/>
      <c r="S251" s="247"/>
      <c r="T251" s="247"/>
      <c r="U251" s="247"/>
    </row>
    <row r="252">
      <c r="A252" s="247"/>
      <c r="B252" s="247"/>
      <c r="C252" s="247"/>
      <c r="D252" s="247"/>
      <c r="E252" s="247"/>
      <c r="F252" s="247"/>
      <c r="G252" s="247"/>
      <c r="H252" s="247"/>
      <c r="I252" s="247"/>
      <c r="J252" s="247"/>
      <c r="K252" s="247"/>
      <c r="L252" s="247"/>
      <c r="M252" s="247"/>
      <c r="N252" s="247"/>
      <c r="O252" s="247"/>
      <c r="P252" s="247"/>
      <c r="Q252" s="247"/>
      <c r="R252" s="247"/>
      <c r="S252" s="247"/>
      <c r="T252" s="247"/>
      <c r="U252" s="247"/>
    </row>
    <row r="253">
      <c r="A253" s="247"/>
      <c r="B253" s="247"/>
      <c r="C253" s="247"/>
      <c r="D253" s="247"/>
      <c r="E253" s="247"/>
      <c r="F253" s="247"/>
      <c r="G253" s="247"/>
      <c r="H253" s="247"/>
      <c r="I253" s="247"/>
      <c r="J253" s="247"/>
      <c r="K253" s="247"/>
      <c r="L253" s="247"/>
      <c r="M253" s="247"/>
      <c r="N253" s="247"/>
      <c r="O253" s="247"/>
      <c r="P253" s="247"/>
      <c r="Q253" s="247"/>
      <c r="R253" s="247"/>
      <c r="S253" s="247"/>
      <c r="T253" s="247"/>
      <c r="U253" s="247"/>
    </row>
    <row r="254">
      <c r="A254" s="247"/>
      <c r="B254" s="247"/>
      <c r="C254" s="247"/>
      <c r="D254" s="247"/>
      <c r="E254" s="247"/>
      <c r="F254" s="247"/>
      <c r="G254" s="247"/>
      <c r="H254" s="247"/>
      <c r="I254" s="247"/>
      <c r="J254" s="247"/>
      <c r="K254" s="247"/>
      <c r="L254" s="247"/>
      <c r="M254" s="247"/>
      <c r="N254" s="247"/>
      <c r="O254" s="247"/>
      <c r="P254" s="247"/>
      <c r="Q254" s="247"/>
      <c r="R254" s="247"/>
      <c r="S254" s="247"/>
      <c r="T254" s="247"/>
      <c r="U254" s="247"/>
    </row>
    <row r="255">
      <c r="A255" s="247"/>
      <c r="B255" s="247"/>
      <c r="C255" s="247"/>
      <c r="D255" s="247"/>
      <c r="E255" s="247"/>
      <c r="F255" s="247"/>
      <c r="G255" s="247"/>
      <c r="H255" s="247"/>
      <c r="I255" s="247"/>
      <c r="J255" s="247"/>
      <c r="K255" s="247"/>
      <c r="L255" s="247"/>
      <c r="M255" s="247"/>
      <c r="N255" s="247"/>
      <c r="O255" s="247"/>
      <c r="P255" s="247"/>
      <c r="Q255" s="247"/>
      <c r="R255" s="247"/>
      <c r="S255" s="247"/>
      <c r="T255" s="247"/>
      <c r="U255" s="247"/>
    </row>
    <row r="256">
      <c r="A256" s="247"/>
      <c r="B256" s="247"/>
      <c r="C256" s="247"/>
      <c r="D256" s="247"/>
      <c r="E256" s="247"/>
      <c r="F256" s="247"/>
      <c r="G256" s="247"/>
      <c r="H256" s="247"/>
      <c r="I256" s="247"/>
      <c r="J256" s="247"/>
      <c r="K256" s="247"/>
      <c r="L256" s="247"/>
      <c r="M256" s="247"/>
      <c r="N256" s="247"/>
      <c r="O256" s="247"/>
      <c r="P256" s="247"/>
      <c r="Q256" s="247"/>
      <c r="R256" s="247"/>
      <c r="S256" s="247"/>
      <c r="T256" s="247"/>
      <c r="U256" s="247"/>
    </row>
    <row r="257">
      <c r="A257" s="247"/>
      <c r="B257" s="247"/>
      <c r="C257" s="247"/>
      <c r="D257" s="247"/>
      <c r="E257" s="247"/>
      <c r="F257" s="247"/>
      <c r="G257" s="247"/>
      <c r="H257" s="247"/>
      <c r="I257" s="247"/>
      <c r="J257" s="247"/>
      <c r="K257" s="247"/>
      <c r="L257" s="247"/>
      <c r="M257" s="247"/>
      <c r="N257" s="247"/>
      <c r="O257" s="247"/>
      <c r="P257" s="247"/>
      <c r="Q257" s="247"/>
      <c r="R257" s="247"/>
      <c r="S257" s="247"/>
      <c r="T257" s="247"/>
      <c r="U257" s="247"/>
    </row>
    <row r="258">
      <c r="A258" s="247"/>
      <c r="B258" s="247"/>
      <c r="C258" s="247"/>
      <c r="D258" s="247"/>
      <c r="E258" s="247"/>
      <c r="F258" s="247"/>
      <c r="G258" s="247"/>
      <c r="H258" s="247"/>
      <c r="I258" s="247"/>
      <c r="J258" s="247"/>
      <c r="K258" s="247"/>
      <c r="L258" s="247"/>
      <c r="M258" s="247"/>
      <c r="N258" s="247"/>
      <c r="O258" s="247"/>
      <c r="P258" s="247"/>
      <c r="Q258" s="247"/>
      <c r="R258" s="247"/>
      <c r="S258" s="247"/>
      <c r="T258" s="247"/>
      <c r="U258" s="247"/>
    </row>
    <row r="259">
      <c r="A259" s="247"/>
      <c r="B259" s="247"/>
      <c r="C259" s="247"/>
      <c r="D259" s="247"/>
      <c r="E259" s="247"/>
      <c r="F259" s="247"/>
      <c r="G259" s="247"/>
      <c r="H259" s="247"/>
      <c r="I259" s="247"/>
      <c r="J259" s="247"/>
      <c r="K259" s="247"/>
      <c r="L259" s="247"/>
      <c r="M259" s="247"/>
      <c r="N259" s="247"/>
      <c r="O259" s="247"/>
      <c r="P259" s="247"/>
      <c r="Q259" s="247"/>
      <c r="R259" s="247"/>
      <c r="S259" s="247"/>
      <c r="T259" s="247"/>
      <c r="U259" s="247"/>
    </row>
    <row r="260">
      <c r="A260" s="247"/>
      <c r="B260" s="247"/>
      <c r="C260" s="247"/>
      <c r="D260" s="247"/>
      <c r="E260" s="247"/>
      <c r="F260" s="247"/>
      <c r="G260" s="247"/>
      <c r="H260" s="247"/>
      <c r="I260" s="247"/>
      <c r="J260" s="247"/>
      <c r="K260" s="247"/>
      <c r="L260" s="247"/>
      <c r="M260" s="247"/>
      <c r="N260" s="247"/>
      <c r="O260" s="247"/>
      <c r="P260" s="247"/>
      <c r="Q260" s="247"/>
      <c r="R260" s="247"/>
      <c r="S260" s="247"/>
      <c r="T260" s="247"/>
      <c r="U260" s="247"/>
    </row>
    <row r="261">
      <c r="A261" s="247"/>
      <c r="B261" s="247"/>
      <c r="C261" s="247"/>
      <c r="D261" s="247"/>
      <c r="E261" s="247"/>
      <c r="F261" s="247"/>
      <c r="G261" s="247"/>
      <c r="H261" s="247"/>
      <c r="I261" s="247"/>
      <c r="J261" s="247"/>
      <c r="K261" s="247"/>
      <c r="L261" s="247"/>
      <c r="M261" s="247"/>
      <c r="N261" s="247"/>
      <c r="O261" s="247"/>
      <c r="P261" s="247"/>
      <c r="Q261" s="247"/>
      <c r="R261" s="247"/>
      <c r="S261" s="247"/>
      <c r="T261" s="247"/>
      <c r="U261" s="247"/>
    </row>
    <row r="262">
      <c r="A262" s="247"/>
      <c r="B262" s="247"/>
      <c r="C262" s="247"/>
      <c r="D262" s="247"/>
      <c r="E262" s="247"/>
      <c r="F262" s="247"/>
      <c r="G262" s="247"/>
      <c r="H262" s="247"/>
      <c r="I262" s="247"/>
      <c r="J262" s="247"/>
      <c r="K262" s="247"/>
      <c r="L262" s="247"/>
      <c r="M262" s="247"/>
      <c r="N262" s="247"/>
      <c r="O262" s="247"/>
      <c r="P262" s="247"/>
      <c r="Q262" s="247"/>
      <c r="R262" s="247"/>
      <c r="S262" s="247"/>
      <c r="T262" s="247"/>
      <c r="U262" s="247"/>
    </row>
    <row r="263">
      <c r="A263" s="247"/>
      <c r="B263" s="247"/>
      <c r="C263" s="247"/>
      <c r="D263" s="247"/>
      <c r="E263" s="247"/>
      <c r="F263" s="247"/>
      <c r="G263" s="247"/>
      <c r="H263" s="247"/>
      <c r="I263" s="247"/>
      <c r="J263" s="247"/>
      <c r="K263" s="247"/>
      <c r="L263" s="247"/>
      <c r="M263" s="247"/>
      <c r="N263" s="247"/>
      <c r="O263" s="247"/>
      <c r="P263" s="247"/>
      <c r="Q263" s="247"/>
      <c r="R263" s="247"/>
      <c r="S263" s="247"/>
      <c r="T263" s="247"/>
      <c r="U263" s="247"/>
    </row>
    <row r="264">
      <c r="A264" s="247"/>
      <c r="B264" s="247"/>
      <c r="C264" s="247"/>
      <c r="D264" s="247"/>
      <c r="E264" s="247"/>
      <c r="F264" s="247"/>
      <c r="G264" s="247"/>
      <c r="H264" s="247"/>
      <c r="I264" s="247"/>
      <c r="J264" s="247"/>
      <c r="K264" s="247"/>
      <c r="L264" s="247"/>
      <c r="M264" s="247"/>
      <c r="N264" s="247"/>
      <c r="O264" s="247"/>
      <c r="P264" s="247"/>
      <c r="Q264" s="247"/>
      <c r="R264" s="247"/>
      <c r="S264" s="247"/>
      <c r="T264" s="247"/>
      <c r="U264" s="247"/>
    </row>
    <row r="265">
      <c r="A265" s="247"/>
      <c r="B265" s="247"/>
      <c r="C265" s="247"/>
      <c r="D265" s="247"/>
      <c r="E265" s="247"/>
      <c r="F265" s="247"/>
      <c r="G265" s="247"/>
      <c r="H265" s="247"/>
      <c r="I265" s="247"/>
      <c r="J265" s="247"/>
      <c r="K265" s="247"/>
      <c r="L265" s="247"/>
      <c r="M265" s="247"/>
      <c r="N265" s="247"/>
      <c r="O265" s="247"/>
      <c r="P265" s="247"/>
      <c r="Q265" s="247"/>
      <c r="R265" s="247"/>
      <c r="S265" s="247"/>
      <c r="T265" s="247"/>
      <c r="U265" s="247"/>
    </row>
    <row r="266">
      <c r="A266" s="247"/>
      <c r="B266" s="247"/>
      <c r="C266" s="247"/>
      <c r="D266" s="247"/>
      <c r="E266" s="247"/>
      <c r="F266" s="247"/>
      <c r="G266" s="247"/>
      <c r="H266" s="247"/>
      <c r="I266" s="247"/>
      <c r="J266" s="247"/>
      <c r="K266" s="247"/>
      <c r="L266" s="247"/>
      <c r="M266" s="247"/>
      <c r="N266" s="247"/>
      <c r="O266" s="247"/>
      <c r="P266" s="247"/>
      <c r="Q266" s="247"/>
      <c r="R266" s="247"/>
      <c r="S266" s="247"/>
      <c r="T266" s="247"/>
      <c r="U266" s="247"/>
    </row>
    <row r="267">
      <c r="A267" s="247"/>
      <c r="B267" s="247"/>
      <c r="C267" s="247"/>
      <c r="D267" s="247"/>
      <c r="E267" s="247"/>
      <c r="F267" s="247"/>
      <c r="G267" s="247"/>
      <c r="H267" s="247"/>
      <c r="I267" s="247"/>
      <c r="J267" s="247"/>
      <c r="K267" s="247"/>
      <c r="L267" s="247"/>
      <c r="M267" s="247"/>
      <c r="N267" s="247"/>
      <c r="O267" s="247"/>
      <c r="P267" s="247"/>
      <c r="Q267" s="247"/>
      <c r="R267" s="247"/>
      <c r="S267" s="247"/>
      <c r="T267" s="247"/>
      <c r="U267" s="247"/>
    </row>
    <row r="268">
      <c r="A268" s="247"/>
      <c r="B268" s="247"/>
      <c r="C268" s="247"/>
      <c r="D268" s="247"/>
      <c r="E268" s="247"/>
      <c r="F268" s="247"/>
      <c r="G268" s="247"/>
      <c r="H268" s="247"/>
      <c r="I268" s="247"/>
      <c r="J268" s="247"/>
      <c r="K268" s="247"/>
      <c r="L268" s="247"/>
      <c r="M268" s="247"/>
      <c r="N268" s="247"/>
      <c r="O268" s="247"/>
      <c r="P268" s="247"/>
      <c r="Q268" s="247"/>
      <c r="R268" s="247"/>
      <c r="S268" s="247"/>
      <c r="T268" s="247"/>
      <c r="U268" s="247"/>
    </row>
    <row r="269">
      <c r="A269" s="247"/>
      <c r="B269" s="247"/>
      <c r="C269" s="247"/>
      <c r="D269" s="247"/>
      <c r="E269" s="247"/>
      <c r="F269" s="247"/>
      <c r="G269" s="247"/>
      <c r="H269" s="247"/>
      <c r="I269" s="247"/>
      <c r="J269" s="247"/>
      <c r="K269" s="247"/>
      <c r="L269" s="247"/>
      <c r="M269" s="247"/>
      <c r="N269" s="247"/>
      <c r="O269" s="247"/>
      <c r="P269" s="247"/>
      <c r="Q269" s="247"/>
      <c r="R269" s="247"/>
      <c r="S269" s="247"/>
      <c r="T269" s="247"/>
      <c r="U269" s="247"/>
    </row>
    <row r="270">
      <c r="A270" s="247"/>
      <c r="B270" s="247"/>
      <c r="C270" s="247"/>
      <c r="D270" s="247"/>
      <c r="E270" s="247"/>
      <c r="F270" s="247"/>
      <c r="G270" s="247"/>
      <c r="H270" s="247"/>
      <c r="I270" s="247"/>
      <c r="J270" s="247"/>
      <c r="K270" s="247"/>
      <c r="L270" s="247"/>
      <c r="M270" s="247"/>
      <c r="N270" s="247"/>
      <c r="O270" s="247"/>
      <c r="P270" s="247"/>
      <c r="Q270" s="247"/>
      <c r="R270" s="247"/>
      <c r="S270" s="247"/>
      <c r="T270" s="247"/>
      <c r="U270" s="247"/>
    </row>
    <row r="271">
      <c r="A271" s="247"/>
      <c r="B271" s="247"/>
      <c r="C271" s="247"/>
      <c r="D271" s="247"/>
      <c r="E271" s="247"/>
      <c r="F271" s="247"/>
      <c r="G271" s="247"/>
      <c r="H271" s="247"/>
      <c r="I271" s="247"/>
      <c r="J271" s="247"/>
      <c r="K271" s="247"/>
      <c r="L271" s="247"/>
      <c r="M271" s="247"/>
      <c r="N271" s="247"/>
      <c r="O271" s="247"/>
      <c r="P271" s="247"/>
      <c r="Q271" s="247"/>
      <c r="R271" s="247"/>
      <c r="S271" s="247"/>
      <c r="T271" s="247"/>
      <c r="U271" s="247"/>
    </row>
    <row r="272">
      <c r="A272" s="247"/>
      <c r="B272" s="247"/>
      <c r="C272" s="247"/>
      <c r="D272" s="247"/>
      <c r="E272" s="247"/>
      <c r="F272" s="247"/>
      <c r="G272" s="247"/>
      <c r="H272" s="247"/>
      <c r="I272" s="247"/>
      <c r="J272" s="247"/>
      <c r="K272" s="247"/>
      <c r="L272" s="247"/>
      <c r="M272" s="247"/>
      <c r="N272" s="247"/>
      <c r="O272" s="247"/>
      <c r="P272" s="247"/>
      <c r="Q272" s="247"/>
      <c r="R272" s="247"/>
      <c r="S272" s="247"/>
      <c r="T272" s="247"/>
      <c r="U272" s="247"/>
    </row>
    <row r="273">
      <c r="A273" s="247"/>
      <c r="B273" s="247"/>
      <c r="C273" s="247"/>
      <c r="D273" s="247"/>
      <c r="E273" s="247"/>
      <c r="F273" s="247"/>
      <c r="G273" s="247"/>
      <c r="H273" s="247"/>
      <c r="I273" s="247"/>
      <c r="J273" s="247"/>
      <c r="K273" s="247"/>
      <c r="L273" s="247"/>
      <c r="M273" s="247"/>
      <c r="N273" s="247"/>
      <c r="O273" s="247"/>
      <c r="P273" s="247"/>
      <c r="Q273" s="247"/>
      <c r="R273" s="247"/>
      <c r="S273" s="247"/>
      <c r="T273" s="247"/>
      <c r="U273" s="247"/>
    </row>
    <row r="274">
      <c r="A274" s="247"/>
      <c r="B274" s="247"/>
      <c r="C274" s="247"/>
      <c r="D274" s="247"/>
      <c r="E274" s="247"/>
      <c r="F274" s="247"/>
      <c r="G274" s="247"/>
      <c r="H274" s="247"/>
      <c r="I274" s="247"/>
      <c r="J274" s="247"/>
      <c r="K274" s="247"/>
      <c r="L274" s="247"/>
      <c r="M274" s="247"/>
      <c r="N274" s="247"/>
      <c r="O274" s="247"/>
      <c r="P274" s="247"/>
      <c r="Q274" s="247"/>
      <c r="R274" s="247"/>
      <c r="S274" s="247"/>
      <c r="T274" s="247"/>
      <c r="U274" s="247"/>
    </row>
    <row r="275">
      <c r="A275" s="247"/>
      <c r="B275" s="247"/>
      <c r="C275" s="247"/>
      <c r="D275" s="247"/>
      <c r="E275" s="247"/>
      <c r="F275" s="247"/>
      <c r="G275" s="247"/>
      <c r="H275" s="247"/>
      <c r="I275" s="247"/>
      <c r="J275" s="247"/>
      <c r="K275" s="247"/>
      <c r="L275" s="247"/>
      <c r="M275" s="247"/>
      <c r="N275" s="247"/>
      <c r="O275" s="247"/>
      <c r="P275" s="247"/>
      <c r="Q275" s="247"/>
      <c r="R275" s="247"/>
      <c r="S275" s="247"/>
      <c r="T275" s="247"/>
      <c r="U275" s="247"/>
    </row>
    <row r="276">
      <c r="A276" s="247"/>
      <c r="B276" s="247"/>
      <c r="C276" s="247"/>
      <c r="D276" s="247"/>
      <c r="E276" s="247"/>
      <c r="F276" s="247"/>
      <c r="G276" s="247"/>
      <c r="H276" s="247"/>
      <c r="I276" s="247"/>
      <c r="J276" s="247"/>
      <c r="K276" s="247"/>
      <c r="L276" s="247"/>
      <c r="M276" s="247"/>
      <c r="N276" s="247"/>
      <c r="O276" s="247"/>
      <c r="P276" s="247"/>
      <c r="Q276" s="247"/>
      <c r="R276" s="247"/>
      <c r="S276" s="247"/>
      <c r="T276" s="247"/>
      <c r="U276" s="247"/>
    </row>
    <row r="277">
      <c r="A277" s="247"/>
      <c r="B277" s="247"/>
      <c r="C277" s="247"/>
      <c r="D277" s="247"/>
      <c r="E277" s="247"/>
      <c r="F277" s="247"/>
      <c r="G277" s="247"/>
      <c r="H277" s="247"/>
      <c r="I277" s="247"/>
      <c r="J277" s="247"/>
      <c r="K277" s="247"/>
      <c r="L277" s="247"/>
      <c r="M277" s="247"/>
      <c r="N277" s="247"/>
      <c r="O277" s="247"/>
      <c r="P277" s="247"/>
      <c r="Q277" s="247"/>
      <c r="R277" s="247"/>
      <c r="S277" s="247"/>
      <c r="T277" s="247"/>
      <c r="U277" s="247"/>
    </row>
    <row r="278">
      <c r="A278" s="247"/>
      <c r="B278" s="247"/>
      <c r="C278" s="247"/>
      <c r="D278" s="247"/>
      <c r="E278" s="247"/>
      <c r="F278" s="247"/>
      <c r="G278" s="247"/>
      <c r="H278" s="247"/>
      <c r="I278" s="247"/>
      <c r="J278" s="247"/>
      <c r="K278" s="247"/>
      <c r="L278" s="247"/>
      <c r="M278" s="247"/>
      <c r="N278" s="247"/>
      <c r="O278" s="247"/>
      <c r="P278" s="247"/>
      <c r="Q278" s="247"/>
      <c r="R278" s="247"/>
      <c r="S278" s="247"/>
      <c r="T278" s="247"/>
      <c r="U278" s="247"/>
    </row>
    <row r="279">
      <c r="A279" s="247"/>
      <c r="B279" s="247"/>
      <c r="C279" s="247"/>
      <c r="D279" s="247"/>
      <c r="E279" s="247"/>
      <c r="F279" s="247"/>
      <c r="G279" s="247"/>
      <c r="H279" s="247"/>
      <c r="I279" s="247"/>
      <c r="J279" s="247"/>
      <c r="K279" s="247"/>
      <c r="L279" s="247"/>
      <c r="M279" s="247"/>
      <c r="N279" s="247"/>
      <c r="O279" s="247"/>
      <c r="P279" s="247"/>
      <c r="Q279" s="247"/>
      <c r="R279" s="247"/>
      <c r="S279" s="247"/>
      <c r="T279" s="247"/>
      <c r="U279" s="247"/>
    </row>
    <row r="280">
      <c r="A280" s="247"/>
      <c r="B280" s="247"/>
      <c r="C280" s="247"/>
      <c r="D280" s="247"/>
      <c r="E280" s="247"/>
      <c r="F280" s="247"/>
      <c r="G280" s="247"/>
      <c r="H280" s="247"/>
      <c r="I280" s="247"/>
      <c r="J280" s="247"/>
      <c r="K280" s="247"/>
      <c r="L280" s="247"/>
      <c r="M280" s="247"/>
      <c r="N280" s="247"/>
      <c r="O280" s="247"/>
      <c r="P280" s="247"/>
      <c r="Q280" s="247"/>
      <c r="R280" s="247"/>
      <c r="S280" s="247"/>
      <c r="T280" s="247"/>
      <c r="U280" s="247"/>
    </row>
    <row r="281">
      <c r="A281" s="247"/>
      <c r="B281" s="247"/>
      <c r="C281" s="247"/>
      <c r="D281" s="247"/>
      <c r="E281" s="247"/>
      <c r="F281" s="247"/>
      <c r="G281" s="247"/>
      <c r="H281" s="247"/>
      <c r="I281" s="247"/>
      <c r="J281" s="247"/>
      <c r="K281" s="247"/>
      <c r="L281" s="247"/>
      <c r="M281" s="247"/>
      <c r="N281" s="247"/>
      <c r="O281" s="247"/>
      <c r="P281" s="247"/>
      <c r="Q281" s="247"/>
      <c r="R281" s="247"/>
      <c r="S281" s="247"/>
      <c r="T281" s="247"/>
      <c r="U281" s="247"/>
    </row>
    <row r="282">
      <c r="A282" s="247"/>
      <c r="B282" s="247"/>
      <c r="C282" s="247"/>
      <c r="D282" s="247"/>
      <c r="E282" s="247"/>
      <c r="F282" s="247"/>
      <c r="G282" s="247"/>
      <c r="H282" s="247"/>
      <c r="I282" s="247"/>
      <c r="J282" s="247"/>
      <c r="K282" s="247"/>
      <c r="L282" s="247"/>
      <c r="M282" s="247"/>
      <c r="N282" s="247"/>
      <c r="O282" s="247"/>
      <c r="P282" s="247"/>
      <c r="Q282" s="247"/>
      <c r="R282" s="247"/>
      <c r="S282" s="247"/>
      <c r="T282" s="247"/>
      <c r="U282" s="247"/>
    </row>
    <row r="283">
      <c r="A283" s="247"/>
      <c r="B283" s="247"/>
      <c r="C283" s="247"/>
      <c r="D283" s="247"/>
      <c r="E283" s="247"/>
      <c r="F283" s="247"/>
      <c r="G283" s="247"/>
      <c r="H283" s="247"/>
      <c r="I283" s="247"/>
      <c r="J283" s="247"/>
      <c r="K283" s="247"/>
      <c r="L283" s="247"/>
      <c r="M283" s="247"/>
      <c r="N283" s="247"/>
      <c r="O283" s="247"/>
      <c r="P283" s="247"/>
      <c r="Q283" s="247"/>
      <c r="R283" s="247"/>
      <c r="S283" s="247"/>
      <c r="T283" s="247"/>
      <c r="U283" s="247"/>
    </row>
    <row r="284">
      <c r="A284" s="247"/>
      <c r="B284" s="247"/>
      <c r="C284" s="247"/>
      <c r="D284" s="247"/>
      <c r="E284" s="247"/>
      <c r="F284" s="247"/>
      <c r="G284" s="247"/>
      <c r="H284" s="247"/>
      <c r="I284" s="247"/>
      <c r="J284" s="247"/>
      <c r="K284" s="247"/>
      <c r="L284" s="247"/>
      <c r="M284" s="247"/>
      <c r="N284" s="247"/>
      <c r="O284" s="247"/>
      <c r="P284" s="247"/>
      <c r="Q284" s="247"/>
      <c r="R284" s="247"/>
      <c r="S284" s="247"/>
      <c r="T284" s="247"/>
      <c r="U284" s="247"/>
    </row>
    <row r="285">
      <c r="A285" s="247"/>
      <c r="B285" s="247"/>
      <c r="C285" s="247"/>
      <c r="D285" s="247"/>
      <c r="E285" s="247"/>
      <c r="F285" s="247"/>
      <c r="G285" s="247"/>
      <c r="H285" s="247"/>
      <c r="I285" s="247"/>
      <c r="J285" s="247"/>
      <c r="K285" s="247"/>
      <c r="L285" s="247"/>
      <c r="M285" s="247"/>
      <c r="N285" s="247"/>
      <c r="O285" s="247"/>
      <c r="P285" s="247"/>
      <c r="Q285" s="247"/>
      <c r="R285" s="247"/>
      <c r="S285" s="247"/>
      <c r="T285" s="247"/>
      <c r="U285" s="247"/>
    </row>
    <row r="286">
      <c r="A286" s="247"/>
      <c r="B286" s="247"/>
      <c r="C286" s="247"/>
      <c r="D286" s="247"/>
      <c r="E286" s="247"/>
      <c r="F286" s="247"/>
      <c r="G286" s="247"/>
      <c r="H286" s="247"/>
      <c r="I286" s="247"/>
      <c r="J286" s="247"/>
      <c r="K286" s="247"/>
      <c r="L286" s="247"/>
      <c r="M286" s="247"/>
      <c r="N286" s="247"/>
      <c r="O286" s="247"/>
      <c r="P286" s="247"/>
      <c r="Q286" s="247"/>
      <c r="R286" s="247"/>
      <c r="S286" s="247"/>
      <c r="T286" s="247"/>
      <c r="U286" s="247"/>
    </row>
    <row r="287">
      <c r="A287" s="247"/>
      <c r="B287" s="247"/>
      <c r="C287" s="247"/>
      <c r="D287" s="247"/>
      <c r="E287" s="247"/>
      <c r="F287" s="247"/>
      <c r="G287" s="247"/>
      <c r="H287" s="247"/>
      <c r="I287" s="247"/>
      <c r="J287" s="247"/>
      <c r="K287" s="247"/>
      <c r="L287" s="247"/>
      <c r="M287" s="247"/>
      <c r="N287" s="247"/>
      <c r="O287" s="247"/>
      <c r="P287" s="247"/>
      <c r="Q287" s="247"/>
      <c r="R287" s="247"/>
      <c r="S287" s="247"/>
      <c r="T287" s="247"/>
      <c r="U287" s="247"/>
    </row>
    <row r="288">
      <c r="A288" s="247"/>
      <c r="B288" s="247"/>
      <c r="C288" s="247"/>
      <c r="D288" s="247"/>
      <c r="E288" s="247"/>
      <c r="F288" s="247"/>
      <c r="G288" s="247"/>
      <c r="H288" s="247"/>
      <c r="I288" s="247"/>
      <c r="J288" s="247"/>
      <c r="K288" s="247"/>
      <c r="L288" s="247"/>
      <c r="M288" s="247"/>
      <c r="N288" s="247"/>
      <c r="O288" s="247"/>
      <c r="P288" s="247"/>
      <c r="Q288" s="247"/>
      <c r="R288" s="247"/>
      <c r="S288" s="247"/>
      <c r="T288" s="247"/>
      <c r="U288" s="247"/>
    </row>
    <row r="289">
      <c r="A289" s="247"/>
      <c r="B289" s="247"/>
      <c r="C289" s="247"/>
      <c r="D289" s="247"/>
      <c r="E289" s="247"/>
      <c r="F289" s="247"/>
      <c r="G289" s="247"/>
      <c r="H289" s="247"/>
      <c r="I289" s="247"/>
      <c r="J289" s="247"/>
      <c r="K289" s="247"/>
      <c r="L289" s="247"/>
      <c r="M289" s="247"/>
      <c r="N289" s="247"/>
      <c r="O289" s="247"/>
      <c r="P289" s="247"/>
      <c r="Q289" s="247"/>
      <c r="R289" s="247"/>
      <c r="S289" s="247"/>
      <c r="T289" s="247"/>
      <c r="U289" s="247"/>
    </row>
    <row r="290">
      <c r="A290" s="247"/>
      <c r="B290" s="247"/>
      <c r="C290" s="247"/>
      <c r="D290" s="247"/>
      <c r="E290" s="247"/>
      <c r="F290" s="247"/>
      <c r="G290" s="247"/>
      <c r="H290" s="247"/>
      <c r="I290" s="247"/>
      <c r="J290" s="247"/>
      <c r="K290" s="247"/>
      <c r="L290" s="247"/>
      <c r="M290" s="247"/>
      <c r="N290" s="247"/>
      <c r="O290" s="247"/>
      <c r="P290" s="247"/>
      <c r="Q290" s="247"/>
      <c r="R290" s="247"/>
      <c r="S290" s="247"/>
      <c r="T290" s="247"/>
      <c r="U290" s="247"/>
    </row>
    <row r="291">
      <c r="A291" s="247"/>
      <c r="B291" s="247"/>
      <c r="C291" s="247"/>
      <c r="D291" s="247"/>
      <c r="E291" s="247"/>
      <c r="F291" s="247"/>
      <c r="G291" s="247"/>
      <c r="H291" s="247"/>
      <c r="I291" s="247"/>
      <c r="J291" s="247"/>
      <c r="K291" s="247"/>
      <c r="L291" s="247"/>
      <c r="M291" s="247"/>
      <c r="N291" s="247"/>
      <c r="O291" s="247"/>
      <c r="P291" s="247"/>
      <c r="Q291" s="247"/>
      <c r="R291" s="247"/>
      <c r="S291" s="247"/>
      <c r="T291" s="247"/>
      <c r="U291" s="247"/>
    </row>
    <row r="292">
      <c r="A292" s="247"/>
      <c r="B292" s="247"/>
      <c r="C292" s="247"/>
      <c r="D292" s="247"/>
      <c r="E292" s="247"/>
      <c r="F292" s="247"/>
      <c r="G292" s="247"/>
      <c r="H292" s="247"/>
      <c r="I292" s="247"/>
      <c r="J292" s="247"/>
      <c r="K292" s="247"/>
      <c r="L292" s="247"/>
      <c r="M292" s="247"/>
      <c r="N292" s="247"/>
      <c r="O292" s="247"/>
      <c r="P292" s="247"/>
      <c r="Q292" s="247"/>
      <c r="R292" s="247"/>
      <c r="S292" s="247"/>
      <c r="T292" s="247"/>
      <c r="U292" s="247"/>
    </row>
    <row r="293">
      <c r="A293" s="247"/>
      <c r="B293" s="247"/>
      <c r="C293" s="247"/>
      <c r="D293" s="247"/>
      <c r="E293" s="247"/>
      <c r="F293" s="247"/>
      <c r="G293" s="247"/>
      <c r="H293" s="247"/>
      <c r="I293" s="247"/>
      <c r="J293" s="247"/>
      <c r="K293" s="247"/>
      <c r="L293" s="247"/>
      <c r="M293" s="247"/>
      <c r="N293" s="247"/>
      <c r="O293" s="247"/>
      <c r="P293" s="247"/>
      <c r="Q293" s="247"/>
      <c r="R293" s="247"/>
      <c r="S293" s="247"/>
      <c r="T293" s="247"/>
      <c r="U293" s="247"/>
    </row>
    <row r="294">
      <c r="A294" s="247"/>
      <c r="B294" s="247"/>
      <c r="C294" s="247"/>
      <c r="D294" s="247"/>
      <c r="E294" s="247"/>
      <c r="F294" s="247"/>
      <c r="G294" s="247"/>
      <c r="H294" s="247"/>
      <c r="I294" s="247"/>
      <c r="J294" s="247"/>
      <c r="K294" s="247"/>
      <c r="L294" s="247"/>
      <c r="M294" s="247"/>
      <c r="N294" s="247"/>
      <c r="O294" s="247"/>
      <c r="P294" s="247"/>
      <c r="Q294" s="247"/>
      <c r="R294" s="247"/>
      <c r="S294" s="247"/>
      <c r="T294" s="247"/>
      <c r="U294" s="247"/>
    </row>
    <row r="295">
      <c r="A295" s="247"/>
      <c r="B295" s="247"/>
      <c r="C295" s="247"/>
      <c r="D295" s="247"/>
      <c r="E295" s="247"/>
      <c r="F295" s="247"/>
      <c r="G295" s="247"/>
      <c r="H295" s="247"/>
      <c r="I295" s="247"/>
      <c r="J295" s="247"/>
      <c r="K295" s="247"/>
      <c r="L295" s="247"/>
      <c r="M295" s="247"/>
      <c r="N295" s="247"/>
      <c r="O295" s="247"/>
      <c r="P295" s="247"/>
      <c r="Q295" s="247"/>
      <c r="R295" s="247"/>
      <c r="S295" s="247"/>
      <c r="T295" s="247"/>
      <c r="U295" s="247"/>
    </row>
    <row r="296">
      <c r="A296" s="247"/>
      <c r="B296" s="247"/>
      <c r="C296" s="247"/>
      <c r="D296" s="247"/>
      <c r="E296" s="247"/>
      <c r="F296" s="247"/>
      <c r="G296" s="247"/>
      <c r="H296" s="247"/>
      <c r="I296" s="247"/>
      <c r="J296" s="247"/>
      <c r="K296" s="247"/>
      <c r="L296" s="247"/>
      <c r="M296" s="247"/>
      <c r="N296" s="247"/>
      <c r="O296" s="247"/>
      <c r="P296" s="247"/>
      <c r="Q296" s="247"/>
      <c r="R296" s="247"/>
      <c r="S296" s="247"/>
      <c r="T296" s="247"/>
      <c r="U296" s="247"/>
    </row>
    <row r="297">
      <c r="A297" s="247"/>
      <c r="B297" s="247"/>
      <c r="C297" s="247"/>
      <c r="D297" s="247"/>
      <c r="E297" s="247"/>
      <c r="F297" s="247"/>
      <c r="G297" s="247"/>
      <c r="H297" s="247"/>
      <c r="I297" s="247"/>
      <c r="J297" s="247"/>
      <c r="K297" s="247"/>
      <c r="L297" s="247"/>
      <c r="M297" s="247"/>
      <c r="N297" s="247"/>
      <c r="O297" s="247"/>
      <c r="P297" s="247"/>
      <c r="Q297" s="247"/>
      <c r="R297" s="247"/>
      <c r="S297" s="247"/>
      <c r="T297" s="247"/>
      <c r="U297" s="247"/>
    </row>
    <row r="298">
      <c r="A298" s="247"/>
      <c r="B298" s="247"/>
      <c r="C298" s="247"/>
      <c r="D298" s="247"/>
      <c r="E298" s="247"/>
      <c r="F298" s="247"/>
      <c r="G298" s="247"/>
      <c r="H298" s="247"/>
      <c r="I298" s="247"/>
      <c r="J298" s="247"/>
      <c r="K298" s="247"/>
      <c r="L298" s="247"/>
      <c r="M298" s="247"/>
      <c r="N298" s="247"/>
      <c r="O298" s="247"/>
      <c r="P298" s="247"/>
      <c r="Q298" s="247"/>
      <c r="R298" s="247"/>
      <c r="S298" s="247"/>
      <c r="T298" s="247"/>
      <c r="U298" s="247"/>
    </row>
    <row r="299">
      <c r="A299" s="247"/>
      <c r="B299" s="247"/>
      <c r="C299" s="247"/>
      <c r="D299" s="247"/>
      <c r="E299" s="247"/>
      <c r="F299" s="247"/>
      <c r="G299" s="247"/>
      <c r="H299" s="247"/>
      <c r="I299" s="247"/>
      <c r="J299" s="247"/>
      <c r="K299" s="247"/>
      <c r="L299" s="247"/>
      <c r="M299" s="247"/>
      <c r="N299" s="247"/>
      <c r="O299" s="247"/>
      <c r="P299" s="247"/>
      <c r="Q299" s="247"/>
      <c r="R299" s="247"/>
      <c r="S299" s="247"/>
      <c r="T299" s="247"/>
      <c r="U299" s="247"/>
    </row>
    <row r="300">
      <c r="A300" s="247"/>
      <c r="B300" s="247"/>
      <c r="C300" s="247"/>
      <c r="D300" s="247"/>
      <c r="E300" s="247"/>
      <c r="F300" s="247"/>
      <c r="G300" s="247"/>
      <c r="H300" s="247"/>
      <c r="I300" s="247"/>
      <c r="J300" s="247"/>
      <c r="K300" s="247"/>
      <c r="L300" s="247"/>
      <c r="M300" s="247"/>
      <c r="N300" s="247"/>
      <c r="O300" s="247"/>
      <c r="P300" s="247"/>
      <c r="Q300" s="247"/>
      <c r="R300" s="247"/>
      <c r="S300" s="247"/>
      <c r="T300" s="247"/>
      <c r="U300" s="247"/>
    </row>
    <row r="301">
      <c r="A301" s="247"/>
      <c r="B301" s="247"/>
      <c r="C301" s="247"/>
      <c r="D301" s="247"/>
      <c r="E301" s="247"/>
      <c r="F301" s="247"/>
      <c r="G301" s="247"/>
      <c r="H301" s="247"/>
      <c r="I301" s="247"/>
      <c r="J301" s="247"/>
      <c r="K301" s="247"/>
      <c r="L301" s="247"/>
      <c r="M301" s="247"/>
      <c r="N301" s="247"/>
      <c r="O301" s="247"/>
      <c r="P301" s="247"/>
      <c r="Q301" s="247"/>
      <c r="R301" s="247"/>
      <c r="S301" s="247"/>
      <c r="T301" s="247"/>
      <c r="U301" s="247"/>
    </row>
    <row r="302">
      <c r="A302" s="247"/>
      <c r="B302" s="247"/>
      <c r="C302" s="247"/>
      <c r="D302" s="247"/>
      <c r="E302" s="247"/>
      <c r="F302" s="247"/>
      <c r="G302" s="247"/>
      <c r="H302" s="247"/>
      <c r="I302" s="247"/>
      <c r="J302" s="247"/>
      <c r="K302" s="247"/>
      <c r="L302" s="247"/>
      <c r="M302" s="247"/>
      <c r="N302" s="247"/>
      <c r="O302" s="247"/>
      <c r="P302" s="247"/>
      <c r="Q302" s="247"/>
      <c r="R302" s="247"/>
      <c r="S302" s="247"/>
      <c r="T302" s="247"/>
      <c r="U302" s="247"/>
    </row>
    <row r="303">
      <c r="A303" s="247"/>
      <c r="B303" s="247"/>
      <c r="C303" s="247"/>
      <c r="D303" s="247"/>
      <c r="E303" s="247"/>
      <c r="F303" s="247"/>
      <c r="G303" s="247"/>
      <c r="H303" s="247"/>
      <c r="I303" s="247"/>
      <c r="J303" s="247"/>
      <c r="K303" s="247"/>
      <c r="L303" s="247"/>
      <c r="M303" s="247"/>
      <c r="N303" s="247"/>
      <c r="O303" s="247"/>
      <c r="P303" s="247"/>
      <c r="Q303" s="247"/>
      <c r="R303" s="247"/>
      <c r="S303" s="247"/>
      <c r="T303" s="247"/>
      <c r="U303" s="247"/>
    </row>
    <row r="304">
      <c r="A304" s="247"/>
      <c r="B304" s="247"/>
      <c r="C304" s="247"/>
      <c r="D304" s="247"/>
      <c r="E304" s="247"/>
      <c r="F304" s="247"/>
      <c r="G304" s="247"/>
      <c r="H304" s="247"/>
      <c r="I304" s="247"/>
      <c r="J304" s="247"/>
      <c r="K304" s="247"/>
      <c r="L304" s="247"/>
      <c r="M304" s="247"/>
      <c r="N304" s="247"/>
      <c r="O304" s="247"/>
      <c r="P304" s="247"/>
      <c r="Q304" s="247"/>
      <c r="R304" s="247"/>
      <c r="S304" s="247"/>
      <c r="T304" s="247"/>
      <c r="U304" s="247"/>
    </row>
    <row r="305">
      <c r="A305" s="247"/>
      <c r="B305" s="247"/>
      <c r="C305" s="247"/>
      <c r="D305" s="247"/>
      <c r="E305" s="247"/>
      <c r="F305" s="247"/>
      <c r="G305" s="247"/>
      <c r="H305" s="247"/>
      <c r="I305" s="247"/>
      <c r="J305" s="247"/>
      <c r="K305" s="247"/>
      <c r="L305" s="247"/>
      <c r="M305" s="247"/>
      <c r="N305" s="247"/>
      <c r="O305" s="247"/>
      <c r="P305" s="247"/>
      <c r="Q305" s="247"/>
      <c r="R305" s="247"/>
      <c r="S305" s="247"/>
      <c r="T305" s="247"/>
      <c r="U305" s="247"/>
    </row>
    <row r="306">
      <c r="A306" s="247"/>
      <c r="B306" s="247"/>
      <c r="C306" s="247"/>
      <c r="D306" s="247"/>
      <c r="E306" s="247"/>
      <c r="F306" s="247"/>
      <c r="G306" s="247"/>
      <c r="H306" s="247"/>
      <c r="I306" s="247"/>
      <c r="J306" s="247"/>
      <c r="K306" s="247"/>
      <c r="L306" s="247"/>
      <c r="M306" s="247"/>
      <c r="N306" s="247"/>
      <c r="O306" s="247"/>
      <c r="P306" s="247"/>
      <c r="Q306" s="247"/>
      <c r="R306" s="247"/>
      <c r="S306" s="247"/>
      <c r="T306" s="247"/>
      <c r="U306" s="247"/>
    </row>
    <row r="307">
      <c r="A307" s="247"/>
      <c r="B307" s="247"/>
      <c r="C307" s="247"/>
      <c r="D307" s="247"/>
      <c r="E307" s="247"/>
      <c r="F307" s="247"/>
      <c r="G307" s="247"/>
      <c r="H307" s="247"/>
      <c r="I307" s="247"/>
      <c r="J307" s="247"/>
      <c r="K307" s="247"/>
      <c r="L307" s="247"/>
      <c r="M307" s="247"/>
      <c r="N307" s="247"/>
      <c r="O307" s="247"/>
      <c r="P307" s="247"/>
      <c r="Q307" s="247"/>
      <c r="R307" s="247"/>
      <c r="S307" s="247"/>
      <c r="T307" s="247"/>
      <c r="U307" s="247"/>
    </row>
    <row r="308">
      <c r="A308" s="247"/>
      <c r="B308" s="247"/>
      <c r="C308" s="247"/>
      <c r="D308" s="247"/>
      <c r="E308" s="247"/>
      <c r="F308" s="247"/>
      <c r="G308" s="247"/>
      <c r="H308" s="247"/>
      <c r="I308" s="247"/>
      <c r="J308" s="247"/>
      <c r="K308" s="247"/>
      <c r="L308" s="247"/>
      <c r="M308" s="247"/>
      <c r="N308" s="247"/>
      <c r="O308" s="247"/>
      <c r="P308" s="247"/>
      <c r="Q308" s="247"/>
      <c r="R308" s="247"/>
      <c r="S308" s="247"/>
      <c r="T308" s="247"/>
      <c r="U308" s="247"/>
    </row>
    <row r="309">
      <c r="A309" s="247"/>
      <c r="B309" s="247"/>
      <c r="C309" s="247"/>
      <c r="D309" s="247"/>
      <c r="E309" s="247"/>
      <c r="F309" s="247"/>
      <c r="G309" s="247"/>
      <c r="H309" s="247"/>
      <c r="I309" s="247"/>
      <c r="J309" s="247"/>
      <c r="K309" s="247"/>
      <c r="L309" s="247"/>
      <c r="M309" s="247"/>
      <c r="N309" s="247"/>
      <c r="O309" s="247"/>
      <c r="P309" s="247"/>
      <c r="Q309" s="247"/>
      <c r="R309" s="247"/>
      <c r="S309" s="247"/>
      <c r="T309" s="247"/>
      <c r="U309" s="247"/>
    </row>
    <row r="310">
      <c r="A310" s="247"/>
      <c r="B310" s="247"/>
      <c r="C310" s="247"/>
      <c r="D310" s="247"/>
      <c r="E310" s="247"/>
      <c r="F310" s="247"/>
      <c r="G310" s="247"/>
      <c r="H310" s="247"/>
      <c r="I310" s="247"/>
      <c r="J310" s="247"/>
      <c r="K310" s="247"/>
      <c r="L310" s="247"/>
      <c r="M310" s="247"/>
      <c r="N310" s="247"/>
      <c r="O310" s="247"/>
      <c r="P310" s="247"/>
      <c r="Q310" s="247"/>
      <c r="R310" s="247"/>
      <c r="S310" s="247"/>
      <c r="T310" s="247"/>
      <c r="U310" s="247"/>
    </row>
    <row r="311">
      <c r="A311" s="247"/>
      <c r="B311" s="247"/>
      <c r="C311" s="247"/>
      <c r="D311" s="247"/>
      <c r="E311" s="247"/>
      <c r="F311" s="247"/>
      <c r="G311" s="247"/>
      <c r="H311" s="247"/>
      <c r="I311" s="247"/>
      <c r="J311" s="247"/>
      <c r="K311" s="247"/>
      <c r="L311" s="247"/>
      <c r="M311" s="247"/>
      <c r="N311" s="247"/>
      <c r="O311" s="247"/>
      <c r="P311" s="247"/>
      <c r="Q311" s="247"/>
      <c r="R311" s="247"/>
      <c r="S311" s="247"/>
      <c r="T311" s="247"/>
      <c r="U311" s="247"/>
    </row>
    <row r="312">
      <c r="A312" s="247"/>
      <c r="B312" s="247"/>
      <c r="C312" s="247"/>
      <c r="D312" s="247"/>
      <c r="E312" s="247"/>
      <c r="F312" s="247"/>
      <c r="G312" s="247"/>
      <c r="H312" s="247"/>
      <c r="I312" s="247"/>
      <c r="J312" s="247"/>
      <c r="K312" s="247"/>
      <c r="L312" s="247"/>
      <c r="M312" s="247"/>
      <c r="N312" s="247"/>
      <c r="O312" s="247"/>
      <c r="P312" s="247"/>
      <c r="Q312" s="247"/>
      <c r="R312" s="247"/>
      <c r="S312" s="247"/>
      <c r="T312" s="247"/>
      <c r="U312" s="247"/>
    </row>
    <row r="313">
      <c r="A313" s="247"/>
      <c r="B313" s="247"/>
      <c r="C313" s="247"/>
      <c r="D313" s="247"/>
      <c r="E313" s="247"/>
      <c r="F313" s="247"/>
      <c r="G313" s="247"/>
      <c r="H313" s="247"/>
      <c r="I313" s="247"/>
      <c r="J313" s="247"/>
      <c r="K313" s="247"/>
      <c r="L313" s="247"/>
      <c r="M313" s="247"/>
      <c r="N313" s="247"/>
      <c r="O313" s="247"/>
      <c r="P313" s="247"/>
      <c r="Q313" s="247"/>
      <c r="R313" s="247"/>
      <c r="S313" s="247"/>
      <c r="T313" s="247"/>
      <c r="U313" s="247"/>
    </row>
    <row r="314">
      <c r="A314" s="247"/>
      <c r="B314" s="247"/>
      <c r="C314" s="247"/>
      <c r="D314" s="247"/>
      <c r="E314" s="247"/>
      <c r="F314" s="247"/>
      <c r="G314" s="247"/>
      <c r="H314" s="247"/>
      <c r="I314" s="247"/>
      <c r="J314" s="247"/>
      <c r="K314" s="247"/>
      <c r="L314" s="247"/>
      <c r="M314" s="247"/>
      <c r="N314" s="247"/>
      <c r="O314" s="247"/>
      <c r="P314" s="247"/>
      <c r="Q314" s="247"/>
      <c r="R314" s="247"/>
      <c r="S314" s="247"/>
      <c r="T314" s="247"/>
      <c r="U314" s="247"/>
    </row>
    <row r="315">
      <c r="A315" s="247"/>
      <c r="B315" s="247"/>
      <c r="C315" s="247"/>
      <c r="D315" s="247"/>
      <c r="E315" s="247"/>
      <c r="F315" s="247"/>
      <c r="G315" s="247"/>
      <c r="H315" s="247"/>
      <c r="I315" s="247"/>
      <c r="J315" s="247"/>
      <c r="K315" s="247"/>
      <c r="L315" s="247"/>
      <c r="M315" s="247"/>
      <c r="N315" s="247"/>
      <c r="O315" s="247"/>
      <c r="P315" s="247"/>
      <c r="Q315" s="247"/>
      <c r="R315" s="247"/>
      <c r="S315" s="247"/>
      <c r="T315" s="247"/>
      <c r="U315" s="247"/>
    </row>
    <row r="316">
      <c r="A316" s="247"/>
      <c r="B316" s="247"/>
      <c r="C316" s="247"/>
      <c r="D316" s="247"/>
      <c r="E316" s="247"/>
      <c r="F316" s="247"/>
      <c r="G316" s="247"/>
      <c r="H316" s="247"/>
      <c r="I316" s="247"/>
      <c r="J316" s="247"/>
      <c r="K316" s="247"/>
      <c r="L316" s="247"/>
      <c r="M316" s="247"/>
      <c r="N316" s="247"/>
      <c r="O316" s="247"/>
      <c r="P316" s="247"/>
      <c r="Q316" s="247"/>
      <c r="R316" s="247"/>
      <c r="S316" s="247"/>
      <c r="T316" s="247"/>
      <c r="U316" s="247"/>
    </row>
    <row r="317">
      <c r="A317" s="247"/>
      <c r="B317" s="247"/>
      <c r="C317" s="247"/>
      <c r="D317" s="247"/>
      <c r="E317" s="247"/>
      <c r="F317" s="247"/>
      <c r="G317" s="247"/>
      <c r="H317" s="247"/>
      <c r="I317" s="247"/>
      <c r="J317" s="247"/>
      <c r="K317" s="247"/>
      <c r="L317" s="247"/>
      <c r="M317" s="247"/>
      <c r="N317" s="247"/>
      <c r="O317" s="247"/>
      <c r="P317" s="247"/>
      <c r="Q317" s="247"/>
      <c r="R317" s="247"/>
      <c r="S317" s="247"/>
      <c r="T317" s="247"/>
      <c r="U317" s="247"/>
    </row>
    <row r="318">
      <c r="A318" s="247"/>
      <c r="B318" s="247"/>
      <c r="C318" s="247"/>
      <c r="D318" s="247"/>
      <c r="E318" s="247"/>
      <c r="F318" s="247"/>
      <c r="G318" s="247"/>
      <c r="H318" s="247"/>
      <c r="I318" s="247"/>
      <c r="J318" s="247"/>
      <c r="K318" s="247"/>
      <c r="L318" s="247"/>
      <c r="M318" s="247"/>
      <c r="N318" s="247"/>
      <c r="O318" s="247"/>
      <c r="P318" s="247"/>
      <c r="Q318" s="247"/>
      <c r="R318" s="247"/>
      <c r="S318" s="247"/>
      <c r="T318" s="247"/>
      <c r="U318" s="247"/>
    </row>
    <row r="319">
      <c r="A319" s="247"/>
      <c r="B319" s="247"/>
      <c r="C319" s="247"/>
      <c r="D319" s="247"/>
      <c r="E319" s="247"/>
      <c r="F319" s="247"/>
      <c r="G319" s="247"/>
      <c r="H319" s="247"/>
      <c r="I319" s="247"/>
      <c r="J319" s="247"/>
      <c r="K319" s="247"/>
      <c r="L319" s="247"/>
      <c r="M319" s="247"/>
      <c r="N319" s="247"/>
      <c r="O319" s="247"/>
      <c r="P319" s="247"/>
      <c r="Q319" s="247"/>
      <c r="R319" s="247"/>
      <c r="S319" s="247"/>
      <c r="T319" s="247"/>
      <c r="U319" s="247"/>
    </row>
    <row r="320">
      <c r="A320" s="247"/>
      <c r="B320" s="247"/>
      <c r="C320" s="247"/>
      <c r="D320" s="247"/>
      <c r="E320" s="247"/>
      <c r="F320" s="247"/>
      <c r="G320" s="247"/>
      <c r="H320" s="247"/>
      <c r="I320" s="247"/>
      <c r="J320" s="247"/>
      <c r="K320" s="247"/>
      <c r="L320" s="247"/>
      <c r="M320" s="247"/>
      <c r="N320" s="247"/>
      <c r="O320" s="247"/>
      <c r="P320" s="247"/>
      <c r="Q320" s="247"/>
      <c r="R320" s="247"/>
      <c r="S320" s="247"/>
      <c r="T320" s="247"/>
      <c r="U320" s="247"/>
    </row>
    <row r="321">
      <c r="A321" s="247"/>
      <c r="B321" s="247"/>
      <c r="C321" s="247"/>
      <c r="D321" s="247"/>
      <c r="E321" s="247"/>
      <c r="F321" s="247"/>
      <c r="G321" s="247"/>
      <c r="H321" s="247"/>
      <c r="I321" s="247"/>
      <c r="J321" s="247"/>
      <c r="K321" s="247"/>
      <c r="L321" s="247"/>
      <c r="M321" s="247"/>
      <c r="N321" s="247"/>
      <c r="O321" s="247"/>
      <c r="P321" s="247"/>
      <c r="Q321" s="247"/>
      <c r="R321" s="247"/>
      <c r="S321" s="247"/>
      <c r="T321" s="247"/>
      <c r="U321" s="247"/>
    </row>
    <row r="322">
      <c r="A322" s="247"/>
      <c r="B322" s="247"/>
      <c r="C322" s="247"/>
      <c r="D322" s="247"/>
      <c r="E322" s="247"/>
      <c r="F322" s="247"/>
      <c r="G322" s="247"/>
      <c r="H322" s="247"/>
      <c r="I322" s="247"/>
      <c r="J322" s="247"/>
      <c r="K322" s="247"/>
      <c r="L322" s="247"/>
      <c r="M322" s="247"/>
      <c r="N322" s="247"/>
      <c r="O322" s="247"/>
      <c r="P322" s="247"/>
      <c r="Q322" s="247"/>
      <c r="R322" s="247"/>
      <c r="S322" s="247"/>
      <c r="T322" s="247"/>
      <c r="U322" s="247"/>
    </row>
    <row r="323">
      <c r="A323" s="247"/>
      <c r="B323" s="247"/>
      <c r="C323" s="247"/>
      <c r="D323" s="247"/>
      <c r="E323" s="247"/>
      <c r="F323" s="247"/>
      <c r="G323" s="247"/>
      <c r="H323" s="247"/>
      <c r="I323" s="247"/>
      <c r="J323" s="247"/>
      <c r="K323" s="247"/>
      <c r="L323" s="247"/>
      <c r="M323" s="247"/>
      <c r="N323" s="247"/>
      <c r="O323" s="247"/>
      <c r="P323" s="247"/>
      <c r="Q323" s="247"/>
      <c r="R323" s="247"/>
      <c r="S323" s="247"/>
      <c r="T323" s="247"/>
      <c r="U323" s="247"/>
    </row>
    <row r="324">
      <c r="A324" s="247"/>
      <c r="B324" s="247"/>
      <c r="C324" s="247"/>
      <c r="D324" s="247"/>
      <c r="E324" s="247"/>
      <c r="F324" s="247"/>
      <c r="G324" s="247"/>
      <c r="H324" s="247"/>
      <c r="I324" s="247"/>
      <c r="J324" s="247"/>
      <c r="K324" s="247"/>
      <c r="L324" s="247"/>
      <c r="M324" s="247"/>
      <c r="N324" s="247"/>
      <c r="O324" s="247"/>
      <c r="P324" s="247"/>
      <c r="Q324" s="247"/>
      <c r="R324" s="247"/>
      <c r="S324" s="247"/>
      <c r="T324" s="247"/>
      <c r="U324" s="247"/>
    </row>
    <row r="325">
      <c r="A325" s="247"/>
      <c r="B325" s="247"/>
      <c r="C325" s="247"/>
      <c r="D325" s="247"/>
      <c r="E325" s="247"/>
      <c r="F325" s="247"/>
      <c r="G325" s="247"/>
      <c r="H325" s="247"/>
      <c r="I325" s="247"/>
      <c r="J325" s="247"/>
      <c r="K325" s="247"/>
      <c r="L325" s="247"/>
      <c r="M325" s="247"/>
      <c r="N325" s="247"/>
      <c r="O325" s="247"/>
      <c r="P325" s="247"/>
      <c r="Q325" s="247"/>
      <c r="R325" s="247"/>
      <c r="S325" s="247"/>
      <c r="T325" s="247"/>
      <c r="U325" s="247"/>
    </row>
    <row r="326">
      <c r="A326" s="247"/>
      <c r="B326" s="247"/>
      <c r="C326" s="247"/>
      <c r="D326" s="247"/>
      <c r="E326" s="247"/>
      <c r="F326" s="247"/>
      <c r="G326" s="247"/>
      <c r="H326" s="247"/>
      <c r="I326" s="247"/>
      <c r="J326" s="247"/>
      <c r="K326" s="247"/>
      <c r="L326" s="247"/>
      <c r="M326" s="247"/>
      <c r="N326" s="247"/>
      <c r="O326" s="247"/>
      <c r="P326" s="247"/>
      <c r="Q326" s="247"/>
      <c r="R326" s="247"/>
      <c r="S326" s="247"/>
      <c r="T326" s="247"/>
      <c r="U326" s="247"/>
    </row>
    <row r="327">
      <c r="A327" s="247"/>
      <c r="B327" s="247"/>
      <c r="C327" s="247"/>
      <c r="D327" s="247"/>
      <c r="E327" s="247"/>
      <c r="F327" s="247"/>
      <c r="G327" s="247"/>
      <c r="H327" s="247"/>
      <c r="I327" s="247"/>
      <c r="J327" s="247"/>
      <c r="K327" s="247"/>
      <c r="L327" s="247"/>
      <c r="M327" s="247"/>
      <c r="N327" s="247"/>
      <c r="O327" s="247"/>
      <c r="P327" s="247"/>
      <c r="Q327" s="247"/>
      <c r="R327" s="247"/>
      <c r="S327" s="247"/>
      <c r="T327" s="247"/>
      <c r="U327" s="247"/>
    </row>
    <row r="328">
      <c r="A328" s="247"/>
      <c r="B328" s="247"/>
      <c r="C328" s="247"/>
      <c r="D328" s="247"/>
      <c r="E328" s="247"/>
      <c r="F328" s="247"/>
      <c r="G328" s="247"/>
      <c r="H328" s="247"/>
      <c r="I328" s="247"/>
      <c r="J328" s="247"/>
      <c r="K328" s="247"/>
      <c r="L328" s="247"/>
      <c r="M328" s="247"/>
      <c r="N328" s="247"/>
      <c r="O328" s="247"/>
      <c r="P328" s="247"/>
      <c r="Q328" s="247"/>
      <c r="R328" s="247"/>
      <c r="S328" s="247"/>
      <c r="T328" s="247"/>
      <c r="U328" s="247"/>
    </row>
    <row r="329">
      <c r="A329" s="247"/>
      <c r="B329" s="247"/>
      <c r="C329" s="247"/>
      <c r="D329" s="247"/>
      <c r="E329" s="247"/>
      <c r="F329" s="247"/>
      <c r="G329" s="247"/>
      <c r="H329" s="247"/>
      <c r="I329" s="247"/>
      <c r="J329" s="247"/>
      <c r="K329" s="247"/>
      <c r="L329" s="247"/>
      <c r="M329" s="247"/>
      <c r="N329" s="247"/>
      <c r="O329" s="247"/>
      <c r="P329" s="247"/>
      <c r="Q329" s="247"/>
      <c r="R329" s="247"/>
      <c r="S329" s="247"/>
      <c r="T329" s="247"/>
      <c r="U329" s="247"/>
    </row>
    <row r="330">
      <c r="A330" s="247"/>
      <c r="B330" s="247"/>
      <c r="C330" s="247"/>
      <c r="D330" s="247"/>
      <c r="E330" s="247"/>
      <c r="F330" s="247"/>
      <c r="G330" s="247"/>
      <c r="H330" s="247"/>
      <c r="I330" s="247"/>
      <c r="J330" s="247"/>
      <c r="K330" s="247"/>
      <c r="L330" s="247"/>
      <c r="M330" s="247"/>
      <c r="N330" s="247"/>
      <c r="O330" s="247"/>
      <c r="P330" s="247"/>
      <c r="Q330" s="247"/>
      <c r="R330" s="247"/>
      <c r="S330" s="247"/>
      <c r="T330" s="247"/>
      <c r="U330" s="247"/>
    </row>
    <row r="331">
      <c r="A331" s="247"/>
      <c r="B331" s="247"/>
      <c r="C331" s="247"/>
      <c r="D331" s="247"/>
      <c r="E331" s="247"/>
      <c r="F331" s="247"/>
      <c r="G331" s="247"/>
      <c r="H331" s="247"/>
      <c r="I331" s="247"/>
      <c r="J331" s="247"/>
      <c r="K331" s="247"/>
      <c r="L331" s="247"/>
      <c r="M331" s="247"/>
      <c r="N331" s="247"/>
      <c r="O331" s="247"/>
      <c r="P331" s="247"/>
      <c r="Q331" s="247"/>
      <c r="R331" s="247"/>
      <c r="S331" s="247"/>
      <c r="T331" s="247"/>
      <c r="U331" s="247"/>
    </row>
    <row r="332">
      <c r="A332" s="247"/>
      <c r="B332" s="247"/>
      <c r="C332" s="247"/>
      <c r="D332" s="247"/>
      <c r="E332" s="247"/>
      <c r="F332" s="247"/>
      <c r="G332" s="247"/>
      <c r="H332" s="247"/>
      <c r="I332" s="247"/>
      <c r="J332" s="247"/>
      <c r="K332" s="247"/>
      <c r="L332" s="247"/>
      <c r="M332" s="247"/>
      <c r="N332" s="247"/>
      <c r="O332" s="247"/>
      <c r="P332" s="247"/>
      <c r="Q332" s="247"/>
      <c r="R332" s="247"/>
      <c r="S332" s="247"/>
      <c r="T332" s="247"/>
      <c r="U332" s="247"/>
    </row>
    <row r="333">
      <c r="A333" s="247"/>
      <c r="B333" s="247"/>
      <c r="C333" s="247"/>
      <c r="D333" s="247"/>
      <c r="E333" s="247"/>
      <c r="F333" s="247"/>
      <c r="G333" s="247"/>
      <c r="H333" s="247"/>
      <c r="I333" s="247"/>
      <c r="J333" s="247"/>
      <c r="K333" s="247"/>
      <c r="L333" s="247"/>
      <c r="M333" s="247"/>
      <c r="N333" s="247"/>
      <c r="O333" s="247"/>
      <c r="P333" s="247"/>
      <c r="Q333" s="247"/>
      <c r="R333" s="247"/>
      <c r="S333" s="247"/>
      <c r="T333" s="247"/>
      <c r="U333" s="247"/>
    </row>
    <row r="334">
      <c r="A334" s="247"/>
      <c r="B334" s="247"/>
      <c r="C334" s="247"/>
      <c r="D334" s="247"/>
      <c r="E334" s="247"/>
      <c r="F334" s="247"/>
      <c r="G334" s="247"/>
      <c r="H334" s="247"/>
      <c r="I334" s="247"/>
      <c r="J334" s="247"/>
      <c r="K334" s="247"/>
      <c r="L334" s="247"/>
      <c r="M334" s="247"/>
      <c r="N334" s="247"/>
      <c r="O334" s="247"/>
      <c r="P334" s="247"/>
      <c r="Q334" s="247"/>
      <c r="R334" s="247"/>
      <c r="S334" s="247"/>
      <c r="T334" s="247"/>
      <c r="U334" s="247"/>
    </row>
    <row r="335">
      <c r="A335" s="247"/>
      <c r="B335" s="247"/>
      <c r="C335" s="247"/>
      <c r="D335" s="247"/>
      <c r="E335" s="247"/>
      <c r="F335" s="247"/>
      <c r="G335" s="247"/>
      <c r="H335" s="247"/>
      <c r="I335" s="247"/>
      <c r="J335" s="247"/>
      <c r="K335" s="247"/>
      <c r="L335" s="247"/>
      <c r="M335" s="247"/>
      <c r="N335" s="247"/>
      <c r="O335" s="247"/>
      <c r="P335" s="247"/>
      <c r="Q335" s="247"/>
      <c r="R335" s="247"/>
      <c r="S335" s="247"/>
      <c r="T335" s="247"/>
      <c r="U335" s="247"/>
    </row>
    <row r="336">
      <c r="A336" s="247"/>
      <c r="B336" s="247"/>
      <c r="C336" s="247"/>
      <c r="D336" s="247"/>
      <c r="E336" s="247"/>
      <c r="F336" s="247"/>
      <c r="G336" s="247"/>
      <c r="H336" s="247"/>
      <c r="I336" s="247"/>
      <c r="J336" s="247"/>
      <c r="K336" s="247"/>
      <c r="L336" s="247"/>
      <c r="M336" s="247"/>
      <c r="N336" s="247"/>
      <c r="O336" s="247"/>
      <c r="P336" s="247"/>
      <c r="Q336" s="247"/>
      <c r="R336" s="247"/>
      <c r="S336" s="247"/>
      <c r="T336" s="247"/>
      <c r="U336" s="247"/>
    </row>
    <row r="337">
      <c r="A337" s="247"/>
      <c r="B337" s="247"/>
      <c r="C337" s="247"/>
      <c r="D337" s="247"/>
      <c r="E337" s="247"/>
      <c r="F337" s="247"/>
      <c r="G337" s="247"/>
      <c r="H337" s="247"/>
      <c r="I337" s="247"/>
      <c r="J337" s="247"/>
      <c r="K337" s="247"/>
      <c r="L337" s="247"/>
      <c r="M337" s="247"/>
      <c r="N337" s="247"/>
      <c r="O337" s="247"/>
      <c r="P337" s="247"/>
      <c r="Q337" s="247"/>
      <c r="R337" s="247"/>
      <c r="S337" s="247"/>
      <c r="T337" s="247"/>
      <c r="U337" s="247"/>
    </row>
    <row r="338">
      <c r="A338" s="247"/>
      <c r="B338" s="247"/>
      <c r="C338" s="247"/>
      <c r="D338" s="247"/>
      <c r="E338" s="247"/>
      <c r="F338" s="247"/>
      <c r="G338" s="247"/>
      <c r="H338" s="247"/>
      <c r="I338" s="247"/>
      <c r="J338" s="247"/>
      <c r="K338" s="247"/>
      <c r="L338" s="247"/>
      <c r="M338" s="247"/>
      <c r="N338" s="247"/>
      <c r="O338" s="247"/>
      <c r="P338" s="247"/>
      <c r="Q338" s="247"/>
      <c r="R338" s="247"/>
      <c r="S338" s="247"/>
      <c r="T338" s="247"/>
      <c r="U338" s="247"/>
    </row>
    <row r="339">
      <c r="A339" s="247"/>
      <c r="B339" s="247"/>
      <c r="C339" s="247"/>
      <c r="D339" s="247"/>
      <c r="E339" s="247"/>
      <c r="F339" s="247"/>
      <c r="G339" s="247"/>
      <c r="H339" s="247"/>
      <c r="I339" s="247"/>
      <c r="J339" s="247"/>
      <c r="K339" s="247"/>
      <c r="L339" s="247"/>
      <c r="M339" s="247"/>
      <c r="N339" s="247"/>
      <c r="O339" s="247"/>
      <c r="P339" s="247"/>
      <c r="Q339" s="247"/>
      <c r="R339" s="247"/>
      <c r="S339" s="247"/>
      <c r="T339" s="247"/>
      <c r="U339" s="247"/>
    </row>
    <row r="340">
      <c r="A340" s="247"/>
      <c r="B340" s="247"/>
      <c r="C340" s="247"/>
      <c r="D340" s="247"/>
      <c r="E340" s="247"/>
      <c r="F340" s="247"/>
      <c r="G340" s="247"/>
      <c r="H340" s="247"/>
      <c r="I340" s="247"/>
      <c r="J340" s="247"/>
      <c r="K340" s="247"/>
      <c r="L340" s="247"/>
      <c r="M340" s="247"/>
      <c r="N340" s="247"/>
      <c r="O340" s="247"/>
      <c r="P340" s="247"/>
      <c r="Q340" s="247"/>
      <c r="R340" s="247"/>
      <c r="S340" s="247"/>
      <c r="T340" s="247"/>
      <c r="U340" s="247"/>
    </row>
    <row r="341">
      <c r="A341" s="247"/>
      <c r="B341" s="247"/>
      <c r="C341" s="247"/>
      <c r="D341" s="247"/>
      <c r="E341" s="247"/>
      <c r="F341" s="247"/>
      <c r="G341" s="247"/>
      <c r="H341" s="247"/>
      <c r="I341" s="247"/>
      <c r="J341" s="247"/>
      <c r="K341" s="247"/>
      <c r="L341" s="247"/>
      <c r="M341" s="247"/>
      <c r="N341" s="247"/>
      <c r="O341" s="247"/>
      <c r="P341" s="247"/>
      <c r="Q341" s="247"/>
      <c r="R341" s="247"/>
      <c r="S341" s="247"/>
      <c r="T341" s="247"/>
      <c r="U341" s="247"/>
    </row>
    <row r="342">
      <c r="A342" s="247"/>
      <c r="B342" s="247"/>
      <c r="C342" s="247"/>
      <c r="D342" s="247"/>
      <c r="E342" s="247"/>
      <c r="F342" s="247"/>
      <c r="G342" s="247"/>
      <c r="H342" s="247"/>
      <c r="I342" s="247"/>
      <c r="J342" s="247"/>
      <c r="K342" s="247"/>
      <c r="L342" s="247"/>
      <c r="M342" s="247"/>
      <c r="N342" s="247"/>
      <c r="O342" s="247"/>
      <c r="P342" s="247"/>
      <c r="Q342" s="247"/>
      <c r="R342" s="247"/>
      <c r="S342" s="247"/>
      <c r="T342" s="247"/>
      <c r="U342" s="247"/>
    </row>
    <row r="343">
      <c r="A343" s="247"/>
      <c r="B343" s="247"/>
      <c r="C343" s="247"/>
      <c r="D343" s="247"/>
      <c r="E343" s="247"/>
      <c r="F343" s="247"/>
      <c r="G343" s="247"/>
      <c r="H343" s="247"/>
      <c r="I343" s="247"/>
      <c r="J343" s="247"/>
      <c r="K343" s="247"/>
      <c r="L343" s="247"/>
      <c r="M343" s="247"/>
      <c r="N343" s="247"/>
      <c r="O343" s="247"/>
      <c r="P343" s="247"/>
      <c r="Q343" s="247"/>
      <c r="R343" s="247"/>
      <c r="S343" s="247"/>
      <c r="T343" s="247"/>
      <c r="U343" s="247"/>
    </row>
    <row r="344">
      <c r="A344" s="247"/>
      <c r="B344" s="247"/>
      <c r="C344" s="247"/>
      <c r="D344" s="247"/>
      <c r="E344" s="247"/>
      <c r="F344" s="247"/>
      <c r="G344" s="247"/>
      <c r="H344" s="247"/>
      <c r="I344" s="247"/>
      <c r="J344" s="247"/>
      <c r="K344" s="247"/>
      <c r="L344" s="247"/>
      <c r="M344" s="247"/>
      <c r="N344" s="247"/>
      <c r="O344" s="247"/>
      <c r="P344" s="247"/>
      <c r="Q344" s="247"/>
      <c r="R344" s="247"/>
      <c r="S344" s="247"/>
      <c r="T344" s="247"/>
      <c r="U344" s="247"/>
    </row>
    <row r="345">
      <c r="A345" s="247"/>
      <c r="B345" s="247"/>
      <c r="C345" s="247"/>
      <c r="D345" s="247"/>
      <c r="E345" s="247"/>
      <c r="F345" s="247"/>
      <c r="G345" s="247"/>
      <c r="H345" s="247"/>
      <c r="I345" s="247"/>
      <c r="J345" s="247"/>
      <c r="K345" s="247"/>
      <c r="L345" s="247"/>
      <c r="M345" s="247"/>
      <c r="N345" s="247"/>
      <c r="O345" s="247"/>
      <c r="P345" s="247"/>
      <c r="Q345" s="247"/>
      <c r="R345" s="247"/>
      <c r="S345" s="247"/>
      <c r="T345" s="247"/>
      <c r="U345" s="247"/>
    </row>
    <row r="346">
      <c r="A346" s="247"/>
      <c r="B346" s="247"/>
      <c r="C346" s="247"/>
      <c r="D346" s="247"/>
      <c r="E346" s="247"/>
      <c r="F346" s="247"/>
      <c r="G346" s="247"/>
      <c r="H346" s="247"/>
      <c r="I346" s="247"/>
      <c r="J346" s="247"/>
      <c r="K346" s="247"/>
      <c r="L346" s="247"/>
      <c r="M346" s="247"/>
      <c r="N346" s="247"/>
      <c r="O346" s="247"/>
      <c r="P346" s="247"/>
      <c r="Q346" s="247"/>
      <c r="R346" s="247"/>
      <c r="S346" s="247"/>
      <c r="T346" s="247"/>
      <c r="U346" s="247"/>
    </row>
    <row r="347">
      <c r="A347" s="247"/>
      <c r="B347" s="247"/>
      <c r="C347" s="247"/>
      <c r="D347" s="247"/>
      <c r="E347" s="247"/>
      <c r="F347" s="247"/>
      <c r="G347" s="247"/>
      <c r="H347" s="247"/>
      <c r="I347" s="247"/>
      <c r="J347" s="247"/>
      <c r="K347" s="247"/>
      <c r="L347" s="247"/>
      <c r="M347" s="247"/>
      <c r="N347" s="247"/>
      <c r="O347" s="247"/>
      <c r="P347" s="247"/>
      <c r="Q347" s="247"/>
      <c r="R347" s="247"/>
      <c r="S347" s="247"/>
      <c r="T347" s="247"/>
      <c r="U347" s="247"/>
    </row>
    <row r="348">
      <c r="A348" s="247"/>
      <c r="B348" s="247"/>
      <c r="C348" s="247"/>
      <c r="D348" s="247"/>
      <c r="E348" s="247"/>
      <c r="F348" s="247"/>
      <c r="G348" s="247"/>
      <c r="H348" s="247"/>
      <c r="I348" s="247"/>
      <c r="J348" s="247"/>
      <c r="K348" s="247"/>
      <c r="L348" s="247"/>
      <c r="M348" s="247"/>
      <c r="N348" s="247"/>
      <c r="O348" s="247"/>
      <c r="P348" s="247"/>
      <c r="Q348" s="247"/>
      <c r="R348" s="247"/>
      <c r="S348" s="247"/>
      <c r="T348" s="247"/>
      <c r="U348" s="247"/>
    </row>
    <row r="349">
      <c r="A349" s="247"/>
      <c r="B349" s="247"/>
      <c r="C349" s="247"/>
      <c r="D349" s="247"/>
      <c r="E349" s="247"/>
      <c r="F349" s="247"/>
      <c r="G349" s="247"/>
      <c r="H349" s="247"/>
      <c r="I349" s="247"/>
      <c r="J349" s="247"/>
      <c r="K349" s="247"/>
      <c r="L349" s="247"/>
      <c r="M349" s="247"/>
      <c r="N349" s="247"/>
      <c r="O349" s="247"/>
      <c r="P349" s="247"/>
      <c r="Q349" s="247"/>
      <c r="R349" s="247"/>
      <c r="S349" s="247"/>
      <c r="T349" s="247"/>
      <c r="U349" s="247"/>
    </row>
    <row r="350">
      <c r="A350" s="247"/>
      <c r="B350" s="247"/>
      <c r="C350" s="247"/>
      <c r="D350" s="247"/>
      <c r="E350" s="247"/>
      <c r="F350" s="247"/>
      <c r="G350" s="247"/>
      <c r="H350" s="247"/>
      <c r="I350" s="247"/>
      <c r="J350" s="247"/>
      <c r="K350" s="247"/>
      <c r="L350" s="247"/>
      <c r="M350" s="247"/>
      <c r="N350" s="247"/>
      <c r="O350" s="247"/>
      <c r="P350" s="247"/>
      <c r="Q350" s="247"/>
      <c r="R350" s="247"/>
      <c r="S350" s="247"/>
      <c r="T350" s="247"/>
      <c r="U350" s="247"/>
    </row>
    <row r="351">
      <c r="A351" s="247"/>
      <c r="B351" s="247"/>
      <c r="C351" s="247"/>
      <c r="D351" s="247"/>
      <c r="E351" s="247"/>
      <c r="F351" s="247"/>
      <c r="G351" s="247"/>
      <c r="H351" s="247"/>
      <c r="I351" s="247"/>
      <c r="J351" s="247"/>
      <c r="K351" s="247"/>
      <c r="L351" s="247"/>
      <c r="M351" s="247"/>
      <c r="N351" s="247"/>
      <c r="O351" s="247"/>
      <c r="P351" s="247"/>
      <c r="Q351" s="247"/>
      <c r="R351" s="247"/>
      <c r="S351" s="247"/>
      <c r="T351" s="247"/>
      <c r="U351" s="247"/>
    </row>
    <row r="352">
      <c r="A352" s="247"/>
      <c r="B352" s="247"/>
      <c r="C352" s="247"/>
      <c r="D352" s="247"/>
      <c r="E352" s="247"/>
      <c r="F352" s="247"/>
      <c r="G352" s="247"/>
      <c r="H352" s="247"/>
      <c r="I352" s="247"/>
      <c r="J352" s="247"/>
      <c r="K352" s="247"/>
      <c r="L352" s="247"/>
      <c r="M352" s="247"/>
      <c r="N352" s="247"/>
      <c r="O352" s="247"/>
      <c r="P352" s="247"/>
      <c r="Q352" s="247"/>
      <c r="R352" s="247"/>
      <c r="S352" s="247"/>
      <c r="T352" s="247"/>
      <c r="U352" s="247"/>
    </row>
    <row r="353">
      <c r="A353" s="247"/>
      <c r="B353" s="247"/>
      <c r="C353" s="247"/>
      <c r="D353" s="247"/>
      <c r="E353" s="247"/>
      <c r="F353" s="247"/>
      <c r="G353" s="247"/>
      <c r="H353" s="247"/>
      <c r="I353" s="247"/>
      <c r="J353" s="247"/>
      <c r="K353" s="247"/>
      <c r="L353" s="247"/>
      <c r="M353" s="247"/>
      <c r="N353" s="247"/>
      <c r="O353" s="247"/>
      <c r="P353" s="247"/>
      <c r="Q353" s="247"/>
      <c r="R353" s="247"/>
      <c r="S353" s="247"/>
      <c r="T353" s="247"/>
      <c r="U353" s="247"/>
    </row>
    <row r="354">
      <c r="A354" s="247"/>
      <c r="B354" s="247"/>
      <c r="C354" s="247"/>
      <c r="D354" s="247"/>
      <c r="E354" s="247"/>
      <c r="F354" s="247"/>
      <c r="G354" s="247"/>
      <c r="H354" s="247"/>
      <c r="I354" s="247"/>
      <c r="J354" s="247"/>
      <c r="K354" s="247"/>
      <c r="L354" s="247"/>
      <c r="M354" s="247"/>
      <c r="N354" s="247"/>
      <c r="O354" s="247"/>
      <c r="P354" s="247"/>
      <c r="Q354" s="247"/>
      <c r="R354" s="247"/>
      <c r="S354" s="247"/>
      <c r="T354" s="247"/>
      <c r="U354" s="247"/>
    </row>
    <row r="355">
      <c r="A355" s="247"/>
      <c r="B355" s="247"/>
      <c r="C355" s="247"/>
      <c r="D355" s="247"/>
      <c r="E355" s="247"/>
      <c r="F355" s="247"/>
      <c r="G355" s="247"/>
      <c r="H355" s="247"/>
      <c r="I355" s="247"/>
      <c r="J355" s="247"/>
      <c r="K355" s="247"/>
      <c r="L355" s="247"/>
      <c r="M355" s="247"/>
      <c r="N355" s="247"/>
      <c r="O355" s="247"/>
      <c r="P355" s="247"/>
      <c r="Q355" s="247"/>
      <c r="R355" s="247"/>
      <c r="S355" s="247"/>
      <c r="T355" s="247"/>
      <c r="U355" s="247"/>
    </row>
    <row r="356">
      <c r="A356" s="247"/>
      <c r="B356" s="247"/>
      <c r="C356" s="247"/>
      <c r="D356" s="247"/>
      <c r="E356" s="247"/>
      <c r="F356" s="247"/>
      <c r="G356" s="247"/>
      <c r="H356" s="247"/>
      <c r="I356" s="247"/>
      <c r="J356" s="247"/>
      <c r="K356" s="247"/>
      <c r="L356" s="247"/>
      <c r="M356" s="247"/>
      <c r="N356" s="247"/>
      <c r="O356" s="247"/>
      <c r="P356" s="247"/>
      <c r="Q356" s="247"/>
      <c r="R356" s="247"/>
      <c r="S356" s="247"/>
      <c r="T356" s="247"/>
      <c r="U356" s="247"/>
    </row>
    <row r="357">
      <c r="A357" s="247"/>
      <c r="B357" s="247"/>
      <c r="C357" s="247"/>
      <c r="D357" s="247"/>
      <c r="E357" s="247"/>
      <c r="F357" s="247"/>
      <c r="G357" s="247"/>
      <c r="H357" s="247"/>
      <c r="I357" s="247"/>
      <c r="J357" s="247"/>
      <c r="K357" s="247"/>
      <c r="L357" s="247"/>
      <c r="M357" s="247"/>
      <c r="N357" s="247"/>
      <c r="O357" s="247"/>
      <c r="P357" s="247"/>
      <c r="Q357" s="247"/>
      <c r="R357" s="247"/>
      <c r="S357" s="247"/>
      <c r="T357" s="247"/>
      <c r="U357" s="247"/>
    </row>
    <row r="358">
      <c r="A358" s="247"/>
      <c r="B358" s="247"/>
      <c r="C358" s="247"/>
      <c r="D358" s="247"/>
      <c r="E358" s="247"/>
      <c r="F358" s="247"/>
      <c r="G358" s="247"/>
      <c r="H358" s="247"/>
      <c r="I358" s="247"/>
      <c r="J358" s="247"/>
      <c r="K358" s="247"/>
      <c r="L358" s="247"/>
      <c r="M358" s="247"/>
      <c r="N358" s="247"/>
      <c r="O358" s="247"/>
      <c r="P358" s="247"/>
      <c r="Q358" s="247"/>
      <c r="R358" s="247"/>
      <c r="S358" s="247"/>
      <c r="T358" s="247"/>
      <c r="U358" s="247"/>
    </row>
    <row r="359">
      <c r="A359" s="247"/>
      <c r="B359" s="247"/>
      <c r="C359" s="247"/>
      <c r="D359" s="247"/>
      <c r="E359" s="247"/>
      <c r="F359" s="247"/>
      <c r="G359" s="247"/>
      <c r="H359" s="247"/>
      <c r="I359" s="247"/>
      <c r="J359" s="247"/>
      <c r="K359" s="247"/>
      <c r="L359" s="247"/>
      <c r="M359" s="247"/>
      <c r="N359" s="247"/>
      <c r="O359" s="247"/>
      <c r="P359" s="247"/>
      <c r="Q359" s="247"/>
      <c r="R359" s="247"/>
      <c r="S359" s="247"/>
      <c r="T359" s="247"/>
      <c r="U359" s="247"/>
    </row>
    <row r="360">
      <c r="A360" s="247"/>
      <c r="B360" s="247"/>
      <c r="C360" s="247"/>
      <c r="D360" s="247"/>
      <c r="E360" s="247"/>
      <c r="F360" s="247"/>
      <c r="G360" s="247"/>
      <c r="H360" s="247"/>
      <c r="I360" s="247"/>
      <c r="J360" s="247"/>
      <c r="K360" s="247"/>
      <c r="L360" s="247"/>
      <c r="M360" s="247"/>
      <c r="N360" s="247"/>
      <c r="O360" s="247"/>
      <c r="P360" s="247"/>
      <c r="Q360" s="247"/>
      <c r="R360" s="247"/>
      <c r="S360" s="247"/>
      <c r="T360" s="247"/>
      <c r="U360" s="247"/>
    </row>
    <row r="361">
      <c r="A361" s="247"/>
      <c r="B361" s="247"/>
      <c r="C361" s="247"/>
      <c r="D361" s="247"/>
      <c r="E361" s="247"/>
      <c r="F361" s="247"/>
      <c r="G361" s="247"/>
      <c r="H361" s="247"/>
      <c r="I361" s="247"/>
      <c r="J361" s="247"/>
      <c r="K361" s="247"/>
      <c r="L361" s="247"/>
      <c r="M361" s="247"/>
      <c r="N361" s="247"/>
      <c r="O361" s="247"/>
      <c r="P361" s="247"/>
      <c r="Q361" s="247"/>
      <c r="R361" s="247"/>
      <c r="S361" s="247"/>
      <c r="T361" s="247"/>
      <c r="U361" s="247"/>
    </row>
    <row r="362">
      <c r="A362" s="247"/>
      <c r="B362" s="247"/>
      <c r="C362" s="247"/>
      <c r="D362" s="247"/>
      <c r="E362" s="247"/>
      <c r="F362" s="247"/>
      <c r="G362" s="247"/>
      <c r="H362" s="247"/>
      <c r="I362" s="247"/>
      <c r="J362" s="247"/>
      <c r="K362" s="247"/>
      <c r="L362" s="247"/>
      <c r="M362" s="247"/>
      <c r="N362" s="247"/>
      <c r="O362" s="247"/>
      <c r="P362" s="247"/>
      <c r="Q362" s="247"/>
      <c r="R362" s="247"/>
      <c r="S362" s="247"/>
      <c r="T362" s="247"/>
      <c r="U362" s="247"/>
    </row>
    <row r="363">
      <c r="A363" s="247"/>
      <c r="B363" s="247"/>
      <c r="C363" s="247"/>
      <c r="D363" s="247"/>
      <c r="E363" s="247"/>
      <c r="F363" s="247"/>
      <c r="G363" s="247"/>
      <c r="H363" s="247"/>
      <c r="I363" s="247"/>
      <c r="J363" s="247"/>
      <c r="K363" s="247"/>
      <c r="L363" s="247"/>
      <c r="M363" s="247"/>
      <c r="N363" s="247"/>
      <c r="O363" s="247"/>
      <c r="P363" s="247"/>
      <c r="Q363" s="247"/>
      <c r="R363" s="247"/>
      <c r="S363" s="247"/>
      <c r="T363" s="247"/>
      <c r="U363" s="247"/>
    </row>
    <row r="364">
      <c r="A364" s="247"/>
      <c r="B364" s="247"/>
      <c r="C364" s="247"/>
      <c r="D364" s="247"/>
      <c r="E364" s="247"/>
      <c r="F364" s="247"/>
      <c r="G364" s="247"/>
      <c r="H364" s="247"/>
      <c r="I364" s="247"/>
      <c r="J364" s="247"/>
      <c r="K364" s="247"/>
      <c r="L364" s="247"/>
      <c r="M364" s="247"/>
      <c r="N364" s="247"/>
      <c r="O364" s="247"/>
      <c r="P364" s="247"/>
      <c r="Q364" s="247"/>
      <c r="R364" s="247"/>
      <c r="S364" s="247"/>
      <c r="T364" s="247"/>
      <c r="U364" s="247"/>
    </row>
    <row r="365">
      <c r="A365" s="247"/>
      <c r="B365" s="247"/>
      <c r="C365" s="247"/>
      <c r="D365" s="247"/>
      <c r="E365" s="247"/>
      <c r="F365" s="247"/>
      <c r="G365" s="247"/>
      <c r="H365" s="247"/>
      <c r="I365" s="247"/>
      <c r="J365" s="247"/>
      <c r="K365" s="247"/>
      <c r="L365" s="247"/>
      <c r="M365" s="247"/>
      <c r="N365" s="247"/>
      <c r="O365" s="247"/>
      <c r="P365" s="247"/>
      <c r="Q365" s="247"/>
      <c r="R365" s="247"/>
      <c r="S365" s="247"/>
      <c r="T365" s="247"/>
      <c r="U365" s="247"/>
    </row>
    <row r="366">
      <c r="A366" s="247"/>
      <c r="B366" s="247"/>
      <c r="C366" s="247"/>
      <c r="D366" s="247"/>
      <c r="E366" s="247"/>
      <c r="F366" s="247"/>
      <c r="G366" s="247"/>
      <c r="H366" s="247"/>
      <c r="I366" s="247"/>
      <c r="J366" s="247"/>
      <c r="K366" s="247"/>
      <c r="L366" s="247"/>
      <c r="M366" s="247"/>
      <c r="N366" s="247"/>
      <c r="O366" s="247"/>
      <c r="P366" s="247"/>
      <c r="Q366" s="247"/>
      <c r="R366" s="247"/>
      <c r="S366" s="247"/>
      <c r="T366" s="247"/>
      <c r="U366" s="247"/>
    </row>
    <row r="367">
      <c r="A367" s="247"/>
      <c r="B367" s="247"/>
      <c r="C367" s="247"/>
      <c r="D367" s="247"/>
      <c r="E367" s="247"/>
      <c r="F367" s="247"/>
      <c r="G367" s="247"/>
      <c r="H367" s="247"/>
      <c r="I367" s="247"/>
      <c r="J367" s="247"/>
      <c r="K367" s="247"/>
      <c r="L367" s="247"/>
      <c r="M367" s="247"/>
      <c r="N367" s="247"/>
      <c r="O367" s="247"/>
      <c r="P367" s="247"/>
      <c r="Q367" s="247"/>
      <c r="R367" s="247"/>
      <c r="S367" s="247"/>
      <c r="T367" s="247"/>
      <c r="U367" s="247"/>
    </row>
    <row r="368">
      <c r="A368" s="247"/>
      <c r="B368" s="247"/>
      <c r="C368" s="247"/>
      <c r="D368" s="247"/>
      <c r="E368" s="247"/>
      <c r="F368" s="247"/>
      <c r="G368" s="247"/>
      <c r="H368" s="247"/>
      <c r="I368" s="247"/>
      <c r="J368" s="247"/>
      <c r="K368" s="247"/>
      <c r="L368" s="247"/>
      <c r="M368" s="247"/>
      <c r="N368" s="247"/>
      <c r="O368" s="247"/>
      <c r="P368" s="247"/>
      <c r="Q368" s="247"/>
      <c r="R368" s="247"/>
      <c r="S368" s="247"/>
      <c r="T368" s="247"/>
      <c r="U368" s="247"/>
    </row>
    <row r="369">
      <c r="A369" s="247"/>
      <c r="B369" s="247"/>
      <c r="C369" s="247"/>
      <c r="D369" s="247"/>
      <c r="E369" s="247"/>
      <c r="F369" s="247"/>
      <c r="G369" s="247"/>
      <c r="H369" s="247"/>
      <c r="I369" s="247"/>
      <c r="J369" s="247"/>
      <c r="K369" s="247"/>
      <c r="L369" s="247"/>
      <c r="M369" s="247"/>
      <c r="N369" s="247"/>
      <c r="O369" s="247"/>
      <c r="P369" s="247"/>
      <c r="Q369" s="247"/>
      <c r="R369" s="247"/>
      <c r="S369" s="247"/>
      <c r="T369" s="247"/>
      <c r="U369" s="247"/>
    </row>
    <row r="370">
      <c r="A370" s="247"/>
      <c r="B370" s="247"/>
      <c r="C370" s="247"/>
      <c r="D370" s="247"/>
      <c r="E370" s="247"/>
      <c r="F370" s="247"/>
      <c r="G370" s="247"/>
      <c r="H370" s="247"/>
      <c r="I370" s="247"/>
      <c r="J370" s="247"/>
      <c r="K370" s="247"/>
      <c r="L370" s="247"/>
      <c r="M370" s="247"/>
      <c r="N370" s="247"/>
      <c r="O370" s="247"/>
      <c r="P370" s="247"/>
      <c r="Q370" s="247"/>
      <c r="R370" s="247"/>
      <c r="S370" s="247"/>
      <c r="T370" s="247"/>
      <c r="U370" s="247"/>
    </row>
    <row r="371">
      <c r="A371" s="247"/>
      <c r="B371" s="247"/>
      <c r="C371" s="247"/>
      <c r="D371" s="247"/>
      <c r="E371" s="247"/>
      <c r="F371" s="247"/>
      <c r="G371" s="247"/>
      <c r="H371" s="247"/>
      <c r="I371" s="247"/>
      <c r="J371" s="247"/>
      <c r="K371" s="247"/>
      <c r="L371" s="247"/>
      <c r="M371" s="247"/>
      <c r="N371" s="247"/>
      <c r="O371" s="247"/>
      <c r="P371" s="247"/>
      <c r="Q371" s="247"/>
      <c r="R371" s="247"/>
      <c r="S371" s="247"/>
      <c r="T371" s="247"/>
      <c r="U371" s="247"/>
    </row>
    <row r="372">
      <c r="A372" s="247"/>
      <c r="B372" s="247"/>
      <c r="C372" s="247"/>
      <c r="D372" s="247"/>
      <c r="E372" s="247"/>
      <c r="F372" s="247"/>
      <c r="G372" s="247"/>
      <c r="H372" s="247"/>
      <c r="I372" s="247"/>
      <c r="J372" s="247"/>
      <c r="K372" s="247"/>
      <c r="L372" s="247"/>
      <c r="M372" s="247"/>
      <c r="N372" s="247"/>
      <c r="O372" s="247"/>
      <c r="P372" s="247"/>
      <c r="Q372" s="247"/>
      <c r="R372" s="247"/>
      <c r="S372" s="247"/>
      <c r="T372" s="247"/>
      <c r="U372" s="247"/>
    </row>
    <row r="373">
      <c r="A373" s="247"/>
      <c r="B373" s="247"/>
      <c r="C373" s="247"/>
      <c r="D373" s="247"/>
      <c r="E373" s="247"/>
      <c r="F373" s="247"/>
      <c r="G373" s="247"/>
      <c r="H373" s="247"/>
      <c r="I373" s="247"/>
      <c r="J373" s="247"/>
      <c r="K373" s="247"/>
      <c r="L373" s="247"/>
      <c r="M373" s="247"/>
      <c r="N373" s="247"/>
      <c r="O373" s="247"/>
      <c r="P373" s="247"/>
      <c r="Q373" s="247"/>
      <c r="R373" s="247"/>
      <c r="S373" s="247"/>
      <c r="T373" s="247"/>
      <c r="U373" s="247"/>
    </row>
    <row r="374">
      <c r="A374" s="247"/>
      <c r="B374" s="247"/>
      <c r="C374" s="247"/>
      <c r="D374" s="247"/>
      <c r="E374" s="247"/>
      <c r="F374" s="247"/>
      <c r="G374" s="247"/>
      <c r="H374" s="247"/>
      <c r="I374" s="247"/>
      <c r="J374" s="247"/>
      <c r="K374" s="247"/>
      <c r="L374" s="247"/>
      <c r="M374" s="247"/>
      <c r="N374" s="247"/>
      <c r="O374" s="247"/>
      <c r="P374" s="247"/>
      <c r="Q374" s="247"/>
      <c r="R374" s="247"/>
      <c r="S374" s="247"/>
      <c r="T374" s="247"/>
      <c r="U374" s="247"/>
    </row>
    <row r="375">
      <c r="A375" s="247"/>
      <c r="B375" s="247"/>
      <c r="C375" s="247"/>
      <c r="D375" s="247"/>
      <c r="E375" s="247"/>
      <c r="F375" s="247"/>
      <c r="G375" s="247"/>
      <c r="H375" s="247"/>
      <c r="I375" s="247"/>
      <c r="J375" s="247"/>
      <c r="K375" s="247"/>
      <c r="L375" s="247"/>
      <c r="M375" s="247"/>
      <c r="N375" s="247"/>
      <c r="O375" s="247"/>
      <c r="P375" s="247"/>
      <c r="Q375" s="247"/>
      <c r="R375" s="247"/>
      <c r="S375" s="247"/>
      <c r="T375" s="247"/>
      <c r="U375" s="247"/>
    </row>
    <row r="376">
      <c r="A376" s="247"/>
      <c r="B376" s="247"/>
      <c r="C376" s="247"/>
      <c r="D376" s="247"/>
      <c r="E376" s="247"/>
      <c r="F376" s="247"/>
      <c r="G376" s="247"/>
      <c r="H376" s="247"/>
      <c r="I376" s="247"/>
      <c r="J376" s="247"/>
      <c r="K376" s="247"/>
      <c r="L376" s="247"/>
      <c r="M376" s="247"/>
      <c r="N376" s="247"/>
      <c r="O376" s="247"/>
      <c r="P376" s="247"/>
      <c r="Q376" s="247"/>
      <c r="R376" s="247"/>
      <c r="S376" s="247"/>
      <c r="T376" s="247"/>
      <c r="U376" s="247"/>
    </row>
    <row r="377">
      <c r="A377" s="247"/>
      <c r="B377" s="247"/>
      <c r="C377" s="247"/>
      <c r="D377" s="247"/>
      <c r="E377" s="247"/>
      <c r="F377" s="247"/>
      <c r="G377" s="247"/>
      <c r="H377" s="247"/>
      <c r="I377" s="247"/>
      <c r="J377" s="247"/>
      <c r="K377" s="247"/>
      <c r="L377" s="247"/>
      <c r="M377" s="247"/>
      <c r="N377" s="247"/>
      <c r="O377" s="247"/>
      <c r="P377" s="247"/>
      <c r="Q377" s="247"/>
      <c r="R377" s="247"/>
      <c r="S377" s="247"/>
      <c r="T377" s="247"/>
      <c r="U377" s="247"/>
    </row>
    <row r="378">
      <c r="A378" s="247"/>
      <c r="B378" s="247"/>
      <c r="C378" s="247"/>
      <c r="D378" s="247"/>
      <c r="E378" s="247"/>
      <c r="F378" s="247"/>
      <c r="G378" s="247"/>
      <c r="H378" s="247"/>
      <c r="I378" s="247"/>
      <c r="J378" s="247"/>
      <c r="K378" s="247"/>
      <c r="L378" s="247"/>
      <c r="M378" s="247"/>
      <c r="N378" s="247"/>
      <c r="O378" s="247"/>
      <c r="P378" s="247"/>
      <c r="Q378" s="247"/>
      <c r="R378" s="247"/>
      <c r="S378" s="247"/>
      <c r="T378" s="247"/>
      <c r="U378" s="247"/>
    </row>
    <row r="379">
      <c r="A379" s="247"/>
      <c r="B379" s="247"/>
      <c r="C379" s="247"/>
      <c r="D379" s="247"/>
      <c r="E379" s="247"/>
      <c r="F379" s="247"/>
      <c r="G379" s="247"/>
      <c r="H379" s="247"/>
      <c r="I379" s="247"/>
      <c r="J379" s="247"/>
      <c r="K379" s="247"/>
      <c r="L379" s="247"/>
      <c r="M379" s="247"/>
      <c r="N379" s="247"/>
      <c r="O379" s="247"/>
      <c r="P379" s="247"/>
      <c r="Q379" s="247"/>
      <c r="R379" s="247"/>
      <c r="S379" s="247"/>
      <c r="T379" s="247"/>
      <c r="U379" s="247"/>
    </row>
    <row r="380">
      <c r="A380" s="247"/>
      <c r="B380" s="247"/>
      <c r="C380" s="247"/>
      <c r="D380" s="247"/>
      <c r="E380" s="247"/>
      <c r="F380" s="247"/>
      <c r="G380" s="247"/>
      <c r="H380" s="247"/>
      <c r="I380" s="247"/>
      <c r="J380" s="247"/>
      <c r="K380" s="247"/>
      <c r="L380" s="247"/>
      <c r="M380" s="247"/>
      <c r="N380" s="247"/>
      <c r="O380" s="247"/>
      <c r="P380" s="247"/>
      <c r="Q380" s="247"/>
      <c r="R380" s="247"/>
      <c r="S380" s="247"/>
      <c r="T380" s="247"/>
      <c r="U380" s="247"/>
    </row>
    <row r="381">
      <c r="A381" s="247"/>
      <c r="B381" s="247"/>
      <c r="C381" s="247"/>
      <c r="D381" s="247"/>
      <c r="E381" s="247"/>
      <c r="F381" s="247"/>
      <c r="G381" s="247"/>
      <c r="H381" s="247"/>
      <c r="I381" s="247"/>
      <c r="J381" s="247"/>
      <c r="K381" s="247"/>
      <c r="L381" s="247"/>
      <c r="M381" s="247"/>
      <c r="N381" s="247"/>
      <c r="O381" s="247"/>
      <c r="P381" s="247"/>
      <c r="Q381" s="247"/>
      <c r="R381" s="247"/>
      <c r="S381" s="247"/>
      <c r="T381" s="247"/>
      <c r="U381" s="247"/>
    </row>
    <row r="382">
      <c r="A382" s="247"/>
      <c r="B382" s="247"/>
      <c r="C382" s="247"/>
      <c r="D382" s="247"/>
      <c r="E382" s="247"/>
      <c r="F382" s="247"/>
      <c r="G382" s="247"/>
      <c r="H382" s="247"/>
      <c r="I382" s="247"/>
      <c r="J382" s="247"/>
      <c r="K382" s="247"/>
      <c r="L382" s="247"/>
      <c r="M382" s="247"/>
      <c r="N382" s="247"/>
      <c r="O382" s="247"/>
      <c r="P382" s="247"/>
      <c r="Q382" s="247"/>
      <c r="R382" s="247"/>
      <c r="S382" s="247"/>
      <c r="T382" s="247"/>
      <c r="U382" s="247"/>
    </row>
    <row r="383">
      <c r="A383" s="247"/>
      <c r="B383" s="247"/>
      <c r="C383" s="247"/>
      <c r="D383" s="247"/>
      <c r="E383" s="247"/>
      <c r="F383" s="247"/>
      <c r="G383" s="247"/>
      <c r="H383" s="247"/>
      <c r="I383" s="247"/>
      <c r="J383" s="247"/>
      <c r="K383" s="247"/>
      <c r="L383" s="247"/>
      <c r="M383" s="247"/>
      <c r="N383" s="247"/>
      <c r="O383" s="247"/>
      <c r="P383" s="247"/>
      <c r="Q383" s="247"/>
      <c r="R383" s="247"/>
      <c r="S383" s="247"/>
      <c r="T383" s="247"/>
      <c r="U383" s="247"/>
    </row>
    <row r="384">
      <c r="A384" s="247"/>
      <c r="B384" s="247"/>
      <c r="C384" s="247"/>
      <c r="D384" s="247"/>
      <c r="E384" s="247"/>
      <c r="F384" s="247"/>
      <c r="G384" s="247"/>
      <c r="H384" s="247"/>
      <c r="I384" s="247"/>
      <c r="J384" s="247"/>
      <c r="K384" s="247"/>
      <c r="L384" s="247"/>
      <c r="M384" s="247"/>
      <c r="N384" s="247"/>
      <c r="O384" s="247"/>
      <c r="P384" s="247"/>
      <c r="Q384" s="247"/>
      <c r="R384" s="247"/>
      <c r="S384" s="247"/>
      <c r="T384" s="247"/>
      <c r="U384" s="247"/>
    </row>
    <row r="385">
      <c r="A385" s="247"/>
      <c r="B385" s="247"/>
      <c r="C385" s="247"/>
      <c r="D385" s="247"/>
      <c r="E385" s="247"/>
      <c r="F385" s="247"/>
      <c r="G385" s="247"/>
      <c r="H385" s="247"/>
      <c r="I385" s="247"/>
      <c r="J385" s="247"/>
      <c r="K385" s="247"/>
      <c r="L385" s="247"/>
      <c r="M385" s="247"/>
      <c r="N385" s="247"/>
      <c r="O385" s="247"/>
      <c r="P385" s="247"/>
      <c r="Q385" s="247"/>
      <c r="R385" s="247"/>
      <c r="S385" s="247"/>
      <c r="T385" s="247"/>
      <c r="U385" s="247"/>
    </row>
    <row r="386">
      <c r="A386" s="247"/>
      <c r="B386" s="247"/>
      <c r="C386" s="247"/>
      <c r="D386" s="247"/>
      <c r="E386" s="247"/>
      <c r="F386" s="247"/>
      <c r="G386" s="247"/>
      <c r="H386" s="247"/>
      <c r="I386" s="247"/>
      <c r="J386" s="247"/>
      <c r="K386" s="247"/>
      <c r="L386" s="247"/>
      <c r="M386" s="247"/>
      <c r="N386" s="247"/>
      <c r="O386" s="247"/>
      <c r="P386" s="247"/>
      <c r="Q386" s="247"/>
      <c r="R386" s="247"/>
      <c r="S386" s="247"/>
      <c r="T386" s="247"/>
      <c r="U386" s="247"/>
    </row>
    <row r="387">
      <c r="A387" s="247"/>
      <c r="B387" s="247"/>
      <c r="C387" s="247"/>
      <c r="D387" s="247"/>
      <c r="E387" s="247"/>
      <c r="F387" s="247"/>
      <c r="G387" s="247"/>
      <c r="H387" s="247"/>
      <c r="I387" s="247"/>
      <c r="J387" s="247"/>
      <c r="K387" s="247"/>
      <c r="L387" s="247"/>
      <c r="M387" s="247"/>
      <c r="N387" s="247"/>
      <c r="O387" s="247"/>
      <c r="P387" s="247"/>
      <c r="Q387" s="247"/>
      <c r="R387" s="247"/>
      <c r="S387" s="247"/>
      <c r="T387" s="247"/>
      <c r="U387" s="247"/>
    </row>
    <row r="388">
      <c r="A388" s="247"/>
      <c r="B388" s="247"/>
      <c r="C388" s="247"/>
      <c r="D388" s="247"/>
      <c r="E388" s="247"/>
      <c r="F388" s="247"/>
      <c r="G388" s="247"/>
      <c r="H388" s="247"/>
      <c r="I388" s="247"/>
      <c r="J388" s="247"/>
      <c r="K388" s="247"/>
      <c r="L388" s="247"/>
      <c r="M388" s="247"/>
      <c r="N388" s="247"/>
      <c r="O388" s="247"/>
      <c r="P388" s="247"/>
      <c r="Q388" s="247"/>
      <c r="R388" s="247"/>
      <c r="S388" s="247"/>
      <c r="T388" s="247"/>
      <c r="U388" s="247"/>
    </row>
    <row r="389">
      <c r="A389" s="247"/>
      <c r="B389" s="247"/>
      <c r="C389" s="247"/>
      <c r="D389" s="247"/>
      <c r="E389" s="247"/>
      <c r="F389" s="247"/>
      <c r="G389" s="247"/>
      <c r="H389" s="247"/>
      <c r="I389" s="247"/>
      <c r="J389" s="247"/>
      <c r="K389" s="247"/>
      <c r="L389" s="247"/>
      <c r="M389" s="247"/>
      <c r="N389" s="247"/>
      <c r="O389" s="247"/>
      <c r="P389" s="247"/>
      <c r="Q389" s="247"/>
      <c r="R389" s="247"/>
      <c r="S389" s="247"/>
      <c r="T389" s="247"/>
      <c r="U389" s="247"/>
    </row>
    <row r="390">
      <c r="A390" s="247"/>
      <c r="B390" s="247"/>
      <c r="C390" s="247"/>
      <c r="D390" s="247"/>
      <c r="E390" s="247"/>
      <c r="F390" s="247"/>
      <c r="G390" s="247"/>
      <c r="H390" s="247"/>
      <c r="I390" s="247"/>
      <c r="J390" s="247"/>
      <c r="K390" s="247"/>
      <c r="L390" s="247"/>
      <c r="M390" s="247"/>
      <c r="N390" s="247"/>
      <c r="O390" s="247"/>
      <c r="P390" s="247"/>
      <c r="Q390" s="247"/>
      <c r="R390" s="247"/>
      <c r="S390" s="247"/>
      <c r="T390" s="247"/>
      <c r="U390" s="247"/>
    </row>
    <row r="391">
      <c r="A391" s="247"/>
      <c r="B391" s="247"/>
      <c r="C391" s="247"/>
      <c r="D391" s="247"/>
      <c r="E391" s="247"/>
      <c r="F391" s="247"/>
      <c r="G391" s="247"/>
      <c r="H391" s="247"/>
      <c r="I391" s="247"/>
      <c r="J391" s="247"/>
      <c r="K391" s="247"/>
      <c r="L391" s="247"/>
      <c r="M391" s="247"/>
      <c r="N391" s="247"/>
      <c r="O391" s="247"/>
      <c r="P391" s="247"/>
      <c r="Q391" s="247"/>
      <c r="R391" s="247"/>
      <c r="S391" s="247"/>
      <c r="T391" s="247"/>
      <c r="U391" s="247"/>
    </row>
    <row r="392">
      <c r="A392" s="247"/>
      <c r="B392" s="247"/>
      <c r="C392" s="247"/>
      <c r="D392" s="247"/>
      <c r="E392" s="247"/>
      <c r="F392" s="247"/>
      <c r="G392" s="247"/>
      <c r="H392" s="247"/>
      <c r="I392" s="247"/>
      <c r="J392" s="247"/>
      <c r="K392" s="247"/>
      <c r="L392" s="247"/>
      <c r="M392" s="247"/>
      <c r="N392" s="247"/>
      <c r="O392" s="247"/>
      <c r="P392" s="247"/>
      <c r="Q392" s="247"/>
      <c r="R392" s="247"/>
      <c r="S392" s="247"/>
      <c r="T392" s="247"/>
      <c r="U392" s="247"/>
    </row>
    <row r="393">
      <c r="A393" s="247"/>
      <c r="B393" s="247"/>
      <c r="C393" s="247"/>
      <c r="D393" s="247"/>
      <c r="E393" s="247"/>
      <c r="F393" s="247"/>
      <c r="G393" s="247"/>
      <c r="H393" s="247"/>
      <c r="I393" s="247"/>
      <c r="J393" s="247"/>
      <c r="K393" s="247"/>
      <c r="L393" s="247"/>
      <c r="M393" s="247"/>
      <c r="N393" s="247"/>
      <c r="O393" s="247"/>
      <c r="P393" s="247"/>
      <c r="Q393" s="247"/>
      <c r="R393" s="247"/>
      <c r="S393" s="247"/>
      <c r="T393" s="247"/>
      <c r="U393" s="247"/>
    </row>
    <row r="394">
      <c r="A394" s="247"/>
      <c r="B394" s="247"/>
      <c r="C394" s="247"/>
      <c r="D394" s="247"/>
      <c r="E394" s="247"/>
      <c r="F394" s="247"/>
      <c r="G394" s="247"/>
      <c r="H394" s="247"/>
      <c r="I394" s="247"/>
      <c r="J394" s="247"/>
      <c r="K394" s="247"/>
      <c r="L394" s="247"/>
      <c r="M394" s="247"/>
      <c r="N394" s="247"/>
      <c r="O394" s="247"/>
      <c r="P394" s="247"/>
      <c r="Q394" s="247"/>
      <c r="R394" s="247"/>
      <c r="S394" s="247"/>
      <c r="T394" s="247"/>
      <c r="U394" s="247"/>
    </row>
    <row r="395">
      <c r="A395" s="247"/>
      <c r="B395" s="247"/>
      <c r="C395" s="247"/>
      <c r="D395" s="247"/>
      <c r="E395" s="247"/>
      <c r="F395" s="247"/>
      <c r="G395" s="247"/>
      <c r="H395" s="247"/>
      <c r="I395" s="247"/>
      <c r="J395" s="247"/>
      <c r="K395" s="247"/>
      <c r="L395" s="247"/>
      <c r="M395" s="247"/>
      <c r="N395" s="247"/>
      <c r="O395" s="247"/>
      <c r="P395" s="247"/>
      <c r="Q395" s="247"/>
      <c r="R395" s="247"/>
      <c r="S395" s="247"/>
      <c r="T395" s="247"/>
      <c r="U395" s="247"/>
    </row>
    <row r="396">
      <c r="A396" s="247"/>
      <c r="B396" s="247"/>
      <c r="C396" s="247"/>
      <c r="D396" s="247"/>
      <c r="E396" s="247"/>
      <c r="F396" s="247"/>
      <c r="G396" s="247"/>
      <c r="H396" s="247"/>
      <c r="I396" s="247"/>
      <c r="J396" s="247"/>
      <c r="K396" s="247"/>
      <c r="L396" s="247"/>
      <c r="M396" s="247"/>
      <c r="N396" s="247"/>
      <c r="O396" s="247"/>
      <c r="P396" s="247"/>
      <c r="Q396" s="247"/>
      <c r="R396" s="247"/>
      <c r="S396" s="247"/>
      <c r="T396" s="247"/>
      <c r="U396" s="247"/>
    </row>
    <row r="397">
      <c r="A397" s="247"/>
      <c r="B397" s="247"/>
      <c r="C397" s="247"/>
      <c r="D397" s="247"/>
      <c r="E397" s="247"/>
      <c r="F397" s="247"/>
      <c r="G397" s="247"/>
      <c r="H397" s="247"/>
      <c r="I397" s="247"/>
      <c r="J397" s="247"/>
      <c r="K397" s="247"/>
      <c r="L397" s="247"/>
      <c r="M397" s="247"/>
      <c r="N397" s="247"/>
      <c r="O397" s="247"/>
      <c r="P397" s="247"/>
      <c r="Q397" s="247"/>
      <c r="R397" s="247"/>
      <c r="S397" s="247"/>
      <c r="T397" s="247"/>
      <c r="U397" s="247"/>
    </row>
    <row r="398">
      <c r="A398" s="247"/>
      <c r="B398" s="247"/>
      <c r="C398" s="247"/>
      <c r="D398" s="247"/>
      <c r="E398" s="247"/>
      <c r="F398" s="247"/>
      <c r="G398" s="247"/>
      <c r="H398" s="247"/>
      <c r="I398" s="247"/>
      <c r="J398" s="247"/>
      <c r="K398" s="247"/>
      <c r="L398" s="247"/>
      <c r="M398" s="247"/>
      <c r="N398" s="247"/>
      <c r="O398" s="247"/>
      <c r="P398" s="247"/>
      <c r="Q398" s="247"/>
      <c r="R398" s="247"/>
      <c r="S398" s="247"/>
      <c r="T398" s="247"/>
      <c r="U398" s="247"/>
    </row>
    <row r="399">
      <c r="A399" s="247"/>
      <c r="B399" s="247"/>
      <c r="C399" s="247"/>
      <c r="D399" s="247"/>
      <c r="E399" s="247"/>
      <c r="F399" s="247"/>
      <c r="G399" s="247"/>
      <c r="H399" s="247"/>
      <c r="I399" s="247"/>
      <c r="J399" s="247"/>
      <c r="K399" s="247"/>
      <c r="L399" s="247"/>
      <c r="M399" s="247"/>
      <c r="N399" s="247"/>
      <c r="O399" s="247"/>
      <c r="P399" s="247"/>
      <c r="Q399" s="247"/>
      <c r="R399" s="247"/>
      <c r="S399" s="247"/>
      <c r="T399" s="247"/>
      <c r="U399" s="247"/>
    </row>
    <row r="400">
      <c r="A400" s="247"/>
      <c r="B400" s="247"/>
      <c r="C400" s="247"/>
      <c r="D400" s="247"/>
      <c r="E400" s="247"/>
      <c r="F400" s="247"/>
      <c r="G400" s="247"/>
      <c r="H400" s="247"/>
      <c r="I400" s="247"/>
      <c r="J400" s="247"/>
      <c r="K400" s="247"/>
      <c r="L400" s="247"/>
      <c r="M400" s="247"/>
      <c r="N400" s="247"/>
      <c r="O400" s="247"/>
      <c r="P400" s="247"/>
      <c r="Q400" s="247"/>
      <c r="R400" s="247"/>
      <c r="S400" s="247"/>
      <c r="T400" s="247"/>
      <c r="U400" s="247"/>
    </row>
    <row r="401">
      <c r="A401" s="247"/>
      <c r="B401" s="247"/>
      <c r="C401" s="247"/>
      <c r="D401" s="247"/>
      <c r="E401" s="247"/>
      <c r="F401" s="247"/>
      <c r="G401" s="247"/>
      <c r="H401" s="247"/>
      <c r="I401" s="247"/>
      <c r="J401" s="247"/>
      <c r="K401" s="247"/>
      <c r="L401" s="247"/>
      <c r="M401" s="247"/>
      <c r="N401" s="247"/>
      <c r="O401" s="247"/>
      <c r="P401" s="247"/>
      <c r="Q401" s="247"/>
      <c r="R401" s="247"/>
      <c r="S401" s="247"/>
      <c r="T401" s="247"/>
      <c r="U401" s="247"/>
    </row>
    <row r="402">
      <c r="A402" s="247"/>
      <c r="B402" s="247"/>
      <c r="C402" s="247"/>
      <c r="D402" s="247"/>
      <c r="E402" s="247"/>
      <c r="F402" s="247"/>
      <c r="G402" s="247"/>
      <c r="H402" s="247"/>
      <c r="I402" s="247"/>
      <c r="J402" s="247"/>
      <c r="K402" s="247"/>
      <c r="L402" s="247"/>
      <c r="M402" s="247"/>
      <c r="N402" s="247"/>
      <c r="O402" s="247"/>
      <c r="P402" s="247"/>
      <c r="Q402" s="247"/>
      <c r="R402" s="247"/>
      <c r="S402" s="247"/>
      <c r="T402" s="247"/>
      <c r="U402" s="247"/>
    </row>
    <row r="403">
      <c r="A403" s="247"/>
      <c r="B403" s="247"/>
      <c r="C403" s="247"/>
      <c r="D403" s="247"/>
      <c r="E403" s="247"/>
      <c r="F403" s="247"/>
      <c r="G403" s="247"/>
      <c r="H403" s="247"/>
      <c r="I403" s="247"/>
      <c r="J403" s="247"/>
      <c r="K403" s="247"/>
      <c r="L403" s="247"/>
      <c r="M403" s="247"/>
      <c r="N403" s="247"/>
      <c r="O403" s="247"/>
      <c r="P403" s="247"/>
      <c r="Q403" s="247"/>
      <c r="R403" s="247"/>
      <c r="S403" s="247"/>
      <c r="T403" s="247"/>
      <c r="U403" s="247"/>
    </row>
    <row r="404">
      <c r="A404" s="247"/>
      <c r="B404" s="247"/>
      <c r="C404" s="247"/>
      <c r="D404" s="247"/>
      <c r="E404" s="247"/>
      <c r="F404" s="247"/>
      <c r="G404" s="247"/>
      <c r="H404" s="247"/>
      <c r="I404" s="247"/>
      <c r="J404" s="247"/>
      <c r="K404" s="247"/>
      <c r="L404" s="247"/>
      <c r="M404" s="247"/>
      <c r="N404" s="247"/>
      <c r="O404" s="247"/>
      <c r="P404" s="247"/>
      <c r="Q404" s="247"/>
      <c r="R404" s="247"/>
      <c r="S404" s="247"/>
      <c r="T404" s="247"/>
      <c r="U404" s="247"/>
    </row>
    <row r="405">
      <c r="A405" s="247"/>
      <c r="B405" s="247"/>
      <c r="C405" s="247"/>
      <c r="D405" s="247"/>
      <c r="E405" s="247"/>
      <c r="F405" s="247"/>
      <c r="G405" s="247"/>
      <c r="H405" s="247"/>
      <c r="I405" s="247"/>
      <c r="J405" s="247"/>
      <c r="K405" s="247"/>
      <c r="L405" s="247"/>
      <c r="M405" s="247"/>
      <c r="N405" s="247"/>
      <c r="O405" s="247"/>
      <c r="P405" s="247"/>
      <c r="Q405" s="247"/>
      <c r="R405" s="247"/>
      <c r="S405" s="247"/>
      <c r="T405" s="247"/>
      <c r="U405" s="247"/>
    </row>
    <row r="406">
      <c r="A406" s="247"/>
      <c r="B406" s="247"/>
      <c r="C406" s="247"/>
      <c r="D406" s="247"/>
      <c r="E406" s="247"/>
      <c r="F406" s="247"/>
      <c r="G406" s="247"/>
      <c r="H406" s="247"/>
      <c r="I406" s="247"/>
      <c r="J406" s="247"/>
      <c r="K406" s="247"/>
      <c r="L406" s="247"/>
      <c r="M406" s="247"/>
      <c r="N406" s="247"/>
      <c r="O406" s="247"/>
      <c r="P406" s="247"/>
      <c r="Q406" s="247"/>
      <c r="R406" s="247"/>
      <c r="S406" s="247"/>
      <c r="T406" s="247"/>
      <c r="U406" s="247"/>
    </row>
    <row r="407">
      <c r="A407" s="247"/>
      <c r="B407" s="247"/>
      <c r="C407" s="247"/>
      <c r="D407" s="247"/>
      <c r="E407" s="247"/>
      <c r="F407" s="247"/>
      <c r="G407" s="247"/>
      <c r="H407" s="247"/>
      <c r="I407" s="247"/>
      <c r="J407" s="247"/>
      <c r="K407" s="247"/>
      <c r="L407" s="247"/>
      <c r="M407" s="247"/>
      <c r="N407" s="247"/>
      <c r="O407" s="247"/>
      <c r="P407" s="247"/>
      <c r="Q407" s="247"/>
      <c r="R407" s="247"/>
      <c r="S407" s="247"/>
      <c r="T407" s="247"/>
      <c r="U407" s="247"/>
    </row>
    <row r="408">
      <c r="A408" s="247"/>
      <c r="B408" s="247"/>
      <c r="C408" s="247"/>
      <c r="D408" s="247"/>
      <c r="E408" s="247"/>
      <c r="F408" s="247"/>
      <c r="G408" s="247"/>
      <c r="H408" s="247"/>
      <c r="I408" s="247"/>
      <c r="J408" s="247"/>
      <c r="K408" s="247"/>
      <c r="L408" s="247"/>
      <c r="M408" s="247"/>
      <c r="N408" s="247"/>
      <c r="O408" s="247"/>
      <c r="P408" s="247"/>
      <c r="Q408" s="247"/>
      <c r="R408" s="247"/>
      <c r="S408" s="247"/>
      <c r="T408" s="247"/>
      <c r="U408" s="247"/>
    </row>
    <row r="409">
      <c r="A409" s="247"/>
      <c r="B409" s="247"/>
      <c r="C409" s="247"/>
      <c r="D409" s="247"/>
      <c r="E409" s="247"/>
      <c r="F409" s="247"/>
      <c r="G409" s="247"/>
      <c r="H409" s="247"/>
      <c r="I409" s="247"/>
      <c r="J409" s="247"/>
      <c r="K409" s="247"/>
      <c r="L409" s="247"/>
      <c r="M409" s="247"/>
      <c r="N409" s="247"/>
      <c r="O409" s="247"/>
      <c r="P409" s="247"/>
      <c r="Q409" s="247"/>
      <c r="R409" s="247"/>
      <c r="S409" s="247"/>
      <c r="T409" s="247"/>
      <c r="U409" s="247"/>
    </row>
    <row r="410">
      <c r="A410" s="247"/>
      <c r="B410" s="247"/>
      <c r="C410" s="247"/>
      <c r="D410" s="247"/>
      <c r="E410" s="247"/>
      <c r="F410" s="247"/>
      <c r="G410" s="247"/>
      <c r="H410" s="247"/>
      <c r="I410" s="247"/>
      <c r="J410" s="247"/>
      <c r="K410" s="247"/>
      <c r="L410" s="247"/>
      <c r="M410" s="247"/>
      <c r="N410" s="247"/>
      <c r="O410" s="247"/>
      <c r="P410" s="247"/>
      <c r="Q410" s="247"/>
      <c r="R410" s="247"/>
      <c r="S410" s="247"/>
      <c r="T410" s="247"/>
      <c r="U410" s="247"/>
    </row>
    <row r="411">
      <c r="A411" s="247"/>
      <c r="B411" s="247"/>
      <c r="C411" s="247"/>
      <c r="D411" s="247"/>
      <c r="E411" s="247"/>
      <c r="F411" s="247"/>
      <c r="G411" s="247"/>
      <c r="H411" s="247"/>
      <c r="I411" s="247"/>
      <c r="J411" s="247"/>
      <c r="K411" s="247"/>
      <c r="L411" s="247"/>
      <c r="M411" s="247"/>
      <c r="N411" s="247"/>
      <c r="O411" s="247"/>
      <c r="P411" s="247"/>
      <c r="Q411" s="247"/>
      <c r="R411" s="247"/>
      <c r="S411" s="247"/>
      <c r="T411" s="247"/>
      <c r="U411" s="247"/>
    </row>
    <row r="412">
      <c r="A412" s="247"/>
      <c r="B412" s="247"/>
      <c r="C412" s="247"/>
      <c r="D412" s="247"/>
      <c r="E412" s="247"/>
      <c r="F412" s="247"/>
      <c r="G412" s="247"/>
      <c r="H412" s="247"/>
      <c r="I412" s="247"/>
      <c r="J412" s="247"/>
      <c r="K412" s="247"/>
      <c r="L412" s="247"/>
      <c r="M412" s="247"/>
      <c r="N412" s="247"/>
      <c r="O412" s="247"/>
      <c r="P412" s="247"/>
      <c r="Q412" s="247"/>
      <c r="R412" s="247"/>
      <c r="S412" s="247"/>
      <c r="T412" s="247"/>
      <c r="U412" s="247"/>
    </row>
    <row r="413">
      <c r="A413" s="247"/>
      <c r="B413" s="247"/>
      <c r="C413" s="247"/>
      <c r="D413" s="247"/>
      <c r="E413" s="247"/>
      <c r="F413" s="247"/>
      <c r="G413" s="247"/>
      <c r="H413" s="247"/>
      <c r="I413" s="247"/>
      <c r="J413" s="247"/>
      <c r="K413" s="247"/>
      <c r="L413" s="247"/>
      <c r="M413" s="247"/>
      <c r="N413" s="247"/>
      <c r="O413" s="247"/>
      <c r="P413" s="247"/>
      <c r="Q413" s="247"/>
      <c r="R413" s="247"/>
      <c r="S413" s="247"/>
      <c r="T413" s="247"/>
      <c r="U413" s="247"/>
    </row>
    <row r="414">
      <c r="A414" s="247"/>
      <c r="B414" s="247"/>
      <c r="C414" s="247"/>
      <c r="D414" s="247"/>
      <c r="E414" s="247"/>
      <c r="F414" s="247"/>
      <c r="G414" s="247"/>
      <c r="H414" s="247"/>
      <c r="I414" s="247"/>
      <c r="J414" s="247"/>
      <c r="K414" s="247"/>
      <c r="L414" s="247"/>
      <c r="M414" s="247"/>
      <c r="N414" s="247"/>
      <c r="O414" s="247"/>
      <c r="P414" s="247"/>
      <c r="Q414" s="247"/>
      <c r="R414" s="247"/>
      <c r="S414" s="247"/>
      <c r="T414" s="247"/>
      <c r="U414" s="247"/>
    </row>
    <row r="415">
      <c r="A415" s="247"/>
      <c r="B415" s="247"/>
      <c r="C415" s="247"/>
      <c r="D415" s="247"/>
      <c r="E415" s="247"/>
      <c r="F415" s="247"/>
      <c r="G415" s="247"/>
      <c r="H415" s="247"/>
      <c r="I415" s="247"/>
      <c r="J415" s="247"/>
      <c r="K415" s="247"/>
      <c r="L415" s="247"/>
      <c r="M415" s="247"/>
      <c r="N415" s="247"/>
      <c r="O415" s="247"/>
      <c r="P415" s="247"/>
      <c r="Q415" s="247"/>
      <c r="R415" s="247"/>
      <c r="S415" s="247"/>
      <c r="T415" s="247"/>
      <c r="U415" s="247"/>
    </row>
    <row r="416">
      <c r="A416" s="247"/>
      <c r="B416" s="247"/>
      <c r="C416" s="247"/>
      <c r="D416" s="247"/>
      <c r="E416" s="247"/>
      <c r="F416" s="247"/>
      <c r="G416" s="247"/>
      <c r="H416" s="247"/>
      <c r="I416" s="247"/>
      <c r="J416" s="247"/>
      <c r="K416" s="247"/>
      <c r="L416" s="247"/>
      <c r="M416" s="247"/>
      <c r="N416" s="247"/>
      <c r="O416" s="247"/>
      <c r="P416" s="247"/>
      <c r="Q416" s="247"/>
      <c r="R416" s="247"/>
      <c r="S416" s="247"/>
      <c r="T416" s="247"/>
      <c r="U416" s="247"/>
    </row>
    <row r="417">
      <c r="A417" s="247"/>
      <c r="B417" s="247"/>
      <c r="C417" s="247"/>
      <c r="D417" s="247"/>
      <c r="E417" s="247"/>
      <c r="F417" s="247"/>
      <c r="G417" s="247"/>
      <c r="H417" s="247"/>
      <c r="I417" s="247"/>
      <c r="J417" s="247"/>
      <c r="K417" s="247"/>
      <c r="L417" s="247"/>
      <c r="M417" s="247"/>
      <c r="N417" s="247"/>
      <c r="O417" s="247"/>
      <c r="P417" s="247"/>
      <c r="Q417" s="247"/>
      <c r="R417" s="247"/>
      <c r="S417" s="247"/>
      <c r="T417" s="247"/>
      <c r="U417" s="247"/>
    </row>
    <row r="418">
      <c r="A418" s="247"/>
      <c r="B418" s="247"/>
      <c r="C418" s="247"/>
      <c r="D418" s="247"/>
      <c r="E418" s="247"/>
      <c r="F418" s="247"/>
      <c r="G418" s="247"/>
      <c r="H418" s="247"/>
      <c r="I418" s="247"/>
      <c r="J418" s="247"/>
      <c r="K418" s="247"/>
      <c r="L418" s="247"/>
      <c r="M418" s="247"/>
      <c r="N418" s="247"/>
      <c r="O418" s="247"/>
      <c r="P418" s="247"/>
      <c r="Q418" s="247"/>
      <c r="R418" s="247"/>
      <c r="S418" s="247"/>
      <c r="T418" s="247"/>
      <c r="U418" s="247"/>
    </row>
    <row r="419">
      <c r="A419" s="247"/>
      <c r="B419" s="247"/>
      <c r="C419" s="247"/>
      <c r="D419" s="247"/>
      <c r="E419" s="247"/>
      <c r="F419" s="247"/>
      <c r="G419" s="247"/>
      <c r="H419" s="247"/>
      <c r="I419" s="247"/>
      <c r="J419" s="247"/>
      <c r="K419" s="247"/>
      <c r="L419" s="247"/>
      <c r="M419" s="247"/>
      <c r="N419" s="247"/>
      <c r="O419" s="247"/>
      <c r="P419" s="247"/>
      <c r="Q419" s="247"/>
      <c r="R419" s="247"/>
      <c r="S419" s="247"/>
      <c r="T419" s="247"/>
      <c r="U419" s="247"/>
    </row>
    <row r="420">
      <c r="A420" s="247"/>
      <c r="B420" s="247"/>
      <c r="C420" s="247"/>
      <c r="D420" s="247"/>
      <c r="E420" s="247"/>
      <c r="F420" s="247"/>
      <c r="G420" s="247"/>
      <c r="H420" s="247"/>
      <c r="I420" s="247"/>
      <c r="J420" s="247"/>
      <c r="K420" s="247"/>
      <c r="L420" s="247"/>
      <c r="M420" s="247"/>
      <c r="N420" s="247"/>
      <c r="O420" s="247"/>
      <c r="P420" s="247"/>
      <c r="Q420" s="247"/>
      <c r="R420" s="247"/>
      <c r="S420" s="247"/>
      <c r="T420" s="247"/>
      <c r="U420" s="247"/>
    </row>
    <row r="421">
      <c r="A421" s="247"/>
      <c r="B421" s="247"/>
      <c r="C421" s="247"/>
      <c r="D421" s="247"/>
      <c r="E421" s="247"/>
      <c r="F421" s="247"/>
      <c r="G421" s="247"/>
      <c r="H421" s="247"/>
      <c r="I421" s="247"/>
      <c r="J421" s="247"/>
      <c r="K421" s="247"/>
      <c r="L421" s="247"/>
      <c r="M421" s="247"/>
      <c r="N421" s="247"/>
      <c r="O421" s="247"/>
      <c r="P421" s="247"/>
      <c r="Q421" s="247"/>
      <c r="R421" s="247"/>
      <c r="S421" s="247"/>
      <c r="T421" s="247"/>
      <c r="U421" s="247"/>
    </row>
    <row r="422">
      <c r="A422" s="247"/>
      <c r="B422" s="247"/>
      <c r="C422" s="247"/>
      <c r="D422" s="247"/>
      <c r="E422" s="247"/>
      <c r="F422" s="247"/>
      <c r="G422" s="247"/>
      <c r="H422" s="247"/>
      <c r="I422" s="247"/>
      <c r="J422" s="247"/>
      <c r="K422" s="247"/>
      <c r="L422" s="247"/>
      <c r="M422" s="247"/>
      <c r="N422" s="247"/>
      <c r="O422" s="247"/>
      <c r="P422" s="247"/>
      <c r="Q422" s="247"/>
      <c r="R422" s="247"/>
      <c r="S422" s="247"/>
      <c r="T422" s="247"/>
      <c r="U422" s="247"/>
    </row>
    <row r="423">
      <c r="A423" s="247"/>
      <c r="B423" s="247"/>
      <c r="C423" s="247"/>
      <c r="D423" s="247"/>
      <c r="E423" s="247"/>
      <c r="F423" s="247"/>
      <c r="G423" s="247"/>
      <c r="H423" s="247"/>
      <c r="I423" s="247"/>
      <c r="J423" s="247"/>
      <c r="K423" s="247"/>
      <c r="L423" s="247"/>
      <c r="M423" s="247"/>
      <c r="N423" s="247"/>
      <c r="O423" s="247"/>
      <c r="P423" s="247"/>
      <c r="Q423" s="247"/>
      <c r="R423" s="247"/>
      <c r="S423" s="247"/>
      <c r="T423" s="247"/>
      <c r="U423" s="247"/>
    </row>
    <row r="424">
      <c r="A424" s="247"/>
      <c r="B424" s="247"/>
      <c r="C424" s="247"/>
      <c r="D424" s="247"/>
      <c r="E424" s="247"/>
      <c r="F424" s="247"/>
      <c r="G424" s="247"/>
      <c r="H424" s="247"/>
      <c r="I424" s="247"/>
      <c r="J424" s="247"/>
      <c r="K424" s="247"/>
      <c r="L424" s="247"/>
      <c r="M424" s="247"/>
      <c r="N424" s="247"/>
      <c r="O424" s="247"/>
      <c r="P424" s="247"/>
      <c r="Q424" s="247"/>
      <c r="R424" s="247"/>
      <c r="S424" s="247"/>
      <c r="T424" s="247"/>
      <c r="U424" s="247"/>
    </row>
    <row r="425">
      <c r="A425" s="247"/>
      <c r="B425" s="247"/>
      <c r="C425" s="247"/>
      <c r="D425" s="247"/>
      <c r="E425" s="247"/>
      <c r="F425" s="247"/>
      <c r="G425" s="247"/>
      <c r="H425" s="247"/>
      <c r="I425" s="247"/>
      <c r="J425" s="247"/>
      <c r="K425" s="247"/>
      <c r="L425" s="247"/>
      <c r="M425" s="247"/>
      <c r="N425" s="247"/>
      <c r="O425" s="247"/>
      <c r="P425" s="247"/>
      <c r="Q425" s="247"/>
      <c r="R425" s="247"/>
      <c r="S425" s="247"/>
      <c r="T425" s="247"/>
      <c r="U425" s="247"/>
    </row>
    <row r="426">
      <c r="A426" s="247"/>
      <c r="B426" s="247"/>
      <c r="C426" s="247"/>
      <c r="D426" s="247"/>
      <c r="E426" s="247"/>
      <c r="F426" s="247"/>
      <c r="G426" s="247"/>
      <c r="H426" s="247"/>
      <c r="I426" s="247"/>
      <c r="J426" s="247"/>
      <c r="K426" s="247"/>
      <c r="L426" s="247"/>
      <c r="M426" s="247"/>
      <c r="N426" s="247"/>
      <c r="O426" s="247"/>
      <c r="P426" s="247"/>
      <c r="Q426" s="247"/>
      <c r="R426" s="247"/>
      <c r="S426" s="247"/>
      <c r="T426" s="247"/>
      <c r="U426" s="247"/>
    </row>
    <row r="427">
      <c r="A427" s="247"/>
      <c r="B427" s="247"/>
      <c r="C427" s="247"/>
      <c r="D427" s="247"/>
      <c r="E427" s="247"/>
      <c r="F427" s="247"/>
      <c r="G427" s="247"/>
      <c r="H427" s="247"/>
      <c r="I427" s="247"/>
      <c r="J427" s="247"/>
      <c r="K427" s="247"/>
      <c r="L427" s="247"/>
      <c r="M427" s="247"/>
      <c r="N427" s="247"/>
      <c r="O427" s="247"/>
      <c r="P427" s="247"/>
      <c r="Q427" s="247"/>
      <c r="R427" s="247"/>
      <c r="S427" s="247"/>
      <c r="T427" s="247"/>
      <c r="U427" s="247"/>
    </row>
    <row r="428">
      <c r="A428" s="247"/>
      <c r="B428" s="247"/>
      <c r="C428" s="247"/>
      <c r="D428" s="247"/>
      <c r="E428" s="247"/>
      <c r="F428" s="247"/>
      <c r="G428" s="247"/>
      <c r="H428" s="247"/>
      <c r="I428" s="247"/>
      <c r="J428" s="247"/>
      <c r="K428" s="247"/>
      <c r="L428" s="247"/>
      <c r="M428" s="247"/>
      <c r="N428" s="247"/>
      <c r="O428" s="247"/>
      <c r="P428" s="247"/>
      <c r="Q428" s="247"/>
      <c r="R428" s="247"/>
      <c r="S428" s="247"/>
      <c r="T428" s="247"/>
      <c r="U428" s="247"/>
    </row>
    <row r="429">
      <c r="A429" s="247"/>
      <c r="B429" s="247"/>
      <c r="C429" s="247"/>
      <c r="D429" s="247"/>
      <c r="E429" s="247"/>
      <c r="F429" s="247"/>
      <c r="G429" s="247"/>
      <c r="H429" s="247"/>
      <c r="I429" s="247"/>
      <c r="J429" s="247"/>
      <c r="K429" s="247"/>
      <c r="L429" s="247"/>
      <c r="M429" s="247"/>
      <c r="N429" s="247"/>
      <c r="O429" s="247"/>
      <c r="P429" s="247"/>
      <c r="Q429" s="247"/>
      <c r="R429" s="247"/>
      <c r="S429" s="247"/>
      <c r="T429" s="247"/>
      <c r="U429" s="247"/>
    </row>
    <row r="430">
      <c r="A430" s="247"/>
      <c r="B430" s="247"/>
      <c r="C430" s="247"/>
      <c r="D430" s="247"/>
      <c r="E430" s="247"/>
      <c r="F430" s="247"/>
      <c r="G430" s="247"/>
      <c r="H430" s="247"/>
      <c r="I430" s="247"/>
      <c r="J430" s="247"/>
      <c r="K430" s="247"/>
      <c r="L430" s="247"/>
      <c r="M430" s="247"/>
      <c r="N430" s="247"/>
      <c r="O430" s="247"/>
      <c r="P430" s="247"/>
      <c r="Q430" s="247"/>
      <c r="R430" s="247"/>
      <c r="S430" s="247"/>
      <c r="T430" s="247"/>
      <c r="U430" s="247"/>
    </row>
    <row r="431">
      <c r="A431" s="247"/>
      <c r="B431" s="247"/>
      <c r="C431" s="247"/>
      <c r="D431" s="247"/>
      <c r="E431" s="247"/>
      <c r="F431" s="247"/>
      <c r="G431" s="247"/>
      <c r="H431" s="247"/>
      <c r="I431" s="247"/>
      <c r="J431" s="247"/>
      <c r="K431" s="247"/>
      <c r="L431" s="247"/>
      <c r="M431" s="247"/>
      <c r="N431" s="247"/>
      <c r="O431" s="247"/>
      <c r="P431" s="247"/>
      <c r="Q431" s="247"/>
      <c r="R431" s="247"/>
      <c r="S431" s="247"/>
      <c r="T431" s="247"/>
      <c r="U431" s="247"/>
    </row>
    <row r="432">
      <c r="A432" s="247"/>
      <c r="B432" s="247"/>
      <c r="C432" s="247"/>
      <c r="D432" s="247"/>
      <c r="E432" s="247"/>
      <c r="F432" s="247"/>
      <c r="G432" s="247"/>
      <c r="H432" s="247"/>
      <c r="I432" s="247"/>
      <c r="J432" s="247"/>
      <c r="K432" s="247"/>
      <c r="L432" s="247"/>
      <c r="M432" s="247"/>
      <c r="N432" s="247"/>
      <c r="O432" s="247"/>
      <c r="P432" s="247"/>
      <c r="Q432" s="247"/>
      <c r="R432" s="247"/>
      <c r="S432" s="247"/>
      <c r="T432" s="247"/>
      <c r="U432" s="247"/>
    </row>
    <row r="433">
      <c r="A433" s="247"/>
      <c r="B433" s="247"/>
      <c r="C433" s="247"/>
      <c r="D433" s="247"/>
      <c r="E433" s="247"/>
      <c r="F433" s="247"/>
      <c r="G433" s="247"/>
      <c r="H433" s="247"/>
      <c r="I433" s="247"/>
      <c r="J433" s="247"/>
      <c r="K433" s="247"/>
      <c r="L433" s="247"/>
      <c r="M433" s="247"/>
      <c r="N433" s="247"/>
      <c r="O433" s="247"/>
      <c r="P433" s="247"/>
      <c r="Q433" s="247"/>
      <c r="R433" s="247"/>
      <c r="S433" s="247"/>
      <c r="T433" s="247"/>
      <c r="U433" s="247"/>
    </row>
    <row r="434">
      <c r="A434" s="247"/>
      <c r="B434" s="247"/>
      <c r="C434" s="247"/>
      <c r="D434" s="247"/>
      <c r="E434" s="247"/>
      <c r="F434" s="247"/>
      <c r="G434" s="247"/>
      <c r="H434" s="247"/>
      <c r="I434" s="247"/>
      <c r="J434" s="247"/>
      <c r="K434" s="247"/>
      <c r="L434" s="247"/>
      <c r="M434" s="247"/>
      <c r="N434" s="247"/>
      <c r="O434" s="247"/>
      <c r="P434" s="247"/>
      <c r="Q434" s="247"/>
      <c r="R434" s="247"/>
      <c r="S434" s="247"/>
      <c r="T434" s="247"/>
      <c r="U434" s="247"/>
    </row>
    <row r="435">
      <c r="A435" s="247"/>
      <c r="B435" s="247"/>
      <c r="C435" s="247"/>
      <c r="D435" s="247"/>
      <c r="E435" s="247"/>
      <c r="F435" s="247"/>
      <c r="G435" s="247"/>
      <c r="H435" s="247"/>
      <c r="I435" s="247"/>
      <c r="J435" s="247"/>
      <c r="K435" s="247"/>
      <c r="L435" s="247"/>
      <c r="M435" s="247"/>
      <c r="N435" s="247"/>
      <c r="O435" s="247"/>
      <c r="P435" s="247"/>
      <c r="Q435" s="247"/>
      <c r="R435" s="247"/>
      <c r="S435" s="247"/>
      <c r="T435" s="247"/>
      <c r="U435" s="247"/>
    </row>
    <row r="436">
      <c r="A436" s="247"/>
      <c r="B436" s="247"/>
      <c r="C436" s="247"/>
      <c r="D436" s="247"/>
      <c r="E436" s="247"/>
      <c r="F436" s="247"/>
      <c r="G436" s="247"/>
      <c r="H436" s="247"/>
      <c r="I436" s="247"/>
      <c r="J436" s="247"/>
      <c r="K436" s="247"/>
      <c r="L436" s="247"/>
      <c r="M436" s="247"/>
      <c r="N436" s="247"/>
      <c r="O436" s="247"/>
      <c r="P436" s="247"/>
      <c r="Q436" s="247"/>
      <c r="R436" s="247"/>
      <c r="S436" s="247"/>
      <c r="T436" s="247"/>
      <c r="U436" s="247"/>
    </row>
    <row r="437">
      <c r="A437" s="247"/>
      <c r="B437" s="247"/>
      <c r="C437" s="247"/>
      <c r="D437" s="247"/>
      <c r="E437" s="247"/>
      <c r="F437" s="247"/>
      <c r="G437" s="247"/>
      <c r="H437" s="247"/>
      <c r="I437" s="247"/>
      <c r="J437" s="247"/>
      <c r="K437" s="247"/>
      <c r="L437" s="247"/>
      <c r="M437" s="247"/>
      <c r="N437" s="247"/>
      <c r="O437" s="247"/>
      <c r="P437" s="247"/>
      <c r="Q437" s="247"/>
      <c r="R437" s="247"/>
      <c r="S437" s="247"/>
      <c r="T437" s="247"/>
      <c r="U437" s="247"/>
    </row>
    <row r="438">
      <c r="A438" s="247"/>
      <c r="B438" s="247"/>
      <c r="C438" s="247"/>
      <c r="D438" s="247"/>
      <c r="E438" s="247"/>
      <c r="F438" s="247"/>
      <c r="G438" s="247"/>
      <c r="H438" s="247"/>
      <c r="I438" s="247"/>
      <c r="J438" s="247"/>
      <c r="K438" s="247"/>
      <c r="L438" s="247"/>
      <c r="M438" s="247"/>
      <c r="N438" s="247"/>
      <c r="O438" s="247"/>
      <c r="P438" s="247"/>
      <c r="Q438" s="247"/>
      <c r="R438" s="247"/>
      <c r="S438" s="247"/>
      <c r="T438" s="247"/>
      <c r="U438" s="247"/>
    </row>
    <row r="439">
      <c r="A439" s="247"/>
      <c r="B439" s="247"/>
      <c r="C439" s="247"/>
      <c r="D439" s="247"/>
      <c r="E439" s="247"/>
      <c r="F439" s="247"/>
      <c r="G439" s="247"/>
      <c r="H439" s="247"/>
      <c r="I439" s="247"/>
      <c r="J439" s="247"/>
      <c r="K439" s="247"/>
      <c r="L439" s="247"/>
      <c r="M439" s="247"/>
      <c r="N439" s="247"/>
      <c r="O439" s="247"/>
      <c r="P439" s="247"/>
      <c r="Q439" s="247"/>
      <c r="R439" s="247"/>
      <c r="S439" s="247"/>
      <c r="T439" s="247"/>
      <c r="U439" s="247"/>
    </row>
    <row r="440">
      <c r="A440" s="247"/>
      <c r="B440" s="247"/>
      <c r="C440" s="247"/>
      <c r="D440" s="247"/>
      <c r="E440" s="247"/>
      <c r="F440" s="247"/>
      <c r="G440" s="247"/>
      <c r="H440" s="247"/>
      <c r="I440" s="247"/>
      <c r="J440" s="247"/>
      <c r="K440" s="247"/>
      <c r="L440" s="247"/>
      <c r="M440" s="247"/>
      <c r="N440" s="247"/>
      <c r="O440" s="247"/>
      <c r="P440" s="247"/>
      <c r="Q440" s="247"/>
      <c r="R440" s="247"/>
      <c r="S440" s="247"/>
      <c r="T440" s="247"/>
      <c r="U440" s="247"/>
    </row>
    <row r="441">
      <c r="A441" s="247"/>
      <c r="B441" s="247"/>
      <c r="C441" s="247"/>
      <c r="D441" s="247"/>
      <c r="E441" s="247"/>
      <c r="F441" s="247"/>
      <c r="G441" s="247"/>
      <c r="H441" s="247"/>
      <c r="I441" s="247"/>
      <c r="J441" s="247"/>
      <c r="K441" s="247"/>
      <c r="L441" s="247"/>
      <c r="M441" s="247"/>
      <c r="N441" s="247"/>
      <c r="O441" s="247"/>
      <c r="P441" s="247"/>
      <c r="Q441" s="247"/>
      <c r="R441" s="247"/>
      <c r="S441" s="247"/>
      <c r="T441" s="247"/>
      <c r="U441" s="247"/>
    </row>
    <row r="442">
      <c r="A442" s="247"/>
      <c r="B442" s="247"/>
      <c r="C442" s="247"/>
      <c r="D442" s="247"/>
      <c r="E442" s="247"/>
      <c r="F442" s="247"/>
      <c r="G442" s="247"/>
      <c r="H442" s="247"/>
      <c r="I442" s="247"/>
      <c r="J442" s="247"/>
      <c r="K442" s="247"/>
      <c r="L442" s="247"/>
      <c r="M442" s="247"/>
      <c r="N442" s="247"/>
      <c r="O442" s="247"/>
      <c r="P442" s="247"/>
      <c r="Q442" s="247"/>
      <c r="R442" s="247"/>
      <c r="S442" s="247"/>
      <c r="T442" s="247"/>
      <c r="U442" s="247"/>
    </row>
    <row r="443">
      <c r="A443" s="247"/>
      <c r="B443" s="247"/>
      <c r="C443" s="247"/>
      <c r="D443" s="247"/>
      <c r="E443" s="247"/>
      <c r="F443" s="247"/>
      <c r="G443" s="247"/>
      <c r="H443" s="247"/>
      <c r="I443" s="247"/>
      <c r="J443" s="247"/>
      <c r="K443" s="247"/>
      <c r="L443" s="247"/>
      <c r="M443" s="247"/>
      <c r="N443" s="247"/>
      <c r="O443" s="247"/>
      <c r="P443" s="247"/>
      <c r="Q443" s="247"/>
      <c r="R443" s="247"/>
      <c r="S443" s="247"/>
      <c r="T443" s="247"/>
      <c r="U443" s="247"/>
    </row>
    <row r="444">
      <c r="A444" s="247"/>
      <c r="B444" s="247"/>
      <c r="C444" s="247"/>
      <c r="D444" s="247"/>
      <c r="E444" s="247"/>
      <c r="F444" s="247"/>
      <c r="G444" s="247"/>
      <c r="H444" s="247"/>
      <c r="I444" s="247"/>
      <c r="J444" s="247"/>
      <c r="K444" s="247"/>
      <c r="L444" s="247"/>
      <c r="M444" s="247"/>
      <c r="N444" s="247"/>
      <c r="O444" s="247"/>
      <c r="P444" s="247"/>
      <c r="Q444" s="247"/>
      <c r="R444" s="247"/>
      <c r="S444" s="247"/>
      <c r="T444" s="247"/>
      <c r="U444" s="247"/>
    </row>
    <row r="445">
      <c r="A445" s="247"/>
      <c r="B445" s="247"/>
      <c r="C445" s="247"/>
      <c r="D445" s="247"/>
      <c r="E445" s="247"/>
      <c r="F445" s="247"/>
      <c r="G445" s="247"/>
      <c r="H445" s="247"/>
      <c r="I445" s="247"/>
      <c r="J445" s="247"/>
      <c r="K445" s="247"/>
      <c r="L445" s="247"/>
      <c r="M445" s="247"/>
      <c r="N445" s="247"/>
      <c r="O445" s="247"/>
      <c r="P445" s="247"/>
      <c r="Q445" s="247"/>
      <c r="R445" s="247"/>
      <c r="S445" s="247"/>
      <c r="T445" s="247"/>
      <c r="U445" s="247"/>
    </row>
    <row r="446">
      <c r="A446" s="247"/>
      <c r="B446" s="247"/>
      <c r="C446" s="247"/>
      <c r="D446" s="247"/>
      <c r="E446" s="247"/>
      <c r="F446" s="247"/>
      <c r="G446" s="247"/>
      <c r="H446" s="247"/>
      <c r="I446" s="247"/>
      <c r="J446" s="247"/>
      <c r="K446" s="247"/>
      <c r="L446" s="247"/>
      <c r="M446" s="247"/>
      <c r="N446" s="247"/>
      <c r="O446" s="247"/>
      <c r="P446" s="247"/>
      <c r="Q446" s="247"/>
      <c r="R446" s="247"/>
      <c r="S446" s="247"/>
      <c r="T446" s="247"/>
      <c r="U446" s="247"/>
    </row>
    <row r="447">
      <c r="A447" s="247"/>
      <c r="B447" s="247"/>
      <c r="C447" s="247"/>
      <c r="D447" s="247"/>
      <c r="E447" s="247"/>
      <c r="F447" s="247"/>
      <c r="G447" s="247"/>
      <c r="H447" s="247"/>
      <c r="I447" s="247"/>
      <c r="J447" s="247"/>
      <c r="K447" s="247"/>
      <c r="L447" s="247"/>
      <c r="M447" s="247"/>
      <c r="N447" s="247"/>
      <c r="O447" s="247"/>
      <c r="P447" s="247"/>
      <c r="Q447" s="247"/>
      <c r="R447" s="247"/>
      <c r="S447" s="247"/>
      <c r="T447" s="247"/>
      <c r="U447" s="247"/>
    </row>
    <row r="448">
      <c r="A448" s="247"/>
      <c r="B448" s="247"/>
      <c r="C448" s="247"/>
      <c r="D448" s="247"/>
      <c r="E448" s="247"/>
      <c r="F448" s="247"/>
      <c r="G448" s="247"/>
      <c r="H448" s="247"/>
      <c r="I448" s="247"/>
      <c r="J448" s="247"/>
      <c r="K448" s="247"/>
      <c r="L448" s="247"/>
      <c r="M448" s="247"/>
      <c r="N448" s="247"/>
      <c r="O448" s="247"/>
      <c r="P448" s="247"/>
      <c r="Q448" s="247"/>
      <c r="R448" s="247"/>
      <c r="S448" s="247"/>
      <c r="T448" s="247"/>
      <c r="U448" s="247"/>
    </row>
    <row r="449">
      <c r="A449" s="247"/>
      <c r="B449" s="247"/>
      <c r="C449" s="247"/>
      <c r="D449" s="247"/>
      <c r="E449" s="247"/>
      <c r="F449" s="247"/>
      <c r="G449" s="247"/>
      <c r="H449" s="247"/>
      <c r="I449" s="247"/>
      <c r="J449" s="247"/>
      <c r="K449" s="247"/>
      <c r="L449" s="247"/>
      <c r="M449" s="247"/>
      <c r="N449" s="247"/>
      <c r="O449" s="247"/>
      <c r="P449" s="247"/>
      <c r="Q449" s="247"/>
      <c r="R449" s="247"/>
      <c r="S449" s="247"/>
      <c r="T449" s="247"/>
      <c r="U449" s="247"/>
    </row>
    <row r="450">
      <c r="A450" s="247"/>
      <c r="B450" s="247"/>
      <c r="C450" s="247"/>
      <c r="D450" s="247"/>
      <c r="E450" s="247"/>
      <c r="F450" s="247"/>
      <c r="G450" s="247"/>
      <c r="H450" s="247"/>
      <c r="I450" s="247"/>
      <c r="J450" s="247"/>
      <c r="K450" s="247"/>
      <c r="L450" s="247"/>
      <c r="M450" s="247"/>
      <c r="N450" s="247"/>
      <c r="O450" s="247"/>
      <c r="P450" s="247"/>
      <c r="Q450" s="247"/>
      <c r="R450" s="247"/>
      <c r="S450" s="247"/>
      <c r="T450" s="247"/>
      <c r="U450" s="247"/>
    </row>
    <row r="451">
      <c r="A451" s="247"/>
      <c r="B451" s="247"/>
      <c r="C451" s="247"/>
      <c r="D451" s="247"/>
      <c r="E451" s="247"/>
      <c r="F451" s="247"/>
      <c r="G451" s="247"/>
      <c r="H451" s="247"/>
      <c r="I451" s="247"/>
      <c r="J451" s="247"/>
      <c r="K451" s="247"/>
      <c r="L451" s="247"/>
      <c r="M451" s="247"/>
      <c r="N451" s="247"/>
      <c r="O451" s="247"/>
      <c r="P451" s="247"/>
      <c r="Q451" s="247"/>
      <c r="R451" s="247"/>
      <c r="S451" s="247"/>
      <c r="T451" s="247"/>
      <c r="U451" s="247"/>
    </row>
    <row r="452">
      <c r="A452" s="247"/>
      <c r="B452" s="247"/>
      <c r="C452" s="247"/>
      <c r="D452" s="247"/>
      <c r="E452" s="247"/>
      <c r="F452" s="247"/>
      <c r="G452" s="247"/>
      <c r="H452" s="247"/>
      <c r="I452" s="247"/>
      <c r="J452" s="247"/>
      <c r="K452" s="247"/>
      <c r="L452" s="247"/>
      <c r="M452" s="247"/>
      <c r="N452" s="247"/>
      <c r="O452" s="247"/>
      <c r="P452" s="247"/>
      <c r="Q452" s="247"/>
      <c r="R452" s="247"/>
      <c r="S452" s="247"/>
      <c r="T452" s="247"/>
      <c r="U452" s="247"/>
    </row>
    <row r="453">
      <c r="A453" s="247"/>
      <c r="B453" s="247"/>
      <c r="C453" s="247"/>
      <c r="D453" s="247"/>
      <c r="E453" s="247"/>
      <c r="F453" s="247"/>
      <c r="G453" s="247"/>
      <c r="H453" s="247"/>
      <c r="I453" s="247"/>
      <c r="J453" s="247"/>
      <c r="K453" s="247"/>
      <c r="L453" s="247"/>
      <c r="M453" s="247"/>
      <c r="N453" s="247"/>
      <c r="O453" s="247"/>
      <c r="P453" s="247"/>
      <c r="Q453" s="247"/>
      <c r="R453" s="247"/>
      <c r="S453" s="247"/>
      <c r="T453" s="247"/>
      <c r="U453" s="247"/>
    </row>
    <row r="454">
      <c r="A454" s="247"/>
      <c r="B454" s="247"/>
      <c r="C454" s="247"/>
      <c r="D454" s="247"/>
      <c r="E454" s="247"/>
      <c r="F454" s="247"/>
      <c r="G454" s="247"/>
      <c r="H454" s="247"/>
      <c r="I454" s="247"/>
      <c r="J454" s="247"/>
      <c r="K454" s="247"/>
      <c r="L454" s="247"/>
      <c r="M454" s="247"/>
      <c r="N454" s="247"/>
      <c r="O454" s="247"/>
      <c r="P454" s="247"/>
      <c r="Q454" s="247"/>
      <c r="R454" s="247"/>
      <c r="S454" s="247"/>
      <c r="T454" s="247"/>
      <c r="U454" s="247"/>
    </row>
    <row r="455">
      <c r="A455" s="247"/>
      <c r="B455" s="247"/>
      <c r="C455" s="247"/>
      <c r="D455" s="247"/>
      <c r="E455" s="247"/>
      <c r="F455" s="247"/>
      <c r="G455" s="247"/>
      <c r="H455" s="247"/>
      <c r="I455" s="247"/>
      <c r="J455" s="247"/>
      <c r="K455" s="247"/>
      <c r="L455" s="247"/>
      <c r="M455" s="247"/>
      <c r="N455" s="247"/>
      <c r="O455" s="247"/>
      <c r="P455" s="247"/>
      <c r="Q455" s="247"/>
      <c r="R455" s="247"/>
      <c r="S455" s="247"/>
      <c r="T455" s="247"/>
      <c r="U455" s="247"/>
    </row>
    <row r="456">
      <c r="A456" s="247"/>
      <c r="B456" s="247"/>
      <c r="C456" s="247"/>
      <c r="D456" s="247"/>
      <c r="E456" s="247"/>
      <c r="F456" s="247"/>
      <c r="G456" s="247"/>
      <c r="H456" s="247"/>
      <c r="I456" s="247"/>
      <c r="J456" s="247"/>
      <c r="K456" s="247"/>
      <c r="L456" s="247"/>
      <c r="M456" s="247"/>
      <c r="N456" s="247"/>
      <c r="O456" s="247"/>
      <c r="P456" s="247"/>
      <c r="Q456" s="247"/>
      <c r="R456" s="247"/>
      <c r="S456" s="247"/>
      <c r="T456" s="247"/>
      <c r="U456" s="247"/>
    </row>
    <row r="457">
      <c r="A457" s="247"/>
      <c r="B457" s="247"/>
      <c r="C457" s="247"/>
      <c r="D457" s="247"/>
      <c r="E457" s="247"/>
      <c r="F457" s="247"/>
      <c r="G457" s="247"/>
      <c r="H457" s="247"/>
      <c r="I457" s="247"/>
      <c r="J457" s="247"/>
      <c r="K457" s="247"/>
      <c r="L457" s="247"/>
      <c r="M457" s="247"/>
      <c r="N457" s="247"/>
      <c r="O457" s="247"/>
      <c r="P457" s="247"/>
      <c r="Q457" s="247"/>
      <c r="R457" s="247"/>
      <c r="S457" s="247"/>
      <c r="T457" s="247"/>
      <c r="U457" s="247"/>
    </row>
    <row r="458">
      <c r="A458" s="247"/>
      <c r="B458" s="247"/>
      <c r="C458" s="247"/>
      <c r="D458" s="247"/>
      <c r="E458" s="247"/>
      <c r="F458" s="247"/>
      <c r="G458" s="247"/>
      <c r="H458" s="247"/>
      <c r="I458" s="247"/>
      <c r="J458" s="247"/>
      <c r="K458" s="247"/>
      <c r="L458" s="247"/>
      <c r="M458" s="247"/>
      <c r="N458" s="247"/>
      <c r="O458" s="247"/>
      <c r="P458" s="247"/>
      <c r="Q458" s="247"/>
      <c r="R458" s="247"/>
      <c r="S458" s="247"/>
      <c r="T458" s="247"/>
      <c r="U458" s="247"/>
    </row>
    <row r="459">
      <c r="A459" s="247"/>
      <c r="B459" s="247"/>
      <c r="C459" s="247"/>
      <c r="D459" s="247"/>
      <c r="E459" s="247"/>
      <c r="F459" s="247"/>
      <c r="G459" s="247"/>
      <c r="H459" s="247"/>
      <c r="I459" s="247"/>
      <c r="J459" s="247"/>
      <c r="K459" s="247"/>
      <c r="L459" s="247"/>
      <c r="M459" s="247"/>
      <c r="N459" s="247"/>
      <c r="O459" s="247"/>
      <c r="P459" s="247"/>
      <c r="Q459" s="247"/>
      <c r="R459" s="247"/>
      <c r="S459" s="247"/>
      <c r="T459" s="247"/>
      <c r="U459" s="247"/>
    </row>
    <row r="460">
      <c r="A460" s="247"/>
      <c r="B460" s="247"/>
      <c r="C460" s="247"/>
      <c r="D460" s="247"/>
      <c r="E460" s="247"/>
      <c r="F460" s="247"/>
      <c r="G460" s="247"/>
      <c r="H460" s="247"/>
      <c r="I460" s="247"/>
      <c r="J460" s="247"/>
      <c r="K460" s="247"/>
      <c r="L460" s="247"/>
      <c r="M460" s="247"/>
      <c r="N460" s="247"/>
      <c r="O460" s="247"/>
      <c r="P460" s="247"/>
      <c r="Q460" s="247"/>
      <c r="R460" s="247"/>
      <c r="S460" s="247"/>
      <c r="T460" s="247"/>
      <c r="U460" s="247"/>
    </row>
    <row r="461">
      <c r="A461" s="247"/>
      <c r="B461" s="247"/>
      <c r="C461" s="247"/>
      <c r="D461" s="247"/>
      <c r="E461" s="247"/>
      <c r="F461" s="247"/>
      <c r="G461" s="247"/>
      <c r="H461" s="247"/>
      <c r="I461" s="247"/>
      <c r="J461" s="247"/>
      <c r="K461" s="247"/>
      <c r="L461" s="247"/>
      <c r="M461" s="247"/>
      <c r="N461" s="247"/>
      <c r="O461" s="247"/>
      <c r="P461" s="247"/>
      <c r="Q461" s="247"/>
      <c r="R461" s="247"/>
      <c r="S461" s="247"/>
      <c r="T461" s="247"/>
      <c r="U461" s="247"/>
    </row>
    <row r="462">
      <c r="A462" s="247"/>
      <c r="B462" s="247"/>
      <c r="C462" s="247"/>
      <c r="D462" s="247"/>
      <c r="E462" s="247"/>
      <c r="F462" s="247"/>
      <c r="G462" s="247"/>
      <c r="H462" s="247"/>
      <c r="I462" s="247"/>
      <c r="J462" s="247"/>
      <c r="K462" s="247"/>
      <c r="L462" s="247"/>
      <c r="M462" s="247"/>
      <c r="N462" s="247"/>
      <c r="O462" s="247"/>
      <c r="P462" s="247"/>
      <c r="Q462" s="247"/>
      <c r="R462" s="247"/>
      <c r="S462" s="247"/>
      <c r="T462" s="247"/>
      <c r="U462" s="247"/>
    </row>
    <row r="463">
      <c r="A463" s="247"/>
      <c r="B463" s="247"/>
      <c r="C463" s="247"/>
      <c r="D463" s="247"/>
      <c r="E463" s="247"/>
      <c r="F463" s="247"/>
      <c r="G463" s="247"/>
      <c r="H463" s="247"/>
      <c r="I463" s="247"/>
      <c r="J463" s="247"/>
      <c r="K463" s="247"/>
      <c r="L463" s="247"/>
      <c r="M463" s="247"/>
      <c r="N463" s="247"/>
      <c r="O463" s="247"/>
      <c r="P463" s="247"/>
      <c r="Q463" s="247"/>
      <c r="R463" s="247"/>
      <c r="S463" s="247"/>
      <c r="T463" s="247"/>
      <c r="U463" s="247"/>
    </row>
    <row r="464">
      <c r="A464" s="247"/>
      <c r="B464" s="247"/>
      <c r="C464" s="247"/>
      <c r="D464" s="247"/>
      <c r="E464" s="247"/>
      <c r="F464" s="247"/>
      <c r="G464" s="247"/>
      <c r="H464" s="247"/>
      <c r="I464" s="247"/>
      <c r="J464" s="247"/>
      <c r="K464" s="247"/>
      <c r="L464" s="247"/>
      <c r="M464" s="247"/>
      <c r="N464" s="247"/>
      <c r="O464" s="247"/>
      <c r="P464" s="247"/>
      <c r="Q464" s="247"/>
      <c r="R464" s="247"/>
      <c r="S464" s="247"/>
      <c r="T464" s="247"/>
      <c r="U464" s="247"/>
    </row>
    <row r="465">
      <c r="A465" s="247"/>
      <c r="B465" s="247"/>
      <c r="C465" s="247"/>
      <c r="D465" s="247"/>
      <c r="E465" s="247"/>
      <c r="F465" s="247"/>
      <c r="G465" s="247"/>
      <c r="H465" s="247"/>
      <c r="I465" s="247"/>
      <c r="J465" s="247"/>
      <c r="K465" s="247"/>
      <c r="L465" s="247"/>
      <c r="M465" s="247"/>
      <c r="N465" s="247"/>
      <c r="O465" s="247"/>
      <c r="P465" s="247"/>
      <c r="Q465" s="247"/>
      <c r="R465" s="247"/>
      <c r="S465" s="247"/>
      <c r="T465" s="247"/>
      <c r="U465" s="247"/>
    </row>
    <row r="466">
      <c r="A466" s="247"/>
      <c r="B466" s="247"/>
      <c r="C466" s="247"/>
      <c r="D466" s="247"/>
      <c r="E466" s="247"/>
      <c r="F466" s="247"/>
      <c r="G466" s="247"/>
      <c r="H466" s="247"/>
      <c r="I466" s="247"/>
      <c r="J466" s="247"/>
      <c r="K466" s="247"/>
      <c r="L466" s="247"/>
      <c r="M466" s="247"/>
      <c r="N466" s="247"/>
      <c r="O466" s="247"/>
      <c r="P466" s="247"/>
      <c r="Q466" s="247"/>
      <c r="R466" s="247"/>
      <c r="S466" s="247"/>
      <c r="T466" s="247"/>
      <c r="U466" s="247"/>
    </row>
    <row r="467">
      <c r="A467" s="247"/>
      <c r="B467" s="247"/>
      <c r="C467" s="247"/>
      <c r="D467" s="247"/>
      <c r="E467" s="247"/>
      <c r="F467" s="247"/>
      <c r="G467" s="247"/>
      <c r="H467" s="247"/>
      <c r="I467" s="247"/>
      <c r="J467" s="247"/>
      <c r="K467" s="247"/>
      <c r="L467" s="247"/>
      <c r="M467" s="247"/>
      <c r="N467" s="247"/>
      <c r="O467" s="247"/>
      <c r="P467" s="247"/>
      <c r="Q467" s="247"/>
      <c r="R467" s="247"/>
      <c r="S467" s="247"/>
      <c r="T467" s="247"/>
      <c r="U467" s="247"/>
    </row>
    <row r="468">
      <c r="A468" s="247"/>
      <c r="B468" s="247"/>
      <c r="C468" s="247"/>
      <c r="D468" s="247"/>
      <c r="E468" s="247"/>
      <c r="F468" s="247"/>
      <c r="G468" s="247"/>
      <c r="H468" s="247"/>
      <c r="I468" s="247"/>
      <c r="J468" s="247"/>
      <c r="K468" s="247"/>
      <c r="L468" s="247"/>
      <c r="M468" s="247"/>
      <c r="N468" s="247"/>
      <c r="O468" s="247"/>
      <c r="P468" s="247"/>
      <c r="Q468" s="247"/>
      <c r="R468" s="247"/>
      <c r="S468" s="247"/>
      <c r="T468" s="247"/>
      <c r="U468" s="247"/>
    </row>
    <row r="469">
      <c r="A469" s="247"/>
      <c r="B469" s="247"/>
      <c r="C469" s="247"/>
      <c r="D469" s="247"/>
      <c r="E469" s="247"/>
      <c r="F469" s="247"/>
      <c r="G469" s="247"/>
      <c r="H469" s="247"/>
      <c r="I469" s="247"/>
      <c r="J469" s="247"/>
      <c r="K469" s="247"/>
      <c r="L469" s="247"/>
      <c r="M469" s="247"/>
      <c r="N469" s="247"/>
      <c r="O469" s="247"/>
      <c r="P469" s="247"/>
      <c r="Q469" s="247"/>
      <c r="R469" s="247"/>
      <c r="S469" s="247"/>
      <c r="T469" s="247"/>
      <c r="U469" s="247"/>
    </row>
    <row r="470">
      <c r="A470" s="247"/>
      <c r="B470" s="247"/>
      <c r="C470" s="247"/>
      <c r="D470" s="247"/>
      <c r="E470" s="247"/>
      <c r="F470" s="247"/>
      <c r="G470" s="247"/>
      <c r="H470" s="247"/>
      <c r="I470" s="247"/>
      <c r="J470" s="247"/>
      <c r="K470" s="247"/>
      <c r="L470" s="247"/>
      <c r="M470" s="247"/>
      <c r="N470" s="247"/>
      <c r="O470" s="247"/>
      <c r="P470" s="247"/>
      <c r="Q470" s="247"/>
      <c r="R470" s="247"/>
      <c r="S470" s="247"/>
      <c r="T470" s="247"/>
      <c r="U470" s="247"/>
    </row>
    <row r="471">
      <c r="A471" s="247"/>
      <c r="B471" s="247"/>
      <c r="C471" s="247"/>
      <c r="D471" s="247"/>
      <c r="E471" s="247"/>
      <c r="F471" s="247"/>
      <c r="G471" s="247"/>
      <c r="H471" s="247"/>
      <c r="I471" s="247"/>
      <c r="J471" s="247"/>
      <c r="K471" s="247"/>
      <c r="L471" s="247"/>
      <c r="M471" s="247"/>
      <c r="N471" s="247"/>
      <c r="O471" s="247"/>
      <c r="P471" s="247"/>
      <c r="Q471" s="247"/>
      <c r="R471" s="247"/>
      <c r="S471" s="247"/>
      <c r="T471" s="247"/>
      <c r="U471" s="247"/>
    </row>
    <row r="472">
      <c r="A472" s="247"/>
      <c r="B472" s="247"/>
      <c r="C472" s="247"/>
      <c r="D472" s="247"/>
      <c r="E472" s="247"/>
      <c r="F472" s="247"/>
      <c r="G472" s="247"/>
      <c r="H472" s="247"/>
      <c r="I472" s="247"/>
      <c r="J472" s="247"/>
      <c r="K472" s="247"/>
      <c r="L472" s="247"/>
      <c r="M472" s="247"/>
      <c r="N472" s="247"/>
      <c r="O472" s="247"/>
      <c r="P472" s="247"/>
      <c r="Q472" s="247"/>
      <c r="R472" s="247"/>
      <c r="S472" s="247"/>
      <c r="T472" s="247"/>
      <c r="U472" s="247"/>
    </row>
    <row r="473">
      <c r="A473" s="247"/>
      <c r="B473" s="247"/>
      <c r="C473" s="247"/>
      <c r="D473" s="247"/>
      <c r="E473" s="247"/>
      <c r="F473" s="247"/>
      <c r="G473" s="247"/>
      <c r="H473" s="247"/>
      <c r="I473" s="247"/>
      <c r="J473" s="247"/>
      <c r="K473" s="247"/>
      <c r="L473" s="247"/>
      <c r="M473" s="247"/>
      <c r="N473" s="247"/>
      <c r="O473" s="247"/>
      <c r="P473" s="247"/>
      <c r="Q473" s="247"/>
      <c r="R473" s="247"/>
      <c r="S473" s="247"/>
      <c r="T473" s="247"/>
      <c r="U473" s="247"/>
    </row>
    <row r="474">
      <c r="A474" s="247"/>
      <c r="B474" s="247"/>
      <c r="C474" s="247"/>
      <c r="D474" s="247"/>
      <c r="E474" s="247"/>
      <c r="F474" s="247"/>
      <c r="G474" s="247"/>
      <c r="H474" s="247"/>
      <c r="I474" s="247"/>
      <c r="J474" s="247"/>
      <c r="K474" s="247"/>
      <c r="L474" s="247"/>
      <c r="M474" s="247"/>
      <c r="N474" s="247"/>
      <c r="O474" s="247"/>
      <c r="P474" s="247"/>
      <c r="Q474" s="247"/>
      <c r="R474" s="247"/>
      <c r="S474" s="247"/>
      <c r="T474" s="247"/>
      <c r="U474" s="247"/>
    </row>
    <row r="475">
      <c r="A475" s="247"/>
      <c r="B475" s="247"/>
      <c r="C475" s="247"/>
      <c r="D475" s="247"/>
      <c r="E475" s="247"/>
      <c r="F475" s="247"/>
      <c r="G475" s="247"/>
      <c r="H475" s="247"/>
      <c r="I475" s="247"/>
      <c r="J475" s="247"/>
      <c r="K475" s="247"/>
      <c r="L475" s="247"/>
      <c r="M475" s="247"/>
      <c r="N475" s="247"/>
      <c r="O475" s="247"/>
      <c r="P475" s="247"/>
      <c r="Q475" s="247"/>
      <c r="R475" s="247"/>
      <c r="S475" s="247"/>
      <c r="T475" s="247"/>
      <c r="U475" s="247"/>
    </row>
    <row r="476">
      <c r="A476" s="247"/>
      <c r="B476" s="247"/>
      <c r="C476" s="247"/>
      <c r="D476" s="247"/>
      <c r="E476" s="247"/>
      <c r="F476" s="247"/>
      <c r="G476" s="247"/>
      <c r="H476" s="247"/>
      <c r="I476" s="247"/>
      <c r="J476" s="247"/>
      <c r="K476" s="247"/>
      <c r="L476" s="247"/>
      <c r="M476" s="247"/>
      <c r="N476" s="247"/>
      <c r="O476" s="247"/>
      <c r="P476" s="247"/>
      <c r="Q476" s="247"/>
      <c r="R476" s="247"/>
      <c r="S476" s="247"/>
      <c r="T476" s="247"/>
      <c r="U476" s="247"/>
    </row>
    <row r="477">
      <c r="A477" s="247"/>
      <c r="B477" s="247"/>
      <c r="C477" s="247"/>
      <c r="D477" s="247"/>
      <c r="E477" s="247"/>
      <c r="F477" s="247"/>
      <c r="G477" s="247"/>
      <c r="H477" s="247"/>
      <c r="I477" s="247"/>
      <c r="J477" s="247"/>
      <c r="K477" s="247"/>
      <c r="L477" s="247"/>
      <c r="M477" s="247"/>
      <c r="N477" s="247"/>
      <c r="O477" s="247"/>
      <c r="P477" s="247"/>
      <c r="Q477" s="247"/>
      <c r="R477" s="247"/>
      <c r="S477" s="247"/>
      <c r="T477" s="247"/>
      <c r="U477" s="247"/>
    </row>
    <row r="478">
      <c r="A478" s="247"/>
      <c r="B478" s="247"/>
      <c r="C478" s="247"/>
      <c r="D478" s="247"/>
      <c r="E478" s="247"/>
      <c r="F478" s="247"/>
      <c r="G478" s="247"/>
      <c r="H478" s="247"/>
      <c r="I478" s="247"/>
      <c r="J478" s="247"/>
      <c r="K478" s="247"/>
      <c r="L478" s="247"/>
      <c r="M478" s="247"/>
      <c r="N478" s="247"/>
      <c r="O478" s="247"/>
      <c r="P478" s="247"/>
      <c r="Q478" s="247"/>
      <c r="R478" s="247"/>
      <c r="S478" s="247"/>
      <c r="T478" s="247"/>
      <c r="U478" s="247"/>
    </row>
    <row r="479">
      <c r="A479" s="247"/>
      <c r="B479" s="247"/>
      <c r="C479" s="247"/>
      <c r="D479" s="247"/>
      <c r="E479" s="247"/>
      <c r="F479" s="247"/>
      <c r="G479" s="247"/>
      <c r="H479" s="247"/>
      <c r="I479" s="247"/>
      <c r="J479" s="247"/>
      <c r="K479" s="247"/>
      <c r="L479" s="247"/>
      <c r="M479" s="247"/>
      <c r="N479" s="247"/>
      <c r="O479" s="247"/>
      <c r="P479" s="247"/>
      <c r="Q479" s="247"/>
      <c r="R479" s="247"/>
      <c r="S479" s="247"/>
      <c r="T479" s="247"/>
      <c r="U479" s="247"/>
    </row>
    <row r="480">
      <c r="A480" s="247"/>
      <c r="B480" s="247"/>
      <c r="C480" s="247"/>
      <c r="D480" s="247"/>
      <c r="E480" s="247"/>
      <c r="F480" s="247"/>
      <c r="G480" s="247"/>
      <c r="H480" s="247"/>
      <c r="I480" s="247"/>
      <c r="J480" s="247"/>
      <c r="K480" s="247"/>
      <c r="L480" s="247"/>
      <c r="M480" s="247"/>
      <c r="N480" s="247"/>
      <c r="O480" s="247"/>
      <c r="P480" s="247"/>
      <c r="Q480" s="247"/>
      <c r="R480" s="247"/>
      <c r="S480" s="247"/>
      <c r="T480" s="247"/>
      <c r="U480" s="247"/>
    </row>
    <row r="481">
      <c r="A481" s="247"/>
      <c r="B481" s="247"/>
      <c r="C481" s="247"/>
      <c r="D481" s="247"/>
      <c r="E481" s="247"/>
      <c r="F481" s="247"/>
      <c r="G481" s="247"/>
      <c r="H481" s="247"/>
      <c r="I481" s="247"/>
      <c r="J481" s="247"/>
      <c r="K481" s="247"/>
      <c r="L481" s="247"/>
      <c r="M481" s="247"/>
      <c r="N481" s="247"/>
      <c r="O481" s="247"/>
      <c r="P481" s="247"/>
      <c r="Q481" s="247"/>
      <c r="R481" s="247"/>
      <c r="S481" s="247"/>
      <c r="T481" s="247"/>
      <c r="U481" s="247"/>
    </row>
    <row r="482">
      <c r="A482" s="247"/>
      <c r="B482" s="247"/>
      <c r="C482" s="247"/>
      <c r="D482" s="247"/>
      <c r="E482" s="247"/>
      <c r="F482" s="247"/>
      <c r="G482" s="247"/>
      <c r="H482" s="247"/>
      <c r="I482" s="247"/>
      <c r="J482" s="247"/>
      <c r="K482" s="247"/>
      <c r="L482" s="247"/>
      <c r="M482" s="247"/>
      <c r="N482" s="247"/>
      <c r="O482" s="247"/>
      <c r="P482" s="247"/>
      <c r="Q482" s="247"/>
      <c r="R482" s="247"/>
      <c r="S482" s="247"/>
      <c r="T482" s="247"/>
      <c r="U482" s="247"/>
    </row>
    <row r="483">
      <c r="A483" s="247"/>
      <c r="B483" s="247"/>
      <c r="C483" s="247"/>
      <c r="D483" s="247"/>
      <c r="E483" s="247"/>
      <c r="F483" s="247"/>
      <c r="G483" s="247"/>
      <c r="H483" s="247"/>
      <c r="I483" s="247"/>
      <c r="J483" s="247"/>
      <c r="K483" s="247"/>
      <c r="L483" s="247"/>
      <c r="M483" s="247"/>
      <c r="N483" s="247"/>
      <c r="O483" s="247"/>
      <c r="P483" s="247"/>
      <c r="Q483" s="247"/>
      <c r="R483" s="247"/>
      <c r="S483" s="247"/>
      <c r="T483" s="247"/>
      <c r="U483" s="247"/>
    </row>
    <row r="484">
      <c r="A484" s="247"/>
      <c r="B484" s="247"/>
      <c r="C484" s="247"/>
      <c r="D484" s="247"/>
      <c r="E484" s="247"/>
      <c r="F484" s="247"/>
      <c r="G484" s="247"/>
      <c r="H484" s="247"/>
      <c r="I484" s="247"/>
      <c r="J484" s="247"/>
      <c r="K484" s="247"/>
      <c r="L484" s="247"/>
      <c r="M484" s="247"/>
      <c r="N484" s="247"/>
      <c r="O484" s="247"/>
      <c r="P484" s="247"/>
      <c r="Q484" s="247"/>
      <c r="R484" s="247"/>
      <c r="S484" s="247"/>
      <c r="T484" s="247"/>
      <c r="U484" s="247"/>
    </row>
    <row r="485">
      <c r="A485" s="247"/>
      <c r="B485" s="247"/>
      <c r="C485" s="247"/>
      <c r="D485" s="247"/>
      <c r="E485" s="247"/>
      <c r="F485" s="247"/>
      <c r="G485" s="247"/>
      <c r="H485" s="247"/>
      <c r="I485" s="247"/>
      <c r="J485" s="247"/>
      <c r="K485" s="247"/>
      <c r="L485" s="247"/>
      <c r="M485" s="247"/>
      <c r="N485" s="247"/>
      <c r="O485" s="247"/>
      <c r="P485" s="247"/>
      <c r="Q485" s="247"/>
      <c r="R485" s="247"/>
      <c r="S485" s="247"/>
      <c r="T485" s="247"/>
      <c r="U485" s="247"/>
    </row>
    <row r="486">
      <c r="A486" s="247"/>
      <c r="B486" s="247"/>
      <c r="C486" s="247"/>
      <c r="D486" s="247"/>
      <c r="E486" s="247"/>
      <c r="F486" s="247"/>
      <c r="G486" s="247"/>
      <c r="H486" s="247"/>
      <c r="I486" s="247"/>
      <c r="J486" s="247"/>
      <c r="K486" s="247"/>
      <c r="L486" s="247"/>
      <c r="M486" s="247"/>
      <c r="N486" s="247"/>
      <c r="O486" s="247"/>
      <c r="P486" s="247"/>
      <c r="Q486" s="247"/>
      <c r="R486" s="247"/>
      <c r="S486" s="247"/>
      <c r="T486" s="247"/>
      <c r="U486" s="247"/>
    </row>
    <row r="487">
      <c r="A487" s="247"/>
      <c r="B487" s="247"/>
      <c r="C487" s="247"/>
      <c r="D487" s="247"/>
      <c r="E487" s="247"/>
      <c r="F487" s="247"/>
      <c r="G487" s="247"/>
      <c r="H487" s="247"/>
      <c r="I487" s="247"/>
      <c r="J487" s="247"/>
      <c r="K487" s="247"/>
      <c r="L487" s="247"/>
      <c r="M487" s="247"/>
      <c r="N487" s="247"/>
      <c r="O487" s="247"/>
      <c r="P487" s="247"/>
      <c r="Q487" s="247"/>
      <c r="R487" s="247"/>
      <c r="S487" s="247"/>
      <c r="T487" s="247"/>
      <c r="U487" s="247"/>
    </row>
    <row r="488">
      <c r="A488" s="247"/>
      <c r="B488" s="247"/>
      <c r="C488" s="247"/>
      <c r="D488" s="247"/>
      <c r="E488" s="247"/>
      <c r="F488" s="247"/>
      <c r="G488" s="247"/>
      <c r="H488" s="247"/>
      <c r="I488" s="247"/>
      <c r="J488" s="247"/>
      <c r="K488" s="247"/>
      <c r="L488" s="247"/>
      <c r="M488" s="247"/>
      <c r="N488" s="247"/>
      <c r="O488" s="247"/>
      <c r="P488" s="247"/>
      <c r="Q488" s="247"/>
      <c r="R488" s="247"/>
      <c r="S488" s="247"/>
      <c r="T488" s="247"/>
      <c r="U488" s="247"/>
    </row>
    <row r="489">
      <c r="A489" s="247"/>
      <c r="B489" s="247"/>
      <c r="C489" s="247"/>
      <c r="D489" s="247"/>
      <c r="E489" s="247"/>
      <c r="F489" s="247"/>
      <c r="G489" s="247"/>
      <c r="H489" s="247"/>
      <c r="I489" s="247"/>
      <c r="J489" s="247"/>
      <c r="K489" s="247"/>
      <c r="L489" s="247"/>
      <c r="M489" s="247"/>
      <c r="N489" s="247"/>
      <c r="O489" s="247"/>
      <c r="P489" s="247"/>
      <c r="Q489" s="247"/>
      <c r="R489" s="247"/>
      <c r="S489" s="247"/>
      <c r="T489" s="247"/>
      <c r="U489" s="247"/>
    </row>
    <row r="490">
      <c r="A490" s="247"/>
      <c r="B490" s="247"/>
      <c r="C490" s="247"/>
      <c r="D490" s="247"/>
      <c r="E490" s="247"/>
      <c r="F490" s="247"/>
      <c r="G490" s="247"/>
      <c r="H490" s="247"/>
      <c r="I490" s="247"/>
      <c r="J490" s="247"/>
      <c r="K490" s="247"/>
      <c r="L490" s="247"/>
      <c r="M490" s="247"/>
      <c r="N490" s="247"/>
      <c r="O490" s="247"/>
      <c r="P490" s="247"/>
      <c r="Q490" s="247"/>
      <c r="R490" s="247"/>
      <c r="S490" s="247"/>
      <c r="T490" s="247"/>
      <c r="U490" s="247"/>
    </row>
    <row r="491">
      <c r="A491" s="247"/>
      <c r="B491" s="247"/>
      <c r="C491" s="247"/>
      <c r="D491" s="247"/>
      <c r="E491" s="247"/>
      <c r="F491" s="247"/>
      <c r="G491" s="247"/>
      <c r="H491" s="247"/>
      <c r="I491" s="247"/>
      <c r="J491" s="247"/>
      <c r="K491" s="247"/>
      <c r="L491" s="247"/>
      <c r="M491" s="247"/>
      <c r="N491" s="247"/>
      <c r="O491" s="247"/>
      <c r="P491" s="247"/>
      <c r="Q491" s="247"/>
      <c r="R491" s="247"/>
      <c r="S491" s="247"/>
      <c r="T491" s="247"/>
      <c r="U491" s="247"/>
    </row>
    <row r="492">
      <c r="A492" s="247"/>
      <c r="B492" s="247"/>
      <c r="C492" s="247"/>
      <c r="D492" s="247"/>
      <c r="E492" s="247"/>
      <c r="F492" s="247"/>
      <c r="G492" s="247"/>
      <c r="H492" s="247"/>
      <c r="I492" s="247"/>
      <c r="J492" s="247"/>
      <c r="K492" s="247"/>
      <c r="L492" s="247"/>
      <c r="M492" s="247"/>
      <c r="N492" s="247"/>
      <c r="O492" s="247"/>
      <c r="P492" s="247"/>
      <c r="Q492" s="247"/>
      <c r="R492" s="247"/>
      <c r="S492" s="247"/>
      <c r="T492" s="247"/>
      <c r="U492" s="247"/>
    </row>
    <row r="493">
      <c r="A493" s="247"/>
      <c r="B493" s="247"/>
      <c r="C493" s="247"/>
      <c r="D493" s="247"/>
      <c r="E493" s="247"/>
      <c r="F493" s="247"/>
      <c r="G493" s="247"/>
      <c r="H493" s="247"/>
      <c r="I493" s="247"/>
      <c r="J493" s="247"/>
      <c r="K493" s="247"/>
      <c r="L493" s="247"/>
      <c r="M493" s="247"/>
      <c r="N493" s="247"/>
      <c r="O493" s="247"/>
      <c r="P493" s="247"/>
      <c r="Q493" s="247"/>
      <c r="R493" s="247"/>
      <c r="S493" s="247"/>
      <c r="T493" s="247"/>
      <c r="U493" s="247"/>
    </row>
    <row r="494">
      <c r="A494" s="247"/>
      <c r="B494" s="247"/>
      <c r="C494" s="247"/>
      <c r="D494" s="247"/>
      <c r="E494" s="247"/>
      <c r="F494" s="247"/>
      <c r="G494" s="247"/>
      <c r="H494" s="247"/>
      <c r="I494" s="247"/>
      <c r="J494" s="247"/>
      <c r="K494" s="247"/>
      <c r="L494" s="247"/>
      <c r="M494" s="247"/>
      <c r="N494" s="247"/>
      <c r="O494" s="247"/>
      <c r="P494" s="247"/>
      <c r="Q494" s="247"/>
      <c r="R494" s="247"/>
      <c r="S494" s="247"/>
      <c r="T494" s="247"/>
      <c r="U494" s="247"/>
    </row>
    <row r="495">
      <c r="A495" s="247"/>
      <c r="B495" s="247"/>
      <c r="C495" s="247"/>
      <c r="D495" s="247"/>
      <c r="E495" s="247"/>
      <c r="F495" s="247"/>
      <c r="G495" s="247"/>
      <c r="H495" s="247"/>
      <c r="I495" s="247"/>
      <c r="J495" s="247"/>
      <c r="K495" s="247"/>
      <c r="L495" s="247"/>
      <c r="M495" s="247"/>
      <c r="N495" s="247"/>
      <c r="O495" s="247"/>
      <c r="P495" s="247"/>
      <c r="Q495" s="247"/>
      <c r="R495" s="247"/>
      <c r="S495" s="247"/>
      <c r="T495" s="247"/>
      <c r="U495" s="247"/>
    </row>
    <row r="496">
      <c r="A496" s="247"/>
      <c r="B496" s="247"/>
      <c r="C496" s="247"/>
      <c r="D496" s="247"/>
      <c r="E496" s="247"/>
      <c r="F496" s="247"/>
      <c r="G496" s="247"/>
      <c r="H496" s="247"/>
      <c r="I496" s="247"/>
      <c r="J496" s="247"/>
      <c r="K496" s="247"/>
      <c r="L496" s="247"/>
      <c r="M496" s="247"/>
      <c r="N496" s="247"/>
      <c r="O496" s="247"/>
      <c r="P496" s="247"/>
      <c r="Q496" s="247"/>
      <c r="R496" s="247"/>
      <c r="S496" s="247"/>
      <c r="T496" s="247"/>
      <c r="U496" s="247"/>
    </row>
    <row r="497">
      <c r="A497" s="247"/>
      <c r="B497" s="247"/>
      <c r="C497" s="247"/>
      <c r="D497" s="247"/>
      <c r="E497" s="247"/>
      <c r="F497" s="247"/>
      <c r="G497" s="247"/>
      <c r="H497" s="247"/>
      <c r="I497" s="247"/>
      <c r="J497" s="247"/>
      <c r="K497" s="247"/>
      <c r="L497" s="247"/>
      <c r="M497" s="247"/>
      <c r="N497" s="247"/>
      <c r="O497" s="247"/>
      <c r="P497" s="247"/>
      <c r="Q497" s="247"/>
      <c r="R497" s="247"/>
      <c r="S497" s="247"/>
      <c r="T497" s="247"/>
      <c r="U497" s="247"/>
    </row>
    <row r="498">
      <c r="A498" s="247"/>
      <c r="B498" s="247"/>
      <c r="C498" s="247"/>
      <c r="D498" s="247"/>
      <c r="E498" s="247"/>
      <c r="F498" s="247"/>
      <c r="G498" s="247"/>
      <c r="H498" s="247"/>
      <c r="I498" s="247"/>
      <c r="J498" s="247"/>
      <c r="K498" s="247"/>
      <c r="L498" s="247"/>
      <c r="M498" s="247"/>
      <c r="N498" s="247"/>
      <c r="O498" s="247"/>
      <c r="P498" s="247"/>
      <c r="Q498" s="247"/>
      <c r="R498" s="247"/>
      <c r="S498" s="247"/>
      <c r="T498" s="247"/>
      <c r="U498" s="247"/>
    </row>
    <row r="499">
      <c r="A499" s="247"/>
      <c r="B499" s="247"/>
      <c r="C499" s="247"/>
      <c r="D499" s="247"/>
      <c r="E499" s="247"/>
      <c r="F499" s="247"/>
      <c r="G499" s="247"/>
      <c r="H499" s="247"/>
      <c r="I499" s="247"/>
      <c r="J499" s="247"/>
      <c r="K499" s="247"/>
      <c r="L499" s="247"/>
      <c r="M499" s="247"/>
      <c r="N499" s="247"/>
      <c r="O499" s="247"/>
      <c r="P499" s="247"/>
      <c r="Q499" s="247"/>
      <c r="R499" s="247"/>
      <c r="S499" s="247"/>
      <c r="T499" s="247"/>
      <c r="U499" s="247"/>
    </row>
    <row r="500">
      <c r="A500" s="247"/>
      <c r="B500" s="247"/>
      <c r="C500" s="247"/>
      <c r="D500" s="247"/>
      <c r="E500" s="247"/>
      <c r="F500" s="247"/>
      <c r="G500" s="247"/>
      <c r="H500" s="247"/>
      <c r="I500" s="247"/>
      <c r="J500" s="247"/>
      <c r="K500" s="247"/>
      <c r="L500" s="247"/>
      <c r="M500" s="247"/>
      <c r="N500" s="247"/>
      <c r="O500" s="247"/>
      <c r="P500" s="247"/>
      <c r="Q500" s="247"/>
      <c r="R500" s="247"/>
      <c r="S500" s="247"/>
      <c r="T500" s="247"/>
      <c r="U500" s="247"/>
    </row>
    <row r="501">
      <c r="A501" s="247"/>
      <c r="B501" s="247"/>
      <c r="C501" s="247"/>
      <c r="D501" s="247"/>
      <c r="E501" s="247"/>
      <c r="F501" s="247"/>
      <c r="G501" s="247"/>
      <c r="H501" s="247"/>
      <c r="I501" s="247"/>
      <c r="J501" s="247"/>
      <c r="K501" s="247"/>
      <c r="L501" s="247"/>
      <c r="M501" s="247"/>
      <c r="N501" s="247"/>
      <c r="O501" s="247"/>
      <c r="P501" s="247"/>
      <c r="Q501" s="247"/>
      <c r="R501" s="247"/>
      <c r="S501" s="247"/>
      <c r="T501" s="247"/>
      <c r="U501" s="247"/>
    </row>
    <row r="502">
      <c r="A502" s="247"/>
      <c r="B502" s="247"/>
      <c r="C502" s="247"/>
      <c r="D502" s="247"/>
      <c r="E502" s="247"/>
      <c r="F502" s="247"/>
      <c r="G502" s="247"/>
      <c r="H502" s="247"/>
      <c r="I502" s="247"/>
      <c r="J502" s="247"/>
      <c r="K502" s="247"/>
      <c r="L502" s="247"/>
      <c r="M502" s="247"/>
      <c r="N502" s="247"/>
      <c r="O502" s="247"/>
      <c r="P502" s="247"/>
      <c r="Q502" s="247"/>
      <c r="R502" s="247"/>
      <c r="S502" s="247"/>
      <c r="T502" s="247"/>
      <c r="U502" s="247"/>
    </row>
    <row r="503">
      <c r="A503" s="247"/>
      <c r="B503" s="247"/>
      <c r="C503" s="247"/>
      <c r="D503" s="247"/>
      <c r="E503" s="247"/>
      <c r="F503" s="247"/>
      <c r="G503" s="247"/>
      <c r="H503" s="247"/>
      <c r="I503" s="247"/>
      <c r="J503" s="247"/>
      <c r="K503" s="247"/>
      <c r="L503" s="247"/>
      <c r="M503" s="247"/>
      <c r="N503" s="247"/>
      <c r="O503" s="247"/>
      <c r="P503" s="247"/>
      <c r="Q503" s="247"/>
      <c r="R503" s="247"/>
      <c r="S503" s="247"/>
      <c r="T503" s="247"/>
      <c r="U503" s="247"/>
    </row>
    <row r="504">
      <c r="A504" s="247"/>
      <c r="B504" s="247"/>
      <c r="C504" s="247"/>
      <c r="D504" s="247"/>
      <c r="E504" s="247"/>
      <c r="F504" s="247"/>
      <c r="G504" s="247"/>
      <c r="H504" s="247"/>
      <c r="I504" s="247"/>
      <c r="J504" s="247"/>
      <c r="K504" s="247"/>
      <c r="L504" s="247"/>
      <c r="M504" s="247"/>
      <c r="N504" s="247"/>
      <c r="O504" s="247"/>
      <c r="P504" s="247"/>
      <c r="Q504" s="247"/>
      <c r="R504" s="247"/>
      <c r="S504" s="247"/>
      <c r="T504" s="247"/>
      <c r="U504" s="247"/>
    </row>
    <row r="505">
      <c r="A505" s="247"/>
      <c r="B505" s="247"/>
      <c r="C505" s="247"/>
      <c r="D505" s="247"/>
      <c r="E505" s="247"/>
      <c r="F505" s="247"/>
      <c r="G505" s="247"/>
      <c r="H505" s="247"/>
      <c r="I505" s="247"/>
      <c r="J505" s="247"/>
      <c r="K505" s="247"/>
      <c r="L505" s="247"/>
      <c r="M505" s="247"/>
      <c r="N505" s="247"/>
      <c r="O505" s="247"/>
      <c r="P505" s="247"/>
      <c r="Q505" s="247"/>
      <c r="R505" s="247"/>
      <c r="S505" s="247"/>
      <c r="T505" s="247"/>
      <c r="U505" s="247"/>
    </row>
    <row r="506">
      <c r="A506" s="247"/>
      <c r="B506" s="247"/>
      <c r="C506" s="247"/>
      <c r="D506" s="247"/>
      <c r="E506" s="247"/>
      <c r="F506" s="247"/>
      <c r="G506" s="247"/>
      <c r="H506" s="247"/>
      <c r="I506" s="247"/>
      <c r="J506" s="247"/>
      <c r="K506" s="247"/>
      <c r="L506" s="247"/>
      <c r="M506" s="247"/>
      <c r="N506" s="247"/>
      <c r="O506" s="247"/>
      <c r="P506" s="247"/>
      <c r="Q506" s="247"/>
      <c r="R506" s="247"/>
      <c r="S506" s="247"/>
      <c r="T506" s="247"/>
      <c r="U506" s="247"/>
    </row>
    <row r="507">
      <c r="A507" s="247"/>
      <c r="B507" s="247"/>
      <c r="C507" s="247"/>
      <c r="D507" s="247"/>
      <c r="E507" s="247"/>
      <c r="F507" s="247"/>
      <c r="G507" s="247"/>
      <c r="H507" s="247"/>
      <c r="I507" s="247"/>
      <c r="J507" s="247"/>
      <c r="K507" s="247"/>
      <c r="L507" s="247"/>
      <c r="M507" s="247"/>
      <c r="N507" s="247"/>
      <c r="O507" s="247"/>
      <c r="P507" s="247"/>
      <c r="Q507" s="247"/>
      <c r="R507" s="247"/>
      <c r="S507" s="247"/>
      <c r="T507" s="247"/>
      <c r="U507" s="247"/>
    </row>
    <row r="508">
      <c r="A508" s="247"/>
      <c r="B508" s="247"/>
      <c r="C508" s="247"/>
      <c r="D508" s="247"/>
      <c r="E508" s="247"/>
      <c r="F508" s="247"/>
      <c r="G508" s="247"/>
      <c r="H508" s="247"/>
      <c r="I508" s="247"/>
      <c r="J508" s="247"/>
      <c r="K508" s="247"/>
      <c r="L508" s="247"/>
      <c r="M508" s="247"/>
      <c r="N508" s="247"/>
      <c r="O508" s="247"/>
      <c r="P508" s="247"/>
      <c r="Q508" s="247"/>
      <c r="R508" s="247"/>
      <c r="S508" s="247"/>
      <c r="T508" s="247"/>
      <c r="U508" s="247"/>
    </row>
    <row r="509">
      <c r="A509" s="247"/>
      <c r="B509" s="247"/>
      <c r="C509" s="247"/>
      <c r="D509" s="247"/>
      <c r="E509" s="247"/>
      <c r="F509" s="247"/>
      <c r="G509" s="247"/>
      <c r="H509" s="247"/>
      <c r="I509" s="247"/>
      <c r="J509" s="247"/>
      <c r="K509" s="247"/>
      <c r="L509" s="247"/>
      <c r="M509" s="247"/>
      <c r="N509" s="247"/>
      <c r="O509" s="247"/>
      <c r="P509" s="247"/>
      <c r="Q509" s="247"/>
      <c r="R509" s="247"/>
      <c r="S509" s="247"/>
      <c r="T509" s="247"/>
      <c r="U509" s="247"/>
    </row>
    <row r="510">
      <c r="A510" s="247"/>
      <c r="B510" s="247"/>
      <c r="C510" s="247"/>
      <c r="D510" s="247"/>
      <c r="E510" s="247"/>
      <c r="F510" s="247"/>
      <c r="G510" s="247"/>
      <c r="H510" s="247"/>
      <c r="I510" s="247"/>
      <c r="J510" s="247"/>
      <c r="K510" s="247"/>
      <c r="L510" s="247"/>
      <c r="M510" s="247"/>
      <c r="N510" s="247"/>
      <c r="O510" s="247"/>
      <c r="P510" s="247"/>
      <c r="Q510" s="247"/>
      <c r="R510" s="247"/>
      <c r="S510" s="247"/>
      <c r="T510" s="247"/>
      <c r="U510" s="247"/>
    </row>
    <row r="511">
      <c r="A511" s="247"/>
      <c r="B511" s="247"/>
      <c r="C511" s="247"/>
      <c r="D511" s="247"/>
      <c r="E511" s="247"/>
      <c r="F511" s="247"/>
      <c r="G511" s="247"/>
      <c r="H511" s="247"/>
      <c r="I511" s="247"/>
      <c r="J511" s="247"/>
      <c r="K511" s="247"/>
      <c r="L511" s="247"/>
      <c r="M511" s="247"/>
      <c r="N511" s="247"/>
      <c r="O511" s="247"/>
      <c r="P511" s="247"/>
      <c r="Q511" s="247"/>
      <c r="R511" s="247"/>
      <c r="S511" s="247"/>
      <c r="T511" s="247"/>
      <c r="U511" s="247"/>
    </row>
    <row r="512">
      <c r="A512" s="247"/>
      <c r="B512" s="247"/>
      <c r="C512" s="247"/>
      <c r="D512" s="247"/>
      <c r="E512" s="247"/>
      <c r="F512" s="247"/>
      <c r="G512" s="247"/>
      <c r="H512" s="247"/>
      <c r="I512" s="247"/>
      <c r="J512" s="247"/>
      <c r="K512" s="247"/>
      <c r="L512" s="247"/>
      <c r="M512" s="247"/>
      <c r="N512" s="247"/>
      <c r="O512" s="247"/>
      <c r="P512" s="247"/>
      <c r="Q512" s="247"/>
      <c r="R512" s="247"/>
      <c r="S512" s="247"/>
      <c r="T512" s="247"/>
      <c r="U512" s="247"/>
    </row>
    <row r="513">
      <c r="A513" s="247"/>
      <c r="B513" s="247"/>
      <c r="C513" s="247"/>
      <c r="D513" s="247"/>
      <c r="E513" s="247"/>
      <c r="F513" s="247"/>
      <c r="G513" s="247"/>
      <c r="H513" s="247"/>
      <c r="I513" s="247"/>
      <c r="J513" s="247"/>
      <c r="K513" s="247"/>
      <c r="L513" s="247"/>
      <c r="M513" s="247"/>
      <c r="N513" s="247"/>
      <c r="O513" s="247"/>
      <c r="P513" s="247"/>
      <c r="Q513" s="247"/>
      <c r="R513" s="247"/>
      <c r="S513" s="247"/>
      <c r="T513" s="247"/>
      <c r="U513" s="247"/>
    </row>
    <row r="514">
      <c r="A514" s="247"/>
      <c r="B514" s="247"/>
      <c r="C514" s="247"/>
      <c r="D514" s="247"/>
      <c r="E514" s="247"/>
      <c r="F514" s="247"/>
      <c r="G514" s="247"/>
      <c r="H514" s="247"/>
      <c r="I514" s="247"/>
      <c r="J514" s="247"/>
      <c r="K514" s="247"/>
      <c r="L514" s="247"/>
      <c r="M514" s="247"/>
      <c r="N514" s="247"/>
      <c r="O514" s="247"/>
      <c r="P514" s="247"/>
      <c r="Q514" s="247"/>
      <c r="R514" s="247"/>
      <c r="S514" s="247"/>
      <c r="T514" s="247"/>
      <c r="U514" s="247"/>
    </row>
    <row r="515">
      <c r="A515" s="247"/>
      <c r="B515" s="247"/>
      <c r="C515" s="247"/>
      <c r="D515" s="247"/>
      <c r="E515" s="247"/>
      <c r="F515" s="247"/>
      <c r="G515" s="247"/>
      <c r="H515" s="247"/>
      <c r="I515" s="247"/>
      <c r="J515" s="247"/>
      <c r="K515" s="247"/>
      <c r="L515" s="247"/>
      <c r="M515" s="247"/>
      <c r="N515" s="247"/>
      <c r="O515" s="247"/>
      <c r="P515" s="247"/>
      <c r="Q515" s="247"/>
      <c r="R515" s="247"/>
      <c r="S515" s="247"/>
      <c r="T515" s="247"/>
      <c r="U515" s="247"/>
    </row>
    <row r="516">
      <c r="A516" s="247"/>
      <c r="B516" s="247"/>
      <c r="C516" s="247"/>
      <c r="D516" s="247"/>
      <c r="E516" s="247"/>
      <c r="F516" s="247"/>
      <c r="G516" s="247"/>
      <c r="H516" s="247"/>
      <c r="I516" s="247"/>
      <c r="J516" s="247"/>
      <c r="K516" s="247"/>
      <c r="L516" s="247"/>
      <c r="M516" s="247"/>
      <c r="N516" s="247"/>
      <c r="O516" s="247"/>
      <c r="P516" s="247"/>
      <c r="Q516" s="247"/>
      <c r="R516" s="247"/>
      <c r="S516" s="247"/>
      <c r="T516" s="247"/>
      <c r="U516" s="247"/>
    </row>
    <row r="517">
      <c r="A517" s="247"/>
      <c r="B517" s="247"/>
      <c r="C517" s="247"/>
      <c r="D517" s="247"/>
      <c r="E517" s="247"/>
      <c r="F517" s="247"/>
      <c r="G517" s="247"/>
      <c r="H517" s="247"/>
      <c r="I517" s="247"/>
      <c r="J517" s="247"/>
      <c r="K517" s="247"/>
      <c r="L517" s="247"/>
      <c r="M517" s="247"/>
      <c r="N517" s="247"/>
      <c r="O517" s="247"/>
      <c r="P517" s="247"/>
      <c r="Q517" s="247"/>
      <c r="R517" s="247"/>
      <c r="S517" s="247"/>
      <c r="T517" s="247"/>
      <c r="U517" s="247"/>
    </row>
    <row r="518">
      <c r="A518" s="247"/>
      <c r="B518" s="247"/>
      <c r="C518" s="247"/>
      <c r="D518" s="247"/>
      <c r="E518" s="247"/>
      <c r="F518" s="247"/>
      <c r="G518" s="247"/>
      <c r="H518" s="247"/>
      <c r="I518" s="247"/>
      <c r="J518" s="247"/>
      <c r="K518" s="247"/>
      <c r="L518" s="247"/>
      <c r="M518" s="247"/>
      <c r="N518" s="247"/>
      <c r="O518" s="247"/>
      <c r="P518" s="247"/>
      <c r="Q518" s="247"/>
      <c r="R518" s="247"/>
      <c r="S518" s="247"/>
      <c r="T518" s="247"/>
      <c r="U518" s="247"/>
    </row>
    <row r="519">
      <c r="A519" s="247"/>
      <c r="B519" s="247"/>
      <c r="C519" s="247"/>
      <c r="D519" s="247"/>
      <c r="E519" s="247"/>
      <c r="F519" s="247"/>
      <c r="G519" s="247"/>
      <c r="H519" s="247"/>
      <c r="I519" s="247"/>
      <c r="J519" s="247"/>
      <c r="K519" s="247"/>
      <c r="L519" s="247"/>
      <c r="M519" s="247"/>
      <c r="N519" s="247"/>
      <c r="O519" s="247"/>
      <c r="P519" s="247"/>
      <c r="Q519" s="247"/>
      <c r="R519" s="247"/>
      <c r="S519" s="247"/>
      <c r="T519" s="247"/>
      <c r="U519" s="247"/>
    </row>
    <row r="520">
      <c r="A520" s="247"/>
      <c r="B520" s="247"/>
      <c r="C520" s="247"/>
      <c r="D520" s="247"/>
      <c r="E520" s="247"/>
      <c r="F520" s="247"/>
      <c r="G520" s="247"/>
      <c r="H520" s="247"/>
      <c r="I520" s="247"/>
      <c r="J520" s="247"/>
      <c r="K520" s="247"/>
      <c r="L520" s="247"/>
      <c r="M520" s="247"/>
      <c r="N520" s="247"/>
      <c r="O520" s="247"/>
      <c r="P520" s="247"/>
      <c r="Q520" s="247"/>
      <c r="R520" s="247"/>
      <c r="S520" s="247"/>
      <c r="T520" s="247"/>
      <c r="U520" s="247"/>
    </row>
    <row r="521">
      <c r="A521" s="247"/>
      <c r="B521" s="247"/>
      <c r="C521" s="247"/>
      <c r="D521" s="247"/>
      <c r="E521" s="247"/>
      <c r="F521" s="247"/>
      <c r="G521" s="247"/>
      <c r="H521" s="247"/>
      <c r="I521" s="247"/>
      <c r="J521" s="247"/>
      <c r="K521" s="247"/>
      <c r="L521" s="247"/>
      <c r="M521" s="247"/>
      <c r="N521" s="247"/>
      <c r="O521" s="247"/>
      <c r="P521" s="247"/>
      <c r="Q521" s="247"/>
      <c r="R521" s="247"/>
      <c r="S521" s="247"/>
      <c r="T521" s="247"/>
      <c r="U521" s="247"/>
    </row>
    <row r="522">
      <c r="A522" s="247"/>
      <c r="B522" s="247"/>
      <c r="C522" s="247"/>
      <c r="D522" s="247"/>
      <c r="E522" s="247"/>
      <c r="F522" s="247"/>
      <c r="G522" s="247"/>
      <c r="H522" s="247"/>
      <c r="I522" s="247"/>
      <c r="J522" s="247"/>
      <c r="K522" s="247"/>
      <c r="L522" s="247"/>
      <c r="M522" s="247"/>
      <c r="N522" s="247"/>
      <c r="O522" s="247"/>
      <c r="P522" s="247"/>
      <c r="Q522" s="247"/>
      <c r="R522" s="247"/>
      <c r="S522" s="247"/>
      <c r="T522" s="247"/>
      <c r="U522" s="247"/>
    </row>
    <row r="523">
      <c r="A523" s="247"/>
      <c r="B523" s="247"/>
      <c r="C523" s="247"/>
      <c r="D523" s="247"/>
      <c r="E523" s="247"/>
      <c r="F523" s="247"/>
      <c r="G523" s="247"/>
      <c r="H523" s="247"/>
      <c r="I523" s="247"/>
      <c r="J523" s="247"/>
      <c r="K523" s="247"/>
      <c r="L523" s="247"/>
      <c r="M523" s="247"/>
      <c r="N523" s="247"/>
      <c r="O523" s="247"/>
      <c r="P523" s="247"/>
      <c r="Q523" s="247"/>
      <c r="R523" s="247"/>
      <c r="S523" s="247"/>
      <c r="T523" s="247"/>
      <c r="U523" s="247"/>
    </row>
    <row r="524">
      <c r="A524" s="247"/>
      <c r="B524" s="247"/>
      <c r="C524" s="247"/>
      <c r="D524" s="247"/>
      <c r="E524" s="247"/>
      <c r="F524" s="247"/>
      <c r="G524" s="247"/>
      <c r="H524" s="247"/>
      <c r="I524" s="247"/>
      <c r="J524" s="247"/>
      <c r="K524" s="247"/>
      <c r="L524" s="247"/>
      <c r="M524" s="247"/>
      <c r="N524" s="247"/>
      <c r="O524" s="247"/>
      <c r="P524" s="247"/>
      <c r="Q524" s="247"/>
      <c r="R524" s="247"/>
      <c r="S524" s="247"/>
      <c r="T524" s="247"/>
      <c r="U524" s="247"/>
    </row>
    <row r="525">
      <c r="A525" s="247"/>
      <c r="B525" s="247"/>
      <c r="C525" s="247"/>
      <c r="D525" s="247"/>
      <c r="E525" s="247"/>
      <c r="F525" s="247"/>
      <c r="G525" s="247"/>
      <c r="H525" s="247"/>
      <c r="I525" s="247"/>
      <c r="J525" s="247"/>
      <c r="K525" s="247"/>
      <c r="L525" s="247"/>
      <c r="M525" s="247"/>
      <c r="N525" s="247"/>
      <c r="O525" s="247"/>
      <c r="P525" s="247"/>
      <c r="Q525" s="247"/>
      <c r="R525" s="247"/>
      <c r="S525" s="247"/>
      <c r="T525" s="247"/>
      <c r="U525" s="247"/>
    </row>
    <row r="526">
      <c r="A526" s="247"/>
      <c r="B526" s="247"/>
      <c r="C526" s="247"/>
      <c r="D526" s="247"/>
      <c r="E526" s="247"/>
      <c r="F526" s="247"/>
      <c r="G526" s="247"/>
      <c r="H526" s="247"/>
      <c r="I526" s="247"/>
      <c r="J526" s="247"/>
      <c r="K526" s="247"/>
      <c r="L526" s="247"/>
      <c r="M526" s="247"/>
      <c r="N526" s="247"/>
      <c r="O526" s="247"/>
      <c r="P526" s="247"/>
      <c r="Q526" s="247"/>
      <c r="R526" s="247"/>
      <c r="S526" s="247"/>
      <c r="T526" s="247"/>
      <c r="U526" s="247"/>
    </row>
    <row r="527">
      <c r="A527" s="247"/>
      <c r="B527" s="247"/>
      <c r="C527" s="247"/>
      <c r="D527" s="247"/>
      <c r="E527" s="247"/>
      <c r="F527" s="247"/>
      <c r="G527" s="247"/>
      <c r="H527" s="247"/>
      <c r="I527" s="247"/>
      <c r="J527" s="247"/>
      <c r="K527" s="247"/>
      <c r="L527" s="247"/>
      <c r="M527" s="247"/>
      <c r="N527" s="247"/>
      <c r="O527" s="247"/>
      <c r="P527" s="247"/>
      <c r="Q527" s="247"/>
      <c r="R527" s="247"/>
      <c r="S527" s="247"/>
      <c r="T527" s="247"/>
      <c r="U527" s="247"/>
    </row>
    <row r="528">
      <c r="A528" s="247"/>
      <c r="B528" s="247"/>
      <c r="C528" s="247"/>
      <c r="D528" s="247"/>
      <c r="E528" s="247"/>
      <c r="F528" s="247"/>
      <c r="G528" s="247"/>
      <c r="H528" s="247"/>
      <c r="I528" s="247"/>
      <c r="J528" s="247"/>
      <c r="K528" s="247"/>
      <c r="L528" s="247"/>
      <c r="M528" s="247"/>
      <c r="N528" s="247"/>
      <c r="O528" s="247"/>
      <c r="P528" s="247"/>
      <c r="Q528" s="247"/>
      <c r="R528" s="247"/>
      <c r="S528" s="247"/>
      <c r="T528" s="247"/>
      <c r="U528" s="247"/>
    </row>
    <row r="529">
      <c r="A529" s="247"/>
      <c r="B529" s="247"/>
      <c r="C529" s="247"/>
      <c r="D529" s="247"/>
      <c r="E529" s="247"/>
      <c r="F529" s="247"/>
      <c r="G529" s="247"/>
      <c r="H529" s="247"/>
      <c r="I529" s="247"/>
      <c r="J529" s="247"/>
      <c r="K529" s="247"/>
      <c r="L529" s="247"/>
      <c r="M529" s="247"/>
      <c r="N529" s="247"/>
      <c r="O529" s="247"/>
      <c r="P529" s="247"/>
      <c r="Q529" s="247"/>
      <c r="R529" s="247"/>
      <c r="S529" s="247"/>
      <c r="T529" s="247"/>
      <c r="U529" s="247"/>
    </row>
    <row r="530">
      <c r="A530" s="247"/>
      <c r="B530" s="247"/>
      <c r="C530" s="247"/>
      <c r="D530" s="247"/>
      <c r="E530" s="247"/>
      <c r="F530" s="247"/>
      <c r="G530" s="247"/>
      <c r="H530" s="247"/>
      <c r="I530" s="247"/>
      <c r="J530" s="247"/>
      <c r="K530" s="247"/>
      <c r="L530" s="247"/>
      <c r="M530" s="247"/>
      <c r="N530" s="247"/>
      <c r="O530" s="247"/>
      <c r="P530" s="247"/>
      <c r="Q530" s="247"/>
      <c r="R530" s="247"/>
      <c r="S530" s="247"/>
      <c r="T530" s="247"/>
      <c r="U530" s="247"/>
    </row>
    <row r="531">
      <c r="A531" s="247"/>
      <c r="B531" s="247"/>
      <c r="C531" s="247"/>
      <c r="D531" s="247"/>
      <c r="E531" s="247"/>
      <c r="F531" s="247"/>
      <c r="G531" s="247"/>
      <c r="H531" s="247"/>
      <c r="I531" s="247"/>
      <c r="J531" s="247"/>
      <c r="K531" s="247"/>
      <c r="L531" s="247"/>
      <c r="M531" s="247"/>
      <c r="N531" s="247"/>
      <c r="O531" s="247"/>
      <c r="P531" s="247"/>
      <c r="Q531" s="247"/>
      <c r="R531" s="247"/>
      <c r="S531" s="247"/>
      <c r="T531" s="247"/>
      <c r="U531" s="247"/>
    </row>
    <row r="532">
      <c r="A532" s="247"/>
      <c r="B532" s="247"/>
      <c r="C532" s="247"/>
      <c r="D532" s="247"/>
      <c r="E532" s="247"/>
      <c r="F532" s="247"/>
      <c r="G532" s="247"/>
      <c r="H532" s="247"/>
      <c r="I532" s="247"/>
      <c r="J532" s="247"/>
      <c r="K532" s="247"/>
      <c r="L532" s="247"/>
      <c r="M532" s="247"/>
      <c r="N532" s="247"/>
      <c r="O532" s="247"/>
      <c r="P532" s="247"/>
      <c r="Q532" s="247"/>
      <c r="R532" s="247"/>
      <c r="S532" s="247"/>
      <c r="T532" s="247"/>
      <c r="U532" s="247"/>
    </row>
    <row r="533">
      <c r="A533" s="247"/>
      <c r="B533" s="247"/>
      <c r="C533" s="247"/>
      <c r="D533" s="247"/>
      <c r="E533" s="247"/>
      <c r="F533" s="247"/>
      <c r="G533" s="247"/>
      <c r="H533" s="247"/>
      <c r="I533" s="247"/>
      <c r="J533" s="247"/>
      <c r="K533" s="247"/>
      <c r="L533" s="247"/>
      <c r="M533" s="247"/>
      <c r="N533" s="247"/>
      <c r="O533" s="247"/>
      <c r="P533" s="247"/>
      <c r="Q533" s="247"/>
      <c r="R533" s="247"/>
      <c r="S533" s="247"/>
      <c r="T533" s="247"/>
      <c r="U533" s="247"/>
    </row>
    <row r="534">
      <c r="A534" s="247"/>
      <c r="B534" s="247"/>
      <c r="C534" s="247"/>
      <c r="D534" s="247"/>
      <c r="E534" s="247"/>
      <c r="F534" s="247"/>
      <c r="G534" s="247"/>
      <c r="H534" s="247"/>
      <c r="I534" s="247"/>
      <c r="J534" s="247"/>
      <c r="K534" s="247"/>
      <c r="L534" s="247"/>
      <c r="M534" s="247"/>
      <c r="N534" s="247"/>
      <c r="O534" s="247"/>
      <c r="P534" s="247"/>
      <c r="Q534" s="247"/>
      <c r="R534" s="247"/>
      <c r="S534" s="247"/>
      <c r="T534" s="247"/>
      <c r="U534" s="247"/>
    </row>
    <row r="535">
      <c r="A535" s="247"/>
      <c r="B535" s="247"/>
      <c r="C535" s="247"/>
      <c r="D535" s="247"/>
      <c r="E535" s="247"/>
      <c r="F535" s="247"/>
      <c r="G535" s="247"/>
      <c r="H535" s="247"/>
      <c r="I535" s="247"/>
      <c r="J535" s="247"/>
      <c r="K535" s="247"/>
      <c r="L535" s="247"/>
      <c r="M535" s="247"/>
      <c r="N535" s="247"/>
      <c r="O535" s="247"/>
      <c r="P535" s="247"/>
      <c r="Q535" s="247"/>
      <c r="R535" s="247"/>
      <c r="S535" s="247"/>
      <c r="T535" s="247"/>
      <c r="U535" s="247"/>
    </row>
    <row r="536">
      <c r="A536" s="247"/>
      <c r="B536" s="247"/>
      <c r="C536" s="247"/>
      <c r="D536" s="247"/>
      <c r="E536" s="247"/>
      <c r="F536" s="247"/>
      <c r="G536" s="247"/>
      <c r="H536" s="247"/>
      <c r="I536" s="247"/>
      <c r="J536" s="247"/>
      <c r="K536" s="247"/>
      <c r="L536" s="247"/>
      <c r="M536" s="247"/>
      <c r="N536" s="247"/>
      <c r="O536" s="247"/>
      <c r="P536" s="247"/>
      <c r="Q536" s="247"/>
      <c r="R536" s="247"/>
      <c r="S536" s="247"/>
      <c r="T536" s="247"/>
      <c r="U536" s="247"/>
    </row>
    <row r="537">
      <c r="A537" s="247"/>
      <c r="B537" s="247"/>
      <c r="C537" s="247"/>
      <c r="D537" s="247"/>
      <c r="E537" s="247"/>
      <c r="F537" s="247"/>
      <c r="G537" s="247"/>
      <c r="H537" s="247"/>
      <c r="I537" s="247"/>
      <c r="J537" s="247"/>
      <c r="K537" s="247"/>
      <c r="L537" s="247"/>
      <c r="M537" s="247"/>
      <c r="N537" s="247"/>
      <c r="O537" s="247"/>
      <c r="P537" s="247"/>
      <c r="Q537" s="247"/>
      <c r="R537" s="247"/>
      <c r="S537" s="247"/>
      <c r="T537" s="247"/>
      <c r="U537" s="247"/>
    </row>
    <row r="538">
      <c r="A538" s="247"/>
      <c r="B538" s="247"/>
      <c r="C538" s="247"/>
      <c r="D538" s="247"/>
      <c r="E538" s="247"/>
      <c r="F538" s="247"/>
      <c r="G538" s="247"/>
      <c r="H538" s="247"/>
      <c r="I538" s="247"/>
      <c r="J538" s="247"/>
      <c r="K538" s="247"/>
      <c r="L538" s="247"/>
      <c r="M538" s="247"/>
      <c r="N538" s="247"/>
      <c r="O538" s="247"/>
      <c r="P538" s="247"/>
      <c r="Q538" s="247"/>
      <c r="R538" s="247"/>
      <c r="S538" s="247"/>
      <c r="T538" s="247"/>
      <c r="U538" s="247"/>
    </row>
    <row r="539">
      <c r="A539" s="247"/>
      <c r="B539" s="247"/>
      <c r="C539" s="247"/>
      <c r="D539" s="247"/>
      <c r="E539" s="247"/>
      <c r="F539" s="247"/>
      <c r="G539" s="247"/>
      <c r="H539" s="247"/>
      <c r="I539" s="247"/>
      <c r="J539" s="247"/>
      <c r="K539" s="247"/>
      <c r="L539" s="247"/>
      <c r="M539" s="247"/>
      <c r="N539" s="247"/>
      <c r="O539" s="247"/>
      <c r="P539" s="247"/>
      <c r="Q539" s="247"/>
      <c r="R539" s="247"/>
      <c r="S539" s="247"/>
      <c r="T539" s="247"/>
      <c r="U539" s="247"/>
    </row>
    <row r="540">
      <c r="A540" s="247"/>
      <c r="B540" s="247"/>
      <c r="C540" s="247"/>
      <c r="D540" s="247"/>
      <c r="E540" s="247"/>
      <c r="F540" s="247"/>
      <c r="G540" s="247"/>
      <c r="H540" s="247"/>
      <c r="I540" s="247"/>
      <c r="J540" s="247"/>
      <c r="K540" s="247"/>
      <c r="L540" s="247"/>
      <c r="M540" s="247"/>
      <c r="N540" s="247"/>
      <c r="O540" s="247"/>
      <c r="P540" s="247"/>
      <c r="Q540" s="247"/>
      <c r="R540" s="247"/>
      <c r="S540" s="247"/>
      <c r="T540" s="247"/>
      <c r="U540" s="247"/>
    </row>
    <row r="541">
      <c r="A541" s="247"/>
      <c r="B541" s="247"/>
      <c r="C541" s="247"/>
      <c r="D541" s="247"/>
      <c r="E541" s="247"/>
      <c r="F541" s="247"/>
      <c r="G541" s="247"/>
      <c r="H541" s="247"/>
      <c r="I541" s="247"/>
      <c r="J541" s="247"/>
      <c r="K541" s="247"/>
      <c r="L541" s="247"/>
      <c r="M541" s="247"/>
      <c r="N541" s="247"/>
      <c r="O541" s="247"/>
      <c r="P541" s="247"/>
      <c r="Q541" s="247"/>
      <c r="R541" s="247"/>
      <c r="S541" s="247"/>
      <c r="T541" s="247"/>
      <c r="U541" s="247"/>
    </row>
    <row r="542">
      <c r="A542" s="247"/>
      <c r="B542" s="247"/>
      <c r="C542" s="247"/>
      <c r="D542" s="247"/>
      <c r="E542" s="247"/>
      <c r="F542" s="247"/>
      <c r="G542" s="247"/>
      <c r="H542" s="247"/>
      <c r="I542" s="247"/>
      <c r="J542" s="247"/>
      <c r="K542" s="247"/>
      <c r="L542" s="247"/>
      <c r="M542" s="247"/>
      <c r="N542" s="247"/>
      <c r="O542" s="247"/>
      <c r="P542" s="247"/>
      <c r="Q542" s="247"/>
      <c r="R542" s="247"/>
      <c r="S542" s="247"/>
      <c r="T542" s="247"/>
      <c r="U542" s="247"/>
    </row>
    <row r="543">
      <c r="A543" s="247"/>
      <c r="B543" s="247"/>
      <c r="C543" s="247"/>
      <c r="D543" s="247"/>
      <c r="E543" s="247"/>
      <c r="F543" s="247"/>
      <c r="G543" s="247"/>
      <c r="H543" s="247"/>
      <c r="I543" s="247"/>
      <c r="J543" s="247"/>
      <c r="K543" s="247"/>
      <c r="L543" s="247"/>
      <c r="M543" s="247"/>
      <c r="N543" s="247"/>
      <c r="O543" s="247"/>
      <c r="P543" s="247"/>
      <c r="Q543" s="247"/>
      <c r="R543" s="247"/>
      <c r="S543" s="247"/>
      <c r="T543" s="247"/>
      <c r="U543" s="247"/>
    </row>
    <row r="544">
      <c r="A544" s="247"/>
      <c r="B544" s="247"/>
      <c r="C544" s="247"/>
      <c r="D544" s="247"/>
      <c r="E544" s="247"/>
      <c r="F544" s="247"/>
      <c r="G544" s="247"/>
      <c r="H544" s="247"/>
      <c r="I544" s="247"/>
      <c r="J544" s="247"/>
      <c r="K544" s="247"/>
      <c r="L544" s="247"/>
      <c r="M544" s="247"/>
      <c r="N544" s="247"/>
      <c r="O544" s="247"/>
      <c r="P544" s="247"/>
      <c r="Q544" s="247"/>
      <c r="R544" s="247"/>
      <c r="S544" s="247"/>
      <c r="T544" s="247"/>
      <c r="U544" s="247"/>
    </row>
    <row r="545">
      <c r="A545" s="247"/>
      <c r="B545" s="247"/>
      <c r="C545" s="247"/>
      <c r="D545" s="247"/>
      <c r="E545" s="247"/>
      <c r="F545" s="247"/>
      <c r="G545" s="247"/>
      <c r="H545" s="247"/>
      <c r="I545" s="247"/>
      <c r="J545" s="247"/>
      <c r="K545" s="247"/>
      <c r="L545" s="247"/>
      <c r="M545" s="247"/>
      <c r="N545" s="247"/>
      <c r="O545" s="247"/>
      <c r="P545" s="247"/>
      <c r="Q545" s="247"/>
      <c r="R545" s="247"/>
      <c r="S545" s="247"/>
      <c r="T545" s="247"/>
      <c r="U545" s="247"/>
    </row>
    <row r="546">
      <c r="A546" s="247"/>
      <c r="B546" s="247"/>
      <c r="C546" s="247"/>
      <c r="D546" s="247"/>
      <c r="E546" s="247"/>
      <c r="F546" s="247"/>
      <c r="G546" s="247"/>
      <c r="H546" s="247"/>
      <c r="I546" s="247"/>
      <c r="J546" s="247"/>
      <c r="K546" s="247"/>
      <c r="L546" s="247"/>
      <c r="M546" s="247"/>
      <c r="N546" s="247"/>
      <c r="O546" s="247"/>
      <c r="P546" s="247"/>
      <c r="Q546" s="247"/>
      <c r="R546" s="247"/>
      <c r="S546" s="247"/>
      <c r="T546" s="247"/>
      <c r="U546" s="247"/>
    </row>
    <row r="547">
      <c r="A547" s="247"/>
      <c r="B547" s="247"/>
      <c r="C547" s="247"/>
      <c r="D547" s="247"/>
      <c r="E547" s="247"/>
      <c r="F547" s="247"/>
      <c r="G547" s="247"/>
      <c r="H547" s="247"/>
      <c r="I547" s="247"/>
      <c r="J547" s="247"/>
      <c r="K547" s="247"/>
      <c r="L547" s="247"/>
      <c r="M547" s="247"/>
      <c r="N547" s="247"/>
      <c r="O547" s="247"/>
      <c r="P547" s="247"/>
      <c r="Q547" s="247"/>
      <c r="R547" s="247"/>
      <c r="S547" s="247"/>
      <c r="T547" s="247"/>
      <c r="U547" s="247"/>
    </row>
    <row r="548">
      <c r="A548" s="247"/>
      <c r="B548" s="247"/>
      <c r="C548" s="247"/>
      <c r="D548" s="247"/>
      <c r="E548" s="247"/>
      <c r="F548" s="247"/>
      <c r="G548" s="247"/>
      <c r="H548" s="247"/>
      <c r="I548" s="247"/>
      <c r="J548" s="247"/>
      <c r="K548" s="247"/>
      <c r="L548" s="247"/>
      <c r="M548" s="247"/>
      <c r="N548" s="247"/>
      <c r="O548" s="247"/>
      <c r="P548" s="247"/>
      <c r="Q548" s="247"/>
      <c r="R548" s="247"/>
      <c r="S548" s="247"/>
      <c r="T548" s="247"/>
      <c r="U548" s="247"/>
    </row>
    <row r="549">
      <c r="A549" s="247"/>
      <c r="B549" s="247"/>
      <c r="C549" s="247"/>
      <c r="D549" s="247"/>
      <c r="E549" s="247"/>
      <c r="F549" s="247"/>
      <c r="G549" s="247"/>
      <c r="H549" s="247"/>
      <c r="I549" s="247"/>
      <c r="J549" s="247"/>
      <c r="K549" s="247"/>
      <c r="L549" s="247"/>
      <c r="M549" s="247"/>
      <c r="N549" s="247"/>
      <c r="O549" s="247"/>
      <c r="P549" s="247"/>
      <c r="Q549" s="247"/>
      <c r="R549" s="247"/>
      <c r="S549" s="247"/>
      <c r="T549" s="247"/>
      <c r="U549" s="247"/>
    </row>
    <row r="550">
      <c r="A550" s="247"/>
      <c r="B550" s="247"/>
      <c r="C550" s="247"/>
      <c r="D550" s="247"/>
      <c r="E550" s="247"/>
      <c r="F550" s="247"/>
      <c r="G550" s="247"/>
      <c r="H550" s="247"/>
      <c r="I550" s="247"/>
      <c r="J550" s="247"/>
      <c r="K550" s="247"/>
      <c r="L550" s="247"/>
      <c r="M550" s="247"/>
      <c r="N550" s="247"/>
      <c r="O550" s="247"/>
      <c r="P550" s="247"/>
      <c r="Q550" s="247"/>
      <c r="R550" s="247"/>
      <c r="S550" s="247"/>
      <c r="T550" s="247"/>
      <c r="U550" s="247"/>
    </row>
    <row r="551">
      <c r="A551" s="247"/>
      <c r="B551" s="247"/>
      <c r="C551" s="247"/>
      <c r="D551" s="247"/>
      <c r="E551" s="247"/>
      <c r="F551" s="247"/>
      <c r="G551" s="247"/>
      <c r="H551" s="247"/>
      <c r="I551" s="247"/>
      <c r="J551" s="247"/>
      <c r="K551" s="247"/>
      <c r="L551" s="247"/>
      <c r="M551" s="247"/>
      <c r="N551" s="247"/>
      <c r="O551" s="247"/>
      <c r="P551" s="247"/>
      <c r="Q551" s="247"/>
      <c r="R551" s="247"/>
      <c r="S551" s="247"/>
      <c r="T551" s="247"/>
      <c r="U551" s="247"/>
    </row>
    <row r="552">
      <c r="A552" s="247"/>
      <c r="B552" s="247"/>
      <c r="C552" s="247"/>
      <c r="D552" s="247"/>
      <c r="E552" s="247"/>
      <c r="F552" s="247"/>
      <c r="G552" s="247"/>
      <c r="H552" s="247"/>
      <c r="I552" s="247"/>
      <c r="J552" s="247"/>
      <c r="K552" s="247"/>
      <c r="L552" s="247"/>
      <c r="M552" s="247"/>
      <c r="N552" s="247"/>
      <c r="O552" s="247"/>
      <c r="P552" s="247"/>
      <c r="Q552" s="247"/>
      <c r="R552" s="247"/>
      <c r="S552" s="247"/>
      <c r="T552" s="247"/>
      <c r="U552" s="247"/>
    </row>
    <row r="553">
      <c r="A553" s="247"/>
      <c r="B553" s="247"/>
      <c r="C553" s="247"/>
      <c r="D553" s="247"/>
      <c r="E553" s="247"/>
      <c r="F553" s="247"/>
      <c r="G553" s="247"/>
      <c r="H553" s="247"/>
      <c r="I553" s="247"/>
      <c r="J553" s="247"/>
      <c r="K553" s="247"/>
      <c r="L553" s="247"/>
      <c r="M553" s="247"/>
      <c r="N553" s="247"/>
      <c r="O553" s="247"/>
      <c r="P553" s="247"/>
      <c r="Q553" s="247"/>
      <c r="R553" s="247"/>
      <c r="S553" s="247"/>
      <c r="T553" s="247"/>
      <c r="U553" s="247"/>
    </row>
    <row r="554">
      <c r="A554" s="247"/>
      <c r="B554" s="247"/>
      <c r="C554" s="247"/>
      <c r="D554" s="247"/>
      <c r="E554" s="247"/>
      <c r="F554" s="247"/>
      <c r="G554" s="247"/>
      <c r="H554" s="247"/>
      <c r="I554" s="247"/>
      <c r="J554" s="247"/>
      <c r="K554" s="247"/>
      <c r="L554" s="247"/>
      <c r="M554" s="247"/>
      <c r="N554" s="247"/>
      <c r="O554" s="247"/>
      <c r="P554" s="247"/>
      <c r="Q554" s="247"/>
      <c r="R554" s="247"/>
      <c r="S554" s="247"/>
      <c r="T554" s="247"/>
      <c r="U554" s="247"/>
    </row>
    <row r="555">
      <c r="A555" s="247"/>
      <c r="B555" s="247"/>
      <c r="C555" s="247"/>
      <c r="D555" s="247"/>
      <c r="E555" s="247"/>
      <c r="F555" s="247"/>
      <c r="G555" s="247"/>
      <c r="H555" s="247"/>
      <c r="I555" s="247"/>
      <c r="J555" s="247"/>
      <c r="K555" s="247"/>
      <c r="L555" s="247"/>
      <c r="M555" s="247"/>
      <c r="N555" s="247"/>
      <c r="O555" s="247"/>
      <c r="P555" s="247"/>
      <c r="Q555" s="247"/>
      <c r="R555" s="247"/>
      <c r="S555" s="247"/>
      <c r="T555" s="247"/>
      <c r="U555" s="247"/>
    </row>
    <row r="556">
      <c r="A556" s="247"/>
      <c r="B556" s="247"/>
      <c r="C556" s="247"/>
      <c r="D556" s="247"/>
      <c r="E556" s="247"/>
      <c r="F556" s="247"/>
      <c r="G556" s="247"/>
      <c r="H556" s="247"/>
      <c r="I556" s="247"/>
      <c r="J556" s="247"/>
      <c r="K556" s="247"/>
      <c r="L556" s="247"/>
      <c r="M556" s="247"/>
      <c r="N556" s="247"/>
      <c r="O556" s="247"/>
      <c r="P556" s="247"/>
      <c r="Q556" s="247"/>
      <c r="R556" s="247"/>
      <c r="S556" s="247"/>
      <c r="T556" s="247"/>
      <c r="U556" s="247"/>
    </row>
    <row r="557">
      <c r="A557" s="247"/>
      <c r="B557" s="247"/>
      <c r="C557" s="247"/>
      <c r="D557" s="247"/>
      <c r="E557" s="247"/>
      <c r="F557" s="247"/>
      <c r="G557" s="247"/>
      <c r="H557" s="247"/>
      <c r="I557" s="247"/>
      <c r="J557" s="247"/>
      <c r="K557" s="247"/>
      <c r="L557" s="247"/>
      <c r="M557" s="247"/>
      <c r="N557" s="247"/>
      <c r="O557" s="247"/>
      <c r="P557" s="247"/>
      <c r="Q557" s="247"/>
      <c r="R557" s="247"/>
      <c r="S557" s="247"/>
      <c r="T557" s="247"/>
      <c r="U557" s="247"/>
    </row>
    <row r="558">
      <c r="A558" s="247"/>
      <c r="B558" s="247"/>
      <c r="C558" s="247"/>
      <c r="D558" s="247"/>
      <c r="E558" s="247"/>
      <c r="F558" s="247"/>
      <c r="G558" s="247"/>
      <c r="H558" s="247"/>
      <c r="I558" s="247"/>
      <c r="J558" s="247"/>
      <c r="K558" s="247"/>
      <c r="L558" s="247"/>
      <c r="M558" s="247"/>
      <c r="N558" s="247"/>
      <c r="O558" s="247"/>
      <c r="P558" s="247"/>
      <c r="Q558" s="247"/>
      <c r="R558" s="247"/>
      <c r="S558" s="247"/>
      <c r="T558" s="247"/>
      <c r="U558" s="247"/>
    </row>
    <row r="559">
      <c r="A559" s="247"/>
      <c r="B559" s="247"/>
      <c r="C559" s="247"/>
      <c r="D559" s="247"/>
      <c r="E559" s="247"/>
      <c r="F559" s="247"/>
      <c r="G559" s="247"/>
      <c r="H559" s="247"/>
      <c r="I559" s="247"/>
      <c r="J559" s="247"/>
      <c r="K559" s="247"/>
      <c r="L559" s="247"/>
      <c r="M559" s="247"/>
      <c r="N559" s="247"/>
      <c r="O559" s="247"/>
      <c r="P559" s="247"/>
      <c r="Q559" s="247"/>
      <c r="R559" s="247"/>
      <c r="S559" s="247"/>
      <c r="T559" s="247"/>
      <c r="U559" s="247"/>
    </row>
    <row r="560">
      <c r="A560" s="247"/>
      <c r="B560" s="247"/>
      <c r="C560" s="247"/>
      <c r="D560" s="247"/>
      <c r="E560" s="247"/>
      <c r="F560" s="247"/>
      <c r="G560" s="247"/>
      <c r="H560" s="247"/>
      <c r="I560" s="247"/>
      <c r="J560" s="247"/>
      <c r="K560" s="247"/>
      <c r="L560" s="247"/>
      <c r="M560" s="247"/>
      <c r="N560" s="247"/>
      <c r="O560" s="247"/>
      <c r="P560" s="247"/>
      <c r="Q560" s="247"/>
      <c r="R560" s="247"/>
      <c r="S560" s="247"/>
      <c r="T560" s="247"/>
      <c r="U560" s="247"/>
    </row>
    <row r="561">
      <c r="A561" s="247"/>
      <c r="B561" s="247"/>
      <c r="C561" s="247"/>
      <c r="D561" s="247"/>
      <c r="E561" s="247"/>
      <c r="F561" s="247"/>
      <c r="G561" s="247"/>
      <c r="H561" s="247"/>
      <c r="I561" s="247"/>
      <c r="J561" s="247"/>
      <c r="K561" s="247"/>
      <c r="L561" s="247"/>
      <c r="M561" s="247"/>
      <c r="N561" s="247"/>
      <c r="O561" s="247"/>
      <c r="P561" s="247"/>
      <c r="Q561" s="247"/>
      <c r="R561" s="247"/>
      <c r="S561" s="247"/>
      <c r="T561" s="247"/>
      <c r="U561" s="247"/>
    </row>
    <row r="562">
      <c r="A562" s="247"/>
      <c r="B562" s="247"/>
      <c r="C562" s="247"/>
      <c r="D562" s="247"/>
      <c r="E562" s="247"/>
      <c r="F562" s="247"/>
      <c r="G562" s="247"/>
      <c r="H562" s="247"/>
      <c r="I562" s="247"/>
      <c r="J562" s="247"/>
      <c r="K562" s="247"/>
      <c r="L562" s="247"/>
      <c r="M562" s="247"/>
      <c r="N562" s="247"/>
      <c r="O562" s="247"/>
      <c r="P562" s="247"/>
      <c r="Q562" s="247"/>
      <c r="R562" s="247"/>
      <c r="S562" s="247"/>
      <c r="T562" s="247"/>
      <c r="U562" s="247"/>
    </row>
    <row r="563">
      <c r="A563" s="247"/>
      <c r="B563" s="247"/>
      <c r="C563" s="247"/>
      <c r="D563" s="247"/>
      <c r="E563" s="247"/>
      <c r="F563" s="247"/>
      <c r="G563" s="247"/>
      <c r="H563" s="247"/>
      <c r="I563" s="247"/>
      <c r="J563" s="247"/>
      <c r="K563" s="247"/>
      <c r="L563" s="247"/>
      <c r="M563" s="247"/>
      <c r="N563" s="247"/>
      <c r="O563" s="247"/>
      <c r="P563" s="247"/>
      <c r="Q563" s="247"/>
      <c r="R563" s="247"/>
      <c r="S563" s="247"/>
      <c r="T563" s="247"/>
      <c r="U563" s="247"/>
    </row>
    <row r="564">
      <c r="A564" s="247"/>
      <c r="B564" s="247"/>
      <c r="C564" s="247"/>
      <c r="D564" s="247"/>
      <c r="E564" s="247"/>
      <c r="F564" s="247"/>
      <c r="G564" s="247"/>
      <c r="H564" s="247"/>
      <c r="I564" s="247"/>
      <c r="J564" s="247"/>
      <c r="K564" s="247"/>
      <c r="L564" s="247"/>
      <c r="M564" s="247"/>
      <c r="N564" s="247"/>
      <c r="O564" s="247"/>
      <c r="P564" s="247"/>
      <c r="Q564" s="247"/>
      <c r="R564" s="247"/>
      <c r="S564" s="247"/>
      <c r="T564" s="247"/>
      <c r="U564" s="247"/>
    </row>
    <row r="565">
      <c r="A565" s="247"/>
      <c r="B565" s="247"/>
      <c r="C565" s="247"/>
      <c r="D565" s="247"/>
      <c r="E565" s="247"/>
      <c r="F565" s="247"/>
      <c r="G565" s="247"/>
      <c r="H565" s="247"/>
      <c r="I565" s="247"/>
      <c r="J565" s="247"/>
      <c r="K565" s="247"/>
      <c r="L565" s="247"/>
      <c r="M565" s="247"/>
      <c r="N565" s="247"/>
      <c r="O565" s="247"/>
      <c r="P565" s="247"/>
      <c r="Q565" s="247"/>
      <c r="R565" s="247"/>
      <c r="S565" s="247"/>
      <c r="T565" s="247"/>
      <c r="U565" s="247"/>
    </row>
    <row r="566">
      <c r="A566" s="247"/>
      <c r="B566" s="247"/>
      <c r="C566" s="247"/>
      <c r="D566" s="247"/>
      <c r="E566" s="247"/>
      <c r="F566" s="247"/>
      <c r="G566" s="247"/>
      <c r="H566" s="247"/>
      <c r="I566" s="247"/>
      <c r="J566" s="247"/>
      <c r="K566" s="247"/>
      <c r="L566" s="247"/>
      <c r="M566" s="247"/>
      <c r="N566" s="247"/>
      <c r="O566" s="247"/>
      <c r="P566" s="247"/>
      <c r="Q566" s="247"/>
      <c r="R566" s="247"/>
      <c r="S566" s="247"/>
      <c r="T566" s="247"/>
      <c r="U566" s="247"/>
    </row>
    <row r="567">
      <c r="A567" s="247"/>
      <c r="B567" s="247"/>
      <c r="C567" s="247"/>
      <c r="D567" s="247"/>
      <c r="E567" s="247"/>
      <c r="F567" s="247"/>
      <c r="G567" s="247"/>
      <c r="H567" s="247"/>
      <c r="I567" s="247"/>
      <c r="J567" s="247"/>
      <c r="K567" s="247"/>
      <c r="L567" s="247"/>
      <c r="M567" s="247"/>
      <c r="N567" s="247"/>
      <c r="O567" s="247"/>
      <c r="P567" s="247"/>
      <c r="Q567" s="247"/>
      <c r="R567" s="247"/>
      <c r="S567" s="247"/>
      <c r="T567" s="247"/>
      <c r="U567" s="247"/>
    </row>
    <row r="568">
      <c r="A568" s="247"/>
      <c r="B568" s="247"/>
      <c r="C568" s="247"/>
      <c r="D568" s="247"/>
      <c r="E568" s="247"/>
      <c r="F568" s="247"/>
      <c r="G568" s="247"/>
      <c r="H568" s="247"/>
      <c r="I568" s="247"/>
      <c r="J568" s="247"/>
      <c r="K568" s="247"/>
      <c r="L568" s="247"/>
      <c r="M568" s="247"/>
      <c r="N568" s="247"/>
      <c r="O568" s="247"/>
      <c r="P568" s="247"/>
      <c r="Q568" s="247"/>
      <c r="R568" s="247"/>
      <c r="S568" s="247"/>
      <c r="T568" s="247"/>
      <c r="U568" s="247"/>
    </row>
    <row r="569">
      <c r="A569" s="247"/>
      <c r="B569" s="247"/>
      <c r="C569" s="247"/>
      <c r="D569" s="247"/>
      <c r="E569" s="247"/>
      <c r="F569" s="247"/>
      <c r="G569" s="247"/>
      <c r="H569" s="247"/>
      <c r="I569" s="247"/>
      <c r="J569" s="247"/>
      <c r="K569" s="247"/>
      <c r="L569" s="247"/>
      <c r="M569" s="247"/>
      <c r="N569" s="247"/>
      <c r="O569" s="247"/>
      <c r="P569" s="247"/>
      <c r="Q569" s="247"/>
      <c r="R569" s="247"/>
      <c r="S569" s="247"/>
      <c r="T569" s="247"/>
      <c r="U569" s="247"/>
    </row>
    <row r="570">
      <c r="A570" s="247"/>
      <c r="B570" s="247"/>
      <c r="C570" s="247"/>
      <c r="D570" s="247"/>
      <c r="E570" s="247"/>
      <c r="F570" s="247"/>
      <c r="G570" s="247"/>
      <c r="H570" s="247"/>
      <c r="I570" s="247"/>
      <c r="J570" s="247"/>
      <c r="K570" s="247"/>
      <c r="L570" s="247"/>
      <c r="M570" s="247"/>
      <c r="N570" s="247"/>
      <c r="O570" s="247"/>
      <c r="P570" s="247"/>
      <c r="Q570" s="247"/>
      <c r="R570" s="247"/>
      <c r="S570" s="247"/>
      <c r="T570" s="247"/>
      <c r="U570" s="247"/>
    </row>
    <row r="571">
      <c r="A571" s="247"/>
      <c r="B571" s="247"/>
      <c r="C571" s="247"/>
      <c r="D571" s="247"/>
      <c r="E571" s="247"/>
      <c r="F571" s="247"/>
      <c r="G571" s="247"/>
      <c r="H571" s="247"/>
      <c r="I571" s="247"/>
      <c r="J571" s="247"/>
      <c r="K571" s="247"/>
      <c r="L571" s="247"/>
      <c r="M571" s="247"/>
      <c r="N571" s="247"/>
      <c r="O571" s="247"/>
      <c r="P571" s="247"/>
      <c r="Q571" s="247"/>
      <c r="R571" s="247"/>
      <c r="S571" s="247"/>
      <c r="T571" s="247"/>
      <c r="U571" s="247"/>
    </row>
    <row r="572">
      <c r="A572" s="247"/>
      <c r="B572" s="247"/>
      <c r="C572" s="247"/>
      <c r="D572" s="247"/>
      <c r="E572" s="247"/>
      <c r="F572" s="247"/>
      <c r="G572" s="247"/>
      <c r="H572" s="247"/>
      <c r="I572" s="247"/>
      <c r="J572" s="247"/>
      <c r="K572" s="247"/>
      <c r="L572" s="247"/>
      <c r="M572" s="247"/>
      <c r="N572" s="247"/>
      <c r="O572" s="247"/>
      <c r="P572" s="247"/>
      <c r="Q572" s="247"/>
      <c r="R572" s="247"/>
      <c r="S572" s="247"/>
      <c r="T572" s="247"/>
      <c r="U572" s="247"/>
    </row>
    <row r="573">
      <c r="A573" s="247"/>
      <c r="B573" s="247"/>
      <c r="C573" s="247"/>
      <c r="D573" s="247"/>
      <c r="E573" s="247"/>
      <c r="F573" s="247"/>
      <c r="G573" s="247"/>
      <c r="H573" s="247"/>
      <c r="I573" s="247"/>
      <c r="J573" s="247"/>
      <c r="K573" s="247"/>
      <c r="L573" s="247"/>
      <c r="M573" s="247"/>
      <c r="N573" s="247"/>
      <c r="O573" s="247"/>
      <c r="P573" s="247"/>
      <c r="Q573" s="247"/>
      <c r="R573" s="247"/>
      <c r="S573" s="247"/>
      <c r="T573" s="247"/>
      <c r="U573" s="247"/>
    </row>
    <row r="574">
      <c r="A574" s="247"/>
      <c r="B574" s="247"/>
      <c r="C574" s="247"/>
      <c r="D574" s="247"/>
      <c r="E574" s="247"/>
      <c r="F574" s="247"/>
      <c r="G574" s="247"/>
      <c r="H574" s="247"/>
      <c r="I574" s="247"/>
      <c r="J574" s="247"/>
      <c r="K574" s="247"/>
      <c r="L574" s="247"/>
      <c r="M574" s="247"/>
      <c r="N574" s="247"/>
      <c r="O574" s="247"/>
      <c r="P574" s="247"/>
      <c r="Q574" s="247"/>
      <c r="R574" s="247"/>
      <c r="S574" s="247"/>
      <c r="T574" s="247"/>
      <c r="U574" s="247"/>
    </row>
    <row r="575">
      <c r="A575" s="247"/>
      <c r="B575" s="247"/>
      <c r="C575" s="247"/>
      <c r="D575" s="247"/>
      <c r="E575" s="247"/>
      <c r="F575" s="247"/>
      <c r="G575" s="247"/>
      <c r="H575" s="247"/>
      <c r="I575" s="247"/>
      <c r="J575" s="247"/>
      <c r="K575" s="247"/>
      <c r="L575" s="247"/>
      <c r="M575" s="247"/>
      <c r="N575" s="247"/>
      <c r="O575" s="247"/>
      <c r="P575" s="247"/>
      <c r="Q575" s="247"/>
      <c r="R575" s="247"/>
      <c r="S575" s="247"/>
      <c r="T575" s="247"/>
      <c r="U575" s="247"/>
    </row>
    <row r="576">
      <c r="A576" s="247"/>
      <c r="B576" s="247"/>
      <c r="C576" s="247"/>
      <c r="D576" s="247"/>
      <c r="E576" s="247"/>
      <c r="F576" s="247"/>
      <c r="G576" s="247"/>
      <c r="H576" s="247"/>
      <c r="I576" s="247"/>
      <c r="J576" s="247"/>
      <c r="K576" s="247"/>
      <c r="L576" s="247"/>
      <c r="M576" s="247"/>
      <c r="N576" s="247"/>
      <c r="O576" s="247"/>
      <c r="P576" s="247"/>
      <c r="Q576" s="247"/>
      <c r="R576" s="247"/>
      <c r="S576" s="247"/>
      <c r="T576" s="247"/>
      <c r="U576" s="247"/>
    </row>
    <row r="577">
      <c r="A577" s="247"/>
      <c r="B577" s="247"/>
      <c r="C577" s="247"/>
      <c r="D577" s="247"/>
      <c r="E577" s="247"/>
      <c r="F577" s="247"/>
      <c r="G577" s="247"/>
      <c r="H577" s="247"/>
      <c r="I577" s="247"/>
      <c r="J577" s="247"/>
      <c r="K577" s="247"/>
      <c r="L577" s="247"/>
      <c r="M577" s="247"/>
      <c r="N577" s="247"/>
      <c r="O577" s="247"/>
      <c r="P577" s="247"/>
      <c r="Q577" s="247"/>
      <c r="R577" s="247"/>
      <c r="S577" s="247"/>
      <c r="T577" s="247"/>
      <c r="U577" s="247"/>
    </row>
    <row r="578">
      <c r="A578" s="247"/>
      <c r="B578" s="247"/>
      <c r="C578" s="247"/>
      <c r="D578" s="247"/>
      <c r="E578" s="247"/>
      <c r="F578" s="247"/>
      <c r="G578" s="247"/>
      <c r="H578" s="247"/>
      <c r="I578" s="247"/>
      <c r="J578" s="247"/>
      <c r="K578" s="247"/>
      <c r="L578" s="247"/>
      <c r="M578" s="247"/>
      <c r="N578" s="247"/>
      <c r="O578" s="247"/>
      <c r="P578" s="247"/>
      <c r="Q578" s="247"/>
      <c r="R578" s="247"/>
      <c r="S578" s="247"/>
      <c r="T578" s="247"/>
      <c r="U578" s="247"/>
    </row>
    <row r="579">
      <c r="A579" s="247"/>
      <c r="B579" s="247"/>
      <c r="C579" s="247"/>
      <c r="D579" s="247"/>
      <c r="E579" s="247"/>
      <c r="F579" s="247"/>
      <c r="G579" s="247"/>
      <c r="H579" s="247"/>
      <c r="I579" s="247"/>
      <c r="J579" s="247"/>
      <c r="K579" s="247"/>
      <c r="L579" s="247"/>
      <c r="M579" s="247"/>
      <c r="N579" s="247"/>
      <c r="O579" s="247"/>
      <c r="P579" s="247"/>
      <c r="Q579" s="247"/>
      <c r="R579" s="247"/>
      <c r="S579" s="247"/>
      <c r="T579" s="247"/>
      <c r="U579" s="247"/>
    </row>
    <row r="580">
      <c r="A580" s="247"/>
      <c r="B580" s="247"/>
      <c r="C580" s="247"/>
      <c r="D580" s="247"/>
      <c r="E580" s="247"/>
      <c r="F580" s="247"/>
      <c r="G580" s="247"/>
      <c r="H580" s="247"/>
      <c r="I580" s="247"/>
      <c r="J580" s="247"/>
      <c r="K580" s="247"/>
      <c r="L580" s="247"/>
      <c r="M580" s="247"/>
      <c r="N580" s="247"/>
      <c r="O580" s="247"/>
      <c r="P580" s="247"/>
      <c r="Q580" s="247"/>
      <c r="R580" s="247"/>
      <c r="S580" s="247"/>
      <c r="T580" s="247"/>
      <c r="U580" s="247"/>
    </row>
    <row r="581">
      <c r="A581" s="247"/>
      <c r="B581" s="247"/>
      <c r="C581" s="247"/>
      <c r="D581" s="247"/>
      <c r="E581" s="247"/>
      <c r="F581" s="247"/>
      <c r="G581" s="247"/>
      <c r="H581" s="247"/>
      <c r="I581" s="247"/>
      <c r="J581" s="247"/>
      <c r="K581" s="247"/>
      <c r="L581" s="247"/>
      <c r="M581" s="247"/>
      <c r="N581" s="247"/>
      <c r="O581" s="247"/>
      <c r="P581" s="247"/>
      <c r="Q581" s="247"/>
      <c r="R581" s="247"/>
      <c r="S581" s="247"/>
      <c r="T581" s="247"/>
      <c r="U581" s="247"/>
    </row>
    <row r="582">
      <c r="A582" s="247"/>
      <c r="B582" s="247"/>
      <c r="C582" s="247"/>
      <c r="D582" s="247"/>
      <c r="E582" s="247"/>
      <c r="F582" s="247"/>
      <c r="G582" s="247"/>
      <c r="H582" s="247"/>
      <c r="I582" s="247"/>
      <c r="J582" s="247"/>
      <c r="K582" s="247"/>
      <c r="L582" s="247"/>
      <c r="M582" s="247"/>
      <c r="N582" s="247"/>
      <c r="O582" s="247"/>
      <c r="P582" s="247"/>
      <c r="Q582" s="247"/>
      <c r="R582" s="247"/>
      <c r="S582" s="247"/>
      <c r="T582" s="247"/>
      <c r="U582" s="247"/>
    </row>
    <row r="583">
      <c r="A583" s="247"/>
      <c r="B583" s="247"/>
      <c r="C583" s="247"/>
      <c r="D583" s="247"/>
      <c r="E583" s="247"/>
      <c r="F583" s="247"/>
      <c r="G583" s="247"/>
      <c r="H583" s="247"/>
      <c r="I583" s="247"/>
      <c r="J583" s="247"/>
      <c r="K583" s="247"/>
      <c r="L583" s="247"/>
      <c r="M583" s="247"/>
      <c r="N583" s="247"/>
      <c r="O583" s="247"/>
      <c r="P583" s="247"/>
      <c r="Q583" s="247"/>
      <c r="R583" s="247"/>
      <c r="S583" s="247"/>
      <c r="T583" s="247"/>
      <c r="U583" s="247"/>
    </row>
    <row r="584">
      <c r="A584" s="247"/>
      <c r="B584" s="247"/>
      <c r="C584" s="247"/>
      <c r="D584" s="247"/>
      <c r="E584" s="247"/>
      <c r="F584" s="247"/>
      <c r="G584" s="247"/>
      <c r="H584" s="247"/>
      <c r="I584" s="247"/>
      <c r="J584" s="247"/>
      <c r="K584" s="247"/>
      <c r="L584" s="247"/>
      <c r="M584" s="247"/>
      <c r="N584" s="247"/>
      <c r="O584" s="247"/>
      <c r="P584" s="247"/>
      <c r="Q584" s="247"/>
      <c r="R584" s="247"/>
      <c r="S584" s="247"/>
      <c r="T584" s="247"/>
      <c r="U584" s="247"/>
    </row>
    <row r="585">
      <c r="A585" s="247"/>
      <c r="B585" s="247"/>
      <c r="C585" s="247"/>
      <c r="D585" s="247"/>
      <c r="E585" s="247"/>
      <c r="F585" s="247"/>
      <c r="G585" s="247"/>
      <c r="H585" s="247"/>
      <c r="I585" s="247"/>
      <c r="J585" s="247"/>
      <c r="K585" s="247"/>
      <c r="L585" s="247"/>
      <c r="M585" s="247"/>
      <c r="N585" s="247"/>
      <c r="O585" s="247"/>
      <c r="P585" s="247"/>
      <c r="Q585" s="247"/>
      <c r="R585" s="247"/>
      <c r="S585" s="247"/>
      <c r="T585" s="247"/>
      <c r="U585" s="247"/>
    </row>
    <row r="586">
      <c r="A586" s="247"/>
      <c r="B586" s="247"/>
      <c r="C586" s="247"/>
      <c r="D586" s="247"/>
      <c r="E586" s="247"/>
      <c r="F586" s="247"/>
      <c r="G586" s="247"/>
      <c r="H586" s="247"/>
      <c r="I586" s="247"/>
      <c r="J586" s="247"/>
      <c r="K586" s="247"/>
      <c r="L586" s="247"/>
      <c r="M586" s="247"/>
      <c r="N586" s="247"/>
      <c r="O586" s="247"/>
      <c r="P586" s="247"/>
      <c r="Q586" s="247"/>
      <c r="R586" s="247"/>
      <c r="S586" s="247"/>
      <c r="T586" s="247"/>
      <c r="U586" s="247"/>
    </row>
    <row r="587">
      <c r="A587" s="247"/>
      <c r="B587" s="247"/>
      <c r="C587" s="247"/>
      <c r="D587" s="247"/>
      <c r="E587" s="247"/>
      <c r="F587" s="247"/>
      <c r="G587" s="247"/>
      <c r="H587" s="247"/>
      <c r="I587" s="247"/>
      <c r="J587" s="247"/>
      <c r="K587" s="247"/>
      <c r="L587" s="247"/>
      <c r="M587" s="247"/>
      <c r="N587" s="247"/>
      <c r="O587" s="247"/>
      <c r="P587" s="247"/>
      <c r="Q587" s="247"/>
      <c r="R587" s="247"/>
      <c r="S587" s="247"/>
      <c r="T587" s="247"/>
      <c r="U587" s="247"/>
    </row>
    <row r="588">
      <c r="A588" s="247"/>
      <c r="B588" s="247"/>
      <c r="C588" s="247"/>
      <c r="D588" s="247"/>
      <c r="E588" s="247"/>
      <c r="F588" s="247"/>
      <c r="G588" s="247"/>
      <c r="H588" s="247"/>
      <c r="I588" s="247"/>
      <c r="J588" s="247"/>
      <c r="K588" s="247"/>
      <c r="L588" s="247"/>
      <c r="M588" s="247"/>
      <c r="N588" s="247"/>
      <c r="O588" s="247"/>
      <c r="P588" s="247"/>
      <c r="Q588" s="247"/>
      <c r="R588" s="247"/>
      <c r="S588" s="247"/>
      <c r="T588" s="247"/>
      <c r="U588" s="247"/>
    </row>
    <row r="589">
      <c r="A589" s="247"/>
      <c r="B589" s="247"/>
      <c r="C589" s="247"/>
      <c r="D589" s="247"/>
      <c r="E589" s="247"/>
      <c r="F589" s="247"/>
      <c r="G589" s="247"/>
      <c r="H589" s="247"/>
      <c r="I589" s="247"/>
      <c r="J589" s="247"/>
      <c r="K589" s="247"/>
      <c r="L589" s="247"/>
      <c r="M589" s="247"/>
      <c r="N589" s="247"/>
      <c r="O589" s="247"/>
      <c r="P589" s="247"/>
      <c r="Q589" s="247"/>
      <c r="R589" s="247"/>
      <c r="S589" s="247"/>
      <c r="T589" s="247"/>
      <c r="U589" s="247"/>
    </row>
    <row r="590">
      <c r="A590" s="247"/>
      <c r="B590" s="247"/>
      <c r="C590" s="247"/>
      <c r="D590" s="247"/>
      <c r="E590" s="247"/>
      <c r="F590" s="247"/>
      <c r="G590" s="247"/>
      <c r="H590" s="247"/>
      <c r="I590" s="247"/>
      <c r="J590" s="247"/>
      <c r="K590" s="247"/>
      <c r="L590" s="247"/>
      <c r="M590" s="247"/>
      <c r="N590" s="247"/>
      <c r="O590" s="247"/>
      <c r="P590" s="247"/>
      <c r="Q590" s="247"/>
      <c r="R590" s="247"/>
      <c r="S590" s="247"/>
      <c r="T590" s="247"/>
      <c r="U590" s="247"/>
    </row>
    <row r="591">
      <c r="A591" s="247"/>
      <c r="B591" s="247"/>
      <c r="C591" s="247"/>
      <c r="D591" s="247"/>
      <c r="E591" s="247"/>
      <c r="F591" s="247"/>
      <c r="G591" s="247"/>
      <c r="H591" s="247"/>
      <c r="I591" s="247"/>
      <c r="J591" s="247"/>
      <c r="K591" s="247"/>
      <c r="L591" s="247"/>
      <c r="M591" s="247"/>
      <c r="N591" s="247"/>
      <c r="O591" s="247"/>
      <c r="P591" s="247"/>
      <c r="Q591" s="247"/>
      <c r="R591" s="247"/>
      <c r="S591" s="247"/>
      <c r="T591" s="247"/>
      <c r="U591" s="247"/>
    </row>
    <row r="592">
      <c r="A592" s="247"/>
      <c r="B592" s="247"/>
      <c r="C592" s="247"/>
      <c r="D592" s="247"/>
      <c r="E592" s="247"/>
      <c r="F592" s="247"/>
      <c r="G592" s="247"/>
      <c r="H592" s="247"/>
      <c r="I592" s="247"/>
      <c r="J592" s="247"/>
      <c r="K592" s="247"/>
      <c r="L592" s="247"/>
      <c r="M592" s="247"/>
      <c r="N592" s="247"/>
      <c r="O592" s="247"/>
      <c r="P592" s="247"/>
      <c r="Q592" s="247"/>
      <c r="R592" s="247"/>
      <c r="S592" s="247"/>
      <c r="T592" s="247"/>
      <c r="U592" s="247"/>
    </row>
    <row r="593">
      <c r="A593" s="247"/>
      <c r="B593" s="247"/>
      <c r="C593" s="247"/>
      <c r="D593" s="247"/>
      <c r="E593" s="247"/>
      <c r="F593" s="247"/>
      <c r="G593" s="247"/>
      <c r="H593" s="247"/>
      <c r="I593" s="247"/>
      <c r="J593" s="247"/>
      <c r="K593" s="247"/>
      <c r="L593" s="247"/>
      <c r="M593" s="247"/>
      <c r="N593" s="247"/>
      <c r="O593" s="247"/>
      <c r="P593" s="247"/>
      <c r="Q593" s="247"/>
      <c r="R593" s="247"/>
      <c r="S593" s="247"/>
      <c r="T593" s="247"/>
      <c r="U593" s="247"/>
    </row>
    <row r="594">
      <c r="A594" s="247"/>
      <c r="B594" s="247"/>
      <c r="C594" s="247"/>
      <c r="D594" s="247"/>
      <c r="E594" s="247"/>
      <c r="F594" s="247"/>
      <c r="G594" s="247"/>
      <c r="H594" s="247"/>
      <c r="I594" s="247"/>
      <c r="J594" s="247"/>
      <c r="K594" s="247"/>
      <c r="L594" s="247"/>
      <c r="M594" s="247"/>
      <c r="N594" s="247"/>
      <c r="O594" s="247"/>
      <c r="P594" s="247"/>
      <c r="Q594" s="247"/>
      <c r="R594" s="247"/>
      <c r="S594" s="247"/>
      <c r="T594" s="247"/>
      <c r="U594" s="247"/>
    </row>
    <row r="595">
      <c r="A595" s="247"/>
      <c r="B595" s="247"/>
      <c r="C595" s="247"/>
      <c r="D595" s="247"/>
      <c r="E595" s="247"/>
      <c r="F595" s="247"/>
      <c r="G595" s="247"/>
      <c r="H595" s="247"/>
      <c r="I595" s="247"/>
      <c r="J595" s="247"/>
      <c r="K595" s="247"/>
      <c r="L595" s="247"/>
      <c r="M595" s="247"/>
      <c r="N595" s="247"/>
      <c r="O595" s="247"/>
      <c r="P595" s="247"/>
      <c r="Q595" s="247"/>
      <c r="R595" s="247"/>
      <c r="S595" s="247"/>
      <c r="T595" s="247"/>
      <c r="U595" s="247"/>
    </row>
    <row r="596">
      <c r="A596" s="247"/>
      <c r="B596" s="247"/>
      <c r="C596" s="247"/>
      <c r="D596" s="247"/>
      <c r="E596" s="247"/>
      <c r="F596" s="247"/>
      <c r="G596" s="247"/>
      <c r="H596" s="247"/>
      <c r="I596" s="247"/>
      <c r="J596" s="247"/>
      <c r="K596" s="247"/>
      <c r="L596" s="247"/>
      <c r="M596" s="247"/>
      <c r="N596" s="247"/>
      <c r="O596" s="247"/>
      <c r="P596" s="247"/>
      <c r="Q596" s="247"/>
      <c r="R596" s="247"/>
      <c r="S596" s="247"/>
      <c r="T596" s="247"/>
      <c r="U596" s="247"/>
    </row>
    <row r="597">
      <c r="A597" s="247"/>
      <c r="B597" s="247"/>
      <c r="C597" s="247"/>
      <c r="D597" s="247"/>
      <c r="E597" s="247"/>
      <c r="F597" s="247"/>
      <c r="G597" s="247"/>
      <c r="H597" s="247"/>
      <c r="I597" s="247"/>
      <c r="J597" s="247"/>
      <c r="K597" s="247"/>
      <c r="L597" s="247"/>
      <c r="M597" s="247"/>
      <c r="N597" s="247"/>
      <c r="O597" s="247"/>
      <c r="P597" s="247"/>
      <c r="Q597" s="247"/>
      <c r="R597" s="247"/>
      <c r="S597" s="247"/>
      <c r="T597" s="247"/>
      <c r="U597" s="247"/>
    </row>
    <row r="598">
      <c r="A598" s="247"/>
      <c r="B598" s="247"/>
      <c r="C598" s="247"/>
      <c r="D598" s="247"/>
      <c r="E598" s="247"/>
      <c r="F598" s="247"/>
      <c r="G598" s="247"/>
      <c r="H598" s="247"/>
      <c r="I598" s="247"/>
      <c r="J598" s="247"/>
      <c r="K598" s="247"/>
      <c r="L598" s="247"/>
      <c r="M598" s="247"/>
      <c r="N598" s="247"/>
      <c r="O598" s="247"/>
      <c r="P598" s="247"/>
      <c r="Q598" s="247"/>
      <c r="R598" s="247"/>
      <c r="S598" s="247"/>
      <c r="T598" s="247"/>
      <c r="U598" s="247"/>
    </row>
    <row r="599">
      <c r="A599" s="247"/>
      <c r="B599" s="247"/>
      <c r="C599" s="247"/>
      <c r="D599" s="247"/>
      <c r="E599" s="247"/>
      <c r="F599" s="247"/>
      <c r="G599" s="247"/>
      <c r="H599" s="247"/>
      <c r="I599" s="247"/>
      <c r="J599" s="247"/>
      <c r="K599" s="247"/>
      <c r="L599" s="247"/>
      <c r="M599" s="247"/>
      <c r="N599" s="247"/>
      <c r="O599" s="247"/>
      <c r="P599" s="247"/>
      <c r="Q599" s="247"/>
      <c r="R599" s="247"/>
      <c r="S599" s="247"/>
      <c r="T599" s="247"/>
      <c r="U599" s="247"/>
    </row>
    <row r="600">
      <c r="A600" s="247"/>
      <c r="B600" s="247"/>
      <c r="C600" s="247"/>
      <c r="D600" s="247"/>
      <c r="E600" s="247"/>
      <c r="F600" s="247"/>
      <c r="G600" s="247"/>
      <c r="H600" s="247"/>
      <c r="I600" s="247"/>
      <c r="J600" s="247"/>
      <c r="K600" s="247"/>
      <c r="L600" s="247"/>
      <c r="M600" s="247"/>
      <c r="N600" s="247"/>
      <c r="O600" s="247"/>
      <c r="P600" s="247"/>
      <c r="Q600" s="247"/>
      <c r="R600" s="247"/>
      <c r="S600" s="247"/>
      <c r="T600" s="247"/>
      <c r="U600" s="247"/>
    </row>
    <row r="601">
      <c r="A601" s="247"/>
      <c r="B601" s="247"/>
      <c r="C601" s="247"/>
      <c r="D601" s="247"/>
      <c r="E601" s="247"/>
      <c r="F601" s="247"/>
      <c r="G601" s="247"/>
      <c r="H601" s="247"/>
      <c r="I601" s="247"/>
      <c r="J601" s="247"/>
      <c r="K601" s="247"/>
      <c r="L601" s="247"/>
      <c r="M601" s="247"/>
      <c r="N601" s="247"/>
      <c r="O601" s="247"/>
      <c r="P601" s="247"/>
      <c r="Q601" s="247"/>
      <c r="R601" s="247"/>
      <c r="S601" s="247"/>
      <c r="T601" s="247"/>
      <c r="U601" s="247"/>
    </row>
    <row r="602">
      <c r="A602" s="247"/>
      <c r="B602" s="247"/>
      <c r="C602" s="247"/>
      <c r="D602" s="247"/>
      <c r="E602" s="247"/>
      <c r="F602" s="247"/>
      <c r="G602" s="247"/>
      <c r="H602" s="247"/>
      <c r="I602" s="247"/>
      <c r="J602" s="247"/>
      <c r="K602" s="247"/>
      <c r="L602" s="247"/>
      <c r="M602" s="247"/>
      <c r="N602" s="247"/>
      <c r="O602" s="247"/>
      <c r="P602" s="247"/>
      <c r="Q602" s="247"/>
      <c r="R602" s="247"/>
      <c r="S602" s="247"/>
      <c r="T602" s="247"/>
      <c r="U602" s="247"/>
    </row>
    <row r="603">
      <c r="A603" s="247"/>
      <c r="B603" s="247"/>
      <c r="C603" s="247"/>
      <c r="D603" s="247"/>
      <c r="E603" s="247"/>
      <c r="F603" s="247"/>
      <c r="G603" s="247"/>
      <c r="H603" s="247"/>
      <c r="I603" s="247"/>
      <c r="J603" s="247"/>
      <c r="K603" s="247"/>
      <c r="L603" s="247"/>
      <c r="M603" s="247"/>
      <c r="N603" s="247"/>
      <c r="O603" s="247"/>
      <c r="P603" s="247"/>
      <c r="Q603" s="247"/>
      <c r="R603" s="247"/>
      <c r="S603" s="247"/>
      <c r="T603" s="247"/>
      <c r="U603" s="247"/>
    </row>
    <row r="604">
      <c r="A604" s="247"/>
      <c r="B604" s="247"/>
      <c r="C604" s="247"/>
      <c r="D604" s="247"/>
      <c r="E604" s="247"/>
      <c r="F604" s="247"/>
      <c r="G604" s="247"/>
      <c r="H604" s="247"/>
      <c r="I604" s="247"/>
      <c r="J604" s="247"/>
      <c r="K604" s="247"/>
      <c r="L604" s="247"/>
      <c r="M604" s="247"/>
      <c r="N604" s="247"/>
      <c r="O604" s="247"/>
      <c r="P604" s="247"/>
      <c r="Q604" s="247"/>
      <c r="R604" s="247"/>
      <c r="S604" s="247"/>
      <c r="T604" s="247"/>
      <c r="U604" s="247"/>
    </row>
    <row r="605">
      <c r="A605" s="247"/>
      <c r="B605" s="247"/>
      <c r="C605" s="247"/>
      <c r="D605" s="247"/>
      <c r="E605" s="247"/>
      <c r="F605" s="247"/>
      <c r="G605" s="247"/>
      <c r="H605" s="247"/>
      <c r="I605" s="247"/>
      <c r="J605" s="247"/>
      <c r="K605" s="247"/>
      <c r="L605" s="247"/>
      <c r="M605" s="247"/>
      <c r="N605" s="247"/>
      <c r="O605" s="247"/>
      <c r="P605" s="247"/>
      <c r="Q605" s="247"/>
      <c r="R605" s="247"/>
      <c r="S605" s="247"/>
      <c r="T605" s="247"/>
      <c r="U605" s="247"/>
    </row>
    <row r="606">
      <c r="A606" s="247"/>
      <c r="B606" s="247"/>
      <c r="C606" s="247"/>
      <c r="D606" s="247"/>
      <c r="E606" s="247"/>
      <c r="F606" s="247"/>
      <c r="G606" s="247"/>
      <c r="H606" s="247"/>
      <c r="I606" s="247"/>
      <c r="J606" s="247"/>
      <c r="K606" s="247"/>
      <c r="L606" s="247"/>
      <c r="M606" s="247"/>
      <c r="N606" s="247"/>
      <c r="O606" s="247"/>
      <c r="P606" s="247"/>
      <c r="Q606" s="247"/>
      <c r="R606" s="247"/>
      <c r="S606" s="247"/>
      <c r="T606" s="247"/>
      <c r="U606" s="247"/>
    </row>
    <row r="607">
      <c r="A607" s="247"/>
      <c r="B607" s="247"/>
      <c r="C607" s="247"/>
      <c r="D607" s="247"/>
      <c r="E607" s="247"/>
      <c r="F607" s="247"/>
      <c r="G607" s="247"/>
      <c r="H607" s="247"/>
      <c r="I607" s="247"/>
      <c r="J607" s="247"/>
      <c r="K607" s="247"/>
      <c r="L607" s="247"/>
      <c r="M607" s="247"/>
      <c r="N607" s="247"/>
      <c r="O607" s="247"/>
      <c r="P607" s="247"/>
      <c r="Q607" s="247"/>
      <c r="R607" s="247"/>
      <c r="S607" s="247"/>
      <c r="T607" s="247"/>
      <c r="U607" s="247"/>
    </row>
    <row r="608">
      <c r="A608" s="247"/>
      <c r="B608" s="247"/>
      <c r="C608" s="247"/>
      <c r="D608" s="247"/>
      <c r="E608" s="247"/>
      <c r="F608" s="247"/>
      <c r="G608" s="247"/>
      <c r="H608" s="247"/>
      <c r="I608" s="247"/>
      <c r="J608" s="247"/>
      <c r="K608" s="247"/>
      <c r="L608" s="247"/>
      <c r="M608" s="247"/>
      <c r="N608" s="247"/>
      <c r="O608" s="247"/>
      <c r="P608" s="247"/>
      <c r="Q608" s="247"/>
      <c r="R608" s="247"/>
      <c r="S608" s="247"/>
      <c r="T608" s="247"/>
      <c r="U608" s="247"/>
    </row>
    <row r="609">
      <c r="A609" s="247"/>
      <c r="B609" s="247"/>
      <c r="C609" s="247"/>
      <c r="D609" s="247"/>
      <c r="E609" s="247"/>
      <c r="F609" s="247"/>
      <c r="G609" s="247"/>
      <c r="H609" s="247"/>
      <c r="I609" s="247"/>
      <c r="J609" s="247"/>
      <c r="K609" s="247"/>
      <c r="L609" s="247"/>
      <c r="M609" s="247"/>
      <c r="N609" s="247"/>
      <c r="O609" s="247"/>
      <c r="P609" s="247"/>
      <c r="Q609" s="247"/>
      <c r="R609" s="247"/>
      <c r="S609" s="247"/>
      <c r="T609" s="247"/>
      <c r="U609" s="247"/>
    </row>
    <row r="610">
      <c r="A610" s="247"/>
      <c r="B610" s="247"/>
      <c r="C610" s="247"/>
      <c r="D610" s="247"/>
      <c r="E610" s="247"/>
      <c r="F610" s="247"/>
      <c r="G610" s="247"/>
      <c r="H610" s="247"/>
      <c r="I610" s="247"/>
      <c r="J610" s="247"/>
      <c r="K610" s="247"/>
      <c r="L610" s="247"/>
      <c r="M610" s="247"/>
      <c r="N610" s="247"/>
      <c r="O610" s="247"/>
      <c r="P610" s="247"/>
      <c r="Q610" s="247"/>
      <c r="R610" s="247"/>
      <c r="S610" s="247"/>
      <c r="T610" s="247"/>
      <c r="U610" s="247"/>
    </row>
    <row r="611">
      <c r="A611" s="247"/>
      <c r="B611" s="247"/>
      <c r="C611" s="247"/>
      <c r="D611" s="247"/>
      <c r="E611" s="247"/>
      <c r="F611" s="247"/>
      <c r="G611" s="247"/>
      <c r="H611" s="247"/>
      <c r="I611" s="247"/>
      <c r="J611" s="247"/>
      <c r="K611" s="247"/>
      <c r="L611" s="247"/>
      <c r="M611" s="247"/>
      <c r="N611" s="247"/>
      <c r="O611" s="247"/>
      <c r="P611" s="247"/>
      <c r="Q611" s="247"/>
      <c r="R611" s="247"/>
      <c r="S611" s="247"/>
      <c r="T611" s="247"/>
      <c r="U611" s="247"/>
    </row>
    <row r="612">
      <c r="A612" s="247"/>
      <c r="B612" s="247"/>
      <c r="C612" s="247"/>
      <c r="D612" s="247"/>
      <c r="E612" s="247"/>
      <c r="F612" s="247"/>
      <c r="G612" s="247"/>
      <c r="H612" s="247"/>
      <c r="I612" s="247"/>
      <c r="J612" s="247"/>
      <c r="K612" s="247"/>
      <c r="L612" s="247"/>
      <c r="M612" s="247"/>
      <c r="N612" s="247"/>
      <c r="O612" s="247"/>
      <c r="P612" s="247"/>
      <c r="Q612" s="247"/>
      <c r="R612" s="247"/>
      <c r="S612" s="247"/>
      <c r="T612" s="247"/>
      <c r="U612" s="247"/>
    </row>
    <row r="613">
      <c r="A613" s="247"/>
      <c r="B613" s="247"/>
      <c r="C613" s="247"/>
      <c r="D613" s="247"/>
      <c r="E613" s="247"/>
      <c r="F613" s="247"/>
      <c r="G613" s="247"/>
      <c r="H613" s="247"/>
      <c r="I613" s="247"/>
      <c r="J613" s="247"/>
      <c r="K613" s="247"/>
      <c r="L613" s="247"/>
      <c r="M613" s="247"/>
      <c r="N613" s="247"/>
      <c r="O613" s="247"/>
      <c r="P613" s="247"/>
      <c r="Q613" s="247"/>
      <c r="R613" s="247"/>
      <c r="S613" s="247"/>
      <c r="T613" s="247"/>
      <c r="U613" s="247"/>
    </row>
    <row r="614">
      <c r="A614" s="247"/>
      <c r="B614" s="247"/>
      <c r="C614" s="247"/>
      <c r="D614" s="247"/>
      <c r="E614" s="247"/>
      <c r="F614" s="247"/>
      <c r="G614" s="247"/>
      <c r="H614" s="247"/>
      <c r="I614" s="247"/>
      <c r="J614" s="247"/>
      <c r="K614" s="247"/>
      <c r="L614" s="247"/>
      <c r="M614" s="247"/>
      <c r="N614" s="247"/>
      <c r="O614" s="247"/>
      <c r="P614" s="247"/>
      <c r="Q614" s="247"/>
      <c r="R614" s="247"/>
      <c r="S614" s="247"/>
      <c r="T614" s="247"/>
      <c r="U614" s="247"/>
    </row>
    <row r="615">
      <c r="A615" s="247"/>
      <c r="B615" s="247"/>
      <c r="C615" s="247"/>
      <c r="D615" s="247"/>
      <c r="E615" s="247"/>
      <c r="F615" s="247"/>
      <c r="G615" s="247"/>
      <c r="H615" s="247"/>
      <c r="I615" s="247"/>
      <c r="J615" s="247"/>
      <c r="K615" s="247"/>
      <c r="L615" s="247"/>
      <c r="M615" s="247"/>
      <c r="N615" s="247"/>
      <c r="O615" s="247"/>
      <c r="P615" s="247"/>
      <c r="Q615" s="247"/>
      <c r="R615" s="247"/>
      <c r="S615" s="247"/>
      <c r="T615" s="247"/>
      <c r="U615" s="247"/>
    </row>
    <row r="616">
      <c r="A616" s="247"/>
      <c r="B616" s="247"/>
      <c r="C616" s="247"/>
      <c r="D616" s="247"/>
      <c r="E616" s="247"/>
      <c r="F616" s="247"/>
      <c r="G616" s="247"/>
      <c r="H616" s="247"/>
      <c r="I616" s="247"/>
      <c r="J616" s="247"/>
      <c r="K616" s="247"/>
      <c r="L616" s="247"/>
      <c r="M616" s="247"/>
      <c r="N616" s="247"/>
      <c r="O616" s="247"/>
      <c r="P616" s="247"/>
      <c r="Q616" s="247"/>
      <c r="R616" s="247"/>
      <c r="S616" s="247"/>
      <c r="T616" s="247"/>
      <c r="U616" s="247"/>
    </row>
    <row r="617">
      <c r="A617" s="247"/>
      <c r="B617" s="247"/>
      <c r="C617" s="247"/>
      <c r="D617" s="247"/>
      <c r="E617" s="247"/>
      <c r="F617" s="247"/>
      <c r="G617" s="247"/>
      <c r="H617" s="247"/>
      <c r="I617" s="247"/>
      <c r="J617" s="247"/>
      <c r="K617" s="247"/>
      <c r="L617" s="247"/>
      <c r="M617" s="247"/>
      <c r="N617" s="247"/>
      <c r="O617" s="247"/>
      <c r="P617" s="247"/>
      <c r="Q617" s="247"/>
      <c r="R617" s="247"/>
      <c r="S617" s="247"/>
      <c r="T617" s="247"/>
      <c r="U617" s="247"/>
    </row>
    <row r="618">
      <c r="A618" s="247"/>
      <c r="B618" s="247"/>
      <c r="C618" s="247"/>
      <c r="D618" s="247"/>
      <c r="E618" s="247"/>
      <c r="F618" s="247"/>
      <c r="G618" s="247"/>
      <c r="H618" s="247"/>
      <c r="I618" s="247"/>
      <c r="J618" s="247"/>
      <c r="K618" s="247"/>
      <c r="L618" s="247"/>
      <c r="M618" s="247"/>
      <c r="N618" s="247"/>
      <c r="O618" s="247"/>
      <c r="P618" s="247"/>
      <c r="Q618" s="247"/>
      <c r="R618" s="247"/>
      <c r="S618" s="247"/>
      <c r="T618" s="247"/>
      <c r="U618" s="247"/>
    </row>
    <row r="619">
      <c r="A619" s="247"/>
      <c r="B619" s="247"/>
      <c r="C619" s="247"/>
      <c r="D619" s="247"/>
      <c r="E619" s="247"/>
      <c r="F619" s="247"/>
      <c r="G619" s="247"/>
      <c r="H619" s="247"/>
      <c r="I619" s="247"/>
      <c r="J619" s="247"/>
      <c r="K619" s="247"/>
      <c r="L619" s="247"/>
      <c r="M619" s="247"/>
      <c r="N619" s="247"/>
      <c r="O619" s="247"/>
      <c r="P619" s="247"/>
      <c r="Q619" s="247"/>
      <c r="R619" s="247"/>
      <c r="S619" s="247"/>
      <c r="T619" s="247"/>
      <c r="U619" s="247"/>
    </row>
    <row r="620">
      <c r="A620" s="247"/>
      <c r="B620" s="247"/>
      <c r="C620" s="247"/>
      <c r="D620" s="247"/>
      <c r="E620" s="247"/>
      <c r="F620" s="247"/>
      <c r="G620" s="247"/>
      <c r="H620" s="247"/>
      <c r="I620" s="247"/>
      <c r="J620" s="247"/>
      <c r="K620" s="247"/>
      <c r="L620" s="247"/>
      <c r="M620" s="247"/>
      <c r="N620" s="247"/>
      <c r="O620" s="247"/>
      <c r="P620" s="247"/>
      <c r="Q620" s="247"/>
      <c r="R620" s="247"/>
      <c r="S620" s="247"/>
      <c r="T620" s="247"/>
      <c r="U620" s="247"/>
    </row>
    <row r="621">
      <c r="A621" s="247"/>
      <c r="B621" s="247"/>
      <c r="C621" s="247"/>
      <c r="D621" s="247"/>
      <c r="E621" s="247"/>
      <c r="F621" s="247"/>
      <c r="G621" s="247"/>
      <c r="H621" s="247"/>
      <c r="I621" s="247"/>
      <c r="J621" s="247"/>
      <c r="K621" s="247"/>
      <c r="L621" s="247"/>
      <c r="M621" s="247"/>
      <c r="N621" s="247"/>
      <c r="O621" s="247"/>
      <c r="P621" s="247"/>
      <c r="Q621" s="247"/>
      <c r="R621" s="247"/>
      <c r="S621" s="247"/>
      <c r="T621" s="247"/>
      <c r="U621" s="247"/>
    </row>
    <row r="622">
      <c r="A622" s="247"/>
      <c r="B622" s="247"/>
      <c r="C622" s="247"/>
      <c r="D622" s="247"/>
      <c r="E622" s="247"/>
      <c r="F622" s="247"/>
      <c r="G622" s="247"/>
      <c r="H622" s="247"/>
      <c r="I622" s="247"/>
      <c r="J622" s="247"/>
      <c r="K622" s="247"/>
      <c r="L622" s="247"/>
      <c r="M622" s="247"/>
      <c r="N622" s="247"/>
      <c r="O622" s="247"/>
      <c r="P622" s="247"/>
      <c r="Q622" s="247"/>
      <c r="R622" s="247"/>
      <c r="S622" s="247"/>
      <c r="T622" s="247"/>
      <c r="U622" s="247"/>
    </row>
    <row r="623">
      <c r="A623" s="247"/>
      <c r="B623" s="247"/>
      <c r="C623" s="247"/>
      <c r="D623" s="247"/>
      <c r="E623" s="247"/>
      <c r="F623" s="247"/>
      <c r="G623" s="247"/>
      <c r="H623" s="247"/>
      <c r="I623" s="247"/>
      <c r="J623" s="247"/>
      <c r="K623" s="247"/>
      <c r="L623" s="247"/>
      <c r="M623" s="247"/>
      <c r="N623" s="247"/>
      <c r="O623" s="247"/>
      <c r="P623" s="247"/>
      <c r="Q623" s="247"/>
      <c r="R623" s="247"/>
      <c r="S623" s="247"/>
      <c r="T623" s="247"/>
      <c r="U623" s="247"/>
    </row>
    <row r="624">
      <c r="A624" s="247"/>
      <c r="B624" s="247"/>
      <c r="C624" s="247"/>
      <c r="D624" s="247"/>
      <c r="E624" s="247"/>
      <c r="F624" s="247"/>
      <c r="G624" s="247"/>
      <c r="H624" s="247"/>
      <c r="I624" s="247"/>
      <c r="J624" s="247"/>
      <c r="K624" s="247"/>
      <c r="L624" s="247"/>
      <c r="M624" s="247"/>
      <c r="N624" s="247"/>
      <c r="O624" s="247"/>
      <c r="P624" s="247"/>
      <c r="Q624" s="247"/>
      <c r="R624" s="247"/>
      <c r="S624" s="247"/>
      <c r="T624" s="247"/>
      <c r="U624" s="247"/>
    </row>
    <row r="625">
      <c r="A625" s="247"/>
      <c r="B625" s="247"/>
      <c r="C625" s="247"/>
      <c r="D625" s="247"/>
      <c r="E625" s="247"/>
      <c r="F625" s="247"/>
      <c r="G625" s="247"/>
      <c r="H625" s="247"/>
      <c r="I625" s="247"/>
      <c r="J625" s="247"/>
      <c r="K625" s="247"/>
      <c r="L625" s="247"/>
      <c r="M625" s="247"/>
      <c r="N625" s="247"/>
      <c r="O625" s="247"/>
      <c r="P625" s="247"/>
      <c r="Q625" s="247"/>
      <c r="R625" s="247"/>
      <c r="S625" s="247"/>
      <c r="T625" s="247"/>
      <c r="U625" s="247"/>
    </row>
    <row r="626">
      <c r="A626" s="247"/>
      <c r="B626" s="247"/>
      <c r="C626" s="247"/>
      <c r="D626" s="247"/>
      <c r="E626" s="247"/>
      <c r="F626" s="247"/>
      <c r="G626" s="247"/>
      <c r="H626" s="247"/>
      <c r="I626" s="247"/>
      <c r="J626" s="247"/>
      <c r="K626" s="247"/>
      <c r="L626" s="247"/>
      <c r="M626" s="247"/>
      <c r="N626" s="247"/>
      <c r="O626" s="247"/>
      <c r="P626" s="247"/>
      <c r="Q626" s="247"/>
      <c r="R626" s="247"/>
      <c r="S626" s="247"/>
      <c r="T626" s="247"/>
      <c r="U626" s="247"/>
    </row>
    <row r="627">
      <c r="A627" s="247"/>
      <c r="B627" s="247"/>
      <c r="C627" s="247"/>
      <c r="D627" s="247"/>
      <c r="E627" s="247"/>
      <c r="F627" s="247"/>
      <c r="G627" s="247"/>
      <c r="H627" s="247"/>
      <c r="I627" s="247"/>
      <c r="J627" s="247"/>
      <c r="K627" s="247"/>
      <c r="L627" s="247"/>
      <c r="M627" s="247"/>
      <c r="N627" s="247"/>
      <c r="O627" s="247"/>
      <c r="P627" s="247"/>
      <c r="Q627" s="247"/>
      <c r="R627" s="247"/>
      <c r="S627" s="247"/>
      <c r="T627" s="247"/>
      <c r="U627" s="247"/>
    </row>
    <row r="628">
      <c r="A628" s="247"/>
      <c r="B628" s="247"/>
      <c r="C628" s="247"/>
      <c r="D628" s="247"/>
      <c r="E628" s="247"/>
      <c r="F628" s="247"/>
      <c r="G628" s="247"/>
      <c r="H628" s="247"/>
      <c r="I628" s="247"/>
      <c r="J628" s="247"/>
      <c r="K628" s="247"/>
      <c r="L628" s="247"/>
      <c r="M628" s="247"/>
      <c r="N628" s="247"/>
      <c r="O628" s="247"/>
      <c r="P628" s="247"/>
      <c r="Q628" s="247"/>
      <c r="R628" s="247"/>
      <c r="S628" s="247"/>
      <c r="T628" s="247"/>
      <c r="U628" s="247"/>
    </row>
    <row r="629">
      <c r="A629" s="247"/>
      <c r="B629" s="247"/>
      <c r="C629" s="247"/>
      <c r="D629" s="247"/>
      <c r="E629" s="247"/>
      <c r="F629" s="247"/>
      <c r="G629" s="247"/>
      <c r="H629" s="247"/>
      <c r="I629" s="247"/>
      <c r="J629" s="247"/>
      <c r="K629" s="247"/>
      <c r="L629" s="247"/>
      <c r="M629" s="247"/>
      <c r="N629" s="247"/>
      <c r="O629" s="247"/>
      <c r="P629" s="247"/>
      <c r="Q629" s="247"/>
      <c r="R629" s="247"/>
      <c r="S629" s="247"/>
      <c r="T629" s="247"/>
      <c r="U629" s="247"/>
    </row>
    <row r="630">
      <c r="A630" s="247"/>
      <c r="B630" s="247"/>
      <c r="C630" s="247"/>
      <c r="D630" s="247"/>
      <c r="E630" s="247"/>
      <c r="F630" s="247"/>
      <c r="G630" s="247"/>
      <c r="H630" s="247"/>
      <c r="I630" s="247"/>
      <c r="J630" s="247"/>
      <c r="K630" s="247"/>
      <c r="L630" s="247"/>
      <c r="M630" s="247"/>
      <c r="N630" s="247"/>
      <c r="O630" s="247"/>
      <c r="P630" s="247"/>
      <c r="Q630" s="247"/>
      <c r="R630" s="247"/>
      <c r="S630" s="247"/>
      <c r="T630" s="247"/>
      <c r="U630" s="247"/>
    </row>
    <row r="631">
      <c r="A631" s="247"/>
      <c r="B631" s="247"/>
      <c r="C631" s="247"/>
      <c r="D631" s="247"/>
      <c r="E631" s="247"/>
      <c r="F631" s="247"/>
      <c r="G631" s="247"/>
      <c r="H631" s="247"/>
      <c r="I631" s="247"/>
      <c r="J631" s="247"/>
      <c r="K631" s="247"/>
      <c r="L631" s="247"/>
      <c r="M631" s="247"/>
      <c r="N631" s="247"/>
      <c r="O631" s="247"/>
      <c r="P631" s="247"/>
      <c r="Q631" s="247"/>
      <c r="R631" s="247"/>
      <c r="S631" s="247"/>
      <c r="T631" s="247"/>
      <c r="U631" s="247"/>
    </row>
    <row r="632">
      <c r="A632" s="247"/>
      <c r="B632" s="247"/>
      <c r="C632" s="247"/>
      <c r="D632" s="247"/>
      <c r="E632" s="247"/>
      <c r="F632" s="247"/>
      <c r="G632" s="247"/>
      <c r="H632" s="247"/>
      <c r="I632" s="247"/>
      <c r="J632" s="247"/>
      <c r="K632" s="247"/>
      <c r="L632" s="247"/>
      <c r="M632" s="247"/>
      <c r="N632" s="247"/>
      <c r="O632" s="247"/>
      <c r="P632" s="247"/>
      <c r="Q632" s="247"/>
      <c r="R632" s="247"/>
      <c r="S632" s="247"/>
      <c r="T632" s="247"/>
      <c r="U632" s="247"/>
    </row>
    <row r="633">
      <c r="A633" s="247"/>
      <c r="B633" s="247"/>
      <c r="C633" s="247"/>
      <c r="D633" s="247"/>
      <c r="E633" s="247"/>
      <c r="F633" s="247"/>
      <c r="G633" s="247"/>
      <c r="H633" s="247"/>
      <c r="I633" s="247"/>
      <c r="J633" s="247"/>
      <c r="K633" s="247"/>
      <c r="L633" s="247"/>
      <c r="M633" s="247"/>
      <c r="N633" s="247"/>
      <c r="O633" s="247"/>
      <c r="P633" s="247"/>
      <c r="Q633" s="247"/>
      <c r="R633" s="247"/>
      <c r="S633" s="247"/>
      <c r="T633" s="247"/>
      <c r="U633" s="247"/>
    </row>
    <row r="634">
      <c r="A634" s="247"/>
      <c r="B634" s="247"/>
      <c r="C634" s="247"/>
      <c r="D634" s="247"/>
      <c r="E634" s="247"/>
      <c r="F634" s="247"/>
      <c r="G634" s="247"/>
      <c r="H634" s="247"/>
      <c r="I634" s="247"/>
      <c r="J634" s="247"/>
      <c r="K634" s="247"/>
      <c r="L634" s="247"/>
      <c r="M634" s="247"/>
      <c r="N634" s="247"/>
      <c r="O634" s="247"/>
      <c r="P634" s="247"/>
      <c r="Q634" s="247"/>
      <c r="R634" s="247"/>
      <c r="S634" s="247"/>
      <c r="T634" s="247"/>
      <c r="U634" s="247"/>
    </row>
    <row r="635">
      <c r="A635" s="247"/>
      <c r="B635" s="247"/>
      <c r="C635" s="247"/>
      <c r="D635" s="247"/>
      <c r="E635" s="247"/>
      <c r="F635" s="247"/>
      <c r="G635" s="247"/>
      <c r="H635" s="247"/>
      <c r="I635" s="247"/>
      <c r="J635" s="247"/>
      <c r="K635" s="247"/>
      <c r="L635" s="247"/>
      <c r="M635" s="247"/>
      <c r="N635" s="247"/>
      <c r="O635" s="247"/>
      <c r="P635" s="247"/>
      <c r="Q635" s="247"/>
      <c r="R635" s="247"/>
      <c r="S635" s="247"/>
      <c r="T635" s="247"/>
      <c r="U635" s="247"/>
    </row>
    <row r="636">
      <c r="A636" s="247"/>
      <c r="B636" s="247"/>
      <c r="C636" s="247"/>
      <c r="D636" s="247"/>
      <c r="E636" s="247"/>
      <c r="F636" s="247"/>
      <c r="G636" s="247"/>
      <c r="H636" s="247"/>
      <c r="I636" s="247"/>
      <c r="J636" s="247"/>
      <c r="K636" s="247"/>
      <c r="L636" s="247"/>
      <c r="M636" s="247"/>
      <c r="N636" s="247"/>
      <c r="O636" s="247"/>
      <c r="P636" s="247"/>
      <c r="Q636" s="247"/>
      <c r="R636" s="247"/>
      <c r="S636" s="247"/>
      <c r="T636" s="247"/>
      <c r="U636" s="247"/>
    </row>
    <row r="637">
      <c r="A637" s="247"/>
      <c r="B637" s="247"/>
      <c r="C637" s="247"/>
      <c r="D637" s="247"/>
      <c r="E637" s="247"/>
      <c r="F637" s="247"/>
      <c r="G637" s="247"/>
      <c r="H637" s="247"/>
      <c r="I637" s="247"/>
      <c r="J637" s="247"/>
      <c r="K637" s="247"/>
      <c r="L637" s="247"/>
      <c r="M637" s="247"/>
      <c r="N637" s="247"/>
      <c r="O637" s="247"/>
      <c r="P637" s="247"/>
      <c r="Q637" s="247"/>
      <c r="R637" s="247"/>
      <c r="S637" s="247"/>
      <c r="T637" s="247"/>
      <c r="U637" s="247"/>
    </row>
    <row r="638">
      <c r="A638" s="247"/>
      <c r="B638" s="247"/>
      <c r="C638" s="247"/>
      <c r="D638" s="247"/>
      <c r="E638" s="247"/>
      <c r="F638" s="247"/>
      <c r="G638" s="247"/>
      <c r="H638" s="247"/>
      <c r="I638" s="247"/>
      <c r="J638" s="247"/>
      <c r="K638" s="247"/>
      <c r="L638" s="247"/>
      <c r="M638" s="247"/>
      <c r="N638" s="247"/>
      <c r="O638" s="247"/>
      <c r="P638" s="247"/>
      <c r="Q638" s="247"/>
      <c r="R638" s="247"/>
      <c r="S638" s="247"/>
      <c r="T638" s="247"/>
      <c r="U638" s="247"/>
    </row>
    <row r="639">
      <c r="A639" s="247"/>
      <c r="B639" s="247"/>
      <c r="C639" s="247"/>
      <c r="D639" s="247"/>
      <c r="E639" s="247"/>
      <c r="F639" s="247"/>
      <c r="G639" s="247"/>
      <c r="H639" s="247"/>
      <c r="I639" s="247"/>
      <c r="J639" s="247"/>
      <c r="K639" s="247"/>
      <c r="L639" s="247"/>
      <c r="M639" s="247"/>
      <c r="N639" s="247"/>
      <c r="O639" s="247"/>
      <c r="P639" s="247"/>
      <c r="Q639" s="247"/>
      <c r="R639" s="247"/>
      <c r="S639" s="247"/>
      <c r="T639" s="247"/>
      <c r="U639" s="247"/>
    </row>
    <row r="640">
      <c r="A640" s="247"/>
      <c r="B640" s="247"/>
      <c r="C640" s="247"/>
      <c r="D640" s="247"/>
      <c r="E640" s="247"/>
      <c r="F640" s="247"/>
      <c r="G640" s="247"/>
      <c r="H640" s="247"/>
      <c r="I640" s="247"/>
      <c r="J640" s="247"/>
      <c r="K640" s="247"/>
      <c r="L640" s="247"/>
      <c r="M640" s="247"/>
      <c r="N640" s="247"/>
      <c r="O640" s="247"/>
      <c r="P640" s="247"/>
      <c r="Q640" s="247"/>
      <c r="R640" s="247"/>
      <c r="S640" s="247"/>
      <c r="T640" s="247"/>
      <c r="U640" s="247"/>
    </row>
    <row r="641">
      <c r="A641" s="247"/>
      <c r="B641" s="247"/>
      <c r="C641" s="247"/>
      <c r="D641" s="247"/>
      <c r="E641" s="247"/>
      <c r="F641" s="247"/>
      <c r="G641" s="247"/>
      <c r="H641" s="247"/>
      <c r="I641" s="247"/>
      <c r="J641" s="247"/>
      <c r="K641" s="247"/>
      <c r="L641" s="247"/>
      <c r="M641" s="247"/>
      <c r="N641" s="247"/>
      <c r="O641" s="247"/>
      <c r="P641" s="247"/>
      <c r="Q641" s="247"/>
      <c r="R641" s="247"/>
      <c r="S641" s="247"/>
      <c r="T641" s="247"/>
      <c r="U641" s="247"/>
    </row>
    <row r="642">
      <c r="A642" s="247"/>
      <c r="B642" s="247"/>
      <c r="C642" s="247"/>
      <c r="D642" s="247"/>
      <c r="E642" s="247"/>
      <c r="F642" s="247"/>
      <c r="G642" s="247"/>
      <c r="H642" s="247"/>
      <c r="I642" s="247"/>
      <c r="J642" s="247"/>
      <c r="K642" s="247"/>
      <c r="L642" s="247"/>
      <c r="M642" s="247"/>
      <c r="N642" s="247"/>
      <c r="O642" s="247"/>
      <c r="P642" s="247"/>
      <c r="Q642" s="247"/>
      <c r="R642" s="247"/>
      <c r="S642" s="247"/>
      <c r="T642" s="247"/>
      <c r="U642" s="247"/>
    </row>
    <row r="643">
      <c r="A643" s="247"/>
      <c r="B643" s="247"/>
      <c r="C643" s="247"/>
      <c r="D643" s="247"/>
      <c r="E643" s="247"/>
      <c r="F643" s="247"/>
      <c r="G643" s="247"/>
      <c r="H643" s="247"/>
      <c r="I643" s="247"/>
      <c r="J643" s="247"/>
      <c r="K643" s="247"/>
      <c r="L643" s="247"/>
      <c r="M643" s="247"/>
      <c r="N643" s="247"/>
      <c r="O643" s="247"/>
      <c r="P643" s="247"/>
      <c r="Q643" s="247"/>
      <c r="R643" s="247"/>
      <c r="S643" s="247"/>
      <c r="T643" s="247"/>
      <c r="U643" s="247"/>
    </row>
    <row r="644">
      <c r="A644" s="247"/>
      <c r="B644" s="247"/>
      <c r="C644" s="247"/>
      <c r="D644" s="247"/>
      <c r="E644" s="247"/>
      <c r="F644" s="247"/>
      <c r="G644" s="247"/>
      <c r="H644" s="247"/>
      <c r="I644" s="247"/>
      <c r="J644" s="247"/>
      <c r="K644" s="247"/>
      <c r="L644" s="247"/>
      <c r="M644" s="247"/>
      <c r="N644" s="247"/>
      <c r="O644" s="247"/>
      <c r="P644" s="247"/>
      <c r="Q644" s="247"/>
      <c r="R644" s="247"/>
      <c r="S644" s="247"/>
      <c r="T644" s="247"/>
      <c r="U644" s="247"/>
    </row>
    <row r="645">
      <c r="A645" s="247"/>
      <c r="B645" s="247"/>
      <c r="C645" s="247"/>
      <c r="D645" s="247"/>
      <c r="E645" s="247"/>
      <c r="F645" s="247"/>
      <c r="G645" s="247"/>
      <c r="H645" s="247"/>
      <c r="I645" s="247"/>
      <c r="J645" s="247"/>
      <c r="K645" s="247"/>
      <c r="L645" s="247"/>
      <c r="M645" s="247"/>
      <c r="N645" s="247"/>
      <c r="O645" s="247"/>
      <c r="P645" s="247"/>
      <c r="Q645" s="247"/>
      <c r="R645" s="247"/>
      <c r="S645" s="247"/>
      <c r="T645" s="247"/>
      <c r="U645" s="247"/>
    </row>
    <row r="646">
      <c r="A646" s="247"/>
      <c r="B646" s="247"/>
      <c r="C646" s="247"/>
      <c r="D646" s="247"/>
      <c r="E646" s="247"/>
      <c r="F646" s="247"/>
      <c r="G646" s="247"/>
      <c r="H646" s="247"/>
      <c r="I646" s="247"/>
      <c r="J646" s="247"/>
      <c r="K646" s="247"/>
      <c r="L646" s="247"/>
      <c r="M646" s="247"/>
      <c r="N646" s="247"/>
      <c r="O646" s="247"/>
      <c r="P646" s="247"/>
      <c r="Q646" s="247"/>
      <c r="R646" s="247"/>
      <c r="S646" s="247"/>
      <c r="T646" s="247"/>
      <c r="U646" s="247"/>
    </row>
    <row r="647">
      <c r="A647" s="247"/>
      <c r="B647" s="247"/>
      <c r="C647" s="247"/>
      <c r="D647" s="247"/>
      <c r="E647" s="247"/>
      <c r="F647" s="247"/>
      <c r="G647" s="247"/>
      <c r="H647" s="247"/>
      <c r="I647" s="247"/>
      <c r="J647" s="247"/>
      <c r="K647" s="247"/>
      <c r="L647" s="247"/>
      <c r="M647" s="247"/>
      <c r="N647" s="247"/>
      <c r="O647" s="247"/>
      <c r="P647" s="247"/>
      <c r="Q647" s="247"/>
      <c r="R647" s="247"/>
      <c r="S647" s="247"/>
      <c r="T647" s="247"/>
      <c r="U647" s="247"/>
    </row>
    <row r="648">
      <c r="A648" s="247"/>
      <c r="B648" s="247"/>
      <c r="C648" s="247"/>
      <c r="D648" s="247"/>
      <c r="E648" s="247"/>
      <c r="F648" s="247"/>
      <c r="G648" s="247"/>
      <c r="H648" s="247"/>
      <c r="I648" s="247"/>
      <c r="J648" s="247"/>
      <c r="K648" s="247"/>
      <c r="L648" s="247"/>
      <c r="M648" s="247"/>
      <c r="N648" s="247"/>
      <c r="O648" s="247"/>
      <c r="P648" s="247"/>
      <c r="Q648" s="247"/>
      <c r="R648" s="247"/>
      <c r="S648" s="247"/>
      <c r="T648" s="247"/>
      <c r="U648" s="247"/>
    </row>
    <row r="649">
      <c r="A649" s="247"/>
      <c r="B649" s="247"/>
      <c r="C649" s="247"/>
      <c r="D649" s="247"/>
      <c r="E649" s="247"/>
      <c r="F649" s="247"/>
      <c r="G649" s="247"/>
      <c r="H649" s="247"/>
      <c r="I649" s="247"/>
      <c r="J649" s="247"/>
      <c r="K649" s="247"/>
      <c r="L649" s="247"/>
      <c r="M649" s="247"/>
      <c r="N649" s="247"/>
      <c r="O649" s="247"/>
      <c r="P649" s="247"/>
      <c r="Q649" s="247"/>
      <c r="R649" s="247"/>
      <c r="S649" s="247"/>
      <c r="T649" s="247"/>
      <c r="U649" s="247"/>
    </row>
    <row r="650">
      <c r="A650" s="247"/>
      <c r="B650" s="247"/>
      <c r="C650" s="247"/>
      <c r="D650" s="247"/>
      <c r="E650" s="247"/>
      <c r="F650" s="247"/>
      <c r="G650" s="247"/>
      <c r="H650" s="247"/>
      <c r="I650" s="247"/>
      <c r="J650" s="247"/>
      <c r="K650" s="247"/>
      <c r="L650" s="247"/>
      <c r="M650" s="247"/>
      <c r="N650" s="247"/>
      <c r="O650" s="247"/>
      <c r="P650" s="247"/>
      <c r="Q650" s="247"/>
      <c r="R650" s="247"/>
      <c r="S650" s="247"/>
      <c r="T650" s="247"/>
      <c r="U650" s="247"/>
    </row>
    <row r="651">
      <c r="A651" s="247"/>
      <c r="B651" s="247"/>
      <c r="C651" s="247"/>
      <c r="D651" s="247"/>
      <c r="E651" s="247"/>
      <c r="F651" s="247"/>
      <c r="G651" s="247"/>
      <c r="H651" s="247"/>
      <c r="I651" s="247"/>
      <c r="J651" s="247"/>
      <c r="K651" s="247"/>
      <c r="L651" s="247"/>
      <c r="M651" s="247"/>
      <c r="N651" s="247"/>
      <c r="O651" s="247"/>
      <c r="P651" s="247"/>
      <c r="Q651" s="247"/>
      <c r="R651" s="247"/>
      <c r="S651" s="247"/>
      <c r="T651" s="247"/>
      <c r="U651" s="247"/>
    </row>
    <row r="652">
      <c r="A652" s="247"/>
      <c r="B652" s="247"/>
      <c r="C652" s="247"/>
      <c r="D652" s="247"/>
      <c r="E652" s="247"/>
      <c r="F652" s="247"/>
      <c r="G652" s="247"/>
      <c r="H652" s="247"/>
      <c r="I652" s="247"/>
      <c r="J652" s="247"/>
      <c r="K652" s="247"/>
      <c r="L652" s="247"/>
      <c r="M652" s="247"/>
      <c r="N652" s="247"/>
      <c r="O652" s="247"/>
      <c r="P652" s="247"/>
      <c r="Q652" s="247"/>
      <c r="R652" s="247"/>
      <c r="S652" s="247"/>
      <c r="T652" s="247"/>
      <c r="U652" s="247"/>
    </row>
    <row r="653">
      <c r="A653" s="247"/>
      <c r="B653" s="247"/>
      <c r="C653" s="247"/>
      <c r="D653" s="247"/>
      <c r="E653" s="247"/>
      <c r="F653" s="247"/>
      <c r="G653" s="247"/>
      <c r="H653" s="247"/>
      <c r="I653" s="247"/>
      <c r="J653" s="247"/>
      <c r="K653" s="247"/>
      <c r="L653" s="247"/>
      <c r="M653" s="247"/>
      <c r="N653" s="247"/>
      <c r="O653" s="247"/>
      <c r="P653" s="247"/>
      <c r="Q653" s="247"/>
      <c r="R653" s="247"/>
      <c r="S653" s="247"/>
      <c r="T653" s="247"/>
      <c r="U653" s="247"/>
    </row>
    <row r="654">
      <c r="A654" s="247"/>
      <c r="B654" s="247"/>
      <c r="C654" s="247"/>
      <c r="D654" s="247"/>
      <c r="E654" s="247"/>
      <c r="F654" s="247"/>
      <c r="G654" s="247"/>
      <c r="H654" s="247"/>
      <c r="I654" s="247"/>
      <c r="J654" s="247"/>
      <c r="K654" s="247"/>
      <c r="L654" s="247"/>
      <c r="M654" s="247"/>
      <c r="N654" s="247"/>
      <c r="O654" s="247"/>
      <c r="P654" s="247"/>
      <c r="Q654" s="247"/>
      <c r="R654" s="247"/>
      <c r="S654" s="247"/>
      <c r="T654" s="247"/>
      <c r="U654" s="247"/>
    </row>
    <row r="655">
      <c r="A655" s="247"/>
      <c r="B655" s="247"/>
      <c r="C655" s="247"/>
      <c r="D655" s="247"/>
      <c r="E655" s="247"/>
      <c r="F655" s="247"/>
      <c r="G655" s="247"/>
      <c r="H655" s="247"/>
      <c r="I655" s="247"/>
      <c r="J655" s="247"/>
      <c r="K655" s="247"/>
      <c r="L655" s="247"/>
      <c r="M655" s="247"/>
      <c r="N655" s="247"/>
      <c r="O655" s="247"/>
      <c r="P655" s="247"/>
      <c r="Q655" s="247"/>
      <c r="R655" s="247"/>
      <c r="S655" s="247"/>
      <c r="T655" s="247"/>
      <c r="U655" s="247"/>
    </row>
    <row r="656">
      <c r="A656" s="247"/>
      <c r="B656" s="247"/>
      <c r="C656" s="247"/>
      <c r="D656" s="247"/>
      <c r="E656" s="247"/>
      <c r="F656" s="247"/>
      <c r="G656" s="247"/>
      <c r="H656" s="247"/>
      <c r="I656" s="247"/>
      <c r="J656" s="247"/>
      <c r="K656" s="247"/>
      <c r="L656" s="247"/>
      <c r="M656" s="247"/>
      <c r="N656" s="247"/>
      <c r="O656" s="247"/>
      <c r="P656" s="247"/>
      <c r="Q656" s="247"/>
      <c r="R656" s="247"/>
      <c r="S656" s="247"/>
      <c r="T656" s="247"/>
      <c r="U656" s="247"/>
    </row>
    <row r="657">
      <c r="A657" s="247"/>
      <c r="B657" s="247"/>
      <c r="C657" s="247"/>
      <c r="D657" s="247"/>
      <c r="E657" s="247"/>
      <c r="F657" s="247"/>
      <c r="G657" s="247"/>
      <c r="H657" s="247"/>
      <c r="I657" s="247"/>
      <c r="J657" s="247"/>
      <c r="K657" s="247"/>
      <c r="L657" s="247"/>
      <c r="M657" s="247"/>
      <c r="N657" s="247"/>
      <c r="O657" s="247"/>
      <c r="P657" s="247"/>
      <c r="Q657" s="247"/>
      <c r="R657" s="247"/>
      <c r="S657" s="247"/>
      <c r="T657" s="247"/>
      <c r="U657" s="247"/>
    </row>
    <row r="658">
      <c r="A658" s="247"/>
      <c r="B658" s="247"/>
      <c r="C658" s="247"/>
      <c r="D658" s="247"/>
      <c r="E658" s="247"/>
      <c r="F658" s="247"/>
      <c r="G658" s="247"/>
      <c r="H658" s="247"/>
      <c r="I658" s="247"/>
      <c r="J658" s="247"/>
      <c r="K658" s="247"/>
      <c r="L658" s="247"/>
      <c r="M658" s="247"/>
      <c r="N658" s="247"/>
      <c r="O658" s="247"/>
      <c r="P658" s="247"/>
      <c r="Q658" s="247"/>
      <c r="R658" s="247"/>
      <c r="S658" s="247"/>
      <c r="T658" s="247"/>
      <c r="U658" s="247"/>
    </row>
    <row r="659">
      <c r="A659" s="247"/>
      <c r="B659" s="247"/>
      <c r="C659" s="247"/>
      <c r="D659" s="247"/>
      <c r="E659" s="247"/>
      <c r="F659" s="247"/>
      <c r="G659" s="247"/>
      <c r="H659" s="247"/>
      <c r="I659" s="247"/>
      <c r="J659" s="247"/>
      <c r="K659" s="247"/>
      <c r="L659" s="247"/>
      <c r="M659" s="247"/>
      <c r="N659" s="247"/>
      <c r="O659" s="247"/>
      <c r="P659" s="247"/>
      <c r="Q659" s="247"/>
      <c r="R659" s="247"/>
      <c r="S659" s="247"/>
      <c r="T659" s="247"/>
      <c r="U659" s="247"/>
    </row>
    <row r="660">
      <c r="A660" s="247"/>
      <c r="B660" s="247"/>
      <c r="C660" s="247"/>
      <c r="D660" s="247"/>
      <c r="E660" s="247"/>
      <c r="F660" s="247"/>
      <c r="G660" s="247"/>
      <c r="H660" s="247"/>
      <c r="I660" s="247"/>
      <c r="J660" s="247"/>
      <c r="K660" s="247"/>
      <c r="L660" s="247"/>
      <c r="M660" s="247"/>
      <c r="N660" s="247"/>
      <c r="O660" s="247"/>
      <c r="P660" s="247"/>
      <c r="Q660" s="247"/>
      <c r="R660" s="247"/>
      <c r="S660" s="247"/>
      <c r="T660" s="247"/>
      <c r="U660" s="247"/>
    </row>
    <row r="661">
      <c r="A661" s="247"/>
      <c r="B661" s="247"/>
      <c r="C661" s="247"/>
      <c r="D661" s="247"/>
      <c r="E661" s="247"/>
      <c r="F661" s="247"/>
      <c r="G661" s="247"/>
      <c r="H661" s="247"/>
      <c r="I661" s="247"/>
      <c r="J661" s="247"/>
      <c r="K661" s="247"/>
      <c r="L661" s="247"/>
      <c r="M661" s="247"/>
      <c r="N661" s="247"/>
      <c r="O661" s="247"/>
      <c r="P661" s="247"/>
      <c r="Q661" s="247"/>
      <c r="R661" s="247"/>
      <c r="S661" s="247"/>
      <c r="T661" s="247"/>
      <c r="U661" s="247"/>
    </row>
    <row r="662">
      <c r="A662" s="247"/>
      <c r="B662" s="247"/>
      <c r="C662" s="247"/>
      <c r="D662" s="247"/>
      <c r="E662" s="247"/>
      <c r="F662" s="247"/>
      <c r="G662" s="247"/>
      <c r="H662" s="247"/>
      <c r="I662" s="247"/>
      <c r="J662" s="247"/>
      <c r="K662" s="247"/>
      <c r="L662" s="247"/>
      <c r="M662" s="247"/>
      <c r="N662" s="247"/>
      <c r="O662" s="247"/>
      <c r="P662" s="247"/>
      <c r="Q662" s="247"/>
      <c r="R662" s="247"/>
      <c r="S662" s="247"/>
      <c r="T662" s="247"/>
      <c r="U662" s="247"/>
    </row>
    <row r="663">
      <c r="A663" s="247"/>
      <c r="B663" s="247"/>
      <c r="C663" s="247"/>
      <c r="D663" s="247"/>
      <c r="E663" s="247"/>
      <c r="F663" s="247"/>
      <c r="G663" s="247"/>
      <c r="H663" s="247"/>
      <c r="I663" s="247"/>
      <c r="J663" s="247"/>
      <c r="K663" s="247"/>
      <c r="L663" s="247"/>
      <c r="M663" s="247"/>
      <c r="N663" s="247"/>
      <c r="O663" s="247"/>
      <c r="P663" s="247"/>
      <c r="Q663" s="247"/>
      <c r="R663" s="247"/>
      <c r="S663" s="247"/>
      <c r="T663" s="247"/>
      <c r="U663" s="247"/>
    </row>
    <row r="664">
      <c r="A664" s="247"/>
      <c r="B664" s="247"/>
      <c r="C664" s="247"/>
      <c r="D664" s="247"/>
      <c r="E664" s="247"/>
      <c r="F664" s="247"/>
      <c r="G664" s="247"/>
      <c r="H664" s="247"/>
      <c r="I664" s="247"/>
      <c r="J664" s="247"/>
      <c r="K664" s="247"/>
      <c r="L664" s="247"/>
      <c r="M664" s="247"/>
      <c r="N664" s="247"/>
      <c r="O664" s="247"/>
      <c r="P664" s="247"/>
      <c r="Q664" s="247"/>
      <c r="R664" s="247"/>
      <c r="S664" s="247"/>
      <c r="T664" s="247"/>
      <c r="U664" s="247"/>
    </row>
    <row r="665">
      <c r="A665" s="247"/>
      <c r="B665" s="247"/>
      <c r="C665" s="247"/>
      <c r="D665" s="247"/>
      <c r="E665" s="247"/>
      <c r="F665" s="247"/>
      <c r="G665" s="247"/>
      <c r="H665" s="247"/>
      <c r="I665" s="247"/>
      <c r="J665" s="247"/>
      <c r="K665" s="247"/>
      <c r="L665" s="247"/>
      <c r="M665" s="247"/>
      <c r="N665" s="247"/>
      <c r="O665" s="247"/>
      <c r="P665" s="247"/>
      <c r="Q665" s="247"/>
      <c r="R665" s="247"/>
      <c r="S665" s="247"/>
      <c r="T665" s="247"/>
      <c r="U665" s="247"/>
    </row>
    <row r="666">
      <c r="A666" s="247"/>
      <c r="B666" s="247"/>
      <c r="C666" s="247"/>
      <c r="D666" s="247"/>
      <c r="E666" s="247"/>
      <c r="F666" s="247"/>
      <c r="G666" s="247"/>
      <c r="H666" s="247"/>
      <c r="I666" s="247"/>
      <c r="J666" s="247"/>
      <c r="K666" s="247"/>
      <c r="L666" s="247"/>
      <c r="M666" s="247"/>
      <c r="N666" s="247"/>
      <c r="O666" s="247"/>
      <c r="P666" s="247"/>
      <c r="Q666" s="247"/>
      <c r="R666" s="247"/>
      <c r="S666" s="247"/>
      <c r="T666" s="247"/>
      <c r="U666" s="247"/>
    </row>
    <row r="667">
      <c r="A667" s="247"/>
      <c r="B667" s="247"/>
      <c r="C667" s="247"/>
      <c r="D667" s="247"/>
      <c r="E667" s="247"/>
      <c r="F667" s="247"/>
      <c r="G667" s="247"/>
      <c r="H667" s="247"/>
      <c r="I667" s="247"/>
      <c r="J667" s="247"/>
      <c r="K667" s="247"/>
      <c r="L667" s="247"/>
      <c r="M667" s="247"/>
      <c r="N667" s="247"/>
      <c r="O667" s="247"/>
      <c r="P667" s="247"/>
      <c r="Q667" s="247"/>
      <c r="R667" s="247"/>
      <c r="S667" s="247"/>
      <c r="T667" s="247"/>
      <c r="U667" s="247"/>
    </row>
    <row r="668">
      <c r="A668" s="247"/>
      <c r="B668" s="247"/>
      <c r="C668" s="247"/>
      <c r="D668" s="247"/>
      <c r="E668" s="247"/>
      <c r="F668" s="247"/>
      <c r="G668" s="247"/>
      <c r="H668" s="247"/>
      <c r="I668" s="247"/>
      <c r="J668" s="247"/>
      <c r="K668" s="247"/>
      <c r="L668" s="247"/>
      <c r="M668" s="247"/>
      <c r="N668" s="247"/>
      <c r="O668" s="247"/>
      <c r="P668" s="247"/>
      <c r="Q668" s="247"/>
      <c r="R668" s="247"/>
      <c r="S668" s="247"/>
      <c r="T668" s="247"/>
      <c r="U668" s="247"/>
    </row>
    <row r="669">
      <c r="A669" s="247"/>
      <c r="B669" s="247"/>
      <c r="C669" s="247"/>
      <c r="D669" s="247"/>
      <c r="E669" s="247"/>
      <c r="F669" s="247"/>
      <c r="G669" s="247"/>
      <c r="H669" s="247"/>
      <c r="I669" s="247"/>
      <c r="J669" s="247"/>
      <c r="K669" s="247"/>
      <c r="L669" s="247"/>
      <c r="M669" s="247"/>
      <c r="N669" s="247"/>
      <c r="O669" s="247"/>
      <c r="P669" s="247"/>
      <c r="Q669" s="247"/>
      <c r="R669" s="247"/>
      <c r="S669" s="247"/>
      <c r="T669" s="247"/>
      <c r="U669" s="247"/>
    </row>
    <row r="670">
      <c r="A670" s="247"/>
      <c r="B670" s="247"/>
      <c r="C670" s="247"/>
      <c r="D670" s="247"/>
      <c r="E670" s="247"/>
      <c r="F670" s="247"/>
      <c r="G670" s="247"/>
      <c r="H670" s="247"/>
      <c r="I670" s="247"/>
      <c r="J670" s="247"/>
      <c r="K670" s="247"/>
      <c r="L670" s="247"/>
      <c r="M670" s="247"/>
      <c r="N670" s="247"/>
      <c r="O670" s="247"/>
      <c r="P670" s="247"/>
      <c r="Q670" s="247"/>
      <c r="R670" s="247"/>
      <c r="S670" s="247"/>
      <c r="T670" s="247"/>
      <c r="U670" s="247"/>
    </row>
    <row r="671">
      <c r="A671" s="247"/>
      <c r="B671" s="247"/>
      <c r="C671" s="247"/>
      <c r="D671" s="247"/>
      <c r="E671" s="247"/>
      <c r="F671" s="247"/>
      <c r="G671" s="247"/>
      <c r="H671" s="247"/>
      <c r="I671" s="247"/>
      <c r="J671" s="247"/>
      <c r="K671" s="247"/>
      <c r="L671" s="247"/>
      <c r="M671" s="247"/>
      <c r="N671" s="247"/>
      <c r="O671" s="247"/>
      <c r="P671" s="247"/>
      <c r="Q671" s="247"/>
      <c r="R671" s="247"/>
      <c r="S671" s="247"/>
      <c r="T671" s="247"/>
      <c r="U671" s="247"/>
    </row>
    <row r="672">
      <c r="A672" s="247"/>
      <c r="B672" s="247"/>
      <c r="C672" s="247"/>
      <c r="D672" s="247"/>
      <c r="E672" s="247"/>
      <c r="F672" s="247"/>
      <c r="G672" s="247"/>
      <c r="H672" s="247"/>
      <c r="I672" s="247"/>
      <c r="J672" s="247"/>
      <c r="K672" s="247"/>
      <c r="L672" s="247"/>
      <c r="M672" s="247"/>
      <c r="N672" s="247"/>
      <c r="O672" s="247"/>
      <c r="P672" s="247"/>
      <c r="Q672" s="247"/>
      <c r="R672" s="247"/>
      <c r="S672" s="247"/>
      <c r="T672" s="247"/>
      <c r="U672" s="247"/>
    </row>
    <row r="673">
      <c r="A673" s="247"/>
      <c r="B673" s="247"/>
      <c r="C673" s="247"/>
      <c r="D673" s="247"/>
      <c r="E673" s="247"/>
      <c r="F673" s="247"/>
      <c r="G673" s="247"/>
      <c r="H673" s="247"/>
      <c r="I673" s="247"/>
      <c r="J673" s="247"/>
      <c r="K673" s="247"/>
      <c r="L673" s="247"/>
      <c r="M673" s="247"/>
      <c r="N673" s="247"/>
      <c r="O673" s="247"/>
      <c r="P673" s="247"/>
      <c r="Q673" s="247"/>
      <c r="R673" s="247"/>
      <c r="S673" s="247"/>
      <c r="T673" s="247"/>
      <c r="U673" s="247"/>
    </row>
    <row r="674">
      <c r="A674" s="247"/>
      <c r="B674" s="247"/>
      <c r="C674" s="247"/>
      <c r="D674" s="247"/>
      <c r="E674" s="247"/>
      <c r="F674" s="247"/>
      <c r="G674" s="247"/>
      <c r="H674" s="247"/>
      <c r="I674" s="247"/>
      <c r="J674" s="247"/>
      <c r="K674" s="247"/>
      <c r="L674" s="247"/>
      <c r="M674" s="247"/>
      <c r="N674" s="247"/>
      <c r="O674" s="247"/>
      <c r="P674" s="247"/>
      <c r="Q674" s="247"/>
      <c r="R674" s="247"/>
      <c r="S674" s="247"/>
      <c r="T674" s="247"/>
      <c r="U674" s="247"/>
    </row>
    <row r="675">
      <c r="A675" s="247"/>
      <c r="B675" s="247"/>
      <c r="C675" s="247"/>
      <c r="D675" s="247"/>
      <c r="E675" s="247"/>
      <c r="F675" s="247"/>
      <c r="G675" s="247"/>
      <c r="H675" s="247"/>
      <c r="I675" s="247"/>
      <c r="J675" s="247"/>
      <c r="K675" s="247"/>
      <c r="L675" s="247"/>
      <c r="M675" s="247"/>
      <c r="N675" s="247"/>
      <c r="O675" s="247"/>
      <c r="P675" s="247"/>
      <c r="Q675" s="247"/>
      <c r="R675" s="247"/>
      <c r="S675" s="247"/>
      <c r="T675" s="247"/>
      <c r="U675" s="247"/>
    </row>
    <row r="676">
      <c r="A676" s="247"/>
      <c r="B676" s="247"/>
      <c r="C676" s="247"/>
      <c r="D676" s="247"/>
      <c r="E676" s="247"/>
      <c r="F676" s="247"/>
      <c r="G676" s="247"/>
      <c r="H676" s="247"/>
      <c r="I676" s="247"/>
      <c r="J676" s="247"/>
      <c r="K676" s="247"/>
      <c r="L676" s="247"/>
      <c r="M676" s="247"/>
      <c r="N676" s="247"/>
      <c r="O676" s="247"/>
      <c r="P676" s="247"/>
      <c r="Q676" s="247"/>
      <c r="R676" s="247"/>
      <c r="S676" s="247"/>
      <c r="T676" s="247"/>
      <c r="U676" s="247"/>
    </row>
    <row r="677">
      <c r="A677" s="247"/>
      <c r="B677" s="247"/>
      <c r="C677" s="247"/>
      <c r="D677" s="247"/>
      <c r="E677" s="247"/>
      <c r="F677" s="247"/>
      <c r="G677" s="247"/>
      <c r="H677" s="247"/>
      <c r="I677" s="247"/>
      <c r="J677" s="247"/>
      <c r="K677" s="247"/>
      <c r="L677" s="247"/>
      <c r="M677" s="247"/>
      <c r="N677" s="247"/>
      <c r="O677" s="247"/>
      <c r="P677" s="247"/>
      <c r="Q677" s="247"/>
      <c r="R677" s="247"/>
      <c r="S677" s="247"/>
      <c r="T677" s="247"/>
      <c r="U677" s="247"/>
    </row>
    <row r="678">
      <c r="A678" s="247"/>
      <c r="B678" s="247"/>
      <c r="C678" s="247"/>
      <c r="D678" s="247"/>
      <c r="E678" s="247"/>
      <c r="F678" s="247"/>
      <c r="G678" s="247"/>
      <c r="H678" s="247"/>
      <c r="I678" s="247"/>
      <c r="J678" s="247"/>
      <c r="K678" s="247"/>
      <c r="L678" s="247"/>
      <c r="M678" s="247"/>
      <c r="N678" s="247"/>
      <c r="O678" s="247"/>
      <c r="P678" s="247"/>
      <c r="Q678" s="247"/>
      <c r="R678" s="247"/>
      <c r="S678" s="247"/>
      <c r="T678" s="247"/>
      <c r="U678" s="247"/>
    </row>
    <row r="679">
      <c r="A679" s="247"/>
      <c r="B679" s="247"/>
      <c r="C679" s="247"/>
      <c r="D679" s="247"/>
      <c r="E679" s="247"/>
      <c r="F679" s="247"/>
      <c r="G679" s="247"/>
      <c r="H679" s="247"/>
      <c r="I679" s="247"/>
      <c r="J679" s="247"/>
      <c r="K679" s="247"/>
      <c r="L679" s="247"/>
      <c r="M679" s="247"/>
      <c r="N679" s="247"/>
      <c r="O679" s="247"/>
      <c r="P679" s="247"/>
      <c r="Q679" s="247"/>
      <c r="R679" s="247"/>
      <c r="S679" s="247"/>
      <c r="T679" s="247"/>
      <c r="U679" s="247"/>
    </row>
    <row r="680">
      <c r="A680" s="247"/>
      <c r="B680" s="247"/>
      <c r="C680" s="247"/>
      <c r="D680" s="247"/>
      <c r="E680" s="247"/>
      <c r="F680" s="247"/>
      <c r="G680" s="247"/>
      <c r="H680" s="247"/>
      <c r="I680" s="247"/>
      <c r="J680" s="247"/>
      <c r="K680" s="247"/>
      <c r="L680" s="247"/>
      <c r="M680" s="247"/>
      <c r="N680" s="247"/>
      <c r="O680" s="247"/>
      <c r="P680" s="247"/>
      <c r="Q680" s="247"/>
      <c r="R680" s="247"/>
      <c r="S680" s="247"/>
      <c r="T680" s="247"/>
      <c r="U680" s="247"/>
    </row>
    <row r="681">
      <c r="A681" s="247"/>
      <c r="B681" s="247"/>
      <c r="C681" s="247"/>
      <c r="D681" s="247"/>
      <c r="E681" s="247"/>
      <c r="F681" s="247"/>
      <c r="G681" s="247"/>
      <c r="H681" s="247"/>
      <c r="I681" s="247"/>
      <c r="J681" s="247"/>
      <c r="K681" s="247"/>
      <c r="L681" s="247"/>
      <c r="M681" s="247"/>
      <c r="N681" s="247"/>
      <c r="O681" s="247"/>
      <c r="P681" s="247"/>
      <c r="Q681" s="247"/>
      <c r="R681" s="247"/>
      <c r="S681" s="247"/>
      <c r="T681" s="247"/>
      <c r="U681" s="247"/>
    </row>
    <row r="682">
      <c r="A682" s="247"/>
      <c r="B682" s="247"/>
      <c r="C682" s="247"/>
      <c r="D682" s="247"/>
      <c r="E682" s="247"/>
      <c r="F682" s="247"/>
      <c r="G682" s="247"/>
      <c r="H682" s="247"/>
      <c r="I682" s="247"/>
      <c r="J682" s="247"/>
      <c r="K682" s="247"/>
      <c r="L682" s="247"/>
      <c r="M682" s="247"/>
      <c r="N682" s="247"/>
      <c r="O682" s="247"/>
      <c r="P682" s="247"/>
      <c r="Q682" s="247"/>
      <c r="R682" s="247"/>
      <c r="S682" s="247"/>
      <c r="T682" s="247"/>
      <c r="U682" s="247"/>
    </row>
    <row r="683">
      <c r="A683" s="247"/>
      <c r="B683" s="247"/>
      <c r="C683" s="247"/>
      <c r="D683" s="247"/>
      <c r="E683" s="247"/>
      <c r="F683" s="247"/>
      <c r="G683" s="247"/>
      <c r="H683" s="247"/>
      <c r="I683" s="247"/>
      <c r="J683" s="247"/>
      <c r="K683" s="247"/>
      <c r="L683" s="247"/>
      <c r="M683" s="247"/>
      <c r="N683" s="247"/>
      <c r="O683" s="247"/>
      <c r="P683" s="247"/>
      <c r="Q683" s="247"/>
      <c r="R683" s="247"/>
      <c r="S683" s="247"/>
      <c r="T683" s="247"/>
      <c r="U683" s="247"/>
    </row>
    <row r="684">
      <c r="A684" s="247"/>
      <c r="B684" s="247"/>
      <c r="C684" s="247"/>
      <c r="D684" s="247"/>
      <c r="E684" s="247"/>
      <c r="F684" s="247"/>
      <c r="G684" s="247"/>
      <c r="H684" s="247"/>
      <c r="I684" s="247"/>
      <c r="J684" s="247"/>
      <c r="K684" s="247"/>
      <c r="L684" s="247"/>
      <c r="M684" s="247"/>
      <c r="N684" s="247"/>
      <c r="O684" s="247"/>
      <c r="P684" s="247"/>
      <c r="Q684" s="247"/>
      <c r="R684" s="247"/>
      <c r="S684" s="247"/>
      <c r="T684" s="247"/>
      <c r="U684" s="247"/>
    </row>
    <row r="685">
      <c r="A685" s="247"/>
      <c r="B685" s="247"/>
      <c r="C685" s="247"/>
      <c r="D685" s="247"/>
      <c r="E685" s="247"/>
      <c r="F685" s="247"/>
      <c r="G685" s="247"/>
      <c r="H685" s="247"/>
      <c r="I685" s="247"/>
      <c r="J685" s="247"/>
      <c r="K685" s="247"/>
      <c r="L685" s="247"/>
      <c r="M685" s="247"/>
      <c r="N685" s="247"/>
      <c r="O685" s="247"/>
      <c r="P685" s="247"/>
      <c r="Q685" s="247"/>
      <c r="R685" s="247"/>
      <c r="S685" s="247"/>
      <c r="T685" s="247"/>
      <c r="U685" s="247"/>
    </row>
    <row r="686">
      <c r="A686" s="247"/>
      <c r="B686" s="247"/>
      <c r="C686" s="247"/>
      <c r="D686" s="247"/>
      <c r="E686" s="247"/>
      <c r="F686" s="247"/>
      <c r="G686" s="247"/>
      <c r="H686" s="247"/>
      <c r="I686" s="247"/>
      <c r="J686" s="247"/>
      <c r="K686" s="247"/>
      <c r="L686" s="247"/>
      <c r="M686" s="247"/>
      <c r="N686" s="247"/>
      <c r="O686" s="247"/>
      <c r="P686" s="247"/>
      <c r="Q686" s="247"/>
      <c r="R686" s="247"/>
      <c r="S686" s="247"/>
      <c r="T686" s="247"/>
      <c r="U686" s="247"/>
    </row>
    <row r="687">
      <c r="A687" s="247"/>
      <c r="B687" s="247"/>
      <c r="C687" s="247"/>
      <c r="D687" s="247"/>
      <c r="E687" s="247"/>
      <c r="F687" s="247"/>
      <c r="G687" s="247"/>
      <c r="H687" s="247"/>
      <c r="I687" s="247"/>
      <c r="J687" s="247"/>
      <c r="K687" s="247"/>
      <c r="L687" s="247"/>
      <c r="M687" s="247"/>
      <c r="N687" s="247"/>
      <c r="O687" s="247"/>
      <c r="P687" s="247"/>
      <c r="Q687" s="247"/>
      <c r="R687" s="247"/>
      <c r="S687" s="247"/>
      <c r="T687" s="247"/>
      <c r="U687" s="247"/>
    </row>
    <row r="688">
      <c r="A688" s="247"/>
      <c r="B688" s="247"/>
      <c r="C688" s="247"/>
      <c r="D688" s="247"/>
      <c r="E688" s="247"/>
      <c r="F688" s="247"/>
      <c r="G688" s="247"/>
      <c r="H688" s="247"/>
      <c r="I688" s="247"/>
      <c r="J688" s="247"/>
      <c r="K688" s="247"/>
      <c r="L688" s="247"/>
      <c r="M688" s="247"/>
      <c r="N688" s="247"/>
      <c r="O688" s="247"/>
      <c r="P688" s="247"/>
      <c r="Q688" s="247"/>
      <c r="R688" s="247"/>
      <c r="S688" s="247"/>
      <c r="T688" s="247"/>
      <c r="U688" s="247"/>
    </row>
    <row r="689">
      <c r="A689" s="247"/>
      <c r="B689" s="247"/>
      <c r="C689" s="247"/>
      <c r="D689" s="247"/>
      <c r="E689" s="247"/>
      <c r="F689" s="247"/>
      <c r="G689" s="247"/>
      <c r="H689" s="247"/>
      <c r="I689" s="247"/>
      <c r="J689" s="247"/>
      <c r="K689" s="247"/>
      <c r="L689" s="247"/>
      <c r="M689" s="247"/>
      <c r="N689" s="247"/>
      <c r="O689" s="247"/>
      <c r="P689" s="247"/>
      <c r="Q689" s="247"/>
      <c r="R689" s="247"/>
      <c r="S689" s="247"/>
      <c r="T689" s="247"/>
      <c r="U689" s="247"/>
    </row>
    <row r="690">
      <c r="A690" s="247"/>
      <c r="B690" s="247"/>
      <c r="C690" s="247"/>
      <c r="D690" s="247"/>
      <c r="E690" s="247"/>
      <c r="F690" s="247"/>
      <c r="G690" s="247"/>
      <c r="H690" s="247"/>
      <c r="I690" s="247"/>
      <c r="J690" s="247"/>
      <c r="K690" s="247"/>
      <c r="L690" s="247"/>
      <c r="M690" s="247"/>
      <c r="N690" s="247"/>
      <c r="O690" s="247"/>
      <c r="P690" s="247"/>
      <c r="Q690" s="247"/>
      <c r="R690" s="247"/>
      <c r="S690" s="247"/>
      <c r="T690" s="247"/>
      <c r="U690" s="247"/>
    </row>
    <row r="691">
      <c r="A691" s="247"/>
      <c r="B691" s="247"/>
      <c r="C691" s="247"/>
      <c r="D691" s="247"/>
      <c r="E691" s="247"/>
      <c r="F691" s="247"/>
      <c r="G691" s="247"/>
      <c r="H691" s="247"/>
      <c r="I691" s="247"/>
      <c r="J691" s="247"/>
      <c r="K691" s="247"/>
      <c r="L691" s="247"/>
      <c r="M691" s="247"/>
      <c r="N691" s="247"/>
      <c r="O691" s="247"/>
      <c r="P691" s="247"/>
      <c r="Q691" s="247"/>
      <c r="R691" s="247"/>
      <c r="S691" s="247"/>
      <c r="T691" s="247"/>
      <c r="U691" s="247"/>
    </row>
    <row r="692">
      <c r="A692" s="247"/>
      <c r="B692" s="247"/>
      <c r="C692" s="247"/>
      <c r="D692" s="247"/>
      <c r="E692" s="247"/>
      <c r="F692" s="247"/>
      <c r="G692" s="247"/>
      <c r="H692" s="247"/>
      <c r="I692" s="247"/>
      <c r="J692" s="247"/>
      <c r="K692" s="247"/>
      <c r="L692" s="247"/>
      <c r="M692" s="247"/>
      <c r="N692" s="247"/>
      <c r="O692" s="247"/>
      <c r="P692" s="247"/>
      <c r="Q692" s="247"/>
      <c r="R692" s="247"/>
      <c r="S692" s="247"/>
      <c r="T692" s="247"/>
      <c r="U692" s="247"/>
    </row>
    <row r="693">
      <c r="A693" s="247"/>
      <c r="B693" s="247"/>
      <c r="C693" s="247"/>
      <c r="D693" s="247"/>
      <c r="E693" s="247"/>
      <c r="F693" s="247"/>
      <c r="G693" s="247"/>
      <c r="H693" s="247"/>
      <c r="I693" s="247"/>
      <c r="J693" s="247"/>
      <c r="K693" s="247"/>
      <c r="L693" s="247"/>
      <c r="M693" s="247"/>
      <c r="N693" s="247"/>
      <c r="O693" s="247"/>
      <c r="P693" s="247"/>
      <c r="Q693" s="247"/>
      <c r="R693" s="247"/>
      <c r="S693" s="247"/>
      <c r="T693" s="247"/>
      <c r="U693" s="247"/>
    </row>
    <row r="694">
      <c r="A694" s="247"/>
      <c r="B694" s="247"/>
      <c r="C694" s="247"/>
      <c r="D694" s="247"/>
      <c r="E694" s="247"/>
      <c r="F694" s="247"/>
      <c r="G694" s="247"/>
      <c r="H694" s="247"/>
      <c r="I694" s="247"/>
      <c r="J694" s="247"/>
      <c r="K694" s="247"/>
      <c r="L694" s="247"/>
      <c r="M694" s="247"/>
      <c r="N694" s="247"/>
      <c r="O694" s="247"/>
      <c r="P694" s="247"/>
      <c r="Q694" s="247"/>
      <c r="R694" s="247"/>
      <c r="S694" s="247"/>
      <c r="T694" s="247"/>
      <c r="U694" s="247"/>
    </row>
    <row r="695">
      <c r="A695" s="247"/>
      <c r="B695" s="247"/>
      <c r="C695" s="247"/>
      <c r="D695" s="247"/>
      <c r="E695" s="247"/>
      <c r="F695" s="247"/>
      <c r="G695" s="247"/>
      <c r="H695" s="247"/>
      <c r="I695" s="247"/>
      <c r="J695" s="247"/>
      <c r="K695" s="247"/>
      <c r="L695" s="247"/>
      <c r="M695" s="247"/>
      <c r="N695" s="247"/>
      <c r="O695" s="247"/>
      <c r="P695" s="247"/>
      <c r="Q695" s="247"/>
      <c r="R695" s="247"/>
      <c r="S695" s="247"/>
      <c r="T695" s="247"/>
      <c r="U695" s="247"/>
    </row>
    <row r="696">
      <c r="A696" s="247"/>
      <c r="B696" s="247"/>
      <c r="C696" s="247"/>
      <c r="D696" s="247"/>
      <c r="E696" s="247"/>
      <c r="F696" s="247"/>
      <c r="G696" s="247"/>
      <c r="H696" s="247"/>
      <c r="I696" s="247"/>
      <c r="J696" s="247"/>
      <c r="K696" s="247"/>
      <c r="L696" s="247"/>
      <c r="M696" s="247"/>
      <c r="N696" s="247"/>
      <c r="O696" s="247"/>
      <c r="P696" s="247"/>
      <c r="Q696" s="247"/>
      <c r="R696" s="247"/>
      <c r="S696" s="247"/>
      <c r="T696" s="247"/>
      <c r="U696" s="247"/>
    </row>
    <row r="697">
      <c r="A697" s="247"/>
      <c r="B697" s="247"/>
      <c r="C697" s="247"/>
      <c r="D697" s="247"/>
      <c r="E697" s="247"/>
      <c r="F697" s="247"/>
      <c r="G697" s="247"/>
      <c r="H697" s="247"/>
      <c r="I697" s="247"/>
      <c r="J697" s="247"/>
      <c r="K697" s="247"/>
      <c r="L697" s="247"/>
      <c r="M697" s="247"/>
      <c r="N697" s="247"/>
      <c r="O697" s="247"/>
      <c r="P697" s="247"/>
      <c r="Q697" s="247"/>
      <c r="R697" s="247"/>
      <c r="S697" s="247"/>
      <c r="T697" s="247"/>
      <c r="U697" s="247"/>
    </row>
    <row r="698">
      <c r="A698" s="247"/>
      <c r="B698" s="247"/>
      <c r="C698" s="247"/>
      <c r="D698" s="247"/>
      <c r="E698" s="247"/>
      <c r="F698" s="247"/>
      <c r="G698" s="247"/>
      <c r="H698" s="247"/>
      <c r="I698" s="247"/>
      <c r="J698" s="247"/>
      <c r="K698" s="247"/>
      <c r="L698" s="247"/>
      <c r="M698" s="247"/>
      <c r="N698" s="247"/>
      <c r="O698" s="247"/>
      <c r="P698" s="247"/>
      <c r="Q698" s="247"/>
      <c r="R698" s="247"/>
      <c r="S698" s="247"/>
      <c r="T698" s="247"/>
      <c r="U698" s="247"/>
    </row>
    <row r="699">
      <c r="A699" s="247"/>
      <c r="B699" s="247"/>
      <c r="C699" s="247"/>
      <c r="D699" s="247"/>
      <c r="E699" s="247"/>
      <c r="F699" s="247"/>
      <c r="G699" s="247"/>
      <c r="H699" s="247"/>
      <c r="I699" s="247"/>
      <c r="J699" s="247"/>
      <c r="K699" s="247"/>
      <c r="L699" s="247"/>
      <c r="M699" s="247"/>
      <c r="N699" s="247"/>
      <c r="O699" s="247"/>
      <c r="P699" s="247"/>
      <c r="Q699" s="247"/>
      <c r="R699" s="247"/>
      <c r="S699" s="247"/>
      <c r="T699" s="247"/>
      <c r="U699" s="247"/>
    </row>
    <row r="700">
      <c r="A700" s="247"/>
      <c r="B700" s="247"/>
      <c r="C700" s="247"/>
      <c r="D700" s="247"/>
      <c r="E700" s="247"/>
      <c r="F700" s="247"/>
      <c r="G700" s="247"/>
      <c r="H700" s="247"/>
      <c r="I700" s="247"/>
      <c r="J700" s="247"/>
      <c r="K700" s="247"/>
      <c r="L700" s="247"/>
      <c r="M700" s="247"/>
      <c r="N700" s="247"/>
      <c r="O700" s="247"/>
      <c r="P700" s="247"/>
      <c r="Q700" s="247"/>
      <c r="R700" s="247"/>
      <c r="S700" s="247"/>
      <c r="T700" s="247"/>
      <c r="U700" s="247"/>
    </row>
    <row r="701">
      <c r="A701" s="247"/>
      <c r="B701" s="247"/>
      <c r="C701" s="247"/>
      <c r="D701" s="247"/>
      <c r="E701" s="247"/>
      <c r="F701" s="247"/>
      <c r="G701" s="247"/>
      <c r="H701" s="247"/>
      <c r="I701" s="247"/>
      <c r="J701" s="247"/>
      <c r="K701" s="247"/>
      <c r="L701" s="247"/>
      <c r="M701" s="247"/>
      <c r="N701" s="247"/>
      <c r="O701" s="247"/>
      <c r="P701" s="247"/>
      <c r="Q701" s="247"/>
      <c r="R701" s="247"/>
      <c r="S701" s="247"/>
      <c r="T701" s="247"/>
      <c r="U701" s="247"/>
    </row>
    <row r="702">
      <c r="A702" s="247"/>
      <c r="B702" s="247"/>
      <c r="C702" s="247"/>
      <c r="D702" s="247"/>
      <c r="E702" s="247"/>
      <c r="F702" s="247"/>
      <c r="G702" s="247"/>
      <c r="H702" s="247"/>
      <c r="I702" s="247"/>
      <c r="J702" s="247"/>
      <c r="K702" s="247"/>
      <c r="L702" s="247"/>
      <c r="M702" s="247"/>
      <c r="N702" s="247"/>
      <c r="O702" s="247"/>
      <c r="P702" s="247"/>
      <c r="Q702" s="247"/>
      <c r="R702" s="247"/>
      <c r="S702" s="247"/>
      <c r="T702" s="247"/>
      <c r="U702" s="247"/>
    </row>
    <row r="703">
      <c r="A703" s="247"/>
      <c r="B703" s="247"/>
      <c r="C703" s="247"/>
      <c r="D703" s="247"/>
      <c r="E703" s="247"/>
      <c r="F703" s="247"/>
      <c r="G703" s="247"/>
      <c r="H703" s="247"/>
      <c r="I703" s="247"/>
      <c r="J703" s="247"/>
      <c r="K703" s="247"/>
      <c r="L703" s="247"/>
      <c r="M703" s="247"/>
      <c r="N703" s="247"/>
      <c r="O703" s="247"/>
      <c r="P703" s="247"/>
      <c r="Q703" s="247"/>
      <c r="R703" s="247"/>
      <c r="S703" s="247"/>
      <c r="T703" s="247"/>
      <c r="U703" s="247"/>
    </row>
    <row r="704">
      <c r="A704" s="247"/>
      <c r="B704" s="247"/>
      <c r="C704" s="247"/>
      <c r="D704" s="247"/>
      <c r="E704" s="247"/>
      <c r="F704" s="247"/>
      <c r="G704" s="247"/>
      <c r="H704" s="247"/>
      <c r="I704" s="247"/>
      <c r="J704" s="247"/>
      <c r="K704" s="247"/>
      <c r="L704" s="247"/>
      <c r="M704" s="247"/>
      <c r="N704" s="247"/>
      <c r="O704" s="247"/>
      <c r="P704" s="247"/>
      <c r="Q704" s="247"/>
      <c r="R704" s="247"/>
      <c r="S704" s="247"/>
      <c r="T704" s="247"/>
      <c r="U704" s="247"/>
    </row>
    <row r="705">
      <c r="A705" s="247"/>
      <c r="B705" s="247"/>
      <c r="C705" s="247"/>
      <c r="D705" s="247"/>
      <c r="E705" s="247"/>
      <c r="F705" s="247"/>
      <c r="G705" s="247"/>
      <c r="H705" s="247"/>
      <c r="I705" s="247"/>
      <c r="J705" s="247"/>
      <c r="K705" s="247"/>
      <c r="L705" s="247"/>
      <c r="M705" s="247"/>
      <c r="N705" s="247"/>
      <c r="O705" s="247"/>
      <c r="P705" s="247"/>
      <c r="Q705" s="247"/>
      <c r="R705" s="247"/>
      <c r="S705" s="247"/>
      <c r="T705" s="247"/>
      <c r="U705" s="247"/>
    </row>
    <row r="706">
      <c r="A706" s="247"/>
      <c r="B706" s="247"/>
      <c r="C706" s="247"/>
      <c r="D706" s="247"/>
      <c r="E706" s="247"/>
      <c r="F706" s="247"/>
      <c r="G706" s="247"/>
      <c r="H706" s="247"/>
      <c r="I706" s="247"/>
      <c r="J706" s="247"/>
      <c r="K706" s="247"/>
      <c r="L706" s="247"/>
      <c r="M706" s="247"/>
      <c r="N706" s="247"/>
      <c r="O706" s="247"/>
      <c r="P706" s="247"/>
      <c r="Q706" s="247"/>
      <c r="R706" s="247"/>
      <c r="S706" s="247"/>
      <c r="T706" s="247"/>
      <c r="U706" s="247"/>
    </row>
    <row r="707">
      <c r="A707" s="247"/>
      <c r="B707" s="247"/>
      <c r="C707" s="247"/>
      <c r="D707" s="247"/>
      <c r="E707" s="247"/>
      <c r="F707" s="247"/>
      <c r="G707" s="247"/>
      <c r="H707" s="247"/>
      <c r="I707" s="247"/>
      <c r="J707" s="247"/>
      <c r="K707" s="247"/>
      <c r="L707" s="247"/>
      <c r="M707" s="247"/>
      <c r="N707" s="247"/>
      <c r="O707" s="247"/>
      <c r="P707" s="247"/>
      <c r="Q707" s="247"/>
      <c r="R707" s="247"/>
      <c r="S707" s="247"/>
      <c r="T707" s="247"/>
      <c r="U707" s="247"/>
    </row>
    <row r="708">
      <c r="A708" s="247"/>
      <c r="B708" s="247"/>
      <c r="C708" s="247"/>
      <c r="D708" s="247"/>
      <c r="E708" s="247"/>
      <c r="F708" s="247"/>
      <c r="G708" s="247"/>
      <c r="H708" s="247"/>
      <c r="I708" s="247"/>
      <c r="J708" s="247"/>
      <c r="K708" s="247"/>
      <c r="L708" s="247"/>
      <c r="M708" s="247"/>
      <c r="N708" s="247"/>
      <c r="O708" s="247"/>
      <c r="P708" s="247"/>
      <c r="Q708" s="247"/>
      <c r="R708" s="247"/>
      <c r="S708" s="247"/>
      <c r="T708" s="247"/>
      <c r="U708" s="247"/>
    </row>
    <row r="709">
      <c r="A709" s="247"/>
      <c r="B709" s="247"/>
      <c r="C709" s="247"/>
      <c r="D709" s="247"/>
      <c r="E709" s="247"/>
      <c r="F709" s="247"/>
      <c r="G709" s="247"/>
      <c r="H709" s="247"/>
      <c r="I709" s="247"/>
      <c r="J709" s="247"/>
      <c r="K709" s="247"/>
      <c r="L709" s="247"/>
      <c r="M709" s="247"/>
      <c r="N709" s="247"/>
      <c r="O709" s="247"/>
      <c r="P709" s="247"/>
      <c r="Q709" s="247"/>
      <c r="R709" s="247"/>
      <c r="S709" s="247"/>
      <c r="T709" s="247"/>
      <c r="U709" s="247"/>
    </row>
    <row r="710">
      <c r="A710" s="247"/>
      <c r="B710" s="247"/>
      <c r="C710" s="247"/>
      <c r="D710" s="247"/>
      <c r="E710" s="247"/>
      <c r="F710" s="247"/>
      <c r="G710" s="247"/>
      <c r="H710" s="247"/>
      <c r="I710" s="247"/>
      <c r="J710" s="247"/>
      <c r="K710" s="247"/>
      <c r="L710" s="247"/>
      <c r="M710" s="247"/>
      <c r="N710" s="247"/>
      <c r="O710" s="247"/>
      <c r="P710" s="247"/>
      <c r="Q710" s="247"/>
      <c r="R710" s="247"/>
      <c r="S710" s="247"/>
      <c r="T710" s="247"/>
      <c r="U710" s="247"/>
    </row>
    <row r="711">
      <c r="A711" s="247"/>
      <c r="B711" s="247"/>
      <c r="C711" s="247"/>
      <c r="D711" s="247"/>
      <c r="E711" s="247"/>
      <c r="F711" s="247"/>
      <c r="G711" s="247"/>
      <c r="H711" s="247"/>
      <c r="I711" s="247"/>
      <c r="J711" s="247"/>
      <c r="K711" s="247"/>
      <c r="L711" s="247"/>
      <c r="M711" s="247"/>
      <c r="N711" s="247"/>
      <c r="O711" s="247"/>
      <c r="P711" s="247"/>
      <c r="Q711" s="247"/>
      <c r="R711" s="247"/>
      <c r="S711" s="247"/>
      <c r="T711" s="247"/>
      <c r="U711" s="247"/>
    </row>
    <row r="712">
      <c r="A712" s="247"/>
      <c r="B712" s="247"/>
      <c r="C712" s="247"/>
      <c r="D712" s="247"/>
      <c r="E712" s="247"/>
      <c r="F712" s="247"/>
      <c r="G712" s="247"/>
      <c r="H712" s="247"/>
      <c r="I712" s="247"/>
      <c r="J712" s="247"/>
      <c r="K712" s="247"/>
      <c r="L712" s="247"/>
      <c r="M712" s="247"/>
      <c r="N712" s="247"/>
      <c r="O712" s="247"/>
      <c r="P712" s="247"/>
      <c r="Q712" s="247"/>
      <c r="R712" s="247"/>
      <c r="S712" s="247"/>
      <c r="T712" s="247"/>
      <c r="U712" s="247"/>
    </row>
    <row r="713">
      <c r="A713" s="247"/>
      <c r="B713" s="247"/>
      <c r="C713" s="247"/>
      <c r="D713" s="247"/>
      <c r="E713" s="247"/>
      <c r="F713" s="247"/>
      <c r="G713" s="247"/>
      <c r="H713" s="247"/>
      <c r="I713" s="247"/>
      <c r="J713" s="247"/>
      <c r="K713" s="247"/>
      <c r="L713" s="247"/>
      <c r="M713" s="247"/>
      <c r="N713" s="247"/>
      <c r="O713" s="247"/>
      <c r="P713" s="247"/>
      <c r="Q713" s="247"/>
      <c r="R713" s="247"/>
      <c r="S713" s="247"/>
      <c r="T713" s="247"/>
      <c r="U713" s="247"/>
    </row>
    <row r="714">
      <c r="A714" s="247"/>
      <c r="B714" s="247"/>
      <c r="C714" s="247"/>
      <c r="D714" s="247"/>
      <c r="E714" s="247"/>
      <c r="F714" s="247"/>
      <c r="G714" s="247"/>
      <c r="H714" s="247"/>
      <c r="I714" s="247"/>
      <c r="J714" s="247"/>
      <c r="K714" s="247"/>
      <c r="L714" s="247"/>
      <c r="M714" s="247"/>
      <c r="N714" s="247"/>
      <c r="O714" s="247"/>
      <c r="P714" s="247"/>
      <c r="Q714" s="247"/>
      <c r="R714" s="247"/>
      <c r="S714" s="247"/>
      <c r="T714" s="247"/>
      <c r="U714" s="247"/>
    </row>
    <row r="715">
      <c r="A715" s="247"/>
      <c r="B715" s="247"/>
      <c r="C715" s="247"/>
      <c r="D715" s="247"/>
      <c r="E715" s="247"/>
      <c r="F715" s="247"/>
      <c r="G715" s="247"/>
      <c r="H715" s="247"/>
      <c r="I715" s="247"/>
      <c r="J715" s="247"/>
      <c r="K715" s="247"/>
      <c r="L715" s="247"/>
      <c r="M715" s="247"/>
      <c r="N715" s="247"/>
      <c r="O715" s="247"/>
      <c r="P715" s="247"/>
      <c r="Q715" s="247"/>
      <c r="R715" s="247"/>
      <c r="S715" s="247"/>
      <c r="T715" s="247"/>
      <c r="U715" s="247"/>
    </row>
    <row r="716">
      <c r="A716" s="247"/>
      <c r="B716" s="247"/>
      <c r="C716" s="247"/>
      <c r="D716" s="247"/>
      <c r="E716" s="247"/>
      <c r="F716" s="247"/>
      <c r="G716" s="247"/>
      <c r="H716" s="247"/>
      <c r="I716" s="247"/>
      <c r="J716" s="247"/>
      <c r="K716" s="247"/>
      <c r="L716" s="247"/>
      <c r="M716" s="247"/>
      <c r="N716" s="247"/>
      <c r="O716" s="247"/>
      <c r="P716" s="247"/>
      <c r="Q716" s="247"/>
      <c r="R716" s="247"/>
      <c r="S716" s="247"/>
      <c r="T716" s="247"/>
      <c r="U716" s="247"/>
    </row>
    <row r="717">
      <c r="A717" s="247"/>
      <c r="B717" s="247"/>
      <c r="C717" s="247"/>
      <c r="D717" s="247"/>
      <c r="E717" s="247"/>
      <c r="F717" s="247"/>
      <c r="G717" s="247"/>
      <c r="H717" s="247"/>
      <c r="I717" s="247"/>
      <c r="J717" s="247"/>
      <c r="K717" s="247"/>
      <c r="L717" s="247"/>
      <c r="M717" s="247"/>
      <c r="N717" s="247"/>
      <c r="O717" s="247"/>
      <c r="P717" s="247"/>
      <c r="Q717" s="247"/>
      <c r="R717" s="247"/>
      <c r="S717" s="247"/>
      <c r="T717" s="247"/>
      <c r="U717" s="247"/>
    </row>
    <row r="718">
      <c r="A718" s="247"/>
      <c r="B718" s="247"/>
      <c r="C718" s="247"/>
      <c r="D718" s="247"/>
      <c r="E718" s="247"/>
      <c r="F718" s="247"/>
      <c r="G718" s="247"/>
      <c r="H718" s="247"/>
      <c r="I718" s="247"/>
      <c r="J718" s="247"/>
      <c r="K718" s="247"/>
      <c r="L718" s="247"/>
      <c r="M718" s="247"/>
      <c r="N718" s="247"/>
      <c r="O718" s="247"/>
      <c r="P718" s="247"/>
      <c r="Q718" s="247"/>
      <c r="R718" s="247"/>
      <c r="S718" s="247"/>
      <c r="T718" s="247"/>
      <c r="U718" s="247"/>
    </row>
    <row r="719">
      <c r="A719" s="247"/>
      <c r="B719" s="247"/>
      <c r="C719" s="247"/>
      <c r="D719" s="247"/>
      <c r="E719" s="247"/>
      <c r="F719" s="247"/>
      <c r="G719" s="247"/>
      <c r="H719" s="247"/>
      <c r="I719" s="247"/>
      <c r="J719" s="247"/>
      <c r="K719" s="247"/>
      <c r="L719" s="247"/>
      <c r="M719" s="247"/>
      <c r="N719" s="247"/>
      <c r="O719" s="247"/>
      <c r="P719" s="247"/>
      <c r="Q719" s="247"/>
      <c r="R719" s="247"/>
      <c r="S719" s="247"/>
      <c r="T719" s="247"/>
      <c r="U719" s="247"/>
    </row>
    <row r="720">
      <c r="A720" s="247"/>
      <c r="B720" s="247"/>
      <c r="C720" s="247"/>
      <c r="D720" s="247"/>
      <c r="E720" s="247"/>
      <c r="F720" s="247"/>
      <c r="G720" s="247"/>
      <c r="H720" s="247"/>
      <c r="I720" s="247"/>
      <c r="J720" s="247"/>
      <c r="K720" s="247"/>
      <c r="L720" s="247"/>
      <c r="M720" s="247"/>
      <c r="N720" s="247"/>
      <c r="O720" s="247"/>
      <c r="P720" s="247"/>
      <c r="Q720" s="247"/>
      <c r="R720" s="247"/>
      <c r="S720" s="247"/>
      <c r="T720" s="247"/>
      <c r="U720" s="247"/>
    </row>
    <row r="721">
      <c r="A721" s="247"/>
      <c r="B721" s="247"/>
      <c r="C721" s="247"/>
      <c r="D721" s="247"/>
      <c r="E721" s="247"/>
      <c r="F721" s="247"/>
      <c r="G721" s="247"/>
      <c r="H721" s="247"/>
      <c r="I721" s="247"/>
      <c r="J721" s="247"/>
      <c r="K721" s="247"/>
      <c r="L721" s="247"/>
      <c r="M721" s="247"/>
      <c r="N721" s="247"/>
      <c r="O721" s="247"/>
      <c r="P721" s="247"/>
      <c r="Q721" s="247"/>
      <c r="R721" s="247"/>
      <c r="S721" s="247"/>
      <c r="T721" s="247"/>
      <c r="U721" s="247"/>
    </row>
    <row r="722">
      <c r="A722" s="247"/>
      <c r="B722" s="247"/>
      <c r="C722" s="247"/>
      <c r="D722" s="247"/>
      <c r="E722" s="247"/>
      <c r="F722" s="247"/>
      <c r="G722" s="247"/>
      <c r="H722" s="247"/>
      <c r="I722" s="247"/>
      <c r="J722" s="247"/>
      <c r="K722" s="247"/>
      <c r="L722" s="247"/>
      <c r="M722" s="247"/>
      <c r="N722" s="247"/>
      <c r="O722" s="247"/>
      <c r="P722" s="247"/>
      <c r="Q722" s="247"/>
      <c r="R722" s="247"/>
      <c r="S722" s="247"/>
      <c r="T722" s="247"/>
      <c r="U722" s="247"/>
    </row>
    <row r="723">
      <c r="A723" s="247"/>
      <c r="B723" s="247"/>
      <c r="C723" s="247"/>
      <c r="D723" s="247"/>
      <c r="E723" s="247"/>
      <c r="F723" s="247"/>
      <c r="G723" s="247"/>
      <c r="H723" s="247"/>
      <c r="I723" s="247"/>
      <c r="J723" s="247"/>
      <c r="K723" s="247"/>
      <c r="L723" s="247"/>
      <c r="M723" s="247"/>
      <c r="N723" s="247"/>
      <c r="O723" s="247"/>
      <c r="P723" s="247"/>
      <c r="Q723" s="247"/>
      <c r="R723" s="247"/>
      <c r="S723" s="247"/>
      <c r="T723" s="247"/>
      <c r="U723" s="247"/>
    </row>
    <row r="724">
      <c r="A724" s="247"/>
      <c r="B724" s="247"/>
      <c r="C724" s="247"/>
      <c r="D724" s="247"/>
      <c r="E724" s="247"/>
      <c r="F724" s="247"/>
      <c r="G724" s="247"/>
      <c r="H724" s="247"/>
      <c r="I724" s="247"/>
      <c r="J724" s="247"/>
      <c r="K724" s="247"/>
      <c r="L724" s="247"/>
      <c r="M724" s="247"/>
      <c r="N724" s="247"/>
      <c r="O724" s="247"/>
      <c r="P724" s="247"/>
      <c r="Q724" s="247"/>
      <c r="R724" s="247"/>
      <c r="S724" s="247"/>
      <c r="T724" s="247"/>
      <c r="U724" s="247"/>
    </row>
    <row r="725">
      <c r="A725" s="247"/>
      <c r="B725" s="247"/>
      <c r="C725" s="247"/>
      <c r="D725" s="247"/>
      <c r="E725" s="247"/>
      <c r="F725" s="247"/>
      <c r="G725" s="247"/>
      <c r="H725" s="247"/>
      <c r="I725" s="247"/>
      <c r="J725" s="247"/>
      <c r="K725" s="247"/>
      <c r="L725" s="247"/>
      <c r="M725" s="247"/>
      <c r="N725" s="247"/>
      <c r="O725" s="247"/>
      <c r="P725" s="247"/>
      <c r="Q725" s="247"/>
      <c r="R725" s="247"/>
      <c r="S725" s="247"/>
      <c r="T725" s="247"/>
      <c r="U725" s="247"/>
    </row>
    <row r="726">
      <c r="A726" s="247"/>
      <c r="B726" s="247"/>
      <c r="C726" s="247"/>
      <c r="D726" s="247"/>
      <c r="E726" s="247"/>
      <c r="F726" s="247"/>
      <c r="G726" s="247"/>
      <c r="H726" s="247"/>
      <c r="I726" s="247"/>
      <c r="J726" s="247"/>
      <c r="K726" s="247"/>
      <c r="L726" s="247"/>
      <c r="M726" s="247"/>
      <c r="N726" s="247"/>
      <c r="O726" s="247"/>
      <c r="P726" s="247"/>
      <c r="Q726" s="247"/>
      <c r="R726" s="247"/>
      <c r="S726" s="247"/>
      <c r="T726" s="247"/>
      <c r="U726" s="247"/>
    </row>
    <row r="727">
      <c r="A727" s="247"/>
      <c r="B727" s="247"/>
      <c r="C727" s="247"/>
      <c r="D727" s="247"/>
      <c r="E727" s="247"/>
      <c r="F727" s="247"/>
      <c r="G727" s="247"/>
      <c r="H727" s="247"/>
      <c r="I727" s="247"/>
      <c r="J727" s="247"/>
      <c r="K727" s="247"/>
      <c r="L727" s="247"/>
      <c r="M727" s="247"/>
      <c r="N727" s="247"/>
      <c r="O727" s="247"/>
      <c r="P727" s="247"/>
      <c r="Q727" s="247"/>
      <c r="R727" s="247"/>
      <c r="S727" s="247"/>
      <c r="T727" s="247"/>
      <c r="U727" s="247"/>
    </row>
    <row r="728">
      <c r="A728" s="247"/>
      <c r="B728" s="247"/>
      <c r="C728" s="247"/>
      <c r="D728" s="247"/>
      <c r="E728" s="247"/>
      <c r="F728" s="247"/>
      <c r="G728" s="247"/>
      <c r="H728" s="247"/>
      <c r="I728" s="247"/>
      <c r="J728" s="247"/>
      <c r="K728" s="247"/>
      <c r="L728" s="247"/>
      <c r="M728" s="247"/>
      <c r="N728" s="247"/>
      <c r="O728" s="247"/>
      <c r="P728" s="247"/>
      <c r="Q728" s="247"/>
      <c r="R728" s="247"/>
      <c r="S728" s="247"/>
      <c r="T728" s="247"/>
      <c r="U728" s="247"/>
    </row>
    <row r="729">
      <c r="A729" s="247"/>
      <c r="B729" s="247"/>
      <c r="C729" s="247"/>
      <c r="D729" s="247"/>
      <c r="E729" s="247"/>
      <c r="F729" s="247"/>
      <c r="G729" s="247"/>
      <c r="H729" s="247"/>
      <c r="I729" s="247"/>
      <c r="J729" s="247"/>
      <c r="K729" s="247"/>
      <c r="L729" s="247"/>
      <c r="M729" s="247"/>
      <c r="N729" s="247"/>
      <c r="O729" s="247"/>
      <c r="P729" s="247"/>
      <c r="Q729" s="247"/>
      <c r="R729" s="247"/>
      <c r="S729" s="247"/>
      <c r="T729" s="247"/>
      <c r="U729" s="247"/>
    </row>
    <row r="730">
      <c r="A730" s="247"/>
      <c r="B730" s="247"/>
      <c r="C730" s="247"/>
      <c r="D730" s="247"/>
      <c r="E730" s="247"/>
      <c r="F730" s="247"/>
      <c r="G730" s="247"/>
      <c r="H730" s="247"/>
      <c r="I730" s="247"/>
      <c r="J730" s="247"/>
      <c r="K730" s="247"/>
      <c r="L730" s="247"/>
      <c r="M730" s="247"/>
      <c r="N730" s="247"/>
      <c r="O730" s="247"/>
      <c r="P730" s="247"/>
      <c r="Q730" s="247"/>
      <c r="R730" s="247"/>
      <c r="S730" s="247"/>
      <c r="T730" s="247"/>
      <c r="U730" s="247"/>
    </row>
    <row r="731">
      <c r="A731" s="247"/>
      <c r="B731" s="247"/>
      <c r="C731" s="247"/>
      <c r="D731" s="247"/>
      <c r="E731" s="247"/>
      <c r="F731" s="247"/>
      <c r="G731" s="247"/>
      <c r="H731" s="247"/>
      <c r="I731" s="247"/>
      <c r="J731" s="247"/>
      <c r="K731" s="247"/>
      <c r="L731" s="247"/>
      <c r="M731" s="247"/>
      <c r="N731" s="247"/>
      <c r="O731" s="247"/>
      <c r="P731" s="247"/>
      <c r="Q731" s="247"/>
      <c r="R731" s="247"/>
      <c r="S731" s="247"/>
      <c r="T731" s="247"/>
      <c r="U731" s="247"/>
    </row>
    <row r="732">
      <c r="A732" s="247"/>
      <c r="B732" s="247"/>
      <c r="C732" s="247"/>
      <c r="D732" s="247"/>
      <c r="E732" s="247"/>
      <c r="F732" s="247"/>
      <c r="G732" s="247"/>
      <c r="H732" s="247"/>
      <c r="I732" s="247"/>
      <c r="J732" s="247"/>
      <c r="K732" s="247"/>
      <c r="L732" s="247"/>
      <c r="M732" s="247"/>
      <c r="N732" s="247"/>
      <c r="O732" s="247"/>
      <c r="P732" s="247"/>
      <c r="Q732" s="247"/>
      <c r="R732" s="247"/>
      <c r="S732" s="247"/>
      <c r="T732" s="247"/>
      <c r="U732" s="247"/>
    </row>
    <row r="733">
      <c r="A733" s="247"/>
      <c r="B733" s="247"/>
      <c r="C733" s="247"/>
      <c r="D733" s="247"/>
      <c r="E733" s="247"/>
      <c r="F733" s="247"/>
      <c r="G733" s="247"/>
      <c r="H733" s="247"/>
      <c r="I733" s="247"/>
      <c r="J733" s="247"/>
      <c r="K733" s="247"/>
      <c r="L733" s="247"/>
      <c r="M733" s="247"/>
      <c r="N733" s="247"/>
      <c r="O733" s="247"/>
      <c r="P733" s="247"/>
      <c r="Q733" s="247"/>
      <c r="R733" s="247"/>
      <c r="S733" s="247"/>
      <c r="T733" s="247"/>
      <c r="U733" s="247"/>
    </row>
    <row r="734">
      <c r="A734" s="247"/>
      <c r="B734" s="247"/>
      <c r="C734" s="247"/>
      <c r="D734" s="247"/>
      <c r="E734" s="247"/>
      <c r="F734" s="247"/>
      <c r="G734" s="247"/>
      <c r="H734" s="247"/>
      <c r="I734" s="247"/>
      <c r="J734" s="247"/>
      <c r="K734" s="247"/>
      <c r="L734" s="247"/>
      <c r="M734" s="247"/>
      <c r="N734" s="247"/>
      <c r="O734" s="247"/>
      <c r="P734" s="247"/>
      <c r="Q734" s="247"/>
      <c r="R734" s="247"/>
      <c r="S734" s="247"/>
      <c r="T734" s="247"/>
      <c r="U734" s="247"/>
    </row>
    <row r="735">
      <c r="A735" s="247"/>
      <c r="B735" s="247"/>
      <c r="C735" s="247"/>
      <c r="D735" s="247"/>
      <c r="E735" s="247"/>
      <c r="F735" s="247"/>
      <c r="G735" s="247"/>
      <c r="H735" s="247"/>
      <c r="I735" s="247"/>
      <c r="J735" s="247"/>
      <c r="K735" s="247"/>
      <c r="L735" s="247"/>
      <c r="M735" s="247"/>
      <c r="N735" s="247"/>
      <c r="O735" s="247"/>
      <c r="P735" s="247"/>
      <c r="Q735" s="247"/>
      <c r="R735" s="247"/>
      <c r="S735" s="247"/>
      <c r="T735" s="247"/>
      <c r="U735" s="247"/>
    </row>
    <row r="736">
      <c r="A736" s="247"/>
      <c r="B736" s="247"/>
      <c r="C736" s="247"/>
      <c r="D736" s="247"/>
      <c r="E736" s="247"/>
      <c r="F736" s="247"/>
      <c r="G736" s="247"/>
      <c r="H736" s="247"/>
      <c r="I736" s="247"/>
      <c r="J736" s="247"/>
      <c r="K736" s="247"/>
      <c r="L736" s="247"/>
      <c r="M736" s="247"/>
      <c r="N736" s="247"/>
      <c r="O736" s="247"/>
      <c r="P736" s="247"/>
      <c r="Q736" s="247"/>
      <c r="R736" s="247"/>
      <c r="S736" s="247"/>
      <c r="T736" s="247"/>
      <c r="U736" s="247"/>
    </row>
    <row r="737">
      <c r="A737" s="247"/>
      <c r="B737" s="247"/>
      <c r="C737" s="247"/>
      <c r="D737" s="247"/>
      <c r="E737" s="247"/>
      <c r="F737" s="247"/>
      <c r="G737" s="247"/>
      <c r="H737" s="247"/>
      <c r="I737" s="247"/>
      <c r="J737" s="247"/>
      <c r="K737" s="247"/>
      <c r="L737" s="247"/>
      <c r="M737" s="247"/>
      <c r="N737" s="247"/>
      <c r="O737" s="247"/>
      <c r="P737" s="247"/>
      <c r="Q737" s="247"/>
      <c r="R737" s="247"/>
      <c r="S737" s="247"/>
      <c r="T737" s="247"/>
      <c r="U737" s="247"/>
    </row>
    <row r="738">
      <c r="A738" s="247"/>
      <c r="B738" s="247"/>
      <c r="C738" s="247"/>
      <c r="D738" s="247"/>
      <c r="E738" s="247"/>
      <c r="F738" s="247"/>
      <c r="G738" s="247"/>
      <c r="H738" s="247"/>
      <c r="I738" s="247"/>
      <c r="J738" s="247"/>
      <c r="K738" s="247"/>
      <c r="L738" s="247"/>
      <c r="M738" s="247"/>
      <c r="N738" s="247"/>
      <c r="O738" s="247"/>
      <c r="P738" s="247"/>
      <c r="Q738" s="247"/>
      <c r="R738" s="247"/>
      <c r="S738" s="247"/>
      <c r="T738" s="247"/>
      <c r="U738" s="247"/>
    </row>
    <row r="739">
      <c r="A739" s="247"/>
      <c r="B739" s="247"/>
      <c r="C739" s="247"/>
      <c r="D739" s="247"/>
      <c r="E739" s="247"/>
      <c r="F739" s="247"/>
      <c r="G739" s="247"/>
      <c r="H739" s="247"/>
      <c r="I739" s="247"/>
      <c r="J739" s="247"/>
      <c r="K739" s="247"/>
      <c r="L739" s="247"/>
      <c r="M739" s="247"/>
      <c r="N739" s="247"/>
      <c r="O739" s="247"/>
      <c r="P739" s="247"/>
      <c r="Q739" s="247"/>
      <c r="R739" s="247"/>
      <c r="S739" s="247"/>
      <c r="T739" s="247"/>
      <c r="U739" s="247"/>
    </row>
    <row r="740">
      <c r="A740" s="247"/>
      <c r="B740" s="247"/>
      <c r="C740" s="247"/>
      <c r="D740" s="247"/>
      <c r="E740" s="247"/>
      <c r="F740" s="247"/>
      <c r="G740" s="247"/>
      <c r="H740" s="247"/>
      <c r="I740" s="247"/>
      <c r="J740" s="247"/>
      <c r="K740" s="247"/>
      <c r="L740" s="247"/>
      <c r="M740" s="247"/>
      <c r="N740" s="247"/>
      <c r="O740" s="247"/>
      <c r="P740" s="247"/>
      <c r="Q740" s="247"/>
      <c r="R740" s="247"/>
      <c r="S740" s="247"/>
      <c r="T740" s="247"/>
      <c r="U740" s="247"/>
    </row>
    <row r="741">
      <c r="A741" s="247"/>
      <c r="B741" s="247"/>
      <c r="C741" s="247"/>
      <c r="D741" s="247"/>
      <c r="E741" s="247"/>
      <c r="F741" s="247"/>
      <c r="G741" s="247"/>
      <c r="H741" s="247"/>
      <c r="I741" s="247"/>
      <c r="J741" s="247"/>
      <c r="K741" s="247"/>
      <c r="L741" s="247"/>
      <c r="M741" s="247"/>
      <c r="N741" s="247"/>
      <c r="O741" s="247"/>
      <c r="P741" s="247"/>
      <c r="Q741" s="247"/>
      <c r="R741" s="247"/>
      <c r="S741" s="247"/>
      <c r="T741" s="247"/>
      <c r="U741" s="247"/>
    </row>
    <row r="742">
      <c r="A742" s="247"/>
      <c r="B742" s="247"/>
      <c r="C742" s="247"/>
      <c r="D742" s="247"/>
      <c r="E742" s="247"/>
      <c r="F742" s="247"/>
      <c r="G742" s="247"/>
      <c r="H742" s="247"/>
      <c r="I742" s="247"/>
      <c r="J742" s="247"/>
      <c r="K742" s="247"/>
      <c r="L742" s="247"/>
      <c r="M742" s="247"/>
      <c r="N742" s="247"/>
      <c r="O742" s="247"/>
      <c r="P742" s="247"/>
      <c r="Q742" s="247"/>
      <c r="R742" s="247"/>
      <c r="S742" s="247"/>
      <c r="T742" s="247"/>
      <c r="U742" s="247"/>
    </row>
    <row r="743">
      <c r="A743" s="247"/>
      <c r="B743" s="247"/>
      <c r="C743" s="247"/>
      <c r="D743" s="247"/>
      <c r="E743" s="247"/>
      <c r="F743" s="247"/>
      <c r="G743" s="247"/>
      <c r="H743" s="247"/>
      <c r="I743" s="247"/>
      <c r="J743" s="247"/>
      <c r="K743" s="247"/>
      <c r="L743" s="247"/>
      <c r="M743" s="247"/>
      <c r="N743" s="247"/>
      <c r="O743" s="247"/>
      <c r="P743" s="247"/>
      <c r="Q743" s="247"/>
      <c r="R743" s="247"/>
      <c r="S743" s="247"/>
      <c r="T743" s="247"/>
      <c r="U743" s="247"/>
    </row>
    <row r="744">
      <c r="A744" s="247"/>
      <c r="B744" s="247"/>
      <c r="C744" s="247"/>
      <c r="D744" s="247"/>
      <c r="E744" s="247"/>
      <c r="F744" s="247"/>
      <c r="G744" s="247"/>
      <c r="H744" s="247"/>
      <c r="I744" s="247"/>
      <c r="J744" s="247"/>
      <c r="K744" s="247"/>
      <c r="L744" s="247"/>
      <c r="M744" s="247"/>
      <c r="N744" s="247"/>
      <c r="O744" s="247"/>
      <c r="P744" s="247"/>
      <c r="Q744" s="247"/>
      <c r="R744" s="247"/>
      <c r="S744" s="247"/>
      <c r="T744" s="247"/>
      <c r="U744" s="247"/>
    </row>
    <row r="745">
      <c r="A745" s="247"/>
      <c r="B745" s="247"/>
      <c r="C745" s="247"/>
      <c r="D745" s="247"/>
      <c r="E745" s="247"/>
      <c r="F745" s="247"/>
      <c r="G745" s="247"/>
      <c r="H745" s="247"/>
      <c r="I745" s="247"/>
      <c r="J745" s="247"/>
      <c r="K745" s="247"/>
      <c r="L745" s="247"/>
      <c r="M745" s="247"/>
      <c r="N745" s="247"/>
      <c r="O745" s="247"/>
      <c r="P745" s="247"/>
      <c r="Q745" s="247"/>
      <c r="R745" s="247"/>
      <c r="S745" s="247"/>
      <c r="T745" s="247"/>
      <c r="U745" s="247"/>
    </row>
    <row r="746">
      <c r="A746" s="247"/>
      <c r="B746" s="247"/>
      <c r="C746" s="247"/>
      <c r="D746" s="247"/>
      <c r="E746" s="247"/>
      <c r="F746" s="247"/>
      <c r="G746" s="247"/>
      <c r="H746" s="247"/>
      <c r="I746" s="247"/>
      <c r="J746" s="247"/>
      <c r="K746" s="247"/>
      <c r="L746" s="247"/>
      <c r="M746" s="247"/>
      <c r="N746" s="247"/>
      <c r="O746" s="247"/>
      <c r="P746" s="247"/>
      <c r="Q746" s="247"/>
      <c r="R746" s="247"/>
      <c r="S746" s="247"/>
      <c r="T746" s="247"/>
      <c r="U746" s="247"/>
    </row>
    <row r="747">
      <c r="A747" s="247"/>
      <c r="B747" s="247"/>
      <c r="C747" s="247"/>
      <c r="D747" s="247"/>
      <c r="E747" s="247"/>
      <c r="F747" s="247"/>
      <c r="G747" s="247"/>
      <c r="H747" s="247"/>
      <c r="I747" s="247"/>
      <c r="J747" s="247"/>
      <c r="K747" s="247"/>
      <c r="L747" s="247"/>
      <c r="M747" s="247"/>
      <c r="N747" s="247"/>
      <c r="O747" s="247"/>
      <c r="P747" s="247"/>
      <c r="Q747" s="247"/>
      <c r="R747" s="247"/>
      <c r="S747" s="247"/>
      <c r="T747" s="247"/>
      <c r="U747" s="247"/>
    </row>
    <row r="748">
      <c r="A748" s="247"/>
      <c r="B748" s="247"/>
      <c r="C748" s="247"/>
      <c r="D748" s="247"/>
      <c r="E748" s="247"/>
      <c r="F748" s="247"/>
      <c r="G748" s="247"/>
      <c r="H748" s="247"/>
      <c r="I748" s="247"/>
      <c r="J748" s="247"/>
      <c r="K748" s="247"/>
      <c r="L748" s="247"/>
      <c r="M748" s="247"/>
      <c r="N748" s="247"/>
      <c r="O748" s="247"/>
      <c r="P748" s="247"/>
      <c r="Q748" s="247"/>
      <c r="R748" s="247"/>
      <c r="S748" s="247"/>
      <c r="T748" s="247"/>
      <c r="U748" s="247"/>
    </row>
    <row r="749">
      <c r="A749" s="247"/>
      <c r="B749" s="247"/>
      <c r="C749" s="247"/>
      <c r="D749" s="247"/>
      <c r="E749" s="247"/>
      <c r="F749" s="247"/>
      <c r="G749" s="247"/>
      <c r="H749" s="247"/>
      <c r="I749" s="247"/>
      <c r="J749" s="247"/>
      <c r="K749" s="247"/>
      <c r="L749" s="247"/>
      <c r="M749" s="247"/>
      <c r="N749" s="247"/>
      <c r="O749" s="247"/>
      <c r="P749" s="247"/>
      <c r="Q749" s="247"/>
      <c r="R749" s="247"/>
      <c r="S749" s="247"/>
      <c r="T749" s="247"/>
      <c r="U749" s="247"/>
    </row>
    <row r="750">
      <c r="A750" s="247"/>
      <c r="B750" s="247"/>
      <c r="C750" s="247"/>
      <c r="D750" s="247"/>
      <c r="E750" s="247"/>
      <c r="F750" s="247"/>
      <c r="G750" s="247"/>
      <c r="H750" s="247"/>
      <c r="I750" s="247"/>
      <c r="J750" s="247"/>
      <c r="K750" s="247"/>
      <c r="L750" s="247"/>
      <c r="M750" s="247"/>
      <c r="N750" s="247"/>
      <c r="O750" s="247"/>
      <c r="P750" s="247"/>
      <c r="Q750" s="247"/>
      <c r="R750" s="247"/>
      <c r="S750" s="247"/>
      <c r="T750" s="247"/>
      <c r="U750" s="247"/>
    </row>
    <row r="751">
      <c r="A751" s="247"/>
      <c r="B751" s="247"/>
      <c r="C751" s="247"/>
      <c r="D751" s="247"/>
      <c r="E751" s="247"/>
      <c r="F751" s="247"/>
      <c r="G751" s="247"/>
      <c r="H751" s="247"/>
      <c r="I751" s="247"/>
      <c r="J751" s="247"/>
      <c r="K751" s="247"/>
      <c r="L751" s="247"/>
      <c r="M751" s="247"/>
      <c r="N751" s="247"/>
      <c r="O751" s="247"/>
      <c r="P751" s="247"/>
      <c r="Q751" s="247"/>
      <c r="R751" s="247"/>
      <c r="S751" s="247"/>
      <c r="T751" s="247"/>
      <c r="U751" s="247"/>
    </row>
    <row r="752">
      <c r="A752" s="247"/>
      <c r="B752" s="247"/>
      <c r="C752" s="247"/>
      <c r="D752" s="247"/>
      <c r="E752" s="247"/>
      <c r="F752" s="247"/>
      <c r="G752" s="247"/>
      <c r="H752" s="247"/>
      <c r="I752" s="247"/>
      <c r="J752" s="247"/>
      <c r="K752" s="247"/>
      <c r="L752" s="247"/>
      <c r="M752" s="247"/>
      <c r="N752" s="247"/>
      <c r="O752" s="247"/>
      <c r="P752" s="247"/>
      <c r="Q752" s="247"/>
      <c r="R752" s="247"/>
      <c r="S752" s="247"/>
      <c r="T752" s="247"/>
      <c r="U752" s="247"/>
    </row>
    <row r="753">
      <c r="A753" s="247"/>
      <c r="B753" s="247"/>
      <c r="C753" s="247"/>
      <c r="D753" s="247"/>
      <c r="E753" s="247"/>
      <c r="F753" s="247"/>
      <c r="G753" s="247"/>
      <c r="H753" s="247"/>
      <c r="I753" s="247"/>
      <c r="J753" s="247"/>
      <c r="K753" s="247"/>
      <c r="L753" s="247"/>
      <c r="M753" s="247"/>
      <c r="N753" s="247"/>
      <c r="O753" s="247"/>
      <c r="P753" s="247"/>
      <c r="Q753" s="247"/>
      <c r="R753" s="247"/>
      <c r="S753" s="247"/>
      <c r="T753" s="247"/>
      <c r="U753" s="247"/>
    </row>
    <row r="754">
      <c r="A754" s="247"/>
      <c r="B754" s="247"/>
      <c r="C754" s="247"/>
      <c r="D754" s="247"/>
      <c r="E754" s="247"/>
      <c r="F754" s="247"/>
      <c r="G754" s="247"/>
      <c r="H754" s="247"/>
      <c r="I754" s="247"/>
      <c r="J754" s="247"/>
      <c r="K754" s="247"/>
      <c r="L754" s="247"/>
      <c r="M754" s="247"/>
      <c r="N754" s="247"/>
      <c r="O754" s="247"/>
      <c r="P754" s="247"/>
      <c r="Q754" s="247"/>
      <c r="R754" s="247"/>
      <c r="S754" s="247"/>
      <c r="T754" s="247"/>
      <c r="U754" s="247"/>
    </row>
    <row r="755">
      <c r="A755" s="247"/>
      <c r="B755" s="247"/>
      <c r="C755" s="247"/>
      <c r="D755" s="247"/>
      <c r="E755" s="247"/>
      <c r="F755" s="247"/>
      <c r="G755" s="247"/>
      <c r="H755" s="247"/>
      <c r="I755" s="247"/>
      <c r="J755" s="247"/>
      <c r="K755" s="247"/>
      <c r="L755" s="247"/>
      <c r="M755" s="247"/>
      <c r="N755" s="247"/>
      <c r="O755" s="247"/>
      <c r="P755" s="247"/>
      <c r="Q755" s="247"/>
      <c r="R755" s="247"/>
      <c r="S755" s="247"/>
      <c r="T755" s="247"/>
      <c r="U755" s="247"/>
    </row>
    <row r="756">
      <c r="A756" s="247"/>
      <c r="B756" s="247"/>
      <c r="C756" s="247"/>
      <c r="D756" s="247"/>
      <c r="E756" s="247"/>
      <c r="F756" s="247"/>
      <c r="G756" s="247"/>
      <c r="H756" s="247"/>
      <c r="I756" s="247"/>
      <c r="J756" s="247"/>
      <c r="K756" s="247"/>
      <c r="L756" s="247"/>
      <c r="M756" s="247"/>
      <c r="N756" s="247"/>
      <c r="O756" s="247"/>
      <c r="P756" s="247"/>
      <c r="Q756" s="247"/>
      <c r="R756" s="247"/>
      <c r="S756" s="247"/>
      <c r="T756" s="247"/>
      <c r="U756" s="247"/>
    </row>
    <row r="757">
      <c r="A757" s="247"/>
      <c r="B757" s="247"/>
      <c r="C757" s="247"/>
      <c r="D757" s="247"/>
      <c r="E757" s="247"/>
      <c r="F757" s="247"/>
      <c r="G757" s="247"/>
      <c r="H757" s="247"/>
      <c r="I757" s="247"/>
      <c r="J757" s="247"/>
      <c r="K757" s="247"/>
      <c r="L757" s="247"/>
      <c r="M757" s="247"/>
      <c r="N757" s="247"/>
      <c r="O757" s="247"/>
      <c r="P757" s="247"/>
      <c r="Q757" s="247"/>
      <c r="R757" s="247"/>
      <c r="S757" s="247"/>
      <c r="T757" s="247"/>
      <c r="U757" s="247"/>
    </row>
    <row r="758">
      <c r="A758" s="247"/>
      <c r="B758" s="247"/>
      <c r="C758" s="247"/>
      <c r="D758" s="247"/>
      <c r="E758" s="247"/>
      <c r="F758" s="247"/>
      <c r="G758" s="247"/>
      <c r="H758" s="247"/>
      <c r="I758" s="247"/>
      <c r="J758" s="247"/>
      <c r="K758" s="247"/>
      <c r="L758" s="247"/>
      <c r="M758" s="247"/>
      <c r="N758" s="247"/>
      <c r="O758" s="247"/>
      <c r="P758" s="247"/>
      <c r="Q758" s="247"/>
      <c r="R758" s="247"/>
      <c r="S758" s="247"/>
      <c r="T758" s="247"/>
      <c r="U758" s="247"/>
    </row>
    <row r="759">
      <c r="A759" s="247"/>
      <c r="B759" s="247"/>
      <c r="C759" s="247"/>
      <c r="D759" s="247"/>
      <c r="E759" s="247"/>
      <c r="F759" s="247"/>
      <c r="G759" s="247"/>
      <c r="H759" s="247"/>
      <c r="I759" s="247"/>
      <c r="J759" s="247"/>
      <c r="K759" s="247"/>
      <c r="L759" s="247"/>
      <c r="M759" s="247"/>
      <c r="N759" s="247"/>
      <c r="O759" s="247"/>
      <c r="P759" s="247"/>
      <c r="Q759" s="247"/>
      <c r="R759" s="247"/>
      <c r="S759" s="247"/>
      <c r="T759" s="247"/>
      <c r="U759" s="247"/>
    </row>
    <row r="760">
      <c r="A760" s="247"/>
      <c r="B760" s="247"/>
      <c r="C760" s="247"/>
      <c r="D760" s="247"/>
      <c r="E760" s="247"/>
      <c r="F760" s="247"/>
      <c r="G760" s="247"/>
      <c r="H760" s="247"/>
      <c r="I760" s="247"/>
      <c r="J760" s="247"/>
      <c r="K760" s="247"/>
      <c r="L760" s="247"/>
      <c r="M760" s="247"/>
      <c r="N760" s="247"/>
      <c r="O760" s="247"/>
      <c r="P760" s="247"/>
      <c r="Q760" s="247"/>
      <c r="R760" s="247"/>
      <c r="S760" s="247"/>
      <c r="T760" s="247"/>
      <c r="U760" s="247"/>
    </row>
    <row r="761">
      <c r="A761" s="247"/>
      <c r="B761" s="247"/>
      <c r="C761" s="247"/>
      <c r="D761" s="247"/>
      <c r="E761" s="247"/>
      <c r="F761" s="247"/>
      <c r="G761" s="247"/>
      <c r="H761" s="247"/>
      <c r="I761" s="247"/>
      <c r="J761" s="247"/>
      <c r="K761" s="247"/>
      <c r="L761" s="247"/>
      <c r="M761" s="247"/>
      <c r="N761" s="247"/>
      <c r="O761" s="247"/>
      <c r="P761" s="247"/>
      <c r="Q761" s="247"/>
      <c r="R761" s="247"/>
      <c r="S761" s="247"/>
      <c r="T761" s="247"/>
      <c r="U761" s="247"/>
    </row>
    <row r="762">
      <c r="A762" s="247"/>
      <c r="B762" s="247"/>
      <c r="C762" s="247"/>
      <c r="D762" s="247"/>
      <c r="E762" s="247"/>
      <c r="F762" s="247"/>
      <c r="G762" s="247"/>
      <c r="H762" s="247"/>
      <c r="I762" s="247"/>
      <c r="J762" s="247"/>
      <c r="K762" s="247"/>
      <c r="L762" s="247"/>
      <c r="M762" s="247"/>
      <c r="N762" s="247"/>
      <c r="O762" s="247"/>
      <c r="P762" s="247"/>
      <c r="Q762" s="247"/>
      <c r="R762" s="247"/>
      <c r="S762" s="247"/>
      <c r="T762" s="247"/>
      <c r="U762" s="247"/>
    </row>
    <row r="763">
      <c r="A763" s="247"/>
      <c r="B763" s="247"/>
      <c r="C763" s="247"/>
      <c r="D763" s="247"/>
      <c r="E763" s="247"/>
      <c r="F763" s="247"/>
      <c r="G763" s="247"/>
      <c r="H763" s="247"/>
      <c r="I763" s="247"/>
      <c r="J763" s="247"/>
      <c r="K763" s="247"/>
      <c r="L763" s="247"/>
      <c r="M763" s="247"/>
      <c r="N763" s="247"/>
      <c r="O763" s="247"/>
      <c r="P763" s="247"/>
      <c r="Q763" s="247"/>
      <c r="R763" s="247"/>
      <c r="S763" s="247"/>
      <c r="T763" s="247"/>
      <c r="U763" s="247"/>
    </row>
    <row r="764">
      <c r="A764" s="247"/>
      <c r="B764" s="247"/>
      <c r="C764" s="247"/>
      <c r="D764" s="247"/>
      <c r="E764" s="247"/>
      <c r="F764" s="247"/>
      <c r="G764" s="247"/>
      <c r="H764" s="247"/>
      <c r="I764" s="247"/>
      <c r="J764" s="247"/>
      <c r="K764" s="247"/>
      <c r="L764" s="247"/>
      <c r="M764" s="247"/>
      <c r="N764" s="247"/>
      <c r="O764" s="247"/>
      <c r="P764" s="247"/>
      <c r="Q764" s="247"/>
      <c r="R764" s="247"/>
      <c r="S764" s="247"/>
      <c r="T764" s="247"/>
      <c r="U764" s="247"/>
    </row>
    <row r="765">
      <c r="A765" s="247"/>
      <c r="B765" s="247"/>
      <c r="C765" s="247"/>
      <c r="D765" s="247"/>
      <c r="E765" s="247"/>
      <c r="F765" s="247"/>
      <c r="G765" s="247"/>
      <c r="H765" s="247"/>
      <c r="I765" s="247"/>
      <c r="J765" s="247"/>
      <c r="K765" s="247"/>
      <c r="L765" s="247"/>
      <c r="M765" s="247"/>
      <c r="N765" s="247"/>
      <c r="O765" s="247"/>
      <c r="P765" s="247"/>
      <c r="Q765" s="247"/>
      <c r="R765" s="247"/>
      <c r="S765" s="247"/>
      <c r="T765" s="247"/>
      <c r="U765" s="247"/>
    </row>
    <row r="766">
      <c r="A766" s="247"/>
      <c r="B766" s="247"/>
      <c r="C766" s="247"/>
      <c r="D766" s="247"/>
      <c r="E766" s="247"/>
      <c r="F766" s="247"/>
      <c r="G766" s="247"/>
      <c r="H766" s="247"/>
      <c r="I766" s="247"/>
      <c r="J766" s="247"/>
      <c r="K766" s="247"/>
      <c r="L766" s="247"/>
      <c r="M766" s="247"/>
      <c r="N766" s="247"/>
      <c r="O766" s="247"/>
      <c r="P766" s="247"/>
      <c r="Q766" s="247"/>
      <c r="R766" s="247"/>
      <c r="S766" s="247"/>
      <c r="T766" s="247"/>
      <c r="U766" s="247"/>
    </row>
    <row r="767">
      <c r="A767" s="247"/>
      <c r="B767" s="247"/>
      <c r="C767" s="247"/>
      <c r="D767" s="247"/>
      <c r="E767" s="247"/>
      <c r="F767" s="247"/>
      <c r="G767" s="247"/>
      <c r="H767" s="247"/>
      <c r="I767" s="247"/>
      <c r="J767" s="247"/>
      <c r="K767" s="247"/>
      <c r="L767" s="247"/>
      <c r="M767" s="247"/>
      <c r="N767" s="247"/>
      <c r="O767" s="247"/>
      <c r="P767" s="247"/>
      <c r="Q767" s="247"/>
      <c r="R767" s="247"/>
      <c r="S767" s="247"/>
      <c r="T767" s="247"/>
      <c r="U767" s="247"/>
    </row>
    <row r="768">
      <c r="A768" s="247"/>
      <c r="B768" s="247"/>
      <c r="C768" s="247"/>
      <c r="D768" s="247"/>
      <c r="E768" s="247"/>
      <c r="F768" s="247"/>
      <c r="G768" s="247"/>
      <c r="H768" s="247"/>
      <c r="I768" s="247"/>
      <c r="J768" s="247"/>
      <c r="K768" s="247"/>
      <c r="L768" s="247"/>
      <c r="M768" s="247"/>
      <c r="N768" s="247"/>
      <c r="O768" s="247"/>
      <c r="P768" s="247"/>
      <c r="Q768" s="247"/>
      <c r="R768" s="247"/>
      <c r="S768" s="247"/>
      <c r="T768" s="247"/>
      <c r="U768" s="247"/>
    </row>
    <row r="769">
      <c r="A769" s="247"/>
      <c r="B769" s="247"/>
      <c r="C769" s="247"/>
      <c r="D769" s="247"/>
      <c r="E769" s="247"/>
      <c r="F769" s="247"/>
      <c r="G769" s="247"/>
      <c r="H769" s="247"/>
      <c r="I769" s="247"/>
      <c r="J769" s="247"/>
      <c r="K769" s="247"/>
      <c r="L769" s="247"/>
      <c r="M769" s="247"/>
      <c r="N769" s="247"/>
      <c r="O769" s="247"/>
      <c r="P769" s="247"/>
      <c r="Q769" s="247"/>
      <c r="R769" s="247"/>
      <c r="S769" s="247"/>
      <c r="T769" s="247"/>
      <c r="U769" s="247"/>
    </row>
    <row r="770">
      <c r="A770" s="247"/>
      <c r="B770" s="247"/>
      <c r="C770" s="247"/>
      <c r="D770" s="247"/>
      <c r="E770" s="247"/>
      <c r="F770" s="247"/>
      <c r="G770" s="247"/>
      <c r="H770" s="247"/>
      <c r="I770" s="247"/>
      <c r="J770" s="247"/>
      <c r="K770" s="247"/>
      <c r="L770" s="247"/>
      <c r="M770" s="247"/>
      <c r="N770" s="247"/>
      <c r="O770" s="247"/>
      <c r="P770" s="247"/>
      <c r="Q770" s="247"/>
      <c r="R770" s="247"/>
      <c r="S770" s="247"/>
      <c r="T770" s="247"/>
      <c r="U770" s="247"/>
    </row>
    <row r="771">
      <c r="A771" s="247"/>
      <c r="B771" s="247"/>
      <c r="C771" s="247"/>
      <c r="D771" s="247"/>
      <c r="E771" s="247"/>
      <c r="F771" s="247"/>
      <c r="G771" s="247"/>
      <c r="H771" s="247"/>
      <c r="I771" s="247"/>
      <c r="J771" s="247"/>
      <c r="K771" s="247"/>
      <c r="L771" s="247"/>
      <c r="M771" s="247"/>
      <c r="N771" s="247"/>
      <c r="O771" s="247"/>
      <c r="P771" s="247"/>
      <c r="Q771" s="247"/>
      <c r="R771" s="247"/>
      <c r="S771" s="247"/>
      <c r="T771" s="247"/>
      <c r="U771" s="247"/>
    </row>
    <row r="772">
      <c r="A772" s="247"/>
      <c r="B772" s="247"/>
      <c r="C772" s="247"/>
      <c r="D772" s="247"/>
      <c r="E772" s="247"/>
      <c r="F772" s="247"/>
      <c r="G772" s="247"/>
      <c r="H772" s="247"/>
      <c r="I772" s="247"/>
      <c r="J772" s="247"/>
      <c r="K772" s="247"/>
      <c r="L772" s="247"/>
      <c r="M772" s="247"/>
      <c r="N772" s="247"/>
      <c r="O772" s="247"/>
      <c r="P772" s="247"/>
      <c r="Q772" s="247"/>
      <c r="R772" s="247"/>
      <c r="S772" s="247"/>
      <c r="T772" s="247"/>
      <c r="U772" s="247"/>
    </row>
    <row r="773">
      <c r="A773" s="247"/>
      <c r="B773" s="247"/>
      <c r="C773" s="247"/>
      <c r="D773" s="247"/>
      <c r="E773" s="247"/>
      <c r="F773" s="247"/>
      <c r="G773" s="247"/>
      <c r="H773" s="247"/>
      <c r="I773" s="247"/>
      <c r="J773" s="247"/>
      <c r="K773" s="247"/>
      <c r="L773" s="247"/>
      <c r="M773" s="247"/>
      <c r="N773" s="247"/>
      <c r="O773" s="247"/>
      <c r="P773" s="247"/>
      <c r="Q773" s="247"/>
      <c r="R773" s="247"/>
      <c r="S773" s="247"/>
      <c r="T773" s="247"/>
      <c r="U773" s="247"/>
    </row>
    <row r="774">
      <c r="A774" s="247"/>
      <c r="B774" s="247"/>
      <c r="C774" s="247"/>
      <c r="D774" s="247"/>
      <c r="E774" s="247"/>
      <c r="F774" s="247"/>
      <c r="G774" s="247"/>
      <c r="H774" s="247"/>
      <c r="I774" s="247"/>
      <c r="J774" s="247"/>
      <c r="K774" s="247"/>
      <c r="L774" s="247"/>
      <c r="M774" s="247"/>
      <c r="N774" s="247"/>
      <c r="O774" s="247"/>
      <c r="P774" s="247"/>
      <c r="Q774" s="247"/>
      <c r="R774" s="247"/>
      <c r="S774" s="247"/>
      <c r="T774" s="247"/>
      <c r="U774" s="247"/>
    </row>
    <row r="775">
      <c r="A775" s="247"/>
      <c r="B775" s="247"/>
      <c r="C775" s="247"/>
      <c r="D775" s="247"/>
      <c r="E775" s="247"/>
      <c r="F775" s="247"/>
      <c r="G775" s="247"/>
      <c r="H775" s="247"/>
      <c r="I775" s="247"/>
      <c r="J775" s="247"/>
      <c r="K775" s="247"/>
      <c r="L775" s="247"/>
      <c r="M775" s="247"/>
      <c r="N775" s="247"/>
      <c r="O775" s="247"/>
      <c r="P775" s="247"/>
      <c r="Q775" s="247"/>
      <c r="R775" s="247"/>
      <c r="S775" s="247"/>
      <c r="T775" s="247"/>
      <c r="U775" s="247"/>
    </row>
    <row r="776">
      <c r="A776" s="247"/>
      <c r="B776" s="247"/>
      <c r="C776" s="247"/>
      <c r="D776" s="247"/>
      <c r="E776" s="247"/>
      <c r="F776" s="247"/>
      <c r="G776" s="247"/>
      <c r="H776" s="247"/>
      <c r="I776" s="247"/>
      <c r="J776" s="247"/>
      <c r="K776" s="247"/>
      <c r="L776" s="247"/>
      <c r="M776" s="247"/>
      <c r="N776" s="247"/>
      <c r="O776" s="247"/>
      <c r="P776" s="247"/>
      <c r="Q776" s="247"/>
      <c r="R776" s="247"/>
      <c r="S776" s="247"/>
      <c r="T776" s="247"/>
      <c r="U776" s="247"/>
    </row>
    <row r="777">
      <c r="A777" s="247"/>
      <c r="B777" s="247"/>
      <c r="C777" s="247"/>
      <c r="D777" s="247"/>
      <c r="E777" s="247"/>
      <c r="F777" s="247"/>
      <c r="G777" s="247"/>
      <c r="H777" s="247"/>
      <c r="I777" s="247"/>
      <c r="J777" s="247"/>
      <c r="K777" s="247"/>
      <c r="L777" s="247"/>
      <c r="M777" s="247"/>
      <c r="N777" s="247"/>
      <c r="O777" s="247"/>
      <c r="P777" s="247"/>
      <c r="Q777" s="247"/>
      <c r="R777" s="247"/>
      <c r="S777" s="247"/>
      <c r="T777" s="247"/>
      <c r="U777" s="247"/>
    </row>
    <row r="778">
      <c r="A778" s="247"/>
      <c r="B778" s="247"/>
      <c r="C778" s="247"/>
      <c r="D778" s="247"/>
      <c r="E778" s="247"/>
      <c r="F778" s="247"/>
      <c r="G778" s="247"/>
      <c r="H778" s="247"/>
      <c r="I778" s="247"/>
      <c r="J778" s="247"/>
      <c r="K778" s="247"/>
      <c r="L778" s="247"/>
      <c r="M778" s="247"/>
      <c r="N778" s="247"/>
      <c r="O778" s="247"/>
      <c r="P778" s="247"/>
      <c r="Q778" s="247"/>
      <c r="R778" s="247"/>
      <c r="S778" s="247"/>
      <c r="T778" s="247"/>
      <c r="U778" s="247"/>
    </row>
    <row r="779">
      <c r="A779" s="247"/>
      <c r="B779" s="247"/>
      <c r="C779" s="247"/>
      <c r="D779" s="247"/>
      <c r="E779" s="247"/>
      <c r="F779" s="247"/>
      <c r="G779" s="247"/>
      <c r="H779" s="247"/>
      <c r="I779" s="247"/>
      <c r="J779" s="247"/>
      <c r="K779" s="247"/>
      <c r="L779" s="247"/>
      <c r="M779" s="247"/>
      <c r="N779" s="247"/>
      <c r="O779" s="247"/>
      <c r="P779" s="247"/>
      <c r="Q779" s="247"/>
      <c r="R779" s="247"/>
      <c r="S779" s="247"/>
      <c r="T779" s="247"/>
      <c r="U779" s="247"/>
    </row>
    <row r="780">
      <c r="A780" s="247"/>
      <c r="B780" s="247"/>
      <c r="C780" s="247"/>
      <c r="D780" s="247"/>
      <c r="E780" s="247"/>
      <c r="F780" s="247"/>
      <c r="G780" s="247"/>
      <c r="H780" s="247"/>
      <c r="I780" s="247"/>
      <c r="J780" s="247"/>
      <c r="K780" s="247"/>
      <c r="L780" s="247"/>
      <c r="M780" s="247"/>
      <c r="N780" s="247"/>
      <c r="O780" s="247"/>
      <c r="P780" s="247"/>
      <c r="Q780" s="247"/>
      <c r="R780" s="247"/>
      <c r="S780" s="247"/>
      <c r="T780" s="247"/>
      <c r="U780" s="247"/>
    </row>
    <row r="781">
      <c r="A781" s="247"/>
      <c r="B781" s="247"/>
      <c r="C781" s="247"/>
      <c r="D781" s="247"/>
      <c r="E781" s="247"/>
      <c r="F781" s="247"/>
      <c r="G781" s="247"/>
      <c r="H781" s="247"/>
      <c r="I781" s="247"/>
      <c r="J781" s="247"/>
      <c r="K781" s="247"/>
      <c r="L781" s="247"/>
      <c r="M781" s="247"/>
      <c r="N781" s="247"/>
      <c r="O781" s="247"/>
      <c r="P781" s="247"/>
      <c r="Q781" s="247"/>
      <c r="R781" s="247"/>
      <c r="S781" s="247"/>
      <c r="T781" s="247"/>
      <c r="U781" s="247"/>
    </row>
    <row r="782">
      <c r="A782" s="247"/>
      <c r="B782" s="247"/>
      <c r="C782" s="247"/>
      <c r="D782" s="247"/>
      <c r="E782" s="247"/>
      <c r="F782" s="247"/>
      <c r="G782" s="247"/>
      <c r="H782" s="247"/>
      <c r="I782" s="247"/>
      <c r="J782" s="247"/>
      <c r="K782" s="247"/>
      <c r="L782" s="247"/>
      <c r="M782" s="247"/>
      <c r="N782" s="247"/>
      <c r="O782" s="247"/>
      <c r="P782" s="247"/>
      <c r="Q782" s="247"/>
      <c r="R782" s="247"/>
      <c r="S782" s="247"/>
      <c r="T782" s="247"/>
      <c r="U782" s="247"/>
    </row>
    <row r="783">
      <c r="A783" s="247"/>
      <c r="B783" s="247"/>
      <c r="C783" s="247"/>
      <c r="D783" s="247"/>
      <c r="E783" s="247"/>
      <c r="F783" s="247"/>
      <c r="G783" s="247"/>
      <c r="H783" s="247"/>
      <c r="I783" s="247"/>
      <c r="J783" s="247"/>
      <c r="K783" s="247"/>
      <c r="L783" s="247"/>
      <c r="M783" s="247"/>
      <c r="N783" s="247"/>
      <c r="O783" s="247"/>
      <c r="P783" s="247"/>
      <c r="Q783" s="247"/>
      <c r="R783" s="247"/>
      <c r="S783" s="247"/>
      <c r="T783" s="247"/>
      <c r="U783" s="247"/>
    </row>
    <row r="784">
      <c r="A784" s="247"/>
      <c r="B784" s="247"/>
      <c r="C784" s="247"/>
      <c r="D784" s="247"/>
      <c r="E784" s="247"/>
      <c r="F784" s="247"/>
      <c r="G784" s="247"/>
      <c r="H784" s="247"/>
      <c r="I784" s="247"/>
      <c r="J784" s="247"/>
      <c r="K784" s="247"/>
      <c r="L784" s="247"/>
      <c r="M784" s="247"/>
      <c r="N784" s="247"/>
      <c r="O784" s="247"/>
      <c r="P784" s="247"/>
      <c r="Q784" s="247"/>
      <c r="R784" s="247"/>
      <c r="S784" s="247"/>
      <c r="T784" s="247"/>
      <c r="U784" s="247"/>
    </row>
    <row r="785">
      <c r="A785" s="247"/>
      <c r="B785" s="247"/>
      <c r="C785" s="247"/>
      <c r="D785" s="247"/>
      <c r="E785" s="247"/>
      <c r="F785" s="247"/>
      <c r="G785" s="247"/>
      <c r="H785" s="247"/>
      <c r="I785" s="247"/>
      <c r="J785" s="247"/>
      <c r="K785" s="247"/>
      <c r="L785" s="247"/>
      <c r="M785" s="247"/>
      <c r="N785" s="247"/>
      <c r="O785" s="247"/>
      <c r="P785" s="247"/>
      <c r="Q785" s="247"/>
      <c r="R785" s="247"/>
      <c r="S785" s="247"/>
      <c r="T785" s="247"/>
      <c r="U785" s="247"/>
    </row>
    <row r="786">
      <c r="A786" s="247"/>
      <c r="B786" s="247"/>
      <c r="C786" s="247"/>
      <c r="D786" s="247"/>
      <c r="E786" s="247"/>
      <c r="F786" s="247"/>
      <c r="G786" s="247"/>
      <c r="H786" s="247"/>
      <c r="I786" s="247"/>
      <c r="J786" s="247"/>
      <c r="K786" s="247"/>
      <c r="L786" s="247"/>
      <c r="M786" s="247"/>
      <c r="N786" s="247"/>
      <c r="O786" s="247"/>
      <c r="P786" s="247"/>
      <c r="Q786" s="247"/>
      <c r="R786" s="247"/>
      <c r="S786" s="247"/>
      <c r="T786" s="247"/>
      <c r="U786" s="247"/>
    </row>
    <row r="787">
      <c r="A787" s="247"/>
      <c r="B787" s="247"/>
      <c r="C787" s="247"/>
      <c r="D787" s="247"/>
      <c r="E787" s="247"/>
      <c r="F787" s="247"/>
      <c r="G787" s="247"/>
      <c r="H787" s="247"/>
      <c r="I787" s="247"/>
      <c r="J787" s="247"/>
      <c r="K787" s="247"/>
      <c r="L787" s="247"/>
      <c r="M787" s="247"/>
      <c r="N787" s="247"/>
      <c r="O787" s="247"/>
      <c r="P787" s="247"/>
      <c r="Q787" s="247"/>
      <c r="R787" s="247"/>
      <c r="S787" s="247"/>
      <c r="T787" s="247"/>
      <c r="U787" s="247"/>
    </row>
    <row r="788">
      <c r="A788" s="247"/>
      <c r="B788" s="247"/>
      <c r="C788" s="247"/>
      <c r="D788" s="247"/>
      <c r="E788" s="247"/>
      <c r="F788" s="247"/>
      <c r="G788" s="247"/>
      <c r="H788" s="247"/>
      <c r="I788" s="247"/>
      <c r="J788" s="247"/>
      <c r="K788" s="247"/>
      <c r="L788" s="247"/>
      <c r="M788" s="247"/>
      <c r="N788" s="247"/>
      <c r="O788" s="247"/>
      <c r="P788" s="247"/>
      <c r="Q788" s="247"/>
      <c r="R788" s="247"/>
      <c r="S788" s="247"/>
      <c r="T788" s="247"/>
      <c r="U788" s="247"/>
    </row>
    <row r="789">
      <c r="A789" s="247"/>
      <c r="B789" s="247"/>
      <c r="C789" s="247"/>
      <c r="D789" s="247"/>
      <c r="E789" s="247"/>
      <c r="F789" s="247"/>
      <c r="G789" s="247"/>
      <c r="H789" s="247"/>
      <c r="I789" s="247"/>
      <c r="J789" s="247"/>
      <c r="K789" s="247"/>
      <c r="L789" s="247"/>
      <c r="M789" s="247"/>
      <c r="N789" s="247"/>
      <c r="O789" s="247"/>
      <c r="P789" s="247"/>
      <c r="Q789" s="247"/>
      <c r="R789" s="247"/>
      <c r="S789" s="247"/>
      <c r="T789" s="247"/>
      <c r="U789" s="247"/>
    </row>
    <row r="790">
      <c r="A790" s="247"/>
      <c r="B790" s="247"/>
      <c r="C790" s="247"/>
      <c r="D790" s="247"/>
      <c r="E790" s="247"/>
      <c r="F790" s="247"/>
      <c r="G790" s="247"/>
      <c r="H790" s="247"/>
      <c r="I790" s="247"/>
      <c r="J790" s="247"/>
      <c r="K790" s="247"/>
      <c r="L790" s="247"/>
      <c r="M790" s="247"/>
      <c r="N790" s="247"/>
      <c r="O790" s="247"/>
      <c r="P790" s="247"/>
      <c r="Q790" s="247"/>
      <c r="R790" s="247"/>
      <c r="S790" s="247"/>
      <c r="T790" s="247"/>
      <c r="U790" s="247"/>
    </row>
    <row r="791">
      <c r="A791" s="247"/>
      <c r="B791" s="247"/>
      <c r="C791" s="247"/>
      <c r="D791" s="247"/>
      <c r="E791" s="247"/>
      <c r="F791" s="247"/>
      <c r="G791" s="247"/>
      <c r="H791" s="247"/>
      <c r="I791" s="247"/>
      <c r="J791" s="247"/>
      <c r="K791" s="247"/>
      <c r="L791" s="247"/>
      <c r="M791" s="247"/>
      <c r="N791" s="247"/>
      <c r="O791" s="247"/>
      <c r="P791" s="247"/>
      <c r="Q791" s="247"/>
      <c r="R791" s="247"/>
      <c r="S791" s="247"/>
      <c r="T791" s="247"/>
      <c r="U791" s="247"/>
    </row>
    <row r="792">
      <c r="A792" s="247"/>
      <c r="B792" s="247"/>
      <c r="C792" s="247"/>
      <c r="D792" s="247"/>
      <c r="E792" s="247"/>
      <c r="F792" s="247"/>
      <c r="G792" s="247"/>
      <c r="H792" s="247"/>
      <c r="I792" s="247"/>
      <c r="J792" s="247"/>
      <c r="K792" s="247"/>
      <c r="L792" s="247"/>
      <c r="M792" s="247"/>
      <c r="N792" s="247"/>
      <c r="O792" s="247"/>
      <c r="P792" s="247"/>
      <c r="Q792" s="247"/>
      <c r="R792" s="247"/>
      <c r="S792" s="247"/>
      <c r="T792" s="247"/>
      <c r="U792" s="247"/>
    </row>
    <row r="793">
      <c r="A793" s="247"/>
      <c r="B793" s="247"/>
      <c r="C793" s="247"/>
      <c r="D793" s="247"/>
      <c r="E793" s="247"/>
      <c r="F793" s="247"/>
      <c r="G793" s="247"/>
      <c r="H793" s="247"/>
      <c r="I793" s="247"/>
      <c r="J793" s="247"/>
      <c r="K793" s="247"/>
      <c r="L793" s="247"/>
      <c r="M793" s="247"/>
      <c r="N793" s="247"/>
      <c r="O793" s="247"/>
      <c r="P793" s="247"/>
      <c r="Q793" s="247"/>
      <c r="R793" s="247"/>
      <c r="S793" s="247"/>
      <c r="T793" s="247"/>
      <c r="U793" s="247"/>
    </row>
    <row r="794">
      <c r="A794" s="247"/>
      <c r="B794" s="247"/>
      <c r="C794" s="247"/>
      <c r="D794" s="247"/>
      <c r="E794" s="247"/>
      <c r="F794" s="247"/>
      <c r="G794" s="247"/>
      <c r="H794" s="247"/>
      <c r="I794" s="247"/>
      <c r="J794" s="247"/>
      <c r="K794" s="247"/>
      <c r="L794" s="247"/>
      <c r="M794" s="247"/>
      <c r="N794" s="247"/>
      <c r="O794" s="247"/>
      <c r="P794" s="247"/>
      <c r="Q794" s="247"/>
      <c r="R794" s="247"/>
      <c r="S794" s="247"/>
      <c r="T794" s="247"/>
      <c r="U794" s="247"/>
    </row>
    <row r="795">
      <c r="A795" s="247"/>
      <c r="B795" s="247"/>
      <c r="C795" s="247"/>
      <c r="D795" s="247"/>
      <c r="E795" s="247"/>
      <c r="F795" s="247"/>
      <c r="G795" s="247"/>
      <c r="H795" s="247"/>
      <c r="I795" s="247"/>
      <c r="J795" s="247"/>
      <c r="K795" s="247"/>
      <c r="L795" s="247"/>
      <c r="M795" s="247"/>
      <c r="N795" s="247"/>
      <c r="O795" s="247"/>
      <c r="P795" s="247"/>
      <c r="Q795" s="247"/>
      <c r="R795" s="247"/>
      <c r="S795" s="247"/>
      <c r="T795" s="247"/>
      <c r="U795" s="247"/>
    </row>
    <row r="796">
      <c r="A796" s="247"/>
      <c r="B796" s="247"/>
      <c r="C796" s="247"/>
      <c r="D796" s="247"/>
      <c r="E796" s="247"/>
      <c r="F796" s="247"/>
      <c r="G796" s="247"/>
      <c r="H796" s="247"/>
      <c r="I796" s="247"/>
      <c r="J796" s="247"/>
      <c r="K796" s="247"/>
      <c r="L796" s="247"/>
      <c r="M796" s="247"/>
      <c r="N796" s="247"/>
      <c r="O796" s="247"/>
      <c r="P796" s="247"/>
      <c r="Q796" s="247"/>
      <c r="R796" s="247"/>
      <c r="S796" s="247"/>
      <c r="T796" s="247"/>
      <c r="U796" s="247"/>
    </row>
    <row r="797">
      <c r="A797" s="247"/>
      <c r="B797" s="247"/>
      <c r="C797" s="247"/>
      <c r="D797" s="247"/>
      <c r="E797" s="247"/>
      <c r="F797" s="247"/>
      <c r="G797" s="247"/>
      <c r="H797" s="247"/>
      <c r="I797" s="247"/>
      <c r="J797" s="247"/>
      <c r="K797" s="247"/>
      <c r="L797" s="247"/>
      <c r="M797" s="247"/>
      <c r="N797" s="247"/>
      <c r="O797" s="247"/>
      <c r="P797" s="247"/>
      <c r="Q797" s="247"/>
      <c r="R797" s="247"/>
      <c r="S797" s="247"/>
      <c r="T797" s="247"/>
      <c r="U797" s="247"/>
    </row>
    <row r="798">
      <c r="A798" s="247"/>
      <c r="B798" s="247"/>
      <c r="C798" s="247"/>
      <c r="D798" s="247"/>
      <c r="E798" s="247"/>
      <c r="F798" s="247"/>
      <c r="G798" s="247"/>
      <c r="H798" s="247"/>
      <c r="I798" s="247"/>
      <c r="J798" s="247"/>
      <c r="K798" s="247"/>
      <c r="L798" s="247"/>
      <c r="M798" s="247"/>
      <c r="N798" s="247"/>
      <c r="O798" s="247"/>
      <c r="P798" s="247"/>
      <c r="Q798" s="247"/>
      <c r="R798" s="247"/>
      <c r="S798" s="247"/>
      <c r="T798" s="247"/>
      <c r="U798" s="247"/>
    </row>
    <row r="799">
      <c r="A799" s="247"/>
      <c r="B799" s="247"/>
      <c r="C799" s="247"/>
      <c r="D799" s="247"/>
      <c r="E799" s="247"/>
      <c r="F799" s="247"/>
      <c r="G799" s="247"/>
      <c r="H799" s="247"/>
      <c r="I799" s="247"/>
      <c r="J799" s="247"/>
      <c r="K799" s="247"/>
      <c r="L799" s="247"/>
      <c r="M799" s="247"/>
      <c r="N799" s="247"/>
      <c r="O799" s="247"/>
      <c r="P799" s="247"/>
      <c r="Q799" s="247"/>
      <c r="R799" s="247"/>
      <c r="S799" s="247"/>
      <c r="T799" s="247"/>
      <c r="U799" s="247"/>
    </row>
    <row r="800">
      <c r="A800" s="247"/>
      <c r="B800" s="247"/>
      <c r="C800" s="247"/>
      <c r="D800" s="247"/>
      <c r="E800" s="247"/>
      <c r="F800" s="247"/>
      <c r="G800" s="247"/>
      <c r="H800" s="247"/>
      <c r="I800" s="247"/>
      <c r="J800" s="247"/>
      <c r="K800" s="247"/>
      <c r="L800" s="247"/>
      <c r="M800" s="247"/>
      <c r="N800" s="247"/>
      <c r="O800" s="247"/>
      <c r="P800" s="247"/>
      <c r="Q800" s="247"/>
      <c r="R800" s="247"/>
      <c r="S800" s="247"/>
      <c r="T800" s="247"/>
      <c r="U800" s="247"/>
    </row>
    <row r="801">
      <c r="A801" s="247"/>
      <c r="B801" s="247"/>
      <c r="C801" s="247"/>
      <c r="D801" s="247"/>
      <c r="E801" s="247"/>
      <c r="F801" s="247"/>
      <c r="G801" s="247"/>
      <c r="H801" s="247"/>
      <c r="I801" s="247"/>
      <c r="J801" s="247"/>
      <c r="K801" s="247"/>
      <c r="L801" s="247"/>
      <c r="M801" s="247"/>
      <c r="N801" s="247"/>
      <c r="O801" s="247"/>
      <c r="P801" s="247"/>
      <c r="Q801" s="247"/>
      <c r="R801" s="247"/>
      <c r="S801" s="247"/>
      <c r="T801" s="247"/>
      <c r="U801" s="247"/>
    </row>
    <row r="802">
      <c r="A802" s="247"/>
      <c r="B802" s="247"/>
      <c r="C802" s="247"/>
      <c r="D802" s="247"/>
      <c r="E802" s="247"/>
      <c r="F802" s="247"/>
      <c r="G802" s="247"/>
      <c r="H802" s="247"/>
      <c r="I802" s="247"/>
      <c r="J802" s="247"/>
      <c r="K802" s="247"/>
      <c r="L802" s="247"/>
      <c r="M802" s="247"/>
      <c r="N802" s="247"/>
      <c r="O802" s="247"/>
      <c r="P802" s="247"/>
      <c r="Q802" s="247"/>
      <c r="R802" s="247"/>
      <c r="S802" s="247"/>
      <c r="T802" s="247"/>
      <c r="U802" s="247"/>
    </row>
    <row r="803">
      <c r="A803" s="247"/>
      <c r="B803" s="247"/>
      <c r="C803" s="247"/>
      <c r="D803" s="247"/>
      <c r="E803" s="247"/>
      <c r="F803" s="247"/>
      <c r="G803" s="247"/>
      <c r="H803" s="247"/>
      <c r="I803" s="247"/>
      <c r="J803" s="247"/>
      <c r="K803" s="247"/>
      <c r="L803" s="247"/>
      <c r="M803" s="247"/>
      <c r="N803" s="247"/>
      <c r="O803" s="247"/>
      <c r="P803" s="247"/>
      <c r="Q803" s="247"/>
      <c r="R803" s="247"/>
      <c r="S803" s="247"/>
      <c r="T803" s="247"/>
      <c r="U803" s="247"/>
    </row>
    <row r="804">
      <c r="A804" s="247"/>
      <c r="B804" s="247"/>
      <c r="C804" s="247"/>
      <c r="D804" s="247"/>
      <c r="E804" s="247"/>
      <c r="F804" s="247"/>
      <c r="G804" s="247"/>
      <c r="H804" s="247"/>
      <c r="I804" s="247"/>
      <c r="J804" s="247"/>
      <c r="K804" s="247"/>
      <c r="L804" s="247"/>
      <c r="M804" s="247"/>
      <c r="N804" s="247"/>
      <c r="O804" s="247"/>
      <c r="P804" s="247"/>
      <c r="Q804" s="247"/>
      <c r="R804" s="247"/>
      <c r="S804" s="247"/>
      <c r="T804" s="247"/>
      <c r="U804" s="247"/>
    </row>
    <row r="805">
      <c r="A805" s="247"/>
      <c r="B805" s="247"/>
      <c r="C805" s="247"/>
      <c r="D805" s="247"/>
      <c r="E805" s="247"/>
      <c r="F805" s="247"/>
      <c r="G805" s="247"/>
      <c r="H805" s="247"/>
      <c r="I805" s="247"/>
      <c r="J805" s="247"/>
      <c r="K805" s="247"/>
      <c r="L805" s="247"/>
      <c r="M805" s="247"/>
      <c r="N805" s="247"/>
      <c r="O805" s="247"/>
      <c r="P805" s="247"/>
      <c r="Q805" s="247"/>
      <c r="R805" s="247"/>
      <c r="S805" s="247"/>
      <c r="T805" s="247"/>
      <c r="U805" s="247"/>
    </row>
    <row r="806">
      <c r="A806" s="247"/>
      <c r="B806" s="247"/>
      <c r="C806" s="247"/>
      <c r="D806" s="247"/>
      <c r="E806" s="247"/>
      <c r="F806" s="247"/>
      <c r="G806" s="247"/>
      <c r="H806" s="247"/>
      <c r="I806" s="247"/>
      <c r="J806" s="247"/>
      <c r="K806" s="247"/>
      <c r="L806" s="247"/>
      <c r="M806" s="247"/>
      <c r="N806" s="247"/>
      <c r="O806" s="247"/>
      <c r="P806" s="247"/>
      <c r="Q806" s="247"/>
      <c r="R806" s="247"/>
      <c r="S806" s="247"/>
      <c r="T806" s="247"/>
      <c r="U806" s="247"/>
    </row>
    <row r="807">
      <c r="A807" s="247"/>
      <c r="B807" s="247"/>
      <c r="C807" s="247"/>
      <c r="D807" s="247"/>
      <c r="E807" s="247"/>
      <c r="F807" s="247"/>
      <c r="G807" s="247"/>
      <c r="H807" s="247"/>
      <c r="I807" s="247"/>
      <c r="J807" s="247"/>
      <c r="K807" s="247"/>
      <c r="L807" s="247"/>
      <c r="M807" s="247"/>
      <c r="N807" s="247"/>
      <c r="O807" s="247"/>
      <c r="P807" s="247"/>
      <c r="Q807" s="247"/>
      <c r="R807" s="247"/>
      <c r="S807" s="247"/>
      <c r="T807" s="247"/>
      <c r="U807" s="247"/>
    </row>
    <row r="808">
      <c r="A808" s="247"/>
      <c r="B808" s="247"/>
      <c r="C808" s="247"/>
      <c r="D808" s="247"/>
      <c r="E808" s="247"/>
      <c r="F808" s="247"/>
      <c r="G808" s="247"/>
      <c r="H808" s="247"/>
      <c r="I808" s="247"/>
      <c r="J808" s="247"/>
      <c r="K808" s="247"/>
      <c r="L808" s="247"/>
      <c r="M808" s="247"/>
      <c r="N808" s="247"/>
      <c r="O808" s="247"/>
      <c r="P808" s="247"/>
      <c r="Q808" s="247"/>
      <c r="R808" s="247"/>
      <c r="S808" s="247"/>
      <c r="T808" s="247"/>
      <c r="U808" s="247"/>
    </row>
    <row r="809">
      <c r="A809" s="247"/>
      <c r="B809" s="247"/>
      <c r="C809" s="247"/>
      <c r="D809" s="247"/>
      <c r="E809" s="247"/>
      <c r="F809" s="247"/>
      <c r="G809" s="247"/>
      <c r="H809" s="247"/>
      <c r="I809" s="247"/>
      <c r="J809" s="247"/>
      <c r="K809" s="247"/>
      <c r="L809" s="247"/>
      <c r="M809" s="247"/>
      <c r="N809" s="247"/>
      <c r="O809" s="247"/>
      <c r="P809" s="247"/>
      <c r="Q809" s="247"/>
      <c r="R809" s="247"/>
      <c r="S809" s="247"/>
      <c r="T809" s="247"/>
      <c r="U809" s="247"/>
    </row>
    <row r="810">
      <c r="A810" s="247"/>
      <c r="B810" s="247"/>
      <c r="C810" s="247"/>
      <c r="D810" s="247"/>
      <c r="E810" s="247"/>
      <c r="F810" s="247"/>
      <c r="G810" s="247"/>
      <c r="H810" s="247"/>
      <c r="I810" s="247"/>
      <c r="J810" s="247"/>
      <c r="K810" s="247"/>
      <c r="L810" s="247"/>
      <c r="M810" s="247"/>
      <c r="N810" s="247"/>
      <c r="O810" s="247"/>
      <c r="P810" s="247"/>
      <c r="Q810" s="247"/>
      <c r="R810" s="247"/>
      <c r="S810" s="247"/>
      <c r="T810" s="247"/>
      <c r="U810" s="247"/>
    </row>
    <row r="811">
      <c r="A811" s="247"/>
      <c r="B811" s="247"/>
      <c r="C811" s="247"/>
      <c r="D811" s="247"/>
      <c r="E811" s="247"/>
      <c r="F811" s="247"/>
      <c r="G811" s="247"/>
      <c r="H811" s="247"/>
      <c r="I811" s="247"/>
      <c r="J811" s="247"/>
      <c r="K811" s="247"/>
      <c r="L811" s="247"/>
      <c r="M811" s="247"/>
      <c r="N811" s="247"/>
      <c r="O811" s="247"/>
      <c r="P811" s="247"/>
      <c r="Q811" s="247"/>
      <c r="R811" s="247"/>
      <c r="S811" s="247"/>
      <c r="T811" s="247"/>
      <c r="U811" s="247"/>
    </row>
    <row r="812">
      <c r="A812" s="247"/>
      <c r="B812" s="247"/>
      <c r="C812" s="247"/>
      <c r="D812" s="247"/>
      <c r="E812" s="247"/>
      <c r="F812" s="247"/>
      <c r="G812" s="247"/>
      <c r="H812" s="247"/>
      <c r="I812" s="247"/>
      <c r="J812" s="247"/>
      <c r="K812" s="247"/>
      <c r="L812" s="247"/>
      <c r="M812" s="247"/>
      <c r="N812" s="247"/>
      <c r="O812" s="247"/>
      <c r="P812" s="247"/>
      <c r="Q812" s="247"/>
      <c r="R812" s="247"/>
      <c r="S812" s="247"/>
      <c r="T812" s="247"/>
      <c r="U812" s="247"/>
    </row>
    <row r="813">
      <c r="A813" s="247"/>
      <c r="B813" s="247"/>
      <c r="C813" s="247"/>
      <c r="D813" s="247"/>
      <c r="E813" s="247"/>
      <c r="F813" s="247"/>
      <c r="G813" s="247"/>
      <c r="H813" s="247"/>
      <c r="I813" s="247"/>
      <c r="J813" s="247"/>
      <c r="K813" s="247"/>
      <c r="L813" s="247"/>
      <c r="M813" s="247"/>
      <c r="N813" s="247"/>
      <c r="O813" s="247"/>
      <c r="P813" s="247"/>
      <c r="Q813" s="247"/>
      <c r="R813" s="247"/>
      <c r="S813" s="247"/>
      <c r="T813" s="247"/>
      <c r="U813" s="247"/>
    </row>
    <row r="814">
      <c r="A814" s="247"/>
      <c r="B814" s="247"/>
      <c r="C814" s="247"/>
      <c r="D814" s="247"/>
      <c r="E814" s="247"/>
      <c r="F814" s="247"/>
      <c r="G814" s="247"/>
      <c r="H814" s="247"/>
      <c r="I814" s="247"/>
      <c r="J814" s="247"/>
      <c r="K814" s="247"/>
      <c r="L814" s="247"/>
      <c r="M814" s="247"/>
      <c r="N814" s="247"/>
      <c r="O814" s="247"/>
      <c r="P814" s="247"/>
      <c r="Q814" s="247"/>
      <c r="R814" s="247"/>
      <c r="S814" s="247"/>
      <c r="T814" s="247"/>
      <c r="U814" s="247"/>
    </row>
    <row r="815">
      <c r="A815" s="247"/>
      <c r="B815" s="247"/>
      <c r="C815" s="247"/>
      <c r="D815" s="247"/>
      <c r="E815" s="247"/>
      <c r="F815" s="247"/>
      <c r="G815" s="247"/>
      <c r="H815" s="247"/>
      <c r="I815" s="247"/>
      <c r="J815" s="247"/>
      <c r="K815" s="247"/>
      <c r="L815" s="247"/>
      <c r="M815" s="247"/>
      <c r="N815" s="247"/>
      <c r="O815" s="247"/>
      <c r="P815" s="247"/>
      <c r="Q815" s="247"/>
      <c r="R815" s="247"/>
      <c r="S815" s="247"/>
      <c r="T815" s="247"/>
      <c r="U815" s="247"/>
    </row>
    <row r="816">
      <c r="A816" s="247"/>
      <c r="B816" s="247"/>
      <c r="C816" s="247"/>
      <c r="D816" s="247"/>
      <c r="E816" s="247"/>
      <c r="F816" s="247"/>
      <c r="G816" s="247"/>
      <c r="H816" s="247"/>
      <c r="I816" s="247"/>
      <c r="J816" s="247"/>
      <c r="K816" s="247"/>
      <c r="L816" s="247"/>
      <c r="M816" s="247"/>
      <c r="N816" s="247"/>
      <c r="O816" s="247"/>
      <c r="P816" s="247"/>
      <c r="Q816" s="247"/>
      <c r="R816" s="247"/>
      <c r="S816" s="247"/>
      <c r="T816" s="247"/>
      <c r="U816" s="247"/>
    </row>
    <row r="817">
      <c r="A817" s="247"/>
      <c r="B817" s="247"/>
      <c r="C817" s="247"/>
      <c r="D817" s="247"/>
      <c r="E817" s="247"/>
      <c r="F817" s="247"/>
      <c r="G817" s="247"/>
      <c r="H817" s="247"/>
      <c r="I817" s="247"/>
      <c r="J817" s="247"/>
      <c r="K817" s="247"/>
      <c r="L817" s="247"/>
      <c r="M817" s="247"/>
      <c r="N817" s="247"/>
      <c r="O817" s="247"/>
      <c r="P817" s="247"/>
      <c r="Q817" s="247"/>
      <c r="R817" s="247"/>
      <c r="S817" s="247"/>
      <c r="T817" s="247"/>
      <c r="U817" s="247"/>
    </row>
    <row r="818">
      <c r="A818" s="247"/>
      <c r="B818" s="247"/>
      <c r="C818" s="247"/>
      <c r="D818" s="247"/>
      <c r="E818" s="247"/>
      <c r="F818" s="247"/>
      <c r="G818" s="247"/>
      <c r="H818" s="247"/>
      <c r="I818" s="247"/>
      <c r="J818" s="247"/>
      <c r="K818" s="247"/>
      <c r="L818" s="247"/>
      <c r="M818" s="247"/>
      <c r="N818" s="247"/>
      <c r="O818" s="247"/>
      <c r="P818" s="247"/>
      <c r="Q818" s="247"/>
      <c r="R818" s="247"/>
      <c r="S818" s="247"/>
      <c r="T818" s="247"/>
      <c r="U818" s="247"/>
    </row>
    <row r="819">
      <c r="A819" s="247"/>
      <c r="B819" s="247"/>
      <c r="C819" s="247"/>
      <c r="D819" s="247"/>
      <c r="E819" s="247"/>
      <c r="F819" s="247"/>
      <c r="G819" s="247"/>
      <c r="H819" s="247"/>
      <c r="I819" s="247"/>
      <c r="J819" s="247"/>
      <c r="K819" s="247"/>
      <c r="L819" s="247"/>
      <c r="M819" s="247"/>
      <c r="N819" s="247"/>
      <c r="O819" s="247"/>
      <c r="P819" s="247"/>
      <c r="Q819" s="247"/>
      <c r="R819" s="247"/>
      <c r="S819" s="247"/>
      <c r="T819" s="247"/>
      <c r="U819" s="247"/>
    </row>
    <row r="820">
      <c r="A820" s="247"/>
      <c r="B820" s="247"/>
      <c r="C820" s="247"/>
      <c r="D820" s="247"/>
      <c r="E820" s="247"/>
      <c r="F820" s="247"/>
      <c r="G820" s="247"/>
      <c r="H820" s="247"/>
      <c r="I820" s="247"/>
      <c r="J820" s="247"/>
      <c r="K820" s="247"/>
      <c r="L820" s="247"/>
      <c r="M820" s="247"/>
      <c r="N820" s="247"/>
      <c r="O820" s="247"/>
      <c r="P820" s="247"/>
      <c r="Q820" s="247"/>
      <c r="R820" s="247"/>
      <c r="S820" s="247"/>
      <c r="T820" s="247"/>
      <c r="U820" s="247"/>
    </row>
    <row r="821">
      <c r="A821" s="247"/>
      <c r="B821" s="247"/>
      <c r="C821" s="247"/>
      <c r="D821" s="247"/>
      <c r="E821" s="247"/>
      <c r="F821" s="247"/>
      <c r="G821" s="247"/>
      <c r="H821" s="247"/>
      <c r="I821" s="247"/>
      <c r="J821" s="247"/>
      <c r="K821" s="247"/>
      <c r="L821" s="247"/>
      <c r="M821" s="247"/>
      <c r="N821" s="247"/>
      <c r="O821" s="247"/>
      <c r="P821" s="247"/>
      <c r="Q821" s="247"/>
      <c r="R821" s="247"/>
      <c r="S821" s="247"/>
      <c r="T821" s="247"/>
      <c r="U821" s="247"/>
    </row>
    <row r="822">
      <c r="A822" s="247"/>
      <c r="B822" s="247"/>
      <c r="C822" s="247"/>
      <c r="D822" s="247"/>
      <c r="E822" s="247"/>
      <c r="F822" s="247"/>
      <c r="G822" s="247"/>
      <c r="H822" s="247"/>
      <c r="I822" s="247"/>
      <c r="J822" s="247"/>
      <c r="K822" s="247"/>
      <c r="L822" s="247"/>
      <c r="M822" s="247"/>
      <c r="N822" s="247"/>
      <c r="O822" s="247"/>
      <c r="P822" s="247"/>
      <c r="Q822" s="247"/>
      <c r="R822" s="247"/>
      <c r="S822" s="247"/>
      <c r="T822" s="247"/>
      <c r="U822" s="247"/>
    </row>
    <row r="823">
      <c r="A823" s="247"/>
      <c r="B823" s="247"/>
      <c r="C823" s="247"/>
      <c r="D823" s="247"/>
      <c r="E823" s="247"/>
      <c r="F823" s="247"/>
      <c r="G823" s="247"/>
      <c r="H823" s="247"/>
      <c r="I823" s="247"/>
      <c r="J823" s="247"/>
      <c r="K823" s="247"/>
      <c r="L823" s="247"/>
      <c r="M823" s="247"/>
      <c r="N823" s="247"/>
      <c r="O823" s="247"/>
      <c r="P823" s="247"/>
      <c r="Q823" s="247"/>
      <c r="R823" s="247"/>
      <c r="S823" s="247"/>
      <c r="T823" s="247"/>
      <c r="U823" s="247"/>
    </row>
    <row r="824">
      <c r="A824" s="247"/>
      <c r="B824" s="247"/>
      <c r="C824" s="247"/>
      <c r="D824" s="247"/>
      <c r="E824" s="247"/>
      <c r="F824" s="247"/>
      <c r="G824" s="247"/>
      <c r="H824" s="247"/>
      <c r="I824" s="247"/>
      <c r="J824" s="247"/>
      <c r="K824" s="247"/>
      <c r="L824" s="247"/>
      <c r="M824" s="247"/>
      <c r="N824" s="247"/>
      <c r="O824" s="247"/>
      <c r="P824" s="247"/>
      <c r="Q824" s="247"/>
      <c r="R824" s="247"/>
      <c r="S824" s="247"/>
      <c r="T824" s="247"/>
      <c r="U824" s="247"/>
    </row>
    <row r="825">
      <c r="A825" s="247"/>
      <c r="B825" s="247"/>
      <c r="C825" s="247"/>
      <c r="D825" s="247"/>
      <c r="E825" s="247"/>
      <c r="F825" s="247"/>
      <c r="G825" s="247"/>
      <c r="H825" s="247"/>
      <c r="I825" s="247"/>
      <c r="J825" s="247"/>
      <c r="K825" s="247"/>
      <c r="L825" s="247"/>
      <c r="M825" s="247"/>
      <c r="N825" s="247"/>
      <c r="O825" s="247"/>
      <c r="P825" s="247"/>
      <c r="Q825" s="247"/>
      <c r="R825" s="247"/>
      <c r="S825" s="247"/>
      <c r="T825" s="247"/>
      <c r="U825" s="247"/>
    </row>
    <row r="826">
      <c r="A826" s="247"/>
      <c r="B826" s="247"/>
      <c r="C826" s="247"/>
      <c r="D826" s="247"/>
      <c r="E826" s="247"/>
      <c r="F826" s="247"/>
      <c r="G826" s="247"/>
      <c r="H826" s="247"/>
      <c r="I826" s="247"/>
      <c r="J826" s="247"/>
      <c r="K826" s="247"/>
      <c r="L826" s="247"/>
      <c r="M826" s="247"/>
      <c r="N826" s="247"/>
      <c r="O826" s="247"/>
      <c r="P826" s="247"/>
      <c r="Q826" s="247"/>
      <c r="R826" s="247"/>
      <c r="S826" s="247"/>
      <c r="T826" s="247"/>
      <c r="U826" s="247"/>
    </row>
    <row r="827">
      <c r="A827" s="247"/>
      <c r="B827" s="247"/>
      <c r="C827" s="247"/>
      <c r="D827" s="247"/>
      <c r="E827" s="247"/>
      <c r="F827" s="247"/>
      <c r="G827" s="247"/>
      <c r="H827" s="247"/>
      <c r="I827" s="247"/>
      <c r="J827" s="247"/>
      <c r="K827" s="247"/>
      <c r="L827" s="247"/>
      <c r="M827" s="247"/>
      <c r="N827" s="247"/>
      <c r="O827" s="247"/>
      <c r="P827" s="247"/>
      <c r="Q827" s="247"/>
      <c r="R827" s="247"/>
      <c r="S827" s="247"/>
      <c r="T827" s="247"/>
      <c r="U827" s="247"/>
    </row>
    <row r="828">
      <c r="A828" s="247"/>
      <c r="B828" s="247"/>
      <c r="C828" s="247"/>
      <c r="D828" s="247"/>
      <c r="E828" s="247"/>
      <c r="F828" s="247"/>
      <c r="G828" s="247"/>
      <c r="H828" s="247"/>
      <c r="I828" s="247"/>
      <c r="J828" s="247"/>
      <c r="K828" s="247"/>
      <c r="L828" s="247"/>
      <c r="M828" s="247"/>
      <c r="N828" s="247"/>
      <c r="O828" s="247"/>
      <c r="P828" s="247"/>
      <c r="Q828" s="247"/>
      <c r="R828" s="247"/>
      <c r="S828" s="247"/>
      <c r="T828" s="247"/>
      <c r="U828" s="247"/>
    </row>
    <row r="829">
      <c r="A829" s="247"/>
      <c r="B829" s="247"/>
      <c r="C829" s="247"/>
      <c r="D829" s="247"/>
      <c r="E829" s="247"/>
      <c r="F829" s="247"/>
      <c r="G829" s="247"/>
      <c r="H829" s="247"/>
      <c r="I829" s="247"/>
      <c r="J829" s="247"/>
      <c r="K829" s="247"/>
      <c r="L829" s="247"/>
      <c r="M829" s="247"/>
      <c r="N829" s="247"/>
      <c r="O829" s="247"/>
      <c r="P829" s="247"/>
      <c r="Q829" s="247"/>
      <c r="R829" s="247"/>
      <c r="S829" s="247"/>
      <c r="T829" s="247"/>
      <c r="U829" s="247"/>
    </row>
    <row r="830">
      <c r="A830" s="247"/>
      <c r="B830" s="247"/>
      <c r="C830" s="247"/>
      <c r="D830" s="247"/>
      <c r="E830" s="247"/>
      <c r="F830" s="247"/>
      <c r="G830" s="247"/>
      <c r="H830" s="247"/>
      <c r="I830" s="247"/>
      <c r="J830" s="247"/>
      <c r="K830" s="247"/>
      <c r="L830" s="247"/>
      <c r="M830" s="247"/>
      <c r="N830" s="247"/>
      <c r="O830" s="247"/>
      <c r="P830" s="247"/>
      <c r="Q830" s="247"/>
      <c r="R830" s="247"/>
      <c r="S830" s="247"/>
      <c r="T830" s="247"/>
      <c r="U830" s="247"/>
    </row>
    <row r="831">
      <c r="A831" s="247"/>
      <c r="B831" s="247"/>
      <c r="C831" s="247"/>
      <c r="D831" s="247"/>
      <c r="E831" s="247"/>
      <c r="F831" s="247"/>
      <c r="G831" s="247"/>
      <c r="H831" s="247"/>
      <c r="I831" s="247"/>
      <c r="J831" s="247"/>
      <c r="K831" s="247"/>
      <c r="L831" s="247"/>
      <c r="M831" s="247"/>
      <c r="N831" s="247"/>
      <c r="O831" s="247"/>
      <c r="P831" s="247"/>
      <c r="Q831" s="247"/>
      <c r="R831" s="247"/>
      <c r="S831" s="247"/>
      <c r="T831" s="247"/>
      <c r="U831" s="247"/>
    </row>
    <row r="832">
      <c r="A832" s="247"/>
      <c r="B832" s="247"/>
      <c r="C832" s="247"/>
      <c r="D832" s="247"/>
      <c r="E832" s="247"/>
      <c r="F832" s="247"/>
      <c r="G832" s="247"/>
      <c r="H832" s="247"/>
      <c r="I832" s="247"/>
      <c r="J832" s="247"/>
      <c r="K832" s="247"/>
      <c r="L832" s="247"/>
      <c r="M832" s="247"/>
      <c r="N832" s="247"/>
      <c r="O832" s="247"/>
      <c r="P832" s="247"/>
      <c r="Q832" s="247"/>
      <c r="R832" s="247"/>
      <c r="S832" s="247"/>
      <c r="T832" s="247"/>
      <c r="U832" s="247"/>
    </row>
    <row r="833">
      <c r="A833" s="247"/>
      <c r="B833" s="247"/>
      <c r="C833" s="247"/>
      <c r="D833" s="247"/>
      <c r="E833" s="247"/>
      <c r="F833" s="247"/>
      <c r="G833" s="247"/>
      <c r="H833" s="247"/>
      <c r="I833" s="247"/>
      <c r="J833" s="247"/>
      <c r="K833" s="247"/>
      <c r="L833" s="247"/>
      <c r="M833" s="247"/>
      <c r="N833" s="247"/>
      <c r="O833" s="247"/>
      <c r="P833" s="247"/>
      <c r="Q833" s="247"/>
      <c r="R833" s="247"/>
      <c r="S833" s="247"/>
      <c r="T833" s="247"/>
      <c r="U833" s="247"/>
    </row>
    <row r="834">
      <c r="A834" s="247"/>
      <c r="B834" s="247"/>
      <c r="C834" s="247"/>
      <c r="D834" s="247"/>
      <c r="E834" s="247"/>
      <c r="F834" s="247"/>
      <c r="G834" s="247"/>
      <c r="H834" s="247"/>
      <c r="I834" s="247"/>
      <c r="J834" s="247"/>
      <c r="K834" s="247"/>
      <c r="L834" s="247"/>
      <c r="M834" s="247"/>
      <c r="N834" s="247"/>
      <c r="O834" s="247"/>
      <c r="P834" s="247"/>
      <c r="Q834" s="247"/>
      <c r="R834" s="247"/>
      <c r="S834" s="247"/>
      <c r="T834" s="247"/>
      <c r="U834" s="247"/>
    </row>
    <row r="835">
      <c r="A835" s="247"/>
      <c r="B835" s="247"/>
      <c r="C835" s="247"/>
      <c r="D835" s="247"/>
      <c r="E835" s="247"/>
      <c r="F835" s="247"/>
      <c r="G835" s="247"/>
      <c r="H835" s="247"/>
      <c r="I835" s="247"/>
      <c r="J835" s="247"/>
      <c r="K835" s="247"/>
      <c r="L835" s="247"/>
      <c r="M835" s="247"/>
      <c r="N835" s="247"/>
      <c r="O835" s="247"/>
      <c r="P835" s="247"/>
      <c r="Q835" s="247"/>
      <c r="R835" s="247"/>
      <c r="S835" s="247"/>
      <c r="T835" s="247"/>
      <c r="U835" s="247"/>
    </row>
    <row r="836">
      <c r="A836" s="247"/>
      <c r="B836" s="247"/>
      <c r="C836" s="247"/>
      <c r="D836" s="247"/>
      <c r="E836" s="247"/>
      <c r="F836" s="247"/>
      <c r="G836" s="247"/>
      <c r="H836" s="247"/>
      <c r="I836" s="247"/>
      <c r="J836" s="247"/>
      <c r="K836" s="247"/>
      <c r="L836" s="247"/>
      <c r="M836" s="247"/>
      <c r="N836" s="247"/>
      <c r="O836" s="247"/>
      <c r="P836" s="247"/>
      <c r="Q836" s="247"/>
      <c r="R836" s="247"/>
      <c r="S836" s="247"/>
      <c r="T836" s="247"/>
      <c r="U836" s="247"/>
    </row>
    <row r="837">
      <c r="A837" s="247"/>
      <c r="B837" s="247"/>
      <c r="C837" s="247"/>
      <c r="D837" s="247"/>
      <c r="E837" s="247"/>
      <c r="F837" s="247"/>
      <c r="G837" s="247"/>
      <c r="H837" s="247"/>
      <c r="I837" s="247"/>
      <c r="J837" s="247"/>
      <c r="K837" s="247"/>
      <c r="L837" s="247"/>
      <c r="M837" s="247"/>
      <c r="N837" s="247"/>
      <c r="O837" s="247"/>
      <c r="P837" s="247"/>
      <c r="Q837" s="247"/>
      <c r="R837" s="247"/>
      <c r="S837" s="247"/>
      <c r="T837" s="247"/>
      <c r="U837" s="247"/>
    </row>
    <row r="838">
      <c r="A838" s="247"/>
      <c r="B838" s="247"/>
      <c r="C838" s="247"/>
      <c r="D838" s="247"/>
      <c r="E838" s="247"/>
      <c r="F838" s="247"/>
      <c r="G838" s="247"/>
      <c r="H838" s="247"/>
      <c r="I838" s="247"/>
      <c r="J838" s="247"/>
      <c r="K838" s="247"/>
      <c r="L838" s="247"/>
      <c r="M838" s="247"/>
      <c r="N838" s="247"/>
      <c r="O838" s="247"/>
      <c r="P838" s="247"/>
      <c r="Q838" s="247"/>
      <c r="R838" s="247"/>
      <c r="S838" s="247"/>
      <c r="T838" s="247"/>
      <c r="U838" s="247"/>
    </row>
    <row r="839">
      <c r="A839" s="247"/>
      <c r="B839" s="247"/>
      <c r="C839" s="247"/>
      <c r="D839" s="247"/>
      <c r="E839" s="247"/>
      <c r="F839" s="247"/>
      <c r="G839" s="247"/>
      <c r="H839" s="247"/>
      <c r="I839" s="247"/>
      <c r="J839" s="247"/>
      <c r="K839" s="247"/>
      <c r="L839" s="247"/>
      <c r="M839" s="247"/>
      <c r="N839" s="247"/>
      <c r="O839" s="247"/>
      <c r="P839" s="247"/>
      <c r="Q839" s="247"/>
      <c r="R839" s="247"/>
      <c r="S839" s="247"/>
      <c r="T839" s="247"/>
      <c r="U839" s="247"/>
    </row>
    <row r="840">
      <c r="A840" s="247"/>
      <c r="B840" s="247"/>
      <c r="C840" s="247"/>
      <c r="D840" s="247"/>
      <c r="E840" s="247"/>
      <c r="F840" s="247"/>
      <c r="G840" s="247"/>
      <c r="H840" s="247"/>
      <c r="I840" s="247"/>
      <c r="J840" s="247"/>
      <c r="K840" s="247"/>
      <c r="L840" s="247"/>
      <c r="M840" s="247"/>
      <c r="N840" s="247"/>
      <c r="O840" s="247"/>
      <c r="P840" s="247"/>
      <c r="Q840" s="247"/>
      <c r="R840" s="247"/>
      <c r="S840" s="247"/>
      <c r="T840" s="247"/>
      <c r="U840" s="247"/>
    </row>
    <row r="841">
      <c r="A841" s="247"/>
      <c r="B841" s="247"/>
      <c r="C841" s="247"/>
      <c r="D841" s="247"/>
      <c r="E841" s="247"/>
      <c r="F841" s="247"/>
      <c r="G841" s="247"/>
      <c r="H841" s="247"/>
      <c r="I841" s="247"/>
      <c r="J841" s="247"/>
      <c r="K841" s="247"/>
      <c r="L841" s="247"/>
      <c r="M841" s="247"/>
      <c r="N841" s="247"/>
      <c r="O841" s="247"/>
      <c r="P841" s="247"/>
      <c r="Q841" s="247"/>
      <c r="R841" s="247"/>
      <c r="S841" s="247"/>
      <c r="T841" s="247"/>
      <c r="U841" s="247"/>
    </row>
    <row r="842">
      <c r="A842" s="247"/>
      <c r="B842" s="247"/>
      <c r="C842" s="247"/>
      <c r="D842" s="247"/>
      <c r="E842" s="247"/>
      <c r="F842" s="247"/>
      <c r="G842" s="247"/>
      <c r="H842" s="247"/>
      <c r="I842" s="247"/>
      <c r="J842" s="247"/>
      <c r="K842" s="247"/>
      <c r="L842" s="247"/>
      <c r="M842" s="247"/>
      <c r="N842" s="247"/>
      <c r="O842" s="247"/>
      <c r="P842" s="247"/>
      <c r="Q842" s="247"/>
      <c r="R842" s="247"/>
      <c r="S842" s="247"/>
      <c r="T842" s="247"/>
      <c r="U842" s="247"/>
    </row>
    <row r="843">
      <c r="A843" s="247"/>
      <c r="B843" s="247"/>
      <c r="C843" s="247"/>
      <c r="D843" s="247"/>
      <c r="E843" s="247"/>
      <c r="F843" s="247"/>
      <c r="G843" s="247"/>
      <c r="H843" s="247"/>
      <c r="I843" s="247"/>
      <c r="J843" s="247"/>
      <c r="K843" s="247"/>
      <c r="L843" s="247"/>
      <c r="M843" s="247"/>
      <c r="N843" s="247"/>
      <c r="O843" s="247"/>
      <c r="P843" s="247"/>
      <c r="Q843" s="247"/>
      <c r="R843" s="247"/>
      <c r="S843" s="247"/>
      <c r="T843" s="247"/>
      <c r="U843" s="247"/>
    </row>
    <row r="844">
      <c r="A844" s="247"/>
      <c r="B844" s="247"/>
      <c r="C844" s="247"/>
      <c r="D844" s="247"/>
      <c r="E844" s="247"/>
      <c r="F844" s="247"/>
      <c r="G844" s="247"/>
      <c r="H844" s="247"/>
      <c r="I844" s="247"/>
      <c r="J844" s="247"/>
      <c r="K844" s="247"/>
      <c r="L844" s="247"/>
      <c r="M844" s="247"/>
      <c r="N844" s="247"/>
      <c r="O844" s="247"/>
      <c r="P844" s="247"/>
      <c r="Q844" s="247"/>
      <c r="R844" s="247"/>
      <c r="S844" s="247"/>
      <c r="T844" s="247"/>
      <c r="U844" s="247"/>
    </row>
    <row r="845">
      <c r="A845" s="247"/>
      <c r="B845" s="247"/>
      <c r="C845" s="247"/>
      <c r="D845" s="247"/>
      <c r="E845" s="247"/>
      <c r="F845" s="247"/>
      <c r="G845" s="247"/>
      <c r="H845" s="247"/>
      <c r="I845" s="247"/>
      <c r="J845" s="247"/>
      <c r="K845" s="247"/>
      <c r="L845" s="247"/>
      <c r="M845" s="247"/>
      <c r="N845" s="247"/>
      <c r="O845" s="247"/>
      <c r="P845" s="247"/>
      <c r="Q845" s="247"/>
      <c r="R845" s="247"/>
      <c r="S845" s="247"/>
      <c r="T845" s="247"/>
      <c r="U845" s="247"/>
    </row>
    <row r="846">
      <c r="A846" s="247"/>
      <c r="B846" s="247"/>
      <c r="C846" s="247"/>
      <c r="D846" s="247"/>
      <c r="E846" s="247"/>
      <c r="F846" s="247"/>
      <c r="G846" s="247"/>
      <c r="H846" s="247"/>
      <c r="I846" s="247"/>
      <c r="J846" s="247"/>
      <c r="K846" s="247"/>
      <c r="L846" s="247"/>
      <c r="M846" s="247"/>
      <c r="N846" s="247"/>
      <c r="O846" s="247"/>
      <c r="P846" s="247"/>
      <c r="Q846" s="247"/>
      <c r="R846" s="247"/>
      <c r="S846" s="247"/>
      <c r="T846" s="247"/>
      <c r="U846" s="247"/>
    </row>
    <row r="847">
      <c r="A847" s="247"/>
      <c r="B847" s="247"/>
      <c r="C847" s="247"/>
      <c r="D847" s="247"/>
      <c r="E847" s="247"/>
      <c r="F847" s="247"/>
      <c r="G847" s="247"/>
      <c r="H847" s="247"/>
      <c r="I847" s="247"/>
      <c r="J847" s="247"/>
      <c r="K847" s="247"/>
      <c r="L847" s="247"/>
      <c r="M847" s="247"/>
      <c r="N847" s="247"/>
      <c r="O847" s="247"/>
      <c r="P847" s="247"/>
      <c r="Q847" s="247"/>
      <c r="R847" s="247"/>
      <c r="S847" s="247"/>
      <c r="T847" s="247"/>
      <c r="U847" s="247"/>
    </row>
    <row r="848">
      <c r="A848" s="247"/>
      <c r="B848" s="247"/>
      <c r="C848" s="247"/>
      <c r="D848" s="247"/>
      <c r="E848" s="247"/>
      <c r="F848" s="247"/>
      <c r="G848" s="247"/>
      <c r="H848" s="247"/>
      <c r="I848" s="247"/>
      <c r="J848" s="247"/>
      <c r="K848" s="247"/>
      <c r="L848" s="247"/>
      <c r="M848" s="247"/>
      <c r="N848" s="247"/>
      <c r="O848" s="247"/>
      <c r="P848" s="247"/>
      <c r="Q848" s="247"/>
      <c r="R848" s="247"/>
      <c r="S848" s="247"/>
      <c r="T848" s="247"/>
      <c r="U848" s="247"/>
    </row>
    <row r="849">
      <c r="A849" s="247"/>
      <c r="B849" s="247"/>
      <c r="C849" s="247"/>
      <c r="D849" s="247"/>
      <c r="E849" s="247"/>
      <c r="F849" s="247"/>
      <c r="G849" s="247"/>
      <c r="H849" s="247"/>
      <c r="I849" s="247"/>
      <c r="J849" s="247"/>
      <c r="K849" s="247"/>
      <c r="L849" s="247"/>
      <c r="M849" s="247"/>
      <c r="N849" s="247"/>
      <c r="O849" s="247"/>
      <c r="P849" s="247"/>
      <c r="Q849" s="247"/>
      <c r="R849" s="247"/>
      <c r="S849" s="247"/>
      <c r="T849" s="247"/>
      <c r="U849" s="247"/>
    </row>
    <row r="850">
      <c r="A850" s="247"/>
      <c r="B850" s="247"/>
      <c r="C850" s="247"/>
      <c r="D850" s="247"/>
      <c r="E850" s="247"/>
      <c r="F850" s="247"/>
      <c r="G850" s="247"/>
      <c r="H850" s="247"/>
      <c r="I850" s="247"/>
      <c r="J850" s="247"/>
      <c r="K850" s="247"/>
      <c r="L850" s="247"/>
      <c r="M850" s="247"/>
      <c r="N850" s="247"/>
      <c r="O850" s="247"/>
      <c r="P850" s="247"/>
      <c r="Q850" s="247"/>
      <c r="R850" s="247"/>
      <c r="S850" s="247"/>
      <c r="T850" s="247"/>
      <c r="U850" s="247"/>
    </row>
    <row r="851">
      <c r="A851" s="247"/>
      <c r="B851" s="247"/>
      <c r="C851" s="247"/>
      <c r="D851" s="247"/>
      <c r="E851" s="247"/>
      <c r="F851" s="247"/>
      <c r="G851" s="247"/>
      <c r="H851" s="247"/>
      <c r="I851" s="247"/>
      <c r="J851" s="247"/>
      <c r="K851" s="247"/>
      <c r="L851" s="247"/>
      <c r="M851" s="247"/>
      <c r="N851" s="247"/>
      <c r="O851" s="247"/>
      <c r="P851" s="247"/>
      <c r="Q851" s="247"/>
      <c r="R851" s="247"/>
      <c r="S851" s="247"/>
      <c r="T851" s="247"/>
      <c r="U851" s="247"/>
    </row>
    <row r="852">
      <c r="A852" s="247"/>
      <c r="B852" s="247"/>
      <c r="C852" s="247"/>
      <c r="D852" s="247"/>
      <c r="E852" s="247"/>
      <c r="F852" s="247"/>
      <c r="G852" s="247"/>
      <c r="H852" s="247"/>
      <c r="I852" s="247"/>
      <c r="J852" s="247"/>
      <c r="K852" s="247"/>
      <c r="L852" s="247"/>
      <c r="M852" s="247"/>
      <c r="N852" s="247"/>
      <c r="O852" s="247"/>
      <c r="P852" s="247"/>
      <c r="Q852" s="247"/>
      <c r="R852" s="247"/>
      <c r="S852" s="247"/>
      <c r="T852" s="247"/>
      <c r="U852" s="247"/>
    </row>
    <row r="853">
      <c r="A853" s="247"/>
      <c r="B853" s="247"/>
      <c r="C853" s="247"/>
      <c r="D853" s="247"/>
      <c r="E853" s="247"/>
      <c r="F853" s="247"/>
      <c r="G853" s="247"/>
      <c r="H853" s="247"/>
      <c r="I853" s="247"/>
      <c r="J853" s="247"/>
      <c r="K853" s="247"/>
      <c r="L853" s="247"/>
      <c r="M853" s="247"/>
      <c r="N853" s="247"/>
      <c r="O853" s="247"/>
      <c r="P853" s="247"/>
      <c r="Q853" s="247"/>
      <c r="R853" s="247"/>
      <c r="S853" s="247"/>
      <c r="T853" s="247"/>
      <c r="U853" s="247"/>
    </row>
    <row r="854">
      <c r="A854" s="247"/>
      <c r="B854" s="247"/>
      <c r="C854" s="247"/>
      <c r="D854" s="247"/>
      <c r="E854" s="247"/>
      <c r="F854" s="247"/>
      <c r="G854" s="247"/>
      <c r="H854" s="247"/>
      <c r="I854" s="247"/>
      <c r="J854" s="247"/>
      <c r="K854" s="247"/>
      <c r="L854" s="247"/>
      <c r="M854" s="247"/>
      <c r="N854" s="247"/>
      <c r="O854" s="247"/>
      <c r="P854" s="247"/>
      <c r="Q854" s="247"/>
      <c r="R854" s="247"/>
      <c r="S854" s="247"/>
      <c r="T854" s="247"/>
      <c r="U854" s="247"/>
    </row>
    <row r="855">
      <c r="A855" s="247"/>
      <c r="B855" s="247"/>
      <c r="C855" s="247"/>
      <c r="D855" s="247"/>
      <c r="E855" s="247"/>
      <c r="F855" s="247"/>
      <c r="G855" s="247"/>
      <c r="H855" s="247"/>
      <c r="I855" s="247"/>
      <c r="J855" s="247"/>
      <c r="K855" s="247"/>
      <c r="L855" s="247"/>
      <c r="M855" s="247"/>
      <c r="N855" s="247"/>
      <c r="O855" s="247"/>
      <c r="P855" s="247"/>
      <c r="Q855" s="247"/>
      <c r="R855" s="247"/>
      <c r="S855" s="247"/>
      <c r="T855" s="247"/>
      <c r="U855" s="247"/>
    </row>
    <row r="856">
      <c r="A856" s="247"/>
      <c r="B856" s="247"/>
      <c r="C856" s="247"/>
      <c r="D856" s="247"/>
      <c r="E856" s="247"/>
      <c r="F856" s="247"/>
      <c r="G856" s="247"/>
      <c r="H856" s="247"/>
      <c r="I856" s="247"/>
      <c r="J856" s="247"/>
      <c r="K856" s="247"/>
      <c r="L856" s="247"/>
      <c r="M856" s="247"/>
      <c r="N856" s="247"/>
      <c r="O856" s="247"/>
      <c r="P856" s="247"/>
      <c r="Q856" s="247"/>
      <c r="R856" s="247"/>
      <c r="S856" s="247"/>
      <c r="T856" s="247"/>
      <c r="U856" s="247"/>
    </row>
    <row r="857">
      <c r="A857" s="247"/>
      <c r="B857" s="247"/>
      <c r="C857" s="247"/>
      <c r="D857" s="247"/>
      <c r="E857" s="247"/>
      <c r="F857" s="247"/>
      <c r="G857" s="247"/>
      <c r="H857" s="247"/>
      <c r="I857" s="247"/>
      <c r="J857" s="247"/>
      <c r="K857" s="247"/>
      <c r="L857" s="247"/>
      <c r="M857" s="247"/>
      <c r="N857" s="247"/>
      <c r="O857" s="247"/>
      <c r="P857" s="247"/>
      <c r="Q857" s="247"/>
      <c r="R857" s="247"/>
      <c r="S857" s="247"/>
      <c r="T857" s="247"/>
      <c r="U857" s="247"/>
    </row>
    <row r="858">
      <c r="A858" s="247"/>
      <c r="B858" s="247"/>
      <c r="C858" s="247"/>
      <c r="D858" s="247"/>
      <c r="E858" s="247"/>
      <c r="F858" s="247"/>
      <c r="G858" s="247"/>
      <c r="H858" s="247"/>
      <c r="I858" s="247"/>
      <c r="J858" s="247"/>
      <c r="K858" s="247"/>
      <c r="L858" s="247"/>
      <c r="M858" s="247"/>
      <c r="N858" s="247"/>
      <c r="O858" s="247"/>
      <c r="P858" s="247"/>
      <c r="Q858" s="247"/>
      <c r="R858" s="247"/>
      <c r="S858" s="247"/>
      <c r="T858" s="247"/>
      <c r="U858" s="247"/>
    </row>
    <row r="859">
      <c r="A859" s="247"/>
      <c r="B859" s="247"/>
      <c r="C859" s="247"/>
      <c r="D859" s="247"/>
      <c r="E859" s="247"/>
      <c r="F859" s="247"/>
      <c r="G859" s="247"/>
      <c r="H859" s="247"/>
      <c r="I859" s="247"/>
      <c r="J859" s="247"/>
      <c r="K859" s="247"/>
      <c r="L859" s="247"/>
      <c r="M859" s="247"/>
      <c r="N859" s="247"/>
      <c r="O859" s="247"/>
      <c r="P859" s="247"/>
      <c r="Q859" s="247"/>
      <c r="R859" s="247"/>
      <c r="S859" s="247"/>
      <c r="T859" s="247"/>
      <c r="U859" s="247"/>
    </row>
    <row r="860">
      <c r="A860" s="247"/>
      <c r="B860" s="247"/>
      <c r="C860" s="247"/>
      <c r="D860" s="247"/>
      <c r="E860" s="247"/>
      <c r="F860" s="247"/>
      <c r="G860" s="247"/>
      <c r="H860" s="247"/>
      <c r="I860" s="247"/>
      <c r="J860" s="247"/>
      <c r="K860" s="247"/>
      <c r="L860" s="247"/>
      <c r="M860" s="247"/>
      <c r="N860" s="247"/>
      <c r="O860" s="247"/>
      <c r="P860" s="247"/>
      <c r="Q860" s="247"/>
      <c r="R860" s="247"/>
      <c r="S860" s="247"/>
      <c r="T860" s="247"/>
      <c r="U860" s="247"/>
    </row>
    <row r="861">
      <c r="A861" s="247"/>
      <c r="B861" s="247"/>
      <c r="C861" s="247"/>
      <c r="D861" s="247"/>
      <c r="E861" s="247"/>
      <c r="F861" s="247"/>
      <c r="G861" s="247"/>
      <c r="H861" s="247"/>
      <c r="I861" s="247"/>
      <c r="J861" s="247"/>
      <c r="K861" s="247"/>
      <c r="L861" s="247"/>
      <c r="M861" s="247"/>
      <c r="N861" s="247"/>
      <c r="O861" s="247"/>
      <c r="P861" s="247"/>
      <c r="Q861" s="247"/>
      <c r="R861" s="247"/>
      <c r="S861" s="247"/>
      <c r="T861" s="247"/>
      <c r="U861" s="247"/>
    </row>
    <row r="862">
      <c r="A862" s="247"/>
      <c r="B862" s="247"/>
      <c r="C862" s="247"/>
      <c r="D862" s="247"/>
      <c r="E862" s="247"/>
      <c r="F862" s="247"/>
      <c r="G862" s="247"/>
      <c r="H862" s="247"/>
      <c r="I862" s="247"/>
      <c r="J862" s="247"/>
      <c r="K862" s="247"/>
      <c r="L862" s="247"/>
      <c r="M862" s="247"/>
      <c r="N862" s="247"/>
      <c r="O862" s="247"/>
      <c r="P862" s="247"/>
      <c r="Q862" s="247"/>
      <c r="R862" s="247"/>
      <c r="S862" s="247"/>
      <c r="T862" s="247"/>
      <c r="U862" s="247"/>
    </row>
    <row r="863">
      <c r="A863" s="247"/>
      <c r="B863" s="247"/>
      <c r="C863" s="247"/>
      <c r="D863" s="247"/>
      <c r="E863" s="247"/>
      <c r="F863" s="247"/>
      <c r="G863" s="247"/>
      <c r="H863" s="247"/>
      <c r="I863" s="247"/>
      <c r="J863" s="247"/>
      <c r="K863" s="247"/>
      <c r="L863" s="247"/>
      <c r="M863" s="247"/>
      <c r="N863" s="247"/>
      <c r="O863" s="247"/>
      <c r="P863" s="247"/>
      <c r="Q863" s="247"/>
      <c r="R863" s="247"/>
      <c r="S863" s="247"/>
      <c r="T863" s="247"/>
      <c r="U863" s="247"/>
    </row>
    <row r="864">
      <c r="A864" s="247"/>
      <c r="B864" s="247"/>
      <c r="C864" s="247"/>
      <c r="D864" s="247"/>
      <c r="E864" s="247"/>
      <c r="F864" s="247"/>
      <c r="G864" s="247"/>
      <c r="H864" s="247"/>
      <c r="I864" s="247"/>
      <c r="J864" s="247"/>
      <c r="K864" s="247"/>
      <c r="L864" s="247"/>
      <c r="M864" s="247"/>
      <c r="N864" s="247"/>
      <c r="O864" s="247"/>
      <c r="P864" s="247"/>
      <c r="Q864" s="247"/>
      <c r="R864" s="247"/>
      <c r="S864" s="247"/>
      <c r="T864" s="247"/>
      <c r="U864" s="247"/>
    </row>
    <row r="865">
      <c r="A865" s="247"/>
      <c r="B865" s="247"/>
      <c r="C865" s="247"/>
      <c r="D865" s="247"/>
      <c r="E865" s="247"/>
      <c r="F865" s="247"/>
      <c r="G865" s="247"/>
      <c r="H865" s="247"/>
      <c r="I865" s="247"/>
      <c r="J865" s="247"/>
      <c r="K865" s="247"/>
      <c r="L865" s="247"/>
      <c r="M865" s="247"/>
      <c r="N865" s="247"/>
      <c r="O865" s="247"/>
      <c r="P865" s="247"/>
      <c r="Q865" s="247"/>
      <c r="R865" s="247"/>
      <c r="S865" s="247"/>
      <c r="T865" s="247"/>
      <c r="U865" s="247"/>
    </row>
    <row r="866">
      <c r="A866" s="247"/>
      <c r="B866" s="247"/>
      <c r="C866" s="247"/>
      <c r="D866" s="247"/>
      <c r="E866" s="247"/>
      <c r="F866" s="247"/>
      <c r="G866" s="247"/>
      <c r="H866" s="247"/>
      <c r="I866" s="247"/>
      <c r="J866" s="247"/>
      <c r="K866" s="247"/>
      <c r="L866" s="247"/>
      <c r="M866" s="247"/>
      <c r="N866" s="247"/>
      <c r="O866" s="247"/>
      <c r="P866" s="247"/>
      <c r="Q866" s="247"/>
      <c r="R866" s="247"/>
      <c r="S866" s="247"/>
      <c r="T866" s="247"/>
      <c r="U866" s="247"/>
    </row>
    <row r="867">
      <c r="A867" s="247"/>
      <c r="B867" s="247"/>
      <c r="C867" s="247"/>
      <c r="D867" s="247"/>
      <c r="E867" s="247"/>
      <c r="F867" s="247"/>
      <c r="G867" s="247"/>
      <c r="H867" s="247"/>
      <c r="I867" s="247"/>
      <c r="J867" s="247"/>
      <c r="K867" s="247"/>
      <c r="L867" s="247"/>
      <c r="M867" s="247"/>
      <c r="N867" s="247"/>
      <c r="O867" s="247"/>
      <c r="P867" s="247"/>
      <c r="Q867" s="247"/>
      <c r="R867" s="247"/>
      <c r="S867" s="247"/>
      <c r="T867" s="247"/>
      <c r="U867" s="247"/>
    </row>
    <row r="868">
      <c r="A868" s="247"/>
      <c r="B868" s="247"/>
      <c r="C868" s="247"/>
      <c r="D868" s="247"/>
      <c r="E868" s="247"/>
      <c r="F868" s="247"/>
      <c r="G868" s="247"/>
      <c r="H868" s="247"/>
      <c r="I868" s="247"/>
      <c r="J868" s="247"/>
      <c r="K868" s="247"/>
      <c r="L868" s="247"/>
      <c r="M868" s="247"/>
      <c r="N868" s="247"/>
      <c r="O868" s="247"/>
      <c r="P868" s="247"/>
      <c r="Q868" s="247"/>
      <c r="R868" s="247"/>
      <c r="S868" s="247"/>
      <c r="T868" s="247"/>
      <c r="U868" s="247"/>
    </row>
    <row r="869">
      <c r="A869" s="247"/>
      <c r="B869" s="247"/>
      <c r="C869" s="247"/>
      <c r="D869" s="247"/>
      <c r="E869" s="247"/>
      <c r="F869" s="247"/>
      <c r="G869" s="247"/>
      <c r="H869" s="247"/>
      <c r="I869" s="247"/>
      <c r="J869" s="247"/>
      <c r="K869" s="247"/>
      <c r="L869" s="247"/>
      <c r="M869" s="247"/>
      <c r="N869" s="247"/>
      <c r="O869" s="247"/>
      <c r="P869" s="247"/>
      <c r="Q869" s="247"/>
      <c r="R869" s="247"/>
      <c r="S869" s="247"/>
      <c r="T869" s="247"/>
      <c r="U869" s="247"/>
    </row>
    <row r="870">
      <c r="A870" s="247"/>
      <c r="B870" s="247"/>
      <c r="C870" s="247"/>
      <c r="D870" s="247"/>
      <c r="E870" s="247"/>
      <c r="F870" s="247"/>
      <c r="G870" s="247"/>
      <c r="H870" s="247"/>
      <c r="I870" s="247"/>
      <c r="J870" s="247"/>
      <c r="K870" s="247"/>
      <c r="L870" s="247"/>
      <c r="M870" s="247"/>
      <c r="N870" s="247"/>
      <c r="O870" s="247"/>
      <c r="P870" s="247"/>
      <c r="Q870" s="247"/>
      <c r="R870" s="247"/>
      <c r="S870" s="247"/>
      <c r="T870" s="247"/>
      <c r="U870" s="247"/>
    </row>
    <row r="871">
      <c r="A871" s="247"/>
      <c r="B871" s="247"/>
      <c r="C871" s="247"/>
      <c r="D871" s="247"/>
      <c r="E871" s="247"/>
      <c r="F871" s="247"/>
      <c r="G871" s="247"/>
      <c r="H871" s="247"/>
      <c r="I871" s="247"/>
      <c r="J871" s="247"/>
      <c r="K871" s="247"/>
      <c r="L871" s="247"/>
      <c r="M871" s="247"/>
      <c r="N871" s="247"/>
      <c r="O871" s="247"/>
      <c r="P871" s="247"/>
      <c r="Q871" s="247"/>
      <c r="R871" s="247"/>
      <c r="S871" s="247"/>
      <c r="T871" s="247"/>
      <c r="U871" s="247"/>
    </row>
    <row r="872">
      <c r="A872" s="247"/>
      <c r="B872" s="247"/>
      <c r="C872" s="247"/>
      <c r="D872" s="247"/>
      <c r="E872" s="247"/>
      <c r="F872" s="247"/>
      <c r="G872" s="247"/>
      <c r="H872" s="247"/>
      <c r="I872" s="247"/>
      <c r="J872" s="247"/>
      <c r="K872" s="247"/>
      <c r="L872" s="247"/>
      <c r="M872" s="247"/>
      <c r="N872" s="247"/>
      <c r="O872" s="247"/>
      <c r="P872" s="247"/>
      <c r="Q872" s="247"/>
      <c r="R872" s="247"/>
      <c r="S872" s="247"/>
      <c r="T872" s="247"/>
      <c r="U872" s="247"/>
    </row>
    <row r="873">
      <c r="A873" s="247"/>
      <c r="B873" s="247"/>
      <c r="C873" s="247"/>
      <c r="D873" s="247"/>
      <c r="E873" s="247"/>
      <c r="F873" s="247"/>
      <c r="G873" s="247"/>
      <c r="H873" s="247"/>
      <c r="I873" s="247"/>
      <c r="J873" s="247"/>
      <c r="K873" s="247"/>
      <c r="L873" s="247"/>
      <c r="M873" s="247"/>
      <c r="N873" s="247"/>
      <c r="O873" s="247"/>
      <c r="P873" s="247"/>
      <c r="Q873" s="247"/>
      <c r="R873" s="247"/>
      <c r="S873" s="247"/>
      <c r="T873" s="247"/>
      <c r="U873" s="247"/>
    </row>
    <row r="874">
      <c r="A874" s="247"/>
      <c r="B874" s="247"/>
      <c r="C874" s="247"/>
      <c r="D874" s="247"/>
      <c r="E874" s="247"/>
      <c r="F874" s="247"/>
      <c r="G874" s="247"/>
      <c r="H874" s="247"/>
      <c r="I874" s="247"/>
      <c r="J874" s="247"/>
      <c r="K874" s="247"/>
      <c r="L874" s="247"/>
      <c r="M874" s="247"/>
      <c r="N874" s="247"/>
      <c r="O874" s="247"/>
      <c r="P874" s="247"/>
      <c r="Q874" s="247"/>
      <c r="R874" s="247"/>
      <c r="S874" s="247"/>
      <c r="T874" s="247"/>
      <c r="U874" s="247"/>
    </row>
    <row r="875">
      <c r="A875" s="247"/>
      <c r="B875" s="247"/>
      <c r="C875" s="247"/>
      <c r="D875" s="247"/>
      <c r="E875" s="247"/>
      <c r="F875" s="247"/>
      <c r="G875" s="247"/>
      <c r="H875" s="247"/>
      <c r="I875" s="247"/>
      <c r="J875" s="247"/>
      <c r="K875" s="247"/>
      <c r="L875" s="247"/>
      <c r="M875" s="247"/>
      <c r="N875" s="247"/>
      <c r="O875" s="247"/>
      <c r="P875" s="247"/>
      <c r="Q875" s="247"/>
      <c r="R875" s="247"/>
      <c r="S875" s="247"/>
      <c r="T875" s="247"/>
      <c r="U875" s="247"/>
    </row>
    <row r="876">
      <c r="A876" s="247"/>
      <c r="B876" s="247"/>
      <c r="C876" s="247"/>
      <c r="D876" s="247"/>
      <c r="E876" s="247"/>
      <c r="F876" s="247"/>
      <c r="G876" s="247"/>
      <c r="H876" s="247"/>
      <c r="I876" s="247"/>
      <c r="J876" s="247"/>
      <c r="K876" s="247"/>
      <c r="L876" s="247"/>
      <c r="M876" s="247"/>
      <c r="N876" s="247"/>
      <c r="O876" s="247"/>
      <c r="P876" s="247"/>
      <c r="Q876" s="247"/>
      <c r="R876" s="247"/>
      <c r="S876" s="247"/>
      <c r="T876" s="247"/>
      <c r="U876" s="247"/>
    </row>
    <row r="877">
      <c r="A877" s="247"/>
      <c r="B877" s="247"/>
      <c r="C877" s="247"/>
      <c r="D877" s="247"/>
      <c r="E877" s="247"/>
      <c r="F877" s="247"/>
      <c r="G877" s="247"/>
      <c r="H877" s="247"/>
      <c r="I877" s="247"/>
      <c r="J877" s="247"/>
      <c r="K877" s="247"/>
      <c r="L877" s="247"/>
      <c r="M877" s="247"/>
      <c r="N877" s="247"/>
      <c r="O877" s="247"/>
      <c r="P877" s="247"/>
      <c r="Q877" s="247"/>
      <c r="R877" s="247"/>
      <c r="S877" s="247"/>
      <c r="T877" s="247"/>
      <c r="U877" s="247"/>
    </row>
    <row r="878">
      <c r="A878" s="247"/>
      <c r="B878" s="247"/>
      <c r="C878" s="247"/>
      <c r="D878" s="247"/>
      <c r="E878" s="247"/>
      <c r="F878" s="247"/>
      <c r="G878" s="247"/>
      <c r="H878" s="247"/>
      <c r="I878" s="247"/>
      <c r="J878" s="247"/>
      <c r="K878" s="247"/>
      <c r="L878" s="247"/>
      <c r="M878" s="247"/>
      <c r="N878" s="247"/>
      <c r="O878" s="247"/>
      <c r="P878" s="247"/>
      <c r="Q878" s="247"/>
      <c r="R878" s="247"/>
      <c r="S878" s="247"/>
      <c r="T878" s="247"/>
      <c r="U878" s="247"/>
    </row>
    <row r="879">
      <c r="A879" s="247"/>
      <c r="B879" s="247"/>
      <c r="C879" s="247"/>
      <c r="D879" s="247"/>
      <c r="E879" s="247"/>
      <c r="F879" s="247"/>
      <c r="G879" s="247"/>
      <c r="H879" s="247"/>
      <c r="I879" s="247"/>
      <c r="J879" s="247"/>
      <c r="K879" s="247"/>
      <c r="L879" s="247"/>
      <c r="M879" s="247"/>
      <c r="N879" s="247"/>
      <c r="O879" s="247"/>
      <c r="P879" s="247"/>
      <c r="Q879" s="247"/>
      <c r="R879" s="247"/>
      <c r="S879" s="247"/>
      <c r="T879" s="247"/>
      <c r="U879" s="247"/>
    </row>
    <row r="880">
      <c r="A880" s="247"/>
      <c r="B880" s="247"/>
      <c r="C880" s="247"/>
      <c r="D880" s="247"/>
      <c r="E880" s="247"/>
      <c r="F880" s="247"/>
      <c r="G880" s="247"/>
      <c r="H880" s="247"/>
      <c r="I880" s="247"/>
      <c r="J880" s="247"/>
      <c r="K880" s="247"/>
      <c r="L880" s="247"/>
      <c r="M880" s="247"/>
      <c r="N880" s="247"/>
      <c r="O880" s="247"/>
      <c r="P880" s="247"/>
      <c r="Q880" s="247"/>
      <c r="R880" s="247"/>
      <c r="S880" s="247"/>
      <c r="T880" s="247"/>
      <c r="U880" s="247"/>
    </row>
    <row r="881">
      <c r="A881" s="247"/>
      <c r="B881" s="247"/>
      <c r="C881" s="247"/>
      <c r="D881" s="247"/>
      <c r="E881" s="247"/>
      <c r="F881" s="247"/>
      <c r="G881" s="247"/>
      <c r="H881" s="247"/>
      <c r="I881" s="247"/>
      <c r="J881" s="247"/>
      <c r="K881" s="247"/>
      <c r="L881" s="247"/>
      <c r="M881" s="247"/>
      <c r="N881" s="247"/>
      <c r="O881" s="247"/>
      <c r="P881" s="247"/>
      <c r="Q881" s="247"/>
      <c r="R881" s="247"/>
      <c r="S881" s="247"/>
      <c r="T881" s="247"/>
      <c r="U881" s="247"/>
    </row>
    <row r="882">
      <c r="A882" s="247"/>
      <c r="B882" s="247"/>
      <c r="C882" s="247"/>
      <c r="D882" s="247"/>
      <c r="E882" s="247"/>
      <c r="F882" s="247"/>
      <c r="G882" s="247"/>
      <c r="H882" s="247"/>
      <c r="I882" s="247"/>
      <c r="J882" s="247"/>
      <c r="K882" s="247"/>
      <c r="L882" s="247"/>
      <c r="M882" s="247"/>
      <c r="N882" s="247"/>
      <c r="O882" s="247"/>
      <c r="P882" s="247"/>
      <c r="Q882" s="247"/>
      <c r="R882" s="247"/>
      <c r="S882" s="247"/>
      <c r="T882" s="247"/>
      <c r="U882" s="247"/>
    </row>
    <row r="883">
      <c r="A883" s="247"/>
      <c r="B883" s="247"/>
      <c r="C883" s="247"/>
      <c r="D883" s="247"/>
      <c r="E883" s="247"/>
      <c r="F883" s="247"/>
      <c r="G883" s="247"/>
      <c r="H883" s="247"/>
      <c r="I883" s="247"/>
      <c r="J883" s="247"/>
      <c r="K883" s="247"/>
      <c r="L883" s="247"/>
      <c r="M883" s="247"/>
      <c r="N883" s="247"/>
      <c r="O883" s="247"/>
      <c r="P883" s="247"/>
      <c r="Q883" s="247"/>
      <c r="R883" s="247"/>
      <c r="S883" s="247"/>
      <c r="T883" s="247"/>
      <c r="U883" s="247"/>
    </row>
    <row r="884">
      <c r="A884" s="247"/>
      <c r="B884" s="247"/>
      <c r="C884" s="247"/>
      <c r="D884" s="247"/>
      <c r="E884" s="247"/>
      <c r="F884" s="247"/>
      <c r="G884" s="247"/>
      <c r="H884" s="247"/>
      <c r="I884" s="247"/>
      <c r="J884" s="247"/>
      <c r="K884" s="247"/>
      <c r="L884" s="247"/>
      <c r="M884" s="247"/>
      <c r="N884" s="247"/>
      <c r="O884" s="247"/>
      <c r="P884" s="247"/>
      <c r="Q884" s="247"/>
      <c r="R884" s="247"/>
      <c r="S884" s="247"/>
      <c r="T884" s="247"/>
      <c r="U884" s="247"/>
    </row>
    <row r="885">
      <c r="A885" s="247"/>
      <c r="B885" s="247"/>
      <c r="C885" s="247"/>
      <c r="D885" s="247"/>
      <c r="E885" s="247"/>
      <c r="F885" s="247"/>
      <c r="G885" s="247"/>
      <c r="H885" s="247"/>
      <c r="I885" s="247"/>
      <c r="J885" s="247"/>
      <c r="K885" s="247"/>
      <c r="L885" s="247"/>
      <c r="M885" s="247"/>
      <c r="N885" s="247"/>
      <c r="O885" s="247"/>
      <c r="P885" s="247"/>
      <c r="Q885" s="247"/>
      <c r="R885" s="247"/>
      <c r="S885" s="247"/>
      <c r="T885" s="247"/>
      <c r="U885" s="247"/>
    </row>
    <row r="886">
      <c r="A886" s="247"/>
      <c r="B886" s="247"/>
      <c r="C886" s="247"/>
      <c r="D886" s="247"/>
      <c r="E886" s="247"/>
      <c r="F886" s="247"/>
      <c r="G886" s="247"/>
      <c r="H886" s="247"/>
      <c r="I886" s="247"/>
      <c r="J886" s="247"/>
      <c r="K886" s="247"/>
      <c r="L886" s="247"/>
      <c r="M886" s="247"/>
      <c r="N886" s="247"/>
      <c r="O886" s="247"/>
      <c r="P886" s="247"/>
      <c r="Q886" s="247"/>
      <c r="R886" s="247"/>
      <c r="S886" s="247"/>
      <c r="T886" s="247"/>
      <c r="U886" s="247"/>
    </row>
    <row r="887">
      <c r="A887" s="247"/>
      <c r="B887" s="247"/>
      <c r="C887" s="247"/>
      <c r="D887" s="247"/>
      <c r="E887" s="247"/>
      <c r="F887" s="247"/>
      <c r="G887" s="247"/>
      <c r="H887" s="247"/>
      <c r="I887" s="247"/>
      <c r="J887" s="247"/>
      <c r="K887" s="247"/>
      <c r="L887" s="247"/>
      <c r="M887" s="247"/>
      <c r="N887" s="247"/>
      <c r="O887" s="247"/>
      <c r="P887" s="247"/>
      <c r="Q887" s="247"/>
      <c r="R887" s="247"/>
      <c r="S887" s="247"/>
      <c r="T887" s="247"/>
      <c r="U887" s="247"/>
    </row>
    <row r="888">
      <c r="A888" s="247"/>
      <c r="B888" s="247"/>
      <c r="C888" s="247"/>
      <c r="D888" s="247"/>
      <c r="E888" s="247"/>
      <c r="F888" s="247"/>
      <c r="G888" s="247"/>
      <c r="H888" s="247"/>
      <c r="I888" s="247"/>
      <c r="J888" s="247"/>
      <c r="K888" s="247"/>
      <c r="L888" s="247"/>
      <c r="M888" s="247"/>
      <c r="N888" s="247"/>
      <c r="O888" s="247"/>
      <c r="P888" s="247"/>
      <c r="Q888" s="247"/>
      <c r="R888" s="247"/>
      <c r="S888" s="247"/>
      <c r="T888" s="247"/>
      <c r="U888" s="247"/>
    </row>
    <row r="889">
      <c r="A889" s="247"/>
      <c r="B889" s="247"/>
      <c r="C889" s="247"/>
      <c r="D889" s="247"/>
      <c r="E889" s="247"/>
      <c r="F889" s="247"/>
      <c r="G889" s="247"/>
      <c r="H889" s="247"/>
      <c r="I889" s="247"/>
      <c r="J889" s="247"/>
      <c r="K889" s="247"/>
      <c r="L889" s="247"/>
      <c r="M889" s="247"/>
      <c r="N889" s="247"/>
      <c r="O889" s="247"/>
      <c r="P889" s="247"/>
      <c r="Q889" s="247"/>
      <c r="R889" s="247"/>
      <c r="S889" s="247"/>
      <c r="T889" s="247"/>
      <c r="U889" s="247"/>
    </row>
    <row r="890">
      <c r="A890" s="247"/>
      <c r="B890" s="247"/>
      <c r="C890" s="247"/>
      <c r="D890" s="247"/>
      <c r="E890" s="247"/>
      <c r="F890" s="247"/>
      <c r="G890" s="247"/>
      <c r="H890" s="247"/>
      <c r="I890" s="247"/>
      <c r="J890" s="247"/>
      <c r="K890" s="247"/>
      <c r="L890" s="247"/>
      <c r="M890" s="247"/>
      <c r="N890" s="247"/>
      <c r="O890" s="247"/>
      <c r="P890" s="247"/>
      <c r="Q890" s="247"/>
      <c r="R890" s="247"/>
      <c r="S890" s="247"/>
      <c r="T890" s="247"/>
      <c r="U890" s="247"/>
    </row>
    <row r="891">
      <c r="A891" s="247"/>
      <c r="B891" s="247"/>
      <c r="C891" s="247"/>
      <c r="D891" s="247"/>
      <c r="E891" s="247"/>
      <c r="F891" s="247"/>
      <c r="G891" s="247"/>
      <c r="H891" s="247"/>
      <c r="I891" s="247"/>
      <c r="J891" s="247"/>
      <c r="K891" s="247"/>
      <c r="L891" s="247"/>
      <c r="M891" s="247"/>
      <c r="N891" s="247"/>
      <c r="O891" s="247"/>
      <c r="P891" s="247"/>
      <c r="Q891" s="247"/>
      <c r="R891" s="247"/>
      <c r="S891" s="247"/>
      <c r="T891" s="247"/>
      <c r="U891" s="247"/>
    </row>
    <row r="892">
      <c r="A892" s="247"/>
      <c r="B892" s="247"/>
      <c r="C892" s="247"/>
      <c r="D892" s="247"/>
      <c r="E892" s="247"/>
      <c r="F892" s="247"/>
      <c r="G892" s="247"/>
      <c r="H892" s="247"/>
      <c r="I892" s="247"/>
      <c r="J892" s="247"/>
      <c r="K892" s="247"/>
      <c r="L892" s="247"/>
      <c r="M892" s="247"/>
      <c r="N892" s="247"/>
      <c r="O892" s="247"/>
      <c r="P892" s="247"/>
      <c r="Q892" s="247"/>
      <c r="R892" s="247"/>
      <c r="S892" s="247"/>
      <c r="T892" s="247"/>
      <c r="U892" s="247"/>
    </row>
    <row r="893">
      <c r="A893" s="247"/>
      <c r="B893" s="247"/>
      <c r="C893" s="247"/>
      <c r="D893" s="247"/>
      <c r="E893" s="247"/>
      <c r="F893" s="247"/>
      <c r="G893" s="247"/>
      <c r="H893" s="247"/>
      <c r="I893" s="247"/>
      <c r="J893" s="247"/>
      <c r="K893" s="247"/>
      <c r="L893" s="247"/>
      <c r="M893" s="247"/>
      <c r="N893" s="247"/>
      <c r="O893" s="247"/>
      <c r="P893" s="247"/>
      <c r="Q893" s="247"/>
      <c r="R893" s="247"/>
      <c r="S893" s="247"/>
      <c r="T893" s="247"/>
      <c r="U893" s="247"/>
    </row>
    <row r="894">
      <c r="A894" s="247"/>
      <c r="B894" s="247"/>
      <c r="C894" s="247"/>
      <c r="D894" s="247"/>
      <c r="E894" s="247"/>
      <c r="F894" s="247"/>
      <c r="G894" s="247"/>
      <c r="H894" s="247"/>
      <c r="I894" s="247"/>
      <c r="J894" s="247"/>
      <c r="K894" s="247"/>
      <c r="L894" s="247"/>
      <c r="M894" s="247"/>
      <c r="N894" s="247"/>
      <c r="O894" s="247"/>
      <c r="P894" s="247"/>
      <c r="Q894" s="247"/>
      <c r="R894" s="247"/>
      <c r="S894" s="247"/>
      <c r="T894" s="247"/>
      <c r="U894" s="247"/>
    </row>
    <row r="895">
      <c r="A895" s="247"/>
      <c r="B895" s="247"/>
      <c r="C895" s="247"/>
      <c r="D895" s="247"/>
      <c r="E895" s="247"/>
      <c r="F895" s="247"/>
      <c r="G895" s="247"/>
      <c r="H895" s="247"/>
      <c r="I895" s="247"/>
      <c r="J895" s="247"/>
      <c r="K895" s="247"/>
      <c r="L895" s="247"/>
      <c r="M895" s="247"/>
      <c r="N895" s="247"/>
      <c r="O895" s="247"/>
      <c r="P895" s="247"/>
      <c r="Q895" s="247"/>
      <c r="R895" s="247"/>
      <c r="S895" s="247"/>
      <c r="T895" s="247"/>
      <c r="U895" s="247"/>
    </row>
    <row r="896">
      <c r="A896" s="247"/>
      <c r="B896" s="247"/>
      <c r="C896" s="247"/>
      <c r="D896" s="247"/>
      <c r="E896" s="247"/>
      <c r="F896" s="247"/>
      <c r="G896" s="247"/>
      <c r="H896" s="247"/>
      <c r="I896" s="247"/>
      <c r="J896" s="247"/>
      <c r="K896" s="247"/>
      <c r="L896" s="247"/>
      <c r="M896" s="247"/>
      <c r="N896" s="247"/>
      <c r="O896" s="247"/>
      <c r="P896" s="247"/>
      <c r="Q896" s="247"/>
      <c r="R896" s="247"/>
      <c r="S896" s="247"/>
      <c r="T896" s="247"/>
      <c r="U896" s="247"/>
    </row>
    <row r="897">
      <c r="A897" s="247"/>
      <c r="B897" s="247"/>
      <c r="C897" s="247"/>
      <c r="D897" s="247"/>
      <c r="E897" s="247"/>
      <c r="F897" s="247"/>
      <c r="G897" s="247"/>
      <c r="H897" s="247"/>
      <c r="I897" s="247"/>
      <c r="J897" s="247"/>
      <c r="K897" s="247"/>
      <c r="L897" s="247"/>
      <c r="M897" s="247"/>
      <c r="N897" s="247"/>
      <c r="O897" s="247"/>
      <c r="P897" s="247"/>
      <c r="Q897" s="247"/>
      <c r="R897" s="247"/>
      <c r="S897" s="247"/>
      <c r="T897" s="247"/>
      <c r="U897" s="247"/>
    </row>
    <row r="898">
      <c r="A898" s="247"/>
      <c r="B898" s="247"/>
      <c r="C898" s="247"/>
      <c r="D898" s="247"/>
      <c r="E898" s="247"/>
      <c r="F898" s="247"/>
      <c r="G898" s="247"/>
      <c r="H898" s="247"/>
      <c r="I898" s="247"/>
      <c r="J898" s="247"/>
      <c r="K898" s="247"/>
      <c r="L898" s="247"/>
      <c r="M898" s="247"/>
      <c r="N898" s="247"/>
      <c r="O898" s="247"/>
      <c r="P898" s="247"/>
      <c r="Q898" s="247"/>
      <c r="R898" s="247"/>
      <c r="S898" s="247"/>
      <c r="T898" s="247"/>
      <c r="U898" s="247"/>
    </row>
    <row r="899">
      <c r="A899" s="247"/>
      <c r="B899" s="247"/>
      <c r="C899" s="247"/>
      <c r="D899" s="247"/>
      <c r="E899" s="247"/>
      <c r="F899" s="247"/>
      <c r="G899" s="247"/>
      <c r="H899" s="247"/>
      <c r="I899" s="247"/>
      <c r="J899" s="247"/>
      <c r="K899" s="247"/>
      <c r="L899" s="247"/>
      <c r="M899" s="247"/>
      <c r="N899" s="247"/>
      <c r="O899" s="247"/>
      <c r="P899" s="247"/>
      <c r="Q899" s="247"/>
      <c r="R899" s="247"/>
      <c r="S899" s="247"/>
      <c r="T899" s="247"/>
      <c r="U899" s="247"/>
    </row>
    <row r="900">
      <c r="A900" s="247"/>
      <c r="B900" s="247"/>
      <c r="C900" s="247"/>
      <c r="D900" s="247"/>
      <c r="E900" s="247"/>
      <c r="F900" s="247"/>
      <c r="G900" s="247"/>
      <c r="H900" s="247"/>
      <c r="I900" s="247"/>
      <c r="J900" s="247"/>
      <c r="K900" s="247"/>
      <c r="L900" s="247"/>
      <c r="M900" s="247"/>
      <c r="N900" s="247"/>
      <c r="O900" s="247"/>
      <c r="P900" s="247"/>
      <c r="Q900" s="247"/>
      <c r="R900" s="247"/>
      <c r="S900" s="247"/>
      <c r="T900" s="247"/>
      <c r="U900" s="247"/>
    </row>
    <row r="901">
      <c r="A901" s="247"/>
      <c r="B901" s="247"/>
      <c r="C901" s="247"/>
      <c r="D901" s="247"/>
      <c r="E901" s="247"/>
      <c r="F901" s="247"/>
      <c r="G901" s="247"/>
      <c r="H901" s="247"/>
      <c r="I901" s="247"/>
      <c r="J901" s="247"/>
      <c r="K901" s="247"/>
      <c r="L901" s="247"/>
      <c r="M901" s="247"/>
      <c r="N901" s="247"/>
      <c r="O901" s="247"/>
      <c r="P901" s="247"/>
      <c r="Q901" s="247"/>
      <c r="R901" s="247"/>
      <c r="S901" s="247"/>
      <c r="T901" s="247"/>
      <c r="U901" s="247"/>
    </row>
    <row r="902">
      <c r="A902" s="247"/>
      <c r="B902" s="247"/>
      <c r="C902" s="247"/>
      <c r="D902" s="247"/>
      <c r="E902" s="247"/>
      <c r="F902" s="247"/>
      <c r="G902" s="247"/>
      <c r="H902" s="247"/>
      <c r="I902" s="247"/>
      <c r="J902" s="247"/>
      <c r="K902" s="247"/>
      <c r="L902" s="247"/>
      <c r="M902" s="247"/>
      <c r="N902" s="247"/>
      <c r="O902" s="247"/>
      <c r="P902" s="247"/>
      <c r="Q902" s="247"/>
      <c r="R902" s="247"/>
      <c r="S902" s="247"/>
      <c r="T902" s="247"/>
      <c r="U902" s="247"/>
    </row>
    <row r="903">
      <c r="A903" s="247"/>
      <c r="B903" s="247"/>
      <c r="C903" s="247"/>
      <c r="D903" s="247"/>
      <c r="E903" s="247"/>
      <c r="F903" s="247"/>
      <c r="G903" s="247"/>
      <c r="H903" s="247"/>
      <c r="I903" s="247"/>
      <c r="J903" s="247"/>
      <c r="K903" s="247"/>
      <c r="L903" s="247"/>
      <c r="M903" s="247"/>
      <c r="N903" s="247"/>
      <c r="O903" s="247"/>
      <c r="P903" s="247"/>
      <c r="Q903" s="247"/>
      <c r="R903" s="247"/>
      <c r="S903" s="247"/>
      <c r="T903" s="247"/>
      <c r="U903" s="247"/>
    </row>
    <row r="904">
      <c r="A904" s="247"/>
      <c r="B904" s="247"/>
      <c r="C904" s="247"/>
      <c r="D904" s="247"/>
      <c r="E904" s="247"/>
      <c r="F904" s="247"/>
      <c r="G904" s="247"/>
      <c r="H904" s="247"/>
      <c r="I904" s="247"/>
      <c r="J904" s="247"/>
      <c r="K904" s="247"/>
      <c r="L904" s="247"/>
      <c r="M904" s="247"/>
      <c r="N904" s="247"/>
      <c r="O904" s="247"/>
      <c r="P904" s="247"/>
      <c r="Q904" s="247"/>
      <c r="R904" s="247"/>
      <c r="S904" s="247"/>
      <c r="T904" s="247"/>
      <c r="U904" s="247"/>
    </row>
    <row r="905">
      <c r="A905" s="247"/>
      <c r="B905" s="247"/>
      <c r="C905" s="247"/>
      <c r="D905" s="247"/>
      <c r="E905" s="247"/>
      <c r="F905" s="247"/>
      <c r="G905" s="247"/>
      <c r="H905" s="247"/>
      <c r="I905" s="247"/>
      <c r="J905" s="247"/>
      <c r="K905" s="247"/>
      <c r="L905" s="247"/>
      <c r="M905" s="247"/>
      <c r="N905" s="247"/>
      <c r="O905" s="247"/>
      <c r="P905" s="247"/>
      <c r="Q905" s="247"/>
      <c r="R905" s="247"/>
      <c r="S905" s="247"/>
      <c r="T905" s="247"/>
      <c r="U905" s="247"/>
    </row>
    <row r="906">
      <c r="A906" s="247"/>
      <c r="B906" s="247"/>
      <c r="C906" s="247"/>
      <c r="D906" s="247"/>
      <c r="E906" s="247"/>
      <c r="F906" s="247"/>
      <c r="G906" s="247"/>
      <c r="H906" s="247"/>
      <c r="I906" s="247"/>
      <c r="J906" s="247"/>
      <c r="K906" s="247"/>
      <c r="L906" s="247"/>
      <c r="M906" s="247"/>
      <c r="N906" s="247"/>
      <c r="O906" s="247"/>
      <c r="P906" s="247"/>
      <c r="Q906" s="247"/>
      <c r="R906" s="247"/>
      <c r="S906" s="247"/>
      <c r="T906" s="247"/>
      <c r="U906" s="247"/>
    </row>
    <row r="907">
      <c r="A907" s="247"/>
      <c r="B907" s="247"/>
      <c r="C907" s="247"/>
      <c r="D907" s="247"/>
      <c r="E907" s="247"/>
      <c r="F907" s="247"/>
      <c r="G907" s="247"/>
      <c r="H907" s="247"/>
      <c r="I907" s="247"/>
      <c r="J907" s="247"/>
      <c r="K907" s="247"/>
      <c r="L907" s="247"/>
      <c r="M907" s="247"/>
      <c r="N907" s="247"/>
      <c r="O907" s="247"/>
      <c r="P907" s="247"/>
      <c r="Q907" s="247"/>
      <c r="R907" s="247"/>
      <c r="S907" s="247"/>
      <c r="T907" s="247"/>
      <c r="U907" s="247"/>
    </row>
    <row r="908">
      <c r="A908" s="247"/>
      <c r="B908" s="247"/>
      <c r="C908" s="247"/>
      <c r="D908" s="247"/>
      <c r="E908" s="247"/>
      <c r="F908" s="247"/>
      <c r="G908" s="247"/>
      <c r="H908" s="247"/>
      <c r="I908" s="247"/>
      <c r="J908" s="247"/>
      <c r="K908" s="247"/>
      <c r="L908" s="247"/>
      <c r="M908" s="247"/>
      <c r="N908" s="247"/>
      <c r="O908" s="247"/>
      <c r="P908" s="247"/>
      <c r="Q908" s="247"/>
      <c r="R908" s="247"/>
      <c r="S908" s="247"/>
      <c r="T908" s="247"/>
      <c r="U908" s="247"/>
    </row>
    <row r="909">
      <c r="A909" s="247"/>
      <c r="B909" s="247"/>
      <c r="C909" s="247"/>
      <c r="D909" s="247"/>
      <c r="E909" s="247"/>
      <c r="F909" s="247"/>
      <c r="G909" s="247"/>
      <c r="H909" s="247"/>
      <c r="I909" s="247"/>
      <c r="J909" s="247"/>
      <c r="K909" s="247"/>
      <c r="L909" s="247"/>
      <c r="M909" s="247"/>
      <c r="N909" s="247"/>
      <c r="O909" s="247"/>
      <c r="P909" s="247"/>
      <c r="Q909" s="247"/>
      <c r="R909" s="247"/>
      <c r="S909" s="247"/>
      <c r="T909" s="247"/>
      <c r="U909" s="247"/>
    </row>
    <row r="910">
      <c r="A910" s="247"/>
      <c r="B910" s="247"/>
      <c r="C910" s="247"/>
      <c r="D910" s="247"/>
      <c r="E910" s="247"/>
      <c r="F910" s="247"/>
      <c r="G910" s="247"/>
      <c r="H910" s="247"/>
      <c r="I910" s="247"/>
      <c r="J910" s="247"/>
      <c r="K910" s="247"/>
      <c r="L910" s="247"/>
      <c r="M910" s="247"/>
      <c r="N910" s="247"/>
      <c r="O910" s="247"/>
      <c r="P910" s="247"/>
      <c r="Q910" s="247"/>
      <c r="R910" s="247"/>
      <c r="S910" s="247"/>
      <c r="T910" s="247"/>
      <c r="U910" s="247"/>
    </row>
    <row r="911">
      <c r="A911" s="247"/>
      <c r="B911" s="247"/>
      <c r="C911" s="247"/>
      <c r="D911" s="247"/>
      <c r="E911" s="247"/>
      <c r="F911" s="247"/>
      <c r="G911" s="247"/>
      <c r="H911" s="247"/>
      <c r="I911" s="247"/>
      <c r="J911" s="247"/>
      <c r="K911" s="247"/>
      <c r="L911" s="247"/>
      <c r="M911" s="247"/>
      <c r="N911" s="247"/>
      <c r="O911" s="247"/>
      <c r="P911" s="247"/>
      <c r="Q911" s="247"/>
      <c r="R911" s="247"/>
      <c r="S911" s="247"/>
      <c r="T911" s="247"/>
      <c r="U911" s="247"/>
    </row>
    <row r="912">
      <c r="A912" s="247"/>
      <c r="B912" s="247"/>
      <c r="C912" s="247"/>
      <c r="D912" s="247"/>
      <c r="E912" s="247"/>
      <c r="F912" s="247"/>
      <c r="G912" s="247"/>
      <c r="H912" s="247"/>
      <c r="I912" s="247"/>
      <c r="J912" s="247"/>
      <c r="K912" s="247"/>
      <c r="L912" s="247"/>
      <c r="M912" s="247"/>
      <c r="N912" s="247"/>
      <c r="O912" s="247"/>
      <c r="P912" s="247"/>
      <c r="Q912" s="247"/>
      <c r="R912" s="247"/>
      <c r="S912" s="247"/>
      <c r="T912" s="247"/>
      <c r="U912" s="247"/>
    </row>
    <row r="913">
      <c r="A913" s="247"/>
      <c r="B913" s="247"/>
      <c r="C913" s="247"/>
      <c r="D913" s="247"/>
      <c r="E913" s="247"/>
      <c r="F913" s="247"/>
      <c r="G913" s="247"/>
      <c r="H913" s="247"/>
      <c r="I913" s="247"/>
      <c r="J913" s="247"/>
      <c r="K913" s="247"/>
      <c r="L913" s="247"/>
      <c r="M913" s="247"/>
      <c r="N913" s="247"/>
      <c r="O913" s="247"/>
      <c r="P913" s="247"/>
      <c r="Q913" s="247"/>
      <c r="R913" s="247"/>
      <c r="S913" s="247"/>
      <c r="T913" s="247"/>
      <c r="U913" s="247"/>
    </row>
    <row r="914">
      <c r="A914" s="247"/>
      <c r="B914" s="247"/>
      <c r="C914" s="247"/>
      <c r="D914" s="247"/>
      <c r="E914" s="247"/>
      <c r="F914" s="247"/>
      <c r="G914" s="247"/>
      <c r="H914" s="247"/>
      <c r="I914" s="247"/>
      <c r="J914" s="247"/>
      <c r="K914" s="247"/>
      <c r="L914" s="247"/>
      <c r="M914" s="247"/>
      <c r="N914" s="247"/>
      <c r="O914" s="247"/>
      <c r="P914" s="247"/>
      <c r="Q914" s="247"/>
      <c r="R914" s="247"/>
      <c r="S914" s="247"/>
      <c r="T914" s="247"/>
      <c r="U914" s="247"/>
    </row>
    <row r="915">
      <c r="A915" s="247"/>
      <c r="B915" s="247"/>
      <c r="C915" s="247"/>
      <c r="D915" s="247"/>
      <c r="E915" s="247"/>
      <c r="F915" s="247"/>
      <c r="G915" s="247"/>
      <c r="H915" s="247"/>
      <c r="I915" s="247"/>
      <c r="J915" s="247"/>
      <c r="K915" s="247"/>
      <c r="L915" s="247"/>
      <c r="M915" s="247"/>
      <c r="N915" s="247"/>
      <c r="O915" s="247"/>
      <c r="P915" s="247"/>
      <c r="Q915" s="247"/>
      <c r="R915" s="247"/>
      <c r="S915" s="247"/>
      <c r="T915" s="247"/>
      <c r="U915" s="247"/>
    </row>
    <row r="916">
      <c r="A916" s="247"/>
      <c r="B916" s="247"/>
      <c r="C916" s="247"/>
      <c r="D916" s="247"/>
      <c r="E916" s="247"/>
      <c r="F916" s="247"/>
      <c r="G916" s="247"/>
      <c r="H916" s="247"/>
      <c r="I916" s="247"/>
      <c r="J916" s="247"/>
      <c r="K916" s="247"/>
      <c r="L916" s="247"/>
      <c r="M916" s="247"/>
      <c r="N916" s="247"/>
      <c r="O916" s="247"/>
      <c r="P916" s="247"/>
      <c r="Q916" s="247"/>
      <c r="R916" s="247"/>
      <c r="S916" s="247"/>
      <c r="T916" s="247"/>
      <c r="U916" s="247"/>
    </row>
    <row r="917">
      <c r="A917" s="247"/>
      <c r="B917" s="247"/>
      <c r="C917" s="247"/>
      <c r="D917" s="247"/>
      <c r="E917" s="247"/>
      <c r="F917" s="247"/>
      <c r="G917" s="247"/>
      <c r="H917" s="247"/>
      <c r="I917" s="247"/>
      <c r="J917" s="247"/>
      <c r="K917" s="247"/>
      <c r="L917" s="247"/>
      <c r="M917" s="247"/>
      <c r="N917" s="247"/>
      <c r="O917" s="247"/>
      <c r="P917" s="247"/>
      <c r="Q917" s="247"/>
      <c r="R917" s="247"/>
      <c r="S917" s="247"/>
      <c r="T917" s="247"/>
      <c r="U917" s="247"/>
    </row>
    <row r="918">
      <c r="A918" s="247"/>
      <c r="B918" s="247"/>
      <c r="C918" s="247"/>
      <c r="D918" s="247"/>
      <c r="E918" s="247"/>
      <c r="F918" s="247"/>
      <c r="G918" s="247"/>
      <c r="H918" s="247"/>
      <c r="I918" s="247"/>
      <c r="J918" s="247"/>
      <c r="K918" s="247"/>
      <c r="L918" s="247"/>
      <c r="M918" s="247"/>
      <c r="N918" s="247"/>
      <c r="O918" s="247"/>
      <c r="P918" s="247"/>
      <c r="Q918" s="247"/>
      <c r="R918" s="247"/>
      <c r="S918" s="247"/>
      <c r="T918" s="247"/>
      <c r="U918" s="247"/>
    </row>
    <row r="919">
      <c r="A919" s="247"/>
      <c r="B919" s="247"/>
      <c r="C919" s="247"/>
      <c r="D919" s="247"/>
      <c r="E919" s="247"/>
      <c r="F919" s="247"/>
      <c r="G919" s="247"/>
      <c r="H919" s="247"/>
      <c r="I919" s="247"/>
      <c r="J919" s="247"/>
      <c r="K919" s="247"/>
      <c r="L919" s="247"/>
      <c r="M919" s="247"/>
      <c r="N919" s="247"/>
      <c r="O919" s="247"/>
      <c r="P919" s="247"/>
      <c r="Q919" s="247"/>
      <c r="R919" s="247"/>
      <c r="S919" s="247"/>
      <c r="T919" s="247"/>
      <c r="U919" s="247"/>
    </row>
    <row r="920">
      <c r="A920" s="247"/>
      <c r="B920" s="247"/>
      <c r="C920" s="247"/>
      <c r="D920" s="247"/>
      <c r="E920" s="247"/>
      <c r="F920" s="247"/>
      <c r="G920" s="247"/>
      <c r="H920" s="247"/>
      <c r="I920" s="247"/>
      <c r="J920" s="247"/>
      <c r="K920" s="247"/>
      <c r="L920" s="247"/>
      <c r="M920" s="247"/>
      <c r="N920" s="247"/>
      <c r="O920" s="247"/>
      <c r="P920" s="247"/>
      <c r="Q920" s="247"/>
      <c r="R920" s="247"/>
      <c r="S920" s="247"/>
      <c r="T920" s="247"/>
      <c r="U920" s="247"/>
    </row>
    <row r="921">
      <c r="A921" s="247"/>
      <c r="B921" s="247"/>
      <c r="C921" s="247"/>
      <c r="D921" s="247"/>
      <c r="E921" s="247"/>
      <c r="F921" s="247"/>
      <c r="G921" s="247"/>
      <c r="H921" s="247"/>
      <c r="I921" s="247"/>
      <c r="J921" s="247"/>
      <c r="K921" s="247"/>
      <c r="L921" s="247"/>
      <c r="M921" s="247"/>
      <c r="N921" s="247"/>
      <c r="O921" s="247"/>
      <c r="P921" s="247"/>
      <c r="Q921" s="247"/>
      <c r="R921" s="247"/>
      <c r="S921" s="247"/>
      <c r="T921" s="247"/>
      <c r="U921" s="247"/>
    </row>
    <row r="922">
      <c r="A922" s="247"/>
      <c r="B922" s="247"/>
      <c r="C922" s="247"/>
      <c r="D922" s="247"/>
      <c r="E922" s="247"/>
      <c r="F922" s="247"/>
      <c r="G922" s="247"/>
      <c r="H922" s="247"/>
      <c r="I922" s="247"/>
      <c r="J922" s="247"/>
      <c r="K922" s="247"/>
      <c r="L922" s="247"/>
      <c r="M922" s="247"/>
      <c r="N922" s="247"/>
      <c r="O922" s="247"/>
      <c r="P922" s="247"/>
      <c r="Q922" s="247"/>
      <c r="R922" s="247"/>
      <c r="S922" s="247"/>
      <c r="T922" s="247"/>
      <c r="U922" s="247"/>
    </row>
    <row r="923">
      <c r="A923" s="247"/>
      <c r="B923" s="247"/>
      <c r="C923" s="247"/>
      <c r="D923" s="247"/>
      <c r="E923" s="247"/>
      <c r="F923" s="247"/>
      <c r="G923" s="247"/>
      <c r="H923" s="247"/>
      <c r="I923" s="247"/>
      <c r="J923" s="247"/>
      <c r="K923" s="247"/>
      <c r="L923" s="247"/>
      <c r="M923" s="247"/>
      <c r="N923" s="247"/>
      <c r="O923" s="247"/>
      <c r="P923" s="247"/>
      <c r="Q923" s="247"/>
      <c r="R923" s="247"/>
      <c r="S923" s="247"/>
      <c r="T923" s="247"/>
      <c r="U923" s="247"/>
    </row>
    <row r="924">
      <c r="A924" s="247"/>
      <c r="B924" s="247"/>
      <c r="C924" s="247"/>
      <c r="D924" s="247"/>
      <c r="E924" s="247"/>
      <c r="F924" s="247"/>
      <c r="G924" s="247"/>
      <c r="H924" s="247"/>
      <c r="I924" s="247"/>
      <c r="J924" s="247"/>
      <c r="K924" s="247"/>
      <c r="L924" s="247"/>
      <c r="M924" s="247"/>
      <c r="N924" s="247"/>
      <c r="O924" s="247"/>
      <c r="P924" s="247"/>
      <c r="Q924" s="247"/>
      <c r="R924" s="247"/>
      <c r="S924" s="247"/>
      <c r="T924" s="247"/>
      <c r="U924" s="247"/>
    </row>
    <row r="925">
      <c r="A925" s="247"/>
      <c r="B925" s="247"/>
      <c r="C925" s="247"/>
      <c r="D925" s="247"/>
      <c r="E925" s="247"/>
      <c r="F925" s="247"/>
      <c r="G925" s="247"/>
      <c r="H925" s="247"/>
      <c r="I925" s="247"/>
      <c r="J925" s="247"/>
      <c r="K925" s="247"/>
      <c r="L925" s="247"/>
      <c r="M925" s="247"/>
      <c r="N925" s="247"/>
      <c r="O925" s="247"/>
      <c r="P925" s="247"/>
      <c r="Q925" s="247"/>
      <c r="R925" s="247"/>
      <c r="S925" s="247"/>
      <c r="T925" s="247"/>
      <c r="U925" s="247"/>
    </row>
    <row r="926">
      <c r="A926" s="247"/>
      <c r="B926" s="247"/>
      <c r="C926" s="247"/>
      <c r="D926" s="247"/>
      <c r="E926" s="247"/>
      <c r="F926" s="247"/>
      <c r="G926" s="247"/>
      <c r="H926" s="247"/>
      <c r="I926" s="247"/>
      <c r="J926" s="247"/>
      <c r="K926" s="247"/>
      <c r="L926" s="247"/>
      <c r="M926" s="247"/>
      <c r="N926" s="247"/>
      <c r="O926" s="247"/>
      <c r="P926" s="247"/>
      <c r="Q926" s="247"/>
      <c r="R926" s="247"/>
      <c r="S926" s="247"/>
      <c r="T926" s="247"/>
      <c r="U926" s="247"/>
    </row>
    <row r="927">
      <c r="A927" s="247"/>
      <c r="B927" s="247"/>
      <c r="C927" s="247"/>
      <c r="D927" s="247"/>
      <c r="E927" s="247"/>
      <c r="F927" s="247"/>
      <c r="G927" s="247"/>
      <c r="H927" s="247"/>
      <c r="I927" s="247"/>
      <c r="J927" s="247"/>
      <c r="K927" s="247"/>
      <c r="L927" s="247"/>
      <c r="M927" s="247"/>
      <c r="N927" s="247"/>
      <c r="O927" s="247"/>
      <c r="P927" s="247"/>
      <c r="Q927" s="247"/>
      <c r="R927" s="247"/>
      <c r="S927" s="247"/>
      <c r="T927" s="247"/>
      <c r="U927" s="247"/>
    </row>
    <row r="928">
      <c r="A928" s="247"/>
      <c r="B928" s="247"/>
      <c r="C928" s="247"/>
      <c r="D928" s="247"/>
      <c r="E928" s="247"/>
      <c r="F928" s="247"/>
      <c r="G928" s="247"/>
      <c r="H928" s="247"/>
      <c r="I928" s="247"/>
      <c r="J928" s="247"/>
      <c r="K928" s="247"/>
      <c r="L928" s="247"/>
      <c r="M928" s="247"/>
      <c r="N928" s="247"/>
      <c r="O928" s="247"/>
      <c r="P928" s="247"/>
      <c r="Q928" s="247"/>
      <c r="R928" s="247"/>
      <c r="S928" s="247"/>
      <c r="T928" s="247"/>
      <c r="U928" s="247"/>
    </row>
    <row r="929">
      <c r="A929" s="247"/>
      <c r="B929" s="247"/>
      <c r="C929" s="247"/>
      <c r="D929" s="247"/>
      <c r="E929" s="247"/>
      <c r="F929" s="247"/>
      <c r="G929" s="247"/>
      <c r="H929" s="247"/>
      <c r="I929" s="247"/>
      <c r="J929" s="247"/>
      <c r="K929" s="247"/>
      <c r="L929" s="247"/>
      <c r="M929" s="247"/>
      <c r="N929" s="247"/>
      <c r="O929" s="247"/>
      <c r="P929" s="247"/>
      <c r="Q929" s="247"/>
      <c r="R929" s="247"/>
      <c r="S929" s="247"/>
      <c r="T929" s="247"/>
      <c r="U929" s="247"/>
    </row>
    <row r="930">
      <c r="A930" s="247"/>
      <c r="B930" s="247"/>
      <c r="C930" s="247"/>
      <c r="D930" s="247"/>
      <c r="E930" s="247"/>
      <c r="F930" s="247"/>
      <c r="G930" s="247"/>
      <c r="H930" s="247"/>
      <c r="I930" s="247"/>
      <c r="J930" s="247"/>
      <c r="K930" s="247"/>
      <c r="L930" s="247"/>
      <c r="M930" s="247"/>
      <c r="N930" s="247"/>
      <c r="O930" s="247"/>
      <c r="P930" s="247"/>
      <c r="Q930" s="247"/>
      <c r="R930" s="247"/>
      <c r="S930" s="247"/>
      <c r="T930" s="247"/>
      <c r="U930" s="247"/>
    </row>
    <row r="931">
      <c r="A931" s="247"/>
      <c r="B931" s="247"/>
      <c r="C931" s="247"/>
      <c r="D931" s="247"/>
      <c r="E931" s="247"/>
      <c r="F931" s="247"/>
      <c r="G931" s="247"/>
      <c r="H931" s="247"/>
      <c r="I931" s="247"/>
      <c r="J931" s="247"/>
      <c r="K931" s="247"/>
      <c r="L931" s="247"/>
      <c r="M931" s="247"/>
      <c r="N931" s="247"/>
      <c r="O931" s="247"/>
      <c r="P931" s="247"/>
      <c r="Q931" s="247"/>
      <c r="R931" s="247"/>
      <c r="S931" s="247"/>
      <c r="T931" s="247"/>
      <c r="U931" s="247"/>
    </row>
    <row r="932">
      <c r="A932" s="247"/>
      <c r="B932" s="247"/>
      <c r="C932" s="247"/>
      <c r="D932" s="247"/>
      <c r="E932" s="247"/>
      <c r="F932" s="247"/>
      <c r="G932" s="247"/>
      <c r="H932" s="247"/>
      <c r="I932" s="247"/>
      <c r="J932" s="247"/>
      <c r="K932" s="247"/>
      <c r="L932" s="247"/>
      <c r="M932" s="247"/>
      <c r="N932" s="247"/>
      <c r="O932" s="247"/>
      <c r="P932" s="247"/>
      <c r="Q932" s="247"/>
      <c r="R932" s="247"/>
      <c r="S932" s="247"/>
      <c r="T932" s="247"/>
      <c r="U932" s="247"/>
    </row>
    <row r="933">
      <c r="A933" s="247"/>
      <c r="B933" s="247"/>
      <c r="C933" s="247"/>
      <c r="D933" s="247"/>
      <c r="E933" s="247"/>
      <c r="F933" s="247"/>
      <c r="G933" s="247"/>
      <c r="H933" s="247"/>
      <c r="I933" s="247"/>
      <c r="J933" s="247"/>
      <c r="K933" s="247"/>
      <c r="L933" s="247"/>
      <c r="M933" s="247"/>
      <c r="N933" s="247"/>
      <c r="O933" s="247"/>
      <c r="P933" s="247"/>
      <c r="Q933" s="247"/>
      <c r="R933" s="247"/>
      <c r="S933" s="247"/>
      <c r="T933" s="247"/>
      <c r="U933" s="247"/>
    </row>
    <row r="934">
      <c r="A934" s="247"/>
      <c r="B934" s="247"/>
      <c r="C934" s="247"/>
      <c r="D934" s="247"/>
      <c r="E934" s="247"/>
      <c r="F934" s="247"/>
      <c r="G934" s="247"/>
      <c r="H934" s="247"/>
      <c r="I934" s="247"/>
      <c r="J934" s="247"/>
      <c r="K934" s="247"/>
      <c r="L934" s="247"/>
      <c r="M934" s="247"/>
      <c r="N934" s="247"/>
      <c r="O934" s="247"/>
      <c r="P934" s="247"/>
      <c r="Q934" s="247"/>
      <c r="R934" s="247"/>
      <c r="S934" s="247"/>
      <c r="T934" s="247"/>
      <c r="U934" s="247"/>
    </row>
    <row r="935">
      <c r="A935" s="247"/>
      <c r="B935" s="247"/>
      <c r="C935" s="247"/>
      <c r="D935" s="247"/>
      <c r="E935" s="247"/>
      <c r="F935" s="247"/>
      <c r="G935" s="247"/>
      <c r="H935" s="247"/>
      <c r="I935" s="247"/>
      <c r="J935" s="247"/>
      <c r="K935" s="247"/>
      <c r="L935" s="247"/>
      <c r="M935" s="247"/>
      <c r="N935" s="247"/>
      <c r="O935" s="247"/>
      <c r="P935" s="247"/>
      <c r="Q935" s="247"/>
      <c r="R935" s="247"/>
      <c r="S935" s="247"/>
      <c r="T935" s="247"/>
      <c r="U935" s="247"/>
    </row>
    <row r="936">
      <c r="A936" s="247"/>
      <c r="B936" s="247"/>
      <c r="C936" s="247"/>
      <c r="D936" s="247"/>
      <c r="E936" s="247"/>
      <c r="F936" s="247"/>
      <c r="G936" s="247"/>
      <c r="H936" s="247"/>
      <c r="I936" s="247"/>
      <c r="J936" s="247"/>
      <c r="K936" s="247"/>
      <c r="L936" s="247"/>
      <c r="M936" s="247"/>
      <c r="N936" s="247"/>
      <c r="O936" s="247"/>
      <c r="P936" s="247"/>
      <c r="Q936" s="247"/>
      <c r="R936" s="247"/>
      <c r="S936" s="247"/>
      <c r="T936" s="247"/>
      <c r="U936" s="247"/>
    </row>
    <row r="937">
      <c r="A937" s="247"/>
      <c r="B937" s="247"/>
      <c r="C937" s="247"/>
      <c r="D937" s="247"/>
      <c r="E937" s="247"/>
      <c r="F937" s="247"/>
      <c r="G937" s="247"/>
      <c r="H937" s="247"/>
      <c r="I937" s="247"/>
      <c r="J937" s="247"/>
      <c r="K937" s="247"/>
      <c r="L937" s="247"/>
      <c r="M937" s="247"/>
      <c r="N937" s="247"/>
      <c r="O937" s="247"/>
      <c r="P937" s="247"/>
      <c r="Q937" s="247"/>
      <c r="R937" s="247"/>
      <c r="S937" s="247"/>
      <c r="T937" s="247"/>
      <c r="U937" s="247"/>
    </row>
    <row r="938">
      <c r="A938" s="247"/>
      <c r="B938" s="247"/>
      <c r="C938" s="247"/>
      <c r="D938" s="247"/>
      <c r="E938" s="247"/>
      <c r="F938" s="247"/>
      <c r="G938" s="247"/>
      <c r="H938" s="247"/>
      <c r="I938" s="247"/>
      <c r="J938" s="247"/>
      <c r="K938" s="247"/>
      <c r="L938" s="247"/>
      <c r="M938" s="247"/>
      <c r="N938" s="247"/>
      <c r="O938" s="247"/>
      <c r="P938" s="247"/>
      <c r="Q938" s="247"/>
      <c r="R938" s="247"/>
      <c r="S938" s="247"/>
      <c r="T938" s="247"/>
      <c r="U938" s="247"/>
    </row>
    <row r="939">
      <c r="A939" s="247"/>
      <c r="B939" s="247"/>
      <c r="C939" s="247"/>
      <c r="D939" s="247"/>
      <c r="E939" s="247"/>
      <c r="F939" s="247"/>
      <c r="G939" s="247"/>
      <c r="H939" s="247"/>
      <c r="I939" s="247"/>
      <c r="J939" s="247"/>
      <c r="K939" s="247"/>
      <c r="L939" s="247"/>
      <c r="M939" s="247"/>
      <c r="N939" s="247"/>
      <c r="O939" s="247"/>
      <c r="P939" s="247"/>
      <c r="Q939" s="247"/>
      <c r="R939" s="247"/>
      <c r="S939" s="247"/>
      <c r="T939" s="247"/>
      <c r="U939" s="247"/>
    </row>
    <row r="940">
      <c r="A940" s="247"/>
      <c r="B940" s="247"/>
      <c r="C940" s="247"/>
      <c r="D940" s="247"/>
      <c r="E940" s="247"/>
      <c r="F940" s="247"/>
      <c r="G940" s="247"/>
      <c r="H940" s="247"/>
      <c r="I940" s="247"/>
      <c r="J940" s="247"/>
      <c r="K940" s="247"/>
      <c r="L940" s="247"/>
      <c r="M940" s="247"/>
      <c r="N940" s="247"/>
      <c r="O940" s="247"/>
      <c r="P940" s="247"/>
      <c r="Q940" s="247"/>
      <c r="R940" s="247"/>
      <c r="S940" s="247"/>
      <c r="T940" s="247"/>
      <c r="U940" s="247"/>
    </row>
    <row r="941">
      <c r="A941" s="247"/>
      <c r="B941" s="247"/>
      <c r="C941" s="247"/>
      <c r="D941" s="247"/>
      <c r="E941" s="247"/>
      <c r="F941" s="247"/>
      <c r="G941" s="247"/>
      <c r="H941" s="247"/>
      <c r="I941" s="247"/>
      <c r="J941" s="247"/>
      <c r="K941" s="247"/>
      <c r="L941" s="247"/>
      <c r="M941" s="247"/>
      <c r="N941" s="247"/>
      <c r="O941" s="247"/>
      <c r="P941" s="247"/>
      <c r="Q941" s="247"/>
      <c r="R941" s="247"/>
      <c r="S941" s="247"/>
      <c r="T941" s="247"/>
      <c r="U941" s="247"/>
    </row>
    <row r="942">
      <c r="A942" s="247"/>
      <c r="B942" s="247"/>
      <c r="C942" s="247"/>
      <c r="D942" s="247"/>
      <c r="E942" s="247"/>
      <c r="F942" s="247"/>
      <c r="G942" s="247"/>
      <c r="H942" s="247"/>
      <c r="I942" s="247"/>
      <c r="J942" s="247"/>
      <c r="K942" s="247"/>
      <c r="L942" s="247"/>
      <c r="M942" s="247"/>
      <c r="N942" s="247"/>
      <c r="O942" s="247"/>
      <c r="P942" s="247"/>
      <c r="Q942" s="247"/>
      <c r="R942" s="247"/>
      <c r="S942" s="247"/>
      <c r="T942" s="247"/>
      <c r="U942" s="247"/>
    </row>
    <row r="943">
      <c r="A943" s="247"/>
      <c r="B943" s="247"/>
      <c r="C943" s="247"/>
      <c r="D943" s="247"/>
      <c r="E943" s="247"/>
      <c r="F943" s="247"/>
      <c r="G943" s="247"/>
      <c r="H943" s="247"/>
      <c r="I943" s="247"/>
      <c r="J943" s="247"/>
      <c r="K943" s="247"/>
      <c r="L943" s="247"/>
      <c r="M943" s="247"/>
      <c r="N943" s="247"/>
      <c r="O943" s="247"/>
      <c r="P943" s="247"/>
      <c r="Q943" s="247"/>
      <c r="R943" s="247"/>
      <c r="S943" s="247"/>
      <c r="T943" s="247"/>
      <c r="U943" s="247"/>
    </row>
    <row r="944">
      <c r="A944" s="247"/>
      <c r="B944" s="247"/>
      <c r="C944" s="247"/>
      <c r="D944" s="247"/>
      <c r="E944" s="247"/>
      <c r="F944" s="247"/>
      <c r="G944" s="247"/>
      <c r="H944" s="247"/>
      <c r="I944" s="247"/>
      <c r="J944" s="247"/>
      <c r="K944" s="247"/>
      <c r="L944" s="247"/>
      <c r="M944" s="247"/>
      <c r="N944" s="247"/>
      <c r="O944" s="247"/>
      <c r="P944" s="247"/>
      <c r="Q944" s="247"/>
      <c r="R944" s="247"/>
      <c r="S944" s="247"/>
      <c r="T944" s="247"/>
      <c r="U944" s="247"/>
    </row>
    <row r="945">
      <c r="A945" s="247"/>
      <c r="B945" s="247"/>
      <c r="C945" s="247"/>
      <c r="D945" s="247"/>
      <c r="E945" s="247"/>
      <c r="F945" s="247"/>
      <c r="G945" s="247"/>
      <c r="H945" s="247"/>
      <c r="I945" s="247"/>
      <c r="J945" s="247"/>
      <c r="K945" s="247"/>
      <c r="L945" s="247"/>
      <c r="M945" s="247"/>
      <c r="N945" s="247"/>
      <c r="O945" s="247"/>
      <c r="P945" s="247"/>
      <c r="Q945" s="247"/>
      <c r="R945" s="247"/>
      <c r="S945" s="247"/>
      <c r="T945" s="247"/>
      <c r="U945" s="247"/>
    </row>
    <row r="946">
      <c r="A946" s="247"/>
      <c r="B946" s="247"/>
      <c r="C946" s="247"/>
      <c r="D946" s="247"/>
      <c r="E946" s="247"/>
      <c r="F946" s="247"/>
      <c r="G946" s="247"/>
      <c r="H946" s="247"/>
      <c r="I946" s="247"/>
      <c r="J946" s="247"/>
      <c r="K946" s="247"/>
      <c r="L946" s="247"/>
      <c r="M946" s="247"/>
      <c r="N946" s="247"/>
      <c r="O946" s="247"/>
      <c r="P946" s="247"/>
      <c r="Q946" s="247"/>
      <c r="R946" s="247"/>
      <c r="S946" s="247"/>
      <c r="T946" s="247"/>
      <c r="U946" s="247"/>
    </row>
    <row r="947">
      <c r="A947" s="247"/>
      <c r="B947" s="247"/>
      <c r="C947" s="247"/>
      <c r="D947" s="247"/>
      <c r="E947" s="247"/>
      <c r="F947" s="247"/>
      <c r="G947" s="247"/>
      <c r="H947" s="247"/>
      <c r="I947" s="247"/>
      <c r="J947" s="247"/>
      <c r="K947" s="247"/>
      <c r="L947" s="247"/>
      <c r="M947" s="247"/>
      <c r="N947" s="247"/>
      <c r="O947" s="247"/>
      <c r="P947" s="247"/>
      <c r="Q947" s="247"/>
      <c r="R947" s="247"/>
      <c r="S947" s="247"/>
      <c r="T947" s="247"/>
      <c r="U947" s="247"/>
    </row>
    <row r="948">
      <c r="A948" s="247"/>
      <c r="B948" s="247"/>
      <c r="C948" s="247"/>
      <c r="D948" s="247"/>
      <c r="E948" s="247"/>
      <c r="F948" s="247"/>
      <c r="G948" s="247"/>
      <c r="H948" s="247"/>
      <c r="I948" s="247"/>
      <c r="J948" s="247"/>
      <c r="K948" s="247"/>
      <c r="L948" s="247"/>
      <c r="M948" s="247"/>
      <c r="N948" s="247"/>
      <c r="O948" s="247"/>
      <c r="P948" s="247"/>
      <c r="Q948" s="247"/>
      <c r="R948" s="247"/>
      <c r="S948" s="247"/>
      <c r="T948" s="247"/>
      <c r="U948" s="247"/>
    </row>
    <row r="949">
      <c r="A949" s="247"/>
      <c r="B949" s="247"/>
      <c r="C949" s="247"/>
      <c r="D949" s="247"/>
      <c r="E949" s="247"/>
      <c r="F949" s="247"/>
      <c r="G949" s="247"/>
      <c r="H949" s="247"/>
      <c r="I949" s="247"/>
      <c r="J949" s="247"/>
      <c r="K949" s="247"/>
      <c r="L949" s="247"/>
      <c r="M949" s="247"/>
      <c r="N949" s="247"/>
      <c r="O949" s="247"/>
      <c r="P949" s="247"/>
      <c r="Q949" s="247"/>
      <c r="R949" s="247"/>
      <c r="S949" s="247"/>
      <c r="T949" s="247"/>
      <c r="U949" s="247"/>
    </row>
    <row r="950">
      <c r="A950" s="247"/>
      <c r="B950" s="247"/>
      <c r="C950" s="247"/>
      <c r="D950" s="247"/>
      <c r="E950" s="247"/>
      <c r="F950" s="247"/>
      <c r="G950" s="247"/>
      <c r="H950" s="247"/>
      <c r="I950" s="247"/>
      <c r="J950" s="247"/>
      <c r="K950" s="247"/>
      <c r="L950" s="247"/>
      <c r="M950" s="247"/>
      <c r="N950" s="247"/>
      <c r="O950" s="247"/>
      <c r="P950" s="247"/>
      <c r="Q950" s="247"/>
      <c r="R950" s="247"/>
      <c r="S950" s="247"/>
      <c r="T950" s="247"/>
      <c r="U950" s="247"/>
    </row>
    <row r="951">
      <c r="A951" s="247"/>
      <c r="B951" s="247"/>
      <c r="C951" s="247"/>
      <c r="D951" s="247"/>
      <c r="E951" s="247"/>
      <c r="F951" s="247"/>
      <c r="G951" s="247"/>
      <c r="H951" s="247"/>
      <c r="I951" s="247"/>
      <c r="J951" s="247"/>
      <c r="K951" s="247"/>
      <c r="L951" s="247"/>
      <c r="M951" s="247"/>
      <c r="N951" s="247"/>
      <c r="O951" s="247"/>
      <c r="P951" s="247"/>
      <c r="Q951" s="247"/>
      <c r="R951" s="247"/>
      <c r="S951" s="247"/>
      <c r="T951" s="247"/>
      <c r="U951" s="247"/>
    </row>
    <row r="952">
      <c r="A952" s="247"/>
      <c r="B952" s="247"/>
      <c r="C952" s="247"/>
      <c r="D952" s="247"/>
      <c r="E952" s="247"/>
      <c r="F952" s="247"/>
      <c r="G952" s="247"/>
      <c r="H952" s="247"/>
      <c r="I952" s="247"/>
      <c r="J952" s="247"/>
      <c r="K952" s="247"/>
      <c r="L952" s="247"/>
      <c r="M952" s="247"/>
      <c r="N952" s="247"/>
      <c r="O952" s="247"/>
      <c r="P952" s="247"/>
      <c r="Q952" s="247"/>
      <c r="R952" s="247"/>
      <c r="S952" s="247"/>
      <c r="T952" s="247"/>
      <c r="U952" s="247"/>
    </row>
    <row r="953">
      <c r="A953" s="247"/>
      <c r="B953" s="247"/>
      <c r="C953" s="247"/>
      <c r="D953" s="247"/>
      <c r="E953" s="247"/>
      <c r="F953" s="247"/>
      <c r="G953" s="247"/>
      <c r="H953" s="247"/>
      <c r="I953" s="247"/>
      <c r="J953" s="247"/>
      <c r="K953" s="247"/>
      <c r="L953" s="247"/>
      <c r="M953" s="247"/>
      <c r="N953" s="247"/>
      <c r="O953" s="247"/>
      <c r="P953" s="247"/>
      <c r="Q953" s="247"/>
      <c r="R953" s="247"/>
      <c r="S953" s="247"/>
      <c r="T953" s="247"/>
      <c r="U953" s="247"/>
    </row>
    <row r="954">
      <c r="A954" s="247"/>
      <c r="B954" s="247"/>
      <c r="C954" s="247"/>
      <c r="D954" s="247"/>
      <c r="E954" s="247"/>
      <c r="F954" s="247"/>
      <c r="G954" s="247"/>
      <c r="H954" s="247"/>
      <c r="I954" s="247"/>
      <c r="J954" s="247"/>
      <c r="K954" s="247"/>
      <c r="L954" s="247"/>
      <c r="M954" s="247"/>
      <c r="N954" s="247"/>
      <c r="O954" s="247"/>
      <c r="P954" s="247"/>
      <c r="Q954" s="247"/>
      <c r="R954" s="247"/>
      <c r="S954" s="247"/>
      <c r="T954" s="247"/>
      <c r="U954" s="247"/>
    </row>
    <row r="955">
      <c r="A955" s="247"/>
      <c r="B955" s="247"/>
      <c r="C955" s="247"/>
      <c r="D955" s="247"/>
      <c r="E955" s="247"/>
      <c r="F955" s="247"/>
      <c r="G955" s="247"/>
      <c r="H955" s="247"/>
      <c r="I955" s="247"/>
      <c r="J955" s="247"/>
      <c r="K955" s="247"/>
      <c r="L955" s="247"/>
      <c r="M955" s="247"/>
      <c r="N955" s="247"/>
      <c r="O955" s="247"/>
      <c r="P955" s="247"/>
      <c r="Q955" s="247"/>
      <c r="R955" s="247"/>
      <c r="S955" s="247"/>
      <c r="T955" s="247"/>
      <c r="U955" s="247"/>
    </row>
    <row r="956">
      <c r="A956" s="247"/>
      <c r="B956" s="247"/>
      <c r="C956" s="247"/>
      <c r="D956" s="247"/>
      <c r="E956" s="247"/>
      <c r="F956" s="247"/>
      <c r="G956" s="247"/>
      <c r="H956" s="247"/>
      <c r="I956" s="247"/>
      <c r="J956" s="247"/>
      <c r="K956" s="247"/>
      <c r="L956" s="247"/>
      <c r="M956" s="247"/>
      <c r="N956" s="247"/>
      <c r="O956" s="247"/>
      <c r="P956" s="247"/>
      <c r="Q956" s="247"/>
      <c r="R956" s="247"/>
      <c r="S956" s="247"/>
      <c r="T956" s="247"/>
      <c r="U956" s="247"/>
    </row>
    <row r="957">
      <c r="A957" s="247"/>
      <c r="B957" s="247"/>
      <c r="C957" s="247"/>
      <c r="D957" s="247"/>
      <c r="E957" s="247"/>
      <c r="F957" s="247"/>
      <c r="G957" s="247"/>
      <c r="H957" s="247"/>
      <c r="I957" s="247"/>
      <c r="J957" s="247"/>
      <c r="K957" s="247"/>
      <c r="L957" s="247"/>
      <c r="M957" s="247"/>
      <c r="N957" s="247"/>
      <c r="O957" s="247"/>
      <c r="P957" s="247"/>
      <c r="Q957" s="247"/>
      <c r="R957" s="247"/>
      <c r="S957" s="247"/>
      <c r="T957" s="247"/>
      <c r="U957" s="247"/>
    </row>
    <row r="958">
      <c r="A958" s="247"/>
      <c r="B958" s="247"/>
      <c r="C958" s="247"/>
      <c r="D958" s="247"/>
      <c r="E958" s="247"/>
      <c r="F958" s="247"/>
      <c r="G958" s="247"/>
      <c r="H958" s="247"/>
      <c r="I958" s="247"/>
      <c r="J958" s="247"/>
      <c r="K958" s="247"/>
      <c r="L958" s="247"/>
      <c r="M958" s="247"/>
      <c r="N958" s="247"/>
      <c r="O958" s="247"/>
      <c r="P958" s="247"/>
      <c r="Q958" s="247"/>
      <c r="R958" s="247"/>
      <c r="S958" s="247"/>
      <c r="T958" s="247"/>
      <c r="U958" s="247"/>
    </row>
    <row r="959">
      <c r="A959" s="247"/>
      <c r="B959" s="247"/>
      <c r="C959" s="247"/>
      <c r="D959" s="247"/>
      <c r="E959" s="247"/>
      <c r="F959" s="247"/>
      <c r="G959" s="247"/>
      <c r="H959" s="247"/>
      <c r="I959" s="247"/>
      <c r="J959" s="247"/>
      <c r="K959" s="247"/>
      <c r="L959" s="247"/>
      <c r="M959" s="247"/>
      <c r="N959" s="247"/>
      <c r="O959" s="247"/>
      <c r="P959" s="247"/>
      <c r="Q959" s="247"/>
      <c r="R959" s="247"/>
      <c r="S959" s="247"/>
      <c r="T959" s="247"/>
      <c r="U959" s="247"/>
    </row>
    <row r="960">
      <c r="A960" s="247"/>
      <c r="B960" s="247"/>
      <c r="C960" s="247"/>
      <c r="D960" s="247"/>
      <c r="E960" s="247"/>
      <c r="F960" s="247"/>
      <c r="G960" s="247"/>
      <c r="H960" s="247"/>
      <c r="I960" s="247"/>
      <c r="J960" s="247"/>
      <c r="K960" s="247"/>
      <c r="L960" s="247"/>
      <c r="M960" s="247"/>
      <c r="N960" s="247"/>
      <c r="O960" s="247"/>
      <c r="P960" s="247"/>
      <c r="Q960" s="247"/>
      <c r="R960" s="247"/>
      <c r="S960" s="247"/>
      <c r="T960" s="247"/>
      <c r="U960" s="247"/>
    </row>
    <row r="961">
      <c r="A961" s="247"/>
      <c r="B961" s="247"/>
      <c r="C961" s="247"/>
      <c r="D961" s="247"/>
      <c r="E961" s="247"/>
      <c r="F961" s="247"/>
      <c r="G961" s="247"/>
      <c r="H961" s="247"/>
      <c r="I961" s="247"/>
      <c r="J961" s="247"/>
      <c r="K961" s="247"/>
      <c r="L961" s="247"/>
      <c r="M961" s="247"/>
      <c r="N961" s="247"/>
      <c r="O961" s="247"/>
      <c r="P961" s="247"/>
      <c r="Q961" s="247"/>
      <c r="R961" s="247"/>
      <c r="S961" s="247"/>
      <c r="T961" s="247"/>
      <c r="U961" s="247"/>
    </row>
    <row r="962">
      <c r="A962" s="247"/>
      <c r="B962" s="247"/>
      <c r="C962" s="247"/>
      <c r="D962" s="247"/>
      <c r="E962" s="247"/>
      <c r="F962" s="247"/>
      <c r="G962" s="247"/>
      <c r="H962" s="247"/>
      <c r="I962" s="247"/>
      <c r="J962" s="247"/>
      <c r="K962" s="247"/>
      <c r="L962" s="247"/>
      <c r="M962" s="247"/>
      <c r="N962" s="247"/>
      <c r="O962" s="247"/>
      <c r="P962" s="247"/>
      <c r="Q962" s="247"/>
      <c r="R962" s="247"/>
      <c r="S962" s="247"/>
      <c r="T962" s="247"/>
      <c r="U962" s="247"/>
    </row>
    <row r="963">
      <c r="A963" s="247"/>
      <c r="B963" s="247"/>
      <c r="C963" s="247"/>
      <c r="D963" s="247"/>
      <c r="E963" s="247"/>
      <c r="F963" s="247"/>
      <c r="G963" s="247"/>
      <c r="H963" s="247"/>
      <c r="I963" s="247"/>
      <c r="J963" s="247"/>
      <c r="K963" s="247"/>
      <c r="L963" s="247"/>
      <c r="M963" s="247"/>
      <c r="N963" s="247"/>
      <c r="O963" s="247"/>
      <c r="P963" s="247"/>
      <c r="Q963" s="247"/>
      <c r="R963" s="247"/>
      <c r="S963" s="247"/>
      <c r="T963" s="247"/>
      <c r="U963" s="247"/>
    </row>
    <row r="964">
      <c r="A964" s="247"/>
      <c r="B964" s="247"/>
      <c r="C964" s="247"/>
      <c r="D964" s="247"/>
      <c r="E964" s="247"/>
      <c r="F964" s="247"/>
      <c r="G964" s="247"/>
      <c r="H964" s="247"/>
      <c r="I964" s="247"/>
      <c r="J964" s="247"/>
      <c r="K964" s="247"/>
      <c r="L964" s="247"/>
      <c r="M964" s="247"/>
      <c r="N964" s="247"/>
      <c r="O964" s="247"/>
      <c r="P964" s="247"/>
      <c r="Q964" s="247"/>
      <c r="R964" s="247"/>
      <c r="S964" s="247"/>
      <c r="T964" s="247"/>
      <c r="U964" s="247"/>
    </row>
    <row r="965">
      <c r="A965" s="247"/>
      <c r="B965" s="247"/>
      <c r="C965" s="247"/>
      <c r="D965" s="247"/>
      <c r="E965" s="247"/>
      <c r="F965" s="247"/>
      <c r="G965" s="247"/>
      <c r="H965" s="247"/>
      <c r="I965" s="247"/>
      <c r="J965" s="247"/>
      <c r="K965" s="247"/>
      <c r="L965" s="247"/>
      <c r="M965" s="247"/>
      <c r="N965" s="247"/>
      <c r="O965" s="247"/>
      <c r="P965" s="247"/>
      <c r="Q965" s="247"/>
      <c r="R965" s="247"/>
      <c r="S965" s="247"/>
      <c r="T965" s="247"/>
      <c r="U965" s="247"/>
    </row>
    <row r="966">
      <c r="A966" s="247"/>
      <c r="B966" s="247"/>
      <c r="C966" s="247"/>
      <c r="D966" s="247"/>
      <c r="E966" s="247"/>
      <c r="F966" s="247"/>
      <c r="G966" s="247"/>
      <c r="H966" s="247"/>
      <c r="I966" s="247"/>
      <c r="J966" s="247"/>
      <c r="K966" s="247"/>
      <c r="L966" s="247"/>
      <c r="M966" s="247"/>
      <c r="N966" s="247"/>
      <c r="O966" s="247"/>
      <c r="P966" s="247"/>
      <c r="Q966" s="247"/>
      <c r="R966" s="247"/>
      <c r="S966" s="247"/>
      <c r="T966" s="247"/>
      <c r="U966" s="247"/>
    </row>
    <row r="967">
      <c r="A967" s="247"/>
      <c r="B967" s="247"/>
      <c r="C967" s="247"/>
      <c r="D967" s="247"/>
      <c r="E967" s="247"/>
      <c r="F967" s="247"/>
      <c r="G967" s="247"/>
      <c r="H967" s="247"/>
      <c r="I967" s="247"/>
      <c r="J967" s="247"/>
      <c r="K967" s="247"/>
      <c r="L967" s="247"/>
      <c r="M967" s="247"/>
      <c r="N967" s="247"/>
      <c r="O967" s="247"/>
      <c r="P967" s="247"/>
      <c r="Q967" s="247"/>
      <c r="R967" s="247"/>
      <c r="S967" s="247"/>
      <c r="T967" s="247"/>
      <c r="U967" s="247"/>
    </row>
    <row r="968">
      <c r="A968" s="247"/>
      <c r="B968" s="247"/>
      <c r="C968" s="247"/>
      <c r="D968" s="247"/>
      <c r="E968" s="247"/>
      <c r="F968" s="247"/>
      <c r="G968" s="247"/>
      <c r="H968" s="247"/>
      <c r="I968" s="247"/>
      <c r="J968" s="247"/>
      <c r="K968" s="247"/>
      <c r="L968" s="247"/>
      <c r="M968" s="247"/>
      <c r="N968" s="247"/>
      <c r="O968" s="247"/>
      <c r="P968" s="247"/>
      <c r="Q968" s="247"/>
      <c r="R968" s="247"/>
      <c r="S968" s="247"/>
      <c r="T968" s="247"/>
      <c r="U968" s="247"/>
    </row>
    <row r="969">
      <c r="A969" s="247"/>
      <c r="B969" s="247"/>
      <c r="C969" s="247"/>
      <c r="D969" s="247"/>
      <c r="E969" s="247"/>
      <c r="F969" s="247"/>
      <c r="G969" s="247"/>
      <c r="H969" s="247"/>
      <c r="I969" s="247"/>
      <c r="J969" s="247"/>
      <c r="K969" s="247"/>
      <c r="L969" s="247"/>
      <c r="M969" s="247"/>
      <c r="N969" s="247"/>
      <c r="O969" s="247"/>
      <c r="P969" s="247"/>
      <c r="Q969" s="247"/>
      <c r="R969" s="247"/>
      <c r="S969" s="247"/>
      <c r="T969" s="247"/>
      <c r="U969" s="247"/>
    </row>
    <row r="970">
      <c r="A970" s="247"/>
      <c r="B970" s="247"/>
      <c r="C970" s="247"/>
      <c r="D970" s="247"/>
      <c r="E970" s="247"/>
      <c r="F970" s="247"/>
      <c r="G970" s="247"/>
      <c r="H970" s="247"/>
      <c r="I970" s="247"/>
      <c r="J970" s="247"/>
      <c r="K970" s="247"/>
      <c r="L970" s="247"/>
      <c r="M970" s="247"/>
      <c r="N970" s="247"/>
      <c r="O970" s="247"/>
      <c r="P970" s="247"/>
      <c r="Q970" s="247"/>
      <c r="R970" s="247"/>
      <c r="S970" s="247"/>
      <c r="T970" s="247"/>
      <c r="U970" s="247"/>
    </row>
    <row r="971">
      <c r="A971" s="247"/>
      <c r="B971" s="247"/>
      <c r="C971" s="247"/>
      <c r="D971" s="247"/>
      <c r="E971" s="247"/>
      <c r="F971" s="247"/>
      <c r="G971" s="247"/>
      <c r="H971" s="247"/>
      <c r="I971" s="247"/>
      <c r="J971" s="247"/>
      <c r="K971" s="247"/>
      <c r="L971" s="247"/>
      <c r="M971" s="247"/>
      <c r="N971" s="247"/>
      <c r="O971" s="247"/>
      <c r="P971" s="247"/>
      <c r="Q971" s="247"/>
      <c r="R971" s="247"/>
      <c r="S971" s="247"/>
      <c r="T971" s="247"/>
      <c r="U971" s="247"/>
    </row>
    <row r="972">
      <c r="A972" s="247"/>
      <c r="B972" s="247"/>
      <c r="C972" s="247"/>
      <c r="D972" s="247"/>
      <c r="E972" s="247"/>
      <c r="F972" s="247"/>
      <c r="G972" s="247"/>
      <c r="H972" s="247"/>
      <c r="I972" s="247"/>
      <c r="J972" s="247"/>
      <c r="K972" s="247"/>
      <c r="L972" s="247"/>
      <c r="M972" s="247"/>
      <c r="N972" s="247"/>
      <c r="O972" s="247"/>
      <c r="P972" s="247"/>
      <c r="Q972" s="247"/>
      <c r="R972" s="247"/>
      <c r="S972" s="247"/>
      <c r="T972" s="247"/>
      <c r="U972" s="247"/>
    </row>
    <row r="973">
      <c r="A973" s="247"/>
      <c r="B973" s="247"/>
      <c r="C973" s="247"/>
      <c r="D973" s="247"/>
      <c r="E973" s="247"/>
      <c r="F973" s="247"/>
      <c r="G973" s="247"/>
      <c r="H973" s="247"/>
      <c r="I973" s="247"/>
      <c r="J973" s="247"/>
      <c r="K973" s="247"/>
      <c r="L973" s="247"/>
      <c r="M973" s="247"/>
      <c r="N973" s="247"/>
      <c r="O973" s="247"/>
      <c r="P973" s="247"/>
      <c r="Q973" s="247"/>
      <c r="R973" s="247"/>
      <c r="S973" s="247"/>
      <c r="T973" s="247"/>
      <c r="U973" s="247"/>
    </row>
    <row r="974">
      <c r="A974" s="247"/>
      <c r="B974" s="247"/>
      <c r="C974" s="247"/>
      <c r="D974" s="247"/>
      <c r="E974" s="247"/>
      <c r="F974" s="247"/>
      <c r="G974" s="247"/>
      <c r="H974" s="247"/>
      <c r="I974" s="247"/>
      <c r="J974" s="247"/>
      <c r="K974" s="247"/>
      <c r="L974" s="247"/>
      <c r="M974" s="247"/>
      <c r="N974" s="247"/>
      <c r="O974" s="247"/>
      <c r="P974" s="247"/>
      <c r="Q974" s="247"/>
      <c r="R974" s="247"/>
      <c r="S974" s="247"/>
      <c r="T974" s="247"/>
      <c r="U974" s="247"/>
    </row>
    <row r="975">
      <c r="A975" s="247"/>
      <c r="B975" s="247"/>
      <c r="C975" s="247"/>
      <c r="D975" s="247"/>
      <c r="E975" s="247"/>
      <c r="F975" s="247"/>
      <c r="G975" s="247"/>
      <c r="H975" s="247"/>
      <c r="I975" s="247"/>
      <c r="J975" s="247"/>
      <c r="K975" s="247"/>
      <c r="L975" s="247"/>
      <c r="M975" s="247"/>
      <c r="N975" s="247"/>
      <c r="O975" s="247"/>
      <c r="P975" s="247"/>
      <c r="Q975" s="247"/>
      <c r="R975" s="247"/>
      <c r="S975" s="247"/>
      <c r="T975" s="247"/>
      <c r="U975" s="247"/>
    </row>
    <row r="976">
      <c r="A976" s="247"/>
      <c r="B976" s="247"/>
      <c r="C976" s="247"/>
      <c r="D976" s="247"/>
      <c r="E976" s="247"/>
      <c r="F976" s="247"/>
      <c r="G976" s="247"/>
      <c r="H976" s="247"/>
      <c r="I976" s="247"/>
      <c r="J976" s="247"/>
      <c r="K976" s="247"/>
      <c r="L976" s="247"/>
      <c r="M976" s="247"/>
      <c r="N976" s="247"/>
      <c r="O976" s="247"/>
      <c r="P976" s="247"/>
      <c r="Q976" s="247"/>
      <c r="R976" s="247"/>
      <c r="S976" s="247"/>
      <c r="T976" s="247"/>
      <c r="U976" s="247"/>
    </row>
    <row r="977">
      <c r="A977" s="247"/>
      <c r="B977" s="247"/>
      <c r="C977" s="247"/>
      <c r="D977" s="247"/>
      <c r="E977" s="247"/>
      <c r="F977" s="247"/>
      <c r="G977" s="247"/>
      <c r="H977" s="247"/>
      <c r="I977" s="247"/>
      <c r="J977" s="247"/>
      <c r="K977" s="247"/>
      <c r="L977" s="247"/>
      <c r="M977" s="247"/>
      <c r="N977" s="247"/>
      <c r="O977" s="247"/>
      <c r="P977" s="247"/>
      <c r="Q977" s="247"/>
      <c r="R977" s="247"/>
      <c r="S977" s="247"/>
      <c r="T977" s="247"/>
      <c r="U977" s="247"/>
    </row>
    <row r="978">
      <c r="A978" s="247"/>
      <c r="B978" s="247"/>
      <c r="C978" s="247"/>
      <c r="D978" s="247"/>
      <c r="E978" s="247"/>
      <c r="F978" s="247"/>
      <c r="G978" s="247"/>
      <c r="H978" s="247"/>
      <c r="I978" s="247"/>
      <c r="J978" s="247"/>
      <c r="K978" s="247"/>
      <c r="L978" s="247"/>
      <c r="M978" s="247"/>
      <c r="N978" s="247"/>
      <c r="O978" s="247"/>
      <c r="P978" s="247"/>
      <c r="Q978" s="247"/>
      <c r="R978" s="247"/>
      <c r="S978" s="247"/>
      <c r="T978" s="247"/>
      <c r="U978" s="247"/>
    </row>
    <row r="979">
      <c r="A979" s="247"/>
      <c r="B979" s="247"/>
      <c r="C979" s="247"/>
      <c r="D979" s="247"/>
      <c r="E979" s="247"/>
      <c r="F979" s="247"/>
      <c r="G979" s="247"/>
      <c r="H979" s="247"/>
      <c r="I979" s="247"/>
      <c r="J979" s="247"/>
      <c r="K979" s="247"/>
      <c r="L979" s="247"/>
      <c r="M979" s="247"/>
      <c r="N979" s="247"/>
      <c r="O979" s="247"/>
      <c r="P979" s="247"/>
      <c r="Q979" s="247"/>
      <c r="R979" s="247"/>
      <c r="S979" s="247"/>
      <c r="T979" s="247"/>
      <c r="U979" s="247"/>
    </row>
    <row r="980">
      <c r="A980" s="247"/>
      <c r="B980" s="247"/>
      <c r="C980" s="247"/>
      <c r="D980" s="247"/>
      <c r="E980" s="247"/>
      <c r="F980" s="247"/>
      <c r="G980" s="247"/>
      <c r="H980" s="247"/>
      <c r="I980" s="247"/>
      <c r="J980" s="247"/>
      <c r="K980" s="247"/>
      <c r="L980" s="247"/>
      <c r="M980" s="247"/>
      <c r="N980" s="247"/>
      <c r="O980" s="247"/>
      <c r="P980" s="247"/>
      <c r="Q980" s="247"/>
      <c r="R980" s="247"/>
      <c r="S980" s="247"/>
      <c r="T980" s="247"/>
      <c r="U980" s="247"/>
    </row>
    <row r="981">
      <c r="A981" s="247"/>
      <c r="B981" s="247"/>
      <c r="C981" s="247"/>
      <c r="D981" s="247"/>
      <c r="E981" s="247"/>
      <c r="F981" s="247"/>
      <c r="G981" s="247"/>
      <c r="H981" s="247"/>
      <c r="I981" s="247"/>
      <c r="J981" s="247"/>
      <c r="K981" s="247"/>
      <c r="L981" s="247"/>
      <c r="M981" s="247"/>
      <c r="N981" s="247"/>
      <c r="O981" s="247"/>
      <c r="P981" s="247"/>
      <c r="Q981" s="247"/>
      <c r="R981" s="247"/>
      <c r="S981" s="247"/>
      <c r="T981" s="247"/>
      <c r="U981" s="247"/>
    </row>
    <row r="982">
      <c r="A982" s="247"/>
      <c r="B982" s="247"/>
      <c r="C982" s="247"/>
      <c r="D982" s="247"/>
      <c r="E982" s="247"/>
      <c r="F982" s="247"/>
      <c r="G982" s="247"/>
      <c r="H982" s="247"/>
      <c r="I982" s="247"/>
      <c r="J982" s="247"/>
      <c r="K982" s="247"/>
      <c r="L982" s="247"/>
      <c r="M982" s="247"/>
      <c r="N982" s="247"/>
      <c r="O982" s="247"/>
      <c r="P982" s="247"/>
      <c r="Q982" s="247"/>
      <c r="R982" s="247"/>
      <c r="S982" s="247"/>
      <c r="T982" s="247"/>
      <c r="U982" s="247"/>
    </row>
    <row r="983">
      <c r="A983" s="247"/>
      <c r="B983" s="247"/>
      <c r="C983" s="247"/>
      <c r="D983" s="247"/>
      <c r="E983" s="247"/>
      <c r="F983" s="247"/>
      <c r="G983" s="247"/>
      <c r="H983" s="247"/>
      <c r="I983" s="247"/>
      <c r="J983" s="247"/>
      <c r="K983" s="247"/>
      <c r="L983" s="247"/>
      <c r="M983" s="247"/>
      <c r="N983" s="247"/>
      <c r="O983" s="247"/>
      <c r="P983" s="247"/>
      <c r="Q983" s="247"/>
      <c r="R983" s="247"/>
      <c r="S983" s="247"/>
      <c r="T983" s="247"/>
      <c r="U983" s="247"/>
    </row>
    <row r="984">
      <c r="A984" s="247"/>
      <c r="B984" s="247"/>
      <c r="C984" s="247"/>
      <c r="D984" s="247"/>
      <c r="E984" s="247"/>
      <c r="F984" s="247"/>
      <c r="G984" s="247"/>
      <c r="H984" s="247"/>
      <c r="I984" s="247"/>
      <c r="J984" s="247"/>
      <c r="K984" s="247"/>
      <c r="L984" s="247"/>
      <c r="M984" s="247"/>
      <c r="N984" s="247"/>
      <c r="O984" s="247"/>
      <c r="P984" s="247"/>
      <c r="Q984" s="247"/>
      <c r="R984" s="247"/>
      <c r="S984" s="247"/>
      <c r="T984" s="247"/>
      <c r="U984" s="247"/>
    </row>
    <row r="985">
      <c r="A985" s="247"/>
      <c r="B985" s="247"/>
      <c r="C985" s="247"/>
      <c r="D985" s="247"/>
      <c r="E985" s="247"/>
      <c r="F985" s="247"/>
      <c r="G985" s="247"/>
      <c r="H985" s="247"/>
      <c r="I985" s="247"/>
      <c r="J985" s="247"/>
      <c r="K985" s="247"/>
      <c r="L985" s="247"/>
      <c r="M985" s="247"/>
      <c r="N985" s="247"/>
      <c r="O985" s="247"/>
      <c r="P985" s="247"/>
      <c r="Q985" s="247"/>
      <c r="R985" s="247"/>
      <c r="S985" s="247"/>
      <c r="T985" s="247"/>
      <c r="U985" s="247"/>
    </row>
    <row r="986">
      <c r="A986" s="247"/>
      <c r="B986" s="247"/>
      <c r="C986" s="247"/>
      <c r="D986" s="247"/>
      <c r="E986" s="247"/>
      <c r="F986" s="247"/>
      <c r="G986" s="247"/>
      <c r="H986" s="247"/>
      <c r="I986" s="247"/>
      <c r="J986" s="247"/>
      <c r="K986" s="247"/>
      <c r="L986" s="247"/>
      <c r="M986" s="247"/>
      <c r="N986" s="247"/>
      <c r="O986" s="247"/>
      <c r="P986" s="247"/>
      <c r="Q986" s="247"/>
      <c r="R986" s="247"/>
      <c r="S986" s="247"/>
      <c r="T986" s="247"/>
      <c r="U986" s="247"/>
    </row>
    <row r="987">
      <c r="A987" s="247"/>
      <c r="B987" s="247"/>
      <c r="C987" s="247"/>
      <c r="D987" s="247"/>
      <c r="E987" s="247"/>
      <c r="F987" s="247"/>
      <c r="G987" s="247"/>
      <c r="H987" s="247"/>
      <c r="I987" s="247"/>
      <c r="J987" s="247"/>
      <c r="K987" s="247"/>
      <c r="L987" s="247"/>
      <c r="M987" s="247"/>
      <c r="N987" s="247"/>
      <c r="O987" s="247"/>
      <c r="P987" s="247"/>
      <c r="Q987" s="247"/>
      <c r="R987" s="247"/>
      <c r="S987" s="247"/>
      <c r="T987" s="247"/>
      <c r="U987" s="247"/>
    </row>
    <row r="988">
      <c r="A988" s="247"/>
      <c r="B988" s="247"/>
      <c r="C988" s="247"/>
      <c r="D988" s="247"/>
      <c r="E988" s="247"/>
      <c r="F988" s="247"/>
      <c r="G988" s="247"/>
      <c r="H988" s="247"/>
      <c r="I988" s="247"/>
      <c r="J988" s="247"/>
      <c r="K988" s="247"/>
      <c r="L988" s="247"/>
      <c r="M988" s="247"/>
      <c r="N988" s="247"/>
      <c r="O988" s="247"/>
      <c r="P988" s="247"/>
      <c r="Q988" s="247"/>
      <c r="R988" s="247"/>
      <c r="S988" s="247"/>
      <c r="T988" s="247"/>
      <c r="U988" s="247"/>
    </row>
    <row r="989">
      <c r="A989" s="247"/>
      <c r="B989" s="247"/>
      <c r="C989" s="247"/>
      <c r="D989" s="247"/>
      <c r="E989" s="247"/>
      <c r="F989" s="247"/>
      <c r="G989" s="247"/>
      <c r="H989" s="247"/>
      <c r="I989" s="247"/>
      <c r="J989" s="247"/>
      <c r="K989" s="247"/>
      <c r="L989" s="247"/>
      <c r="M989" s="247"/>
      <c r="N989" s="247"/>
      <c r="O989" s="247"/>
      <c r="P989" s="247"/>
      <c r="Q989" s="247"/>
      <c r="R989" s="247"/>
      <c r="S989" s="247"/>
      <c r="T989" s="247"/>
      <c r="U989" s="247"/>
    </row>
    <row r="990">
      <c r="A990" s="247"/>
      <c r="B990" s="247"/>
      <c r="C990" s="247"/>
      <c r="D990" s="247"/>
      <c r="E990" s="247"/>
      <c r="F990" s="247"/>
      <c r="G990" s="247"/>
      <c r="H990" s="247"/>
      <c r="I990" s="247"/>
      <c r="J990" s="247"/>
      <c r="K990" s="247"/>
      <c r="L990" s="247"/>
      <c r="M990" s="247"/>
      <c r="N990" s="247"/>
      <c r="O990" s="247"/>
      <c r="P990" s="247"/>
      <c r="Q990" s="247"/>
      <c r="R990" s="247"/>
      <c r="S990" s="247"/>
      <c r="T990" s="247"/>
      <c r="U990" s="247"/>
    </row>
    <row r="991">
      <c r="A991" s="247"/>
      <c r="B991" s="247"/>
      <c r="C991" s="247"/>
      <c r="D991" s="247"/>
      <c r="E991" s="247"/>
      <c r="F991" s="247"/>
      <c r="G991" s="247"/>
      <c r="H991" s="247"/>
      <c r="I991" s="247"/>
      <c r="J991" s="247"/>
      <c r="K991" s="247"/>
      <c r="L991" s="247"/>
      <c r="M991" s="247"/>
      <c r="N991" s="247"/>
      <c r="O991" s="247"/>
      <c r="P991" s="247"/>
      <c r="Q991" s="247"/>
      <c r="R991" s="247"/>
      <c r="S991" s="247"/>
      <c r="T991" s="247"/>
      <c r="U991" s="247"/>
    </row>
    <row r="992">
      <c r="A992" s="247"/>
      <c r="B992" s="247"/>
      <c r="C992" s="247"/>
      <c r="D992" s="247"/>
      <c r="E992" s="247"/>
      <c r="F992" s="247"/>
      <c r="G992" s="247"/>
      <c r="H992" s="247"/>
      <c r="I992" s="247"/>
      <c r="J992" s="247"/>
      <c r="K992" s="247"/>
      <c r="L992" s="247"/>
      <c r="M992" s="247"/>
      <c r="N992" s="247"/>
      <c r="O992" s="247"/>
      <c r="P992" s="247"/>
      <c r="Q992" s="247"/>
      <c r="R992" s="247"/>
      <c r="S992" s="247"/>
      <c r="T992" s="247"/>
      <c r="U992" s="247"/>
    </row>
    <row r="993">
      <c r="A993" s="247"/>
      <c r="B993" s="247"/>
      <c r="C993" s="247"/>
      <c r="D993" s="247"/>
      <c r="E993" s="247"/>
      <c r="F993" s="247"/>
      <c r="G993" s="247"/>
      <c r="H993" s="247"/>
      <c r="I993" s="247"/>
      <c r="J993" s="247"/>
      <c r="K993" s="247"/>
      <c r="L993" s="247"/>
      <c r="M993" s="247"/>
      <c r="N993" s="247"/>
      <c r="O993" s="247"/>
      <c r="P993" s="247"/>
      <c r="Q993" s="247"/>
      <c r="R993" s="247"/>
      <c r="S993" s="247"/>
      <c r="T993" s="247"/>
      <c r="U993" s="247"/>
    </row>
    <row r="994">
      <c r="A994" s="247"/>
      <c r="B994" s="247"/>
      <c r="C994" s="247"/>
      <c r="D994" s="247"/>
      <c r="E994" s="247"/>
      <c r="F994" s="247"/>
      <c r="G994" s="247"/>
      <c r="H994" s="247"/>
      <c r="I994" s="247"/>
      <c r="J994" s="247"/>
      <c r="K994" s="247"/>
      <c r="L994" s="247"/>
      <c r="M994" s="247"/>
      <c r="N994" s="247"/>
      <c r="O994" s="247"/>
      <c r="P994" s="247"/>
      <c r="Q994" s="247"/>
      <c r="R994" s="247"/>
      <c r="S994" s="247"/>
      <c r="T994" s="247"/>
      <c r="U994" s="247"/>
    </row>
    <row r="995">
      <c r="A995" s="247"/>
      <c r="B995" s="247"/>
      <c r="C995" s="247"/>
      <c r="D995" s="247"/>
      <c r="E995" s="247"/>
      <c r="F995" s="247"/>
      <c r="G995" s="247"/>
      <c r="H995" s="247"/>
      <c r="I995" s="247"/>
      <c r="J995" s="247"/>
      <c r="K995" s="247"/>
      <c r="L995" s="247"/>
      <c r="M995" s="247"/>
      <c r="N995" s="247"/>
      <c r="O995" s="247"/>
      <c r="P995" s="247"/>
      <c r="Q995" s="247"/>
      <c r="R995" s="247"/>
      <c r="S995" s="247"/>
      <c r="T995" s="247"/>
      <c r="U995" s="247"/>
    </row>
    <row r="996">
      <c r="A996" s="247"/>
      <c r="B996" s="247"/>
      <c r="C996" s="247"/>
      <c r="D996" s="247"/>
      <c r="E996" s="247"/>
      <c r="F996" s="247"/>
      <c r="G996" s="247"/>
      <c r="H996" s="247"/>
      <c r="I996" s="247"/>
      <c r="J996" s="247"/>
      <c r="K996" s="247"/>
      <c r="L996" s="247"/>
      <c r="M996" s="247"/>
      <c r="N996" s="247"/>
      <c r="O996" s="247"/>
      <c r="P996" s="247"/>
      <c r="Q996" s="247"/>
      <c r="R996" s="247"/>
      <c r="S996" s="247"/>
      <c r="T996" s="247"/>
      <c r="U996" s="247"/>
    </row>
    <row r="997">
      <c r="A997" s="247"/>
      <c r="B997" s="247"/>
      <c r="C997" s="247"/>
      <c r="D997" s="247"/>
      <c r="E997" s="247"/>
      <c r="F997" s="247"/>
      <c r="G997" s="247"/>
      <c r="H997" s="247"/>
      <c r="I997" s="247"/>
      <c r="J997" s="247"/>
      <c r="K997" s="247"/>
      <c r="L997" s="247"/>
      <c r="M997" s="247"/>
      <c r="N997" s="247"/>
      <c r="O997" s="247"/>
      <c r="P997" s="247"/>
      <c r="Q997" s="247"/>
      <c r="R997" s="247"/>
      <c r="S997" s="247"/>
      <c r="T997" s="247"/>
      <c r="U997" s="247"/>
    </row>
    <row r="998">
      <c r="A998" s="247"/>
      <c r="B998" s="247"/>
      <c r="C998" s="247"/>
      <c r="D998" s="247"/>
      <c r="E998" s="247"/>
      <c r="F998" s="247"/>
      <c r="G998" s="247"/>
      <c r="H998" s="247"/>
      <c r="I998" s="247"/>
      <c r="J998" s="247"/>
      <c r="K998" s="247"/>
      <c r="L998" s="247"/>
      <c r="M998" s="247"/>
      <c r="N998" s="247"/>
      <c r="O998" s="247"/>
      <c r="P998" s="247"/>
      <c r="Q998" s="247"/>
      <c r="R998" s="247"/>
      <c r="S998" s="247"/>
      <c r="T998" s="247"/>
      <c r="U998" s="247"/>
    </row>
    <row r="999">
      <c r="A999" s="247"/>
      <c r="B999" s="247"/>
      <c r="C999" s="247"/>
      <c r="D999" s="247"/>
      <c r="E999" s="247"/>
      <c r="F999" s="247"/>
      <c r="G999" s="247"/>
      <c r="H999" s="247"/>
      <c r="I999" s="247"/>
      <c r="J999" s="247"/>
      <c r="K999" s="247"/>
      <c r="L999" s="247"/>
      <c r="M999" s="247"/>
      <c r="N999" s="247"/>
      <c r="O999" s="247"/>
      <c r="P999" s="247"/>
      <c r="Q999" s="247"/>
      <c r="R999" s="247"/>
      <c r="S999" s="247"/>
      <c r="T999" s="247"/>
      <c r="U999" s="247"/>
    </row>
    <row r="1000">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row>
  </sheetData>
  <hyperlinks>
    <hyperlink r:id="rId1" ref="S6"/>
    <hyperlink r:id="rId2" ref="T6"/>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4" t="s">
        <v>3752</v>
      </c>
      <c r="D1" s="1" t="s">
        <v>2</v>
      </c>
      <c r="E1" s="1" t="s">
        <v>3</v>
      </c>
      <c r="F1" s="1" t="s">
        <v>4</v>
      </c>
      <c r="G1" s="1" t="s">
        <v>5</v>
      </c>
      <c r="H1" s="3" t="s">
        <v>6</v>
      </c>
      <c r="I1" s="4" t="s">
        <v>7</v>
      </c>
      <c r="J1" s="4" t="s">
        <v>8</v>
      </c>
      <c r="K1" s="4" t="s">
        <v>3877</v>
      </c>
      <c r="L1" s="1" t="s">
        <v>11</v>
      </c>
      <c r="M1" s="1" t="s">
        <v>12</v>
      </c>
      <c r="N1" s="1" t="s">
        <v>41</v>
      </c>
      <c r="O1" s="5" t="s">
        <v>42</v>
      </c>
      <c r="P1" s="1" t="s">
        <v>43</v>
      </c>
      <c r="Q1" s="1" t="s">
        <v>44</v>
      </c>
      <c r="R1" s="1" t="s">
        <v>45</v>
      </c>
      <c r="S1" s="1" t="s">
        <v>46</v>
      </c>
      <c r="T1" s="1" t="s">
        <v>47</v>
      </c>
      <c r="U1" s="5" t="s">
        <v>48</v>
      </c>
    </row>
    <row r="2">
      <c r="A2" s="243" t="s">
        <v>4069</v>
      </c>
      <c r="B2" s="218" t="s">
        <v>4070</v>
      </c>
      <c r="C2" s="218" t="s">
        <v>4071</v>
      </c>
      <c r="D2" s="218" t="s">
        <v>3939</v>
      </c>
      <c r="E2" s="218" t="s">
        <v>99</v>
      </c>
      <c r="F2" s="218" t="s">
        <v>3882</v>
      </c>
      <c r="G2" s="218" t="s">
        <v>4072</v>
      </c>
      <c r="H2" s="218">
        <f>499+325</f>
        <v>824</v>
      </c>
      <c r="I2" s="247"/>
      <c r="J2" s="218" t="s">
        <v>55</v>
      </c>
      <c r="K2" s="218" t="s">
        <v>3941</v>
      </c>
      <c r="L2" s="218" t="s">
        <v>579</v>
      </c>
      <c r="M2" s="218" t="s">
        <v>4073</v>
      </c>
      <c r="N2" s="98" t="s">
        <v>4074</v>
      </c>
      <c r="O2" s="98" t="s">
        <v>4075</v>
      </c>
      <c r="P2" s="98" t="s">
        <v>4076</v>
      </c>
      <c r="Q2" s="98" t="s">
        <v>4077</v>
      </c>
      <c r="R2" s="98" t="s">
        <v>4078</v>
      </c>
      <c r="S2" s="98" t="s">
        <v>4079</v>
      </c>
      <c r="T2" s="98" t="s">
        <v>4080</v>
      </c>
    </row>
    <row r="3">
      <c r="A3" s="243" t="s">
        <v>4081</v>
      </c>
      <c r="B3" s="218" t="s">
        <v>4082</v>
      </c>
      <c r="C3" s="218" t="s">
        <v>4083</v>
      </c>
      <c r="D3" s="294" t="s">
        <v>4084</v>
      </c>
      <c r="E3" s="218" t="s">
        <v>99</v>
      </c>
      <c r="F3" s="218" t="s">
        <v>3882</v>
      </c>
      <c r="G3" s="218" t="s">
        <v>4085</v>
      </c>
      <c r="H3" s="218">
        <f>349+399</f>
        <v>748</v>
      </c>
      <c r="I3" s="247"/>
      <c r="J3" s="218" t="s">
        <v>55</v>
      </c>
      <c r="K3" s="218" t="s">
        <v>3955</v>
      </c>
      <c r="L3" s="218" t="s">
        <v>579</v>
      </c>
      <c r="M3" s="218" t="s">
        <v>4086</v>
      </c>
      <c r="N3" s="98" t="s">
        <v>4087</v>
      </c>
      <c r="O3" s="98" t="s">
        <v>4088</v>
      </c>
      <c r="P3" s="98" t="s">
        <v>4089</v>
      </c>
      <c r="Q3" s="98" t="s">
        <v>4090</v>
      </c>
      <c r="R3" s="98" t="s">
        <v>4091</v>
      </c>
      <c r="S3" s="98" t="s">
        <v>4092</v>
      </c>
      <c r="T3" s="98" t="s">
        <v>4093</v>
      </c>
    </row>
    <row r="4">
      <c r="A4" s="243" t="s">
        <v>4094</v>
      </c>
      <c r="B4" s="218" t="s">
        <v>4095</v>
      </c>
      <c r="C4" s="218" t="s">
        <v>4096</v>
      </c>
      <c r="D4" s="218" t="s">
        <v>4097</v>
      </c>
      <c r="E4" s="218" t="s">
        <v>99</v>
      </c>
      <c r="F4" s="218" t="s">
        <v>3882</v>
      </c>
      <c r="G4" s="218" t="s">
        <v>4098</v>
      </c>
      <c r="H4" s="218">
        <f>499+299</f>
        <v>798</v>
      </c>
      <c r="I4" s="247"/>
      <c r="J4" s="218" t="s">
        <v>55</v>
      </c>
      <c r="K4" s="218" t="s">
        <v>3968</v>
      </c>
      <c r="L4" s="218" t="s">
        <v>154</v>
      </c>
      <c r="M4" s="218" t="s">
        <v>4099</v>
      </c>
      <c r="N4" s="98" t="s">
        <v>4100</v>
      </c>
      <c r="O4" s="98" t="s">
        <v>4101</v>
      </c>
      <c r="P4" s="98" t="s">
        <v>4102</v>
      </c>
      <c r="Q4" s="98" t="s">
        <v>4103</v>
      </c>
      <c r="R4" s="98" t="s">
        <v>4104</v>
      </c>
      <c r="S4" s="98" t="s">
        <v>4105</v>
      </c>
      <c r="T4" s="98" t="s">
        <v>4106</v>
      </c>
    </row>
    <row r="5">
      <c r="A5" s="243" t="s">
        <v>4107</v>
      </c>
      <c r="B5" s="218" t="s">
        <v>4108</v>
      </c>
      <c r="C5" s="218" t="s">
        <v>4109</v>
      </c>
      <c r="D5" s="218" t="s">
        <v>3825</v>
      </c>
      <c r="E5" s="218" t="s">
        <v>99</v>
      </c>
      <c r="F5" s="218" t="s">
        <v>3882</v>
      </c>
      <c r="G5" s="218" t="s">
        <v>4110</v>
      </c>
      <c r="H5" s="218">
        <f>349+499</f>
        <v>848</v>
      </c>
      <c r="I5" s="247"/>
      <c r="J5" s="218" t="s">
        <v>55</v>
      </c>
      <c r="K5" s="218" t="s">
        <v>3884</v>
      </c>
      <c r="L5" s="218" t="s">
        <v>4111</v>
      </c>
      <c r="M5" s="218" t="s">
        <v>4112</v>
      </c>
      <c r="N5" s="98" t="s">
        <v>4113</v>
      </c>
      <c r="O5" s="98" t="s">
        <v>4114</v>
      </c>
      <c r="P5" s="98" t="s">
        <v>4115</v>
      </c>
      <c r="Q5" s="98" t="s">
        <v>4116</v>
      </c>
      <c r="R5" s="98" t="s">
        <v>4117</v>
      </c>
      <c r="S5" s="98" t="s">
        <v>4118</v>
      </c>
      <c r="T5" s="98" t="s">
        <v>4119</v>
      </c>
    </row>
    <row r="6">
      <c r="A6" s="247"/>
      <c r="B6" s="247"/>
      <c r="C6" s="247"/>
      <c r="D6" s="247"/>
      <c r="E6" s="247"/>
      <c r="F6" s="247"/>
      <c r="G6" s="247"/>
      <c r="H6" s="247"/>
      <c r="I6" s="247"/>
      <c r="J6" s="247"/>
      <c r="K6" s="247"/>
      <c r="L6" s="247"/>
      <c r="M6" s="247"/>
    </row>
    <row r="7">
      <c r="A7" s="247"/>
      <c r="B7" s="247"/>
      <c r="C7" s="247"/>
      <c r="D7" s="247"/>
      <c r="E7" s="247"/>
      <c r="F7" s="247"/>
      <c r="G7" s="247"/>
      <c r="H7" s="247"/>
      <c r="I7" s="247"/>
      <c r="J7" s="247"/>
      <c r="K7" s="247"/>
      <c r="L7" s="247"/>
      <c r="M7" s="247"/>
    </row>
    <row r="8">
      <c r="A8" s="247"/>
      <c r="B8" s="247"/>
      <c r="C8" s="247"/>
      <c r="D8" s="247"/>
      <c r="E8" s="247"/>
      <c r="F8" s="247"/>
      <c r="G8" s="298"/>
      <c r="H8" s="290"/>
      <c r="I8" s="290"/>
      <c r="J8" s="247"/>
      <c r="K8" s="247"/>
      <c r="L8" s="247"/>
      <c r="M8" s="247"/>
    </row>
    <row r="9">
      <c r="A9" s="247"/>
      <c r="B9" s="247"/>
      <c r="C9" s="247"/>
      <c r="D9" s="247"/>
      <c r="E9" s="247"/>
      <c r="F9" s="247"/>
      <c r="G9" s="297"/>
      <c r="H9" s="291"/>
      <c r="I9" s="247"/>
      <c r="J9" s="247"/>
      <c r="K9" s="247"/>
      <c r="L9" s="247"/>
      <c r="M9" s="247"/>
    </row>
    <row r="10">
      <c r="A10" s="247"/>
      <c r="B10" s="247"/>
      <c r="C10" s="247"/>
      <c r="D10" s="247"/>
      <c r="E10" s="248"/>
      <c r="F10" s="248"/>
      <c r="G10" s="248"/>
      <c r="H10" s="248"/>
      <c r="I10" s="247"/>
      <c r="J10" s="247"/>
      <c r="K10" s="247"/>
      <c r="L10" s="247"/>
      <c r="M10" s="247"/>
    </row>
    <row r="11">
      <c r="A11" s="247"/>
      <c r="B11" s="247"/>
      <c r="C11" s="247"/>
      <c r="D11" s="247"/>
      <c r="E11" s="247"/>
      <c r="F11" s="247"/>
      <c r="G11" s="247"/>
      <c r="H11" s="247"/>
      <c r="I11" s="247"/>
      <c r="J11" s="247"/>
      <c r="K11" s="247"/>
      <c r="L11" s="247"/>
      <c r="M11" s="247"/>
    </row>
    <row r="12">
      <c r="A12" s="247"/>
      <c r="B12" s="247"/>
      <c r="C12" s="247"/>
      <c r="D12" s="247"/>
      <c r="E12" s="247"/>
      <c r="F12" s="247"/>
      <c r="G12" s="247"/>
      <c r="H12" s="247"/>
      <c r="I12" s="247"/>
      <c r="J12" s="247"/>
      <c r="K12" s="247"/>
      <c r="L12" s="247"/>
      <c r="M12" s="247"/>
    </row>
    <row r="13">
      <c r="A13" s="247"/>
      <c r="B13" s="247"/>
      <c r="C13" s="247"/>
      <c r="D13" s="247"/>
      <c r="E13" s="247"/>
      <c r="F13" s="247"/>
      <c r="G13" s="247"/>
      <c r="H13" s="247"/>
      <c r="I13" s="247"/>
      <c r="J13" s="247"/>
      <c r="K13" s="247"/>
      <c r="L13" s="247"/>
      <c r="M13" s="247"/>
    </row>
    <row r="14">
      <c r="A14" s="247"/>
      <c r="B14" s="247"/>
      <c r="C14" s="247"/>
      <c r="D14" s="247"/>
      <c r="E14" s="247"/>
      <c r="F14" s="247"/>
      <c r="G14" s="247"/>
      <c r="H14" s="247"/>
      <c r="I14" s="247"/>
      <c r="J14" s="247"/>
      <c r="K14" s="247"/>
      <c r="L14" s="247"/>
      <c r="M14" s="247"/>
    </row>
    <row r="15">
      <c r="A15" s="247"/>
      <c r="B15" s="247"/>
      <c r="C15" s="247"/>
      <c r="D15" s="247"/>
      <c r="E15" s="247"/>
      <c r="F15" s="247"/>
      <c r="G15" s="247"/>
      <c r="H15" s="247"/>
      <c r="I15" s="247"/>
      <c r="J15" s="247"/>
      <c r="K15" s="247"/>
      <c r="L15" s="248"/>
      <c r="M15" s="248"/>
      <c r="N15" s="55"/>
      <c r="O15" s="55"/>
      <c r="P15" s="55"/>
    </row>
    <row r="16">
      <c r="A16" s="247"/>
      <c r="B16" s="247"/>
      <c r="C16" s="247"/>
      <c r="D16" s="247"/>
      <c r="E16" s="247"/>
      <c r="F16" s="247"/>
      <c r="G16" s="247"/>
      <c r="H16" s="247"/>
      <c r="I16" s="247"/>
      <c r="J16" s="247"/>
      <c r="K16" s="247"/>
      <c r="L16" s="247"/>
      <c r="M16" s="247"/>
    </row>
    <row r="17">
      <c r="A17" s="247"/>
      <c r="B17" s="247"/>
      <c r="C17" s="247"/>
      <c r="D17" s="247"/>
      <c r="E17" s="247"/>
      <c r="F17" s="247"/>
      <c r="G17" s="247"/>
      <c r="H17" s="247"/>
      <c r="I17" s="247"/>
      <c r="J17" s="247"/>
      <c r="K17" s="247"/>
      <c r="L17" s="247"/>
      <c r="M17" s="247"/>
    </row>
    <row r="18">
      <c r="A18" s="247"/>
      <c r="B18" s="247"/>
      <c r="C18" s="247"/>
      <c r="D18" s="247"/>
      <c r="E18" s="247"/>
      <c r="F18" s="247"/>
      <c r="G18" s="247"/>
      <c r="H18" s="247"/>
      <c r="I18" s="247"/>
      <c r="J18" s="247"/>
      <c r="K18" s="247"/>
      <c r="L18" s="247"/>
      <c r="M18" s="247"/>
    </row>
    <row r="19">
      <c r="A19" s="247"/>
      <c r="B19" s="247"/>
      <c r="C19" s="247"/>
      <c r="D19" s="247"/>
      <c r="E19" s="247"/>
      <c r="F19" s="247"/>
      <c r="G19" s="247"/>
      <c r="H19" s="247"/>
      <c r="I19" s="247"/>
      <c r="J19" s="247"/>
      <c r="K19" s="247"/>
      <c r="L19" s="247"/>
      <c r="M19" s="247"/>
    </row>
    <row r="20">
      <c r="A20" s="247"/>
      <c r="B20" s="247"/>
      <c r="C20" s="247"/>
      <c r="D20" s="247"/>
      <c r="E20" s="247"/>
      <c r="F20" s="247"/>
      <c r="G20" s="247"/>
      <c r="H20" s="247"/>
      <c r="I20" s="247"/>
      <c r="J20" s="248"/>
      <c r="K20" s="248"/>
      <c r="L20" s="248"/>
      <c r="M20" s="248"/>
      <c r="N20" s="55"/>
      <c r="O20" s="55"/>
    </row>
    <row r="21">
      <c r="A21" s="247"/>
      <c r="B21" s="247"/>
      <c r="C21" s="247"/>
      <c r="D21" s="247"/>
      <c r="E21" s="247"/>
      <c r="F21" s="247"/>
      <c r="G21" s="247"/>
      <c r="H21" s="247"/>
      <c r="I21" s="247"/>
      <c r="J21" s="247"/>
      <c r="K21" s="247"/>
      <c r="L21" s="247"/>
      <c r="M21" s="247"/>
    </row>
    <row r="22">
      <c r="A22" s="247"/>
      <c r="B22" s="247"/>
      <c r="C22" s="247"/>
      <c r="D22" s="247"/>
      <c r="E22" s="247"/>
      <c r="F22" s="247"/>
      <c r="G22" s="247"/>
      <c r="H22" s="247"/>
      <c r="I22" s="247"/>
      <c r="J22" s="247"/>
      <c r="K22" s="247"/>
      <c r="L22" s="247"/>
      <c r="M22" s="247"/>
    </row>
    <row r="23">
      <c r="A23" s="247"/>
      <c r="B23" s="247"/>
      <c r="C23" s="247"/>
      <c r="D23" s="247"/>
      <c r="E23" s="247"/>
      <c r="F23" s="247"/>
      <c r="G23" s="247"/>
      <c r="H23" s="247"/>
      <c r="I23" s="247"/>
      <c r="J23" s="247"/>
      <c r="K23" s="247"/>
      <c r="L23" s="247"/>
      <c r="M23" s="247"/>
    </row>
    <row r="24">
      <c r="A24" s="247"/>
      <c r="B24" s="247"/>
      <c r="C24" s="247"/>
      <c r="D24" s="247"/>
      <c r="E24" s="247"/>
      <c r="F24" s="247"/>
      <c r="G24" s="247"/>
      <c r="H24" s="247"/>
      <c r="I24" s="247"/>
      <c r="J24" s="247"/>
      <c r="K24" s="247"/>
      <c r="L24" s="247"/>
      <c r="M24" s="247"/>
    </row>
    <row r="25">
      <c r="A25" s="247"/>
      <c r="B25" s="247"/>
      <c r="C25" s="247"/>
      <c r="D25" s="247"/>
      <c r="E25" s="247"/>
      <c r="F25" s="247"/>
      <c r="G25" s="247"/>
      <c r="H25" s="247"/>
      <c r="I25" s="247"/>
      <c r="J25" s="247"/>
      <c r="K25" s="247"/>
      <c r="L25" s="247"/>
      <c r="M25" s="247"/>
    </row>
    <row r="26">
      <c r="A26" s="247"/>
      <c r="B26" s="247"/>
      <c r="C26" s="247"/>
      <c r="D26" s="247"/>
      <c r="E26" s="247"/>
      <c r="F26" s="247"/>
      <c r="G26" s="247"/>
      <c r="H26" s="247"/>
      <c r="I26" s="247"/>
      <c r="J26" s="247"/>
      <c r="K26" s="247"/>
      <c r="L26" s="247"/>
      <c r="M26" s="247"/>
    </row>
    <row r="27">
      <c r="A27" s="247"/>
      <c r="B27" s="247"/>
      <c r="C27" s="247"/>
      <c r="D27" s="247"/>
      <c r="E27" s="247"/>
      <c r="F27" s="247"/>
      <c r="G27" s="247"/>
      <c r="H27" s="247"/>
      <c r="I27" s="247"/>
      <c r="J27" s="247"/>
      <c r="K27" s="247"/>
      <c r="L27" s="247"/>
      <c r="M27" s="247"/>
    </row>
    <row r="28">
      <c r="A28" s="247"/>
      <c r="B28" s="247"/>
      <c r="C28" s="247"/>
      <c r="D28" s="247"/>
      <c r="E28" s="247"/>
      <c r="F28" s="247"/>
      <c r="G28" s="247"/>
      <c r="H28" s="247"/>
      <c r="I28" s="247"/>
      <c r="J28" s="247"/>
      <c r="K28" s="247"/>
      <c r="L28" s="247"/>
      <c r="M28" s="247"/>
    </row>
    <row r="29">
      <c r="A29" s="247"/>
      <c r="B29" s="247"/>
      <c r="C29" s="247"/>
      <c r="D29" s="247"/>
      <c r="E29" s="247"/>
      <c r="F29" s="247"/>
      <c r="G29" s="247"/>
      <c r="H29" s="247"/>
      <c r="I29" s="247"/>
      <c r="J29" s="247"/>
      <c r="K29" s="247"/>
      <c r="L29" s="247"/>
      <c r="M29" s="247"/>
    </row>
    <row r="30">
      <c r="A30" s="247"/>
      <c r="B30" s="247"/>
      <c r="C30" s="247"/>
      <c r="D30" s="247"/>
      <c r="E30" s="247"/>
      <c r="F30" s="247"/>
      <c r="G30" s="247"/>
      <c r="H30" s="247"/>
      <c r="I30" s="247"/>
      <c r="J30" s="247"/>
      <c r="K30" s="247"/>
      <c r="L30" s="247"/>
      <c r="M30" s="247"/>
    </row>
    <row r="31">
      <c r="A31" s="247"/>
      <c r="B31" s="247"/>
      <c r="C31" s="247"/>
      <c r="D31" s="247"/>
      <c r="E31" s="247"/>
      <c r="F31" s="247"/>
      <c r="G31" s="247"/>
      <c r="H31" s="247"/>
      <c r="I31" s="247"/>
      <c r="J31" s="247"/>
      <c r="K31" s="247"/>
      <c r="L31" s="247"/>
      <c r="M31" s="247"/>
    </row>
    <row r="32">
      <c r="A32" s="247"/>
      <c r="B32" s="247"/>
      <c r="C32" s="247"/>
      <c r="D32" s="247"/>
      <c r="E32" s="247"/>
      <c r="F32" s="247"/>
      <c r="G32" s="247"/>
      <c r="H32" s="247"/>
      <c r="I32" s="247"/>
      <c r="J32" s="247"/>
      <c r="K32" s="247"/>
      <c r="L32" s="247"/>
      <c r="M32" s="247"/>
    </row>
    <row r="33">
      <c r="A33" s="247"/>
      <c r="B33" s="247"/>
      <c r="C33" s="247"/>
      <c r="D33" s="247"/>
      <c r="E33" s="247"/>
      <c r="F33" s="247"/>
      <c r="G33" s="247"/>
      <c r="H33" s="247"/>
      <c r="I33" s="247"/>
      <c r="J33" s="247"/>
      <c r="K33" s="247"/>
      <c r="L33" s="247"/>
      <c r="M33" s="247"/>
    </row>
    <row r="34">
      <c r="A34" s="247"/>
      <c r="B34" s="247"/>
      <c r="C34" s="247"/>
      <c r="D34" s="247"/>
      <c r="E34" s="247"/>
      <c r="F34" s="247"/>
      <c r="G34" s="247"/>
      <c r="H34" s="247"/>
      <c r="I34" s="247"/>
      <c r="J34" s="247"/>
      <c r="K34" s="247"/>
      <c r="L34" s="247"/>
      <c r="M34" s="247"/>
    </row>
    <row r="35">
      <c r="A35" s="247"/>
      <c r="B35" s="247"/>
      <c r="C35" s="247"/>
      <c r="D35" s="247"/>
      <c r="E35" s="247"/>
      <c r="F35" s="247"/>
      <c r="G35" s="247"/>
      <c r="H35" s="247"/>
      <c r="I35" s="247"/>
      <c r="J35" s="247"/>
      <c r="K35" s="247"/>
      <c r="L35" s="247"/>
      <c r="M35" s="247"/>
    </row>
    <row r="36">
      <c r="A36" s="247"/>
      <c r="B36" s="247"/>
      <c r="C36" s="247"/>
      <c r="D36" s="247"/>
      <c r="E36" s="247"/>
      <c r="F36" s="247"/>
      <c r="G36" s="247"/>
      <c r="H36" s="247"/>
      <c r="I36" s="247"/>
      <c r="J36" s="247"/>
      <c r="K36" s="247"/>
      <c r="L36" s="247"/>
      <c r="M36" s="247"/>
    </row>
    <row r="37">
      <c r="A37" s="247"/>
      <c r="B37" s="247"/>
      <c r="C37" s="247"/>
      <c r="D37" s="247"/>
      <c r="E37" s="247"/>
      <c r="F37" s="247"/>
      <c r="G37" s="247"/>
      <c r="H37" s="247"/>
      <c r="I37" s="247"/>
      <c r="J37" s="247"/>
      <c r="K37" s="247"/>
      <c r="L37" s="247"/>
      <c r="M37" s="247"/>
    </row>
    <row r="38">
      <c r="A38" s="247"/>
      <c r="B38" s="247"/>
      <c r="C38" s="247"/>
      <c r="D38" s="247"/>
      <c r="E38" s="247"/>
      <c r="F38" s="247"/>
      <c r="G38" s="247"/>
      <c r="H38" s="247"/>
      <c r="I38" s="247"/>
      <c r="J38" s="247"/>
      <c r="K38" s="247"/>
      <c r="L38" s="247"/>
      <c r="M38" s="247"/>
    </row>
    <row r="39">
      <c r="A39" s="247"/>
      <c r="B39" s="247"/>
      <c r="C39" s="247"/>
      <c r="D39" s="247"/>
      <c r="E39" s="247"/>
      <c r="F39" s="247"/>
      <c r="G39" s="247"/>
      <c r="H39" s="247"/>
      <c r="I39" s="247"/>
      <c r="J39" s="247"/>
      <c r="K39" s="247"/>
      <c r="L39" s="247"/>
      <c r="M39" s="247"/>
    </row>
    <row r="40">
      <c r="A40" s="247"/>
      <c r="B40" s="247"/>
      <c r="C40" s="247"/>
      <c r="D40" s="247"/>
      <c r="E40" s="247"/>
      <c r="F40" s="247"/>
      <c r="G40" s="247"/>
      <c r="H40" s="247"/>
      <c r="I40" s="247"/>
      <c r="J40" s="247"/>
      <c r="K40" s="247"/>
      <c r="L40" s="247"/>
      <c r="M40" s="247"/>
    </row>
    <row r="41">
      <c r="A41" s="247"/>
      <c r="B41" s="247"/>
      <c r="C41" s="247"/>
      <c r="D41" s="247"/>
      <c r="E41" s="247"/>
      <c r="F41" s="247"/>
      <c r="G41" s="247"/>
      <c r="H41" s="247"/>
      <c r="I41" s="247"/>
      <c r="J41" s="247"/>
      <c r="K41" s="247"/>
      <c r="L41" s="247"/>
      <c r="M41" s="247"/>
    </row>
    <row r="42">
      <c r="A42" s="247"/>
      <c r="B42" s="247"/>
      <c r="C42" s="247"/>
      <c r="D42" s="247"/>
      <c r="E42" s="247"/>
      <c r="F42" s="247"/>
      <c r="G42" s="247"/>
      <c r="H42" s="247"/>
      <c r="I42" s="247"/>
      <c r="J42" s="247"/>
      <c r="K42" s="247"/>
      <c r="L42" s="247"/>
      <c r="M42" s="247"/>
    </row>
    <row r="43">
      <c r="A43" s="247"/>
      <c r="B43" s="247"/>
      <c r="C43" s="247"/>
      <c r="D43" s="247"/>
      <c r="E43" s="247"/>
      <c r="F43" s="247"/>
      <c r="G43" s="247"/>
      <c r="H43" s="247"/>
      <c r="I43" s="247"/>
      <c r="J43" s="247"/>
      <c r="K43" s="247"/>
      <c r="L43" s="247"/>
      <c r="M43" s="247"/>
    </row>
    <row r="44">
      <c r="A44" s="247"/>
      <c r="B44" s="247"/>
      <c r="C44" s="247"/>
      <c r="D44" s="247"/>
      <c r="E44" s="247"/>
      <c r="F44" s="247"/>
      <c r="G44" s="247"/>
      <c r="H44" s="247"/>
      <c r="I44" s="247"/>
      <c r="J44" s="247"/>
      <c r="K44" s="247"/>
      <c r="L44" s="247"/>
      <c r="M44" s="247"/>
    </row>
    <row r="45">
      <c r="A45" s="247"/>
      <c r="B45" s="247"/>
      <c r="C45" s="247"/>
      <c r="D45" s="247"/>
      <c r="E45" s="247"/>
      <c r="F45" s="247"/>
      <c r="G45" s="247"/>
      <c r="H45" s="247"/>
      <c r="I45" s="247"/>
      <c r="J45" s="247"/>
      <c r="K45" s="247"/>
      <c r="L45" s="247"/>
      <c r="M45" s="247"/>
    </row>
    <row r="46">
      <c r="A46" s="247"/>
      <c r="B46" s="247"/>
      <c r="C46" s="247"/>
      <c r="D46" s="247"/>
      <c r="E46" s="247"/>
      <c r="F46" s="247"/>
      <c r="G46" s="247"/>
      <c r="H46" s="247"/>
      <c r="I46" s="247"/>
      <c r="J46" s="247"/>
      <c r="K46" s="247"/>
      <c r="L46" s="247"/>
      <c r="M46" s="247"/>
    </row>
    <row r="47">
      <c r="A47" s="247"/>
      <c r="B47" s="247"/>
      <c r="C47" s="247"/>
      <c r="D47" s="247"/>
      <c r="E47" s="247"/>
      <c r="F47" s="247"/>
      <c r="G47" s="247"/>
      <c r="H47" s="247"/>
      <c r="I47" s="247"/>
      <c r="J47" s="247"/>
      <c r="K47" s="247"/>
      <c r="L47" s="247"/>
      <c r="M47" s="247"/>
    </row>
    <row r="48">
      <c r="A48" s="247"/>
      <c r="B48" s="247"/>
      <c r="C48" s="247"/>
      <c r="D48" s="247"/>
      <c r="E48" s="247"/>
      <c r="F48" s="247"/>
      <c r="G48" s="247"/>
      <c r="H48" s="247"/>
      <c r="I48" s="247"/>
      <c r="J48" s="247"/>
      <c r="K48" s="247"/>
      <c r="L48" s="247"/>
      <c r="M48" s="247"/>
    </row>
    <row r="49">
      <c r="A49" s="247"/>
      <c r="B49" s="247"/>
      <c r="C49" s="247"/>
      <c r="D49" s="247"/>
      <c r="E49" s="247"/>
      <c r="F49" s="247"/>
      <c r="G49" s="247"/>
      <c r="H49" s="247"/>
      <c r="I49" s="247"/>
      <c r="J49" s="247"/>
      <c r="K49" s="247"/>
      <c r="L49" s="247"/>
      <c r="M49" s="247"/>
    </row>
    <row r="50">
      <c r="A50" s="247"/>
      <c r="B50" s="247"/>
      <c r="C50" s="247"/>
      <c r="D50" s="247"/>
      <c r="E50" s="247"/>
      <c r="F50" s="247"/>
      <c r="G50" s="247"/>
      <c r="H50" s="247"/>
      <c r="I50" s="247"/>
      <c r="J50" s="247"/>
      <c r="K50" s="247"/>
      <c r="L50" s="247"/>
      <c r="M50" s="247"/>
    </row>
    <row r="51">
      <c r="A51" s="247"/>
      <c r="B51" s="247"/>
      <c r="C51" s="247"/>
      <c r="D51" s="247"/>
      <c r="E51" s="247"/>
      <c r="F51" s="247"/>
      <c r="G51" s="247"/>
      <c r="H51" s="247"/>
      <c r="I51" s="247"/>
      <c r="J51" s="247"/>
      <c r="K51" s="247"/>
      <c r="L51" s="247"/>
      <c r="M51" s="247"/>
    </row>
    <row r="52">
      <c r="A52" s="247"/>
      <c r="B52" s="247"/>
      <c r="C52" s="247"/>
      <c r="D52" s="247"/>
      <c r="E52" s="247"/>
      <c r="F52" s="247"/>
      <c r="G52" s="247"/>
      <c r="H52" s="247"/>
      <c r="I52" s="247"/>
      <c r="J52" s="247"/>
      <c r="K52" s="247"/>
      <c r="L52" s="247"/>
      <c r="M52" s="247"/>
    </row>
    <row r="53">
      <c r="A53" s="247"/>
      <c r="B53" s="247"/>
      <c r="C53" s="247"/>
      <c r="D53" s="247"/>
      <c r="E53" s="247"/>
      <c r="F53" s="247"/>
      <c r="G53" s="247"/>
      <c r="H53" s="247"/>
      <c r="I53" s="247"/>
      <c r="J53" s="247"/>
      <c r="K53" s="247"/>
      <c r="L53" s="247"/>
      <c r="M53" s="247"/>
    </row>
    <row r="54">
      <c r="A54" s="247"/>
      <c r="B54" s="247"/>
      <c r="C54" s="247"/>
      <c r="D54" s="247"/>
      <c r="E54" s="247"/>
      <c r="F54" s="247"/>
      <c r="G54" s="247"/>
      <c r="H54" s="247"/>
      <c r="I54" s="247"/>
      <c r="J54" s="247"/>
      <c r="K54" s="247"/>
      <c r="L54" s="247"/>
      <c r="M54" s="247"/>
    </row>
    <row r="55">
      <c r="A55" s="247"/>
      <c r="B55" s="247"/>
      <c r="C55" s="247"/>
      <c r="D55" s="247"/>
      <c r="E55" s="247"/>
      <c r="F55" s="247"/>
      <c r="G55" s="247"/>
      <c r="H55" s="247"/>
      <c r="I55" s="247"/>
      <c r="J55" s="247"/>
      <c r="K55" s="247"/>
      <c r="L55" s="247"/>
      <c r="M55" s="247"/>
    </row>
    <row r="56">
      <c r="A56" s="247"/>
      <c r="B56" s="247"/>
      <c r="C56" s="247"/>
      <c r="D56" s="247"/>
      <c r="E56" s="247"/>
      <c r="F56" s="247"/>
      <c r="G56" s="247"/>
      <c r="H56" s="247"/>
      <c r="I56" s="247"/>
      <c r="J56" s="247"/>
      <c r="K56" s="247"/>
      <c r="L56" s="247"/>
      <c r="M56" s="247"/>
    </row>
    <row r="57">
      <c r="A57" s="247"/>
      <c r="B57" s="247"/>
      <c r="C57" s="247"/>
      <c r="D57" s="247"/>
      <c r="E57" s="247"/>
      <c r="F57" s="247"/>
      <c r="G57" s="247"/>
      <c r="H57" s="247"/>
      <c r="I57" s="247"/>
      <c r="J57" s="247"/>
      <c r="K57" s="247"/>
      <c r="L57" s="247"/>
      <c r="M57" s="247"/>
    </row>
    <row r="58">
      <c r="A58" s="247"/>
      <c r="B58" s="247"/>
      <c r="C58" s="247"/>
      <c r="D58" s="247"/>
      <c r="E58" s="247"/>
      <c r="F58" s="247"/>
      <c r="G58" s="247"/>
      <c r="H58" s="247"/>
      <c r="I58" s="247"/>
      <c r="J58" s="247"/>
      <c r="K58" s="247"/>
      <c r="L58" s="247"/>
      <c r="M58" s="247"/>
    </row>
    <row r="59">
      <c r="A59" s="247"/>
      <c r="B59" s="247"/>
      <c r="C59" s="247"/>
      <c r="D59" s="247"/>
      <c r="E59" s="247"/>
      <c r="F59" s="247"/>
      <c r="G59" s="247"/>
      <c r="H59" s="247"/>
      <c r="I59" s="247"/>
      <c r="J59" s="247"/>
      <c r="K59" s="247"/>
      <c r="L59" s="247"/>
      <c r="M59" s="247"/>
    </row>
    <row r="60">
      <c r="A60" s="247"/>
      <c r="B60" s="247"/>
      <c r="C60" s="247"/>
      <c r="D60" s="247"/>
      <c r="E60" s="247"/>
      <c r="F60" s="247"/>
      <c r="G60" s="247"/>
      <c r="H60" s="247"/>
      <c r="I60" s="247"/>
      <c r="J60" s="247"/>
      <c r="K60" s="247"/>
      <c r="L60" s="247"/>
      <c r="M60" s="247"/>
    </row>
    <row r="61">
      <c r="A61" s="247"/>
      <c r="B61" s="247"/>
      <c r="C61" s="247"/>
      <c r="D61" s="247"/>
      <c r="E61" s="247"/>
      <c r="F61" s="247"/>
      <c r="G61" s="247"/>
      <c r="H61" s="247"/>
      <c r="I61" s="247"/>
      <c r="J61" s="247"/>
      <c r="K61" s="247"/>
      <c r="L61" s="247"/>
      <c r="M61" s="247"/>
    </row>
    <row r="62">
      <c r="A62" s="247"/>
      <c r="B62" s="247"/>
      <c r="C62" s="247"/>
      <c r="D62" s="247"/>
      <c r="E62" s="247"/>
      <c r="F62" s="247"/>
      <c r="G62" s="247"/>
      <c r="H62" s="247"/>
      <c r="I62" s="247"/>
      <c r="J62" s="247"/>
      <c r="K62" s="247"/>
      <c r="L62" s="247"/>
      <c r="M62" s="247"/>
    </row>
    <row r="63">
      <c r="A63" s="247"/>
      <c r="B63" s="247"/>
      <c r="C63" s="247"/>
      <c r="D63" s="247"/>
      <c r="E63" s="247"/>
      <c r="F63" s="247"/>
      <c r="G63" s="247"/>
      <c r="H63" s="247"/>
      <c r="I63" s="247"/>
      <c r="J63" s="247"/>
      <c r="K63" s="247"/>
      <c r="L63" s="247"/>
      <c r="M63" s="247"/>
    </row>
    <row r="64">
      <c r="A64" s="247"/>
      <c r="B64" s="247"/>
      <c r="C64" s="247"/>
      <c r="D64" s="247"/>
      <c r="E64" s="247"/>
      <c r="F64" s="247"/>
      <c r="G64" s="247"/>
      <c r="H64" s="247"/>
      <c r="I64" s="247"/>
      <c r="J64" s="247"/>
      <c r="K64" s="247"/>
      <c r="L64" s="247"/>
      <c r="M64" s="247"/>
    </row>
    <row r="65">
      <c r="A65" s="247"/>
      <c r="B65" s="247"/>
      <c r="C65" s="247"/>
      <c r="D65" s="247"/>
      <c r="E65" s="247"/>
      <c r="F65" s="247"/>
      <c r="G65" s="247"/>
      <c r="H65" s="247"/>
      <c r="I65" s="247"/>
      <c r="J65" s="247"/>
      <c r="K65" s="247"/>
      <c r="L65" s="247"/>
      <c r="M65" s="247"/>
    </row>
    <row r="66">
      <c r="A66" s="247"/>
      <c r="B66" s="247"/>
      <c r="C66" s="247"/>
      <c r="D66" s="247"/>
      <c r="E66" s="247"/>
      <c r="F66" s="247"/>
      <c r="G66" s="247"/>
      <c r="H66" s="247"/>
      <c r="I66" s="247"/>
      <c r="J66" s="247"/>
      <c r="K66" s="247"/>
      <c r="L66" s="247"/>
      <c r="M66" s="247"/>
    </row>
    <row r="67">
      <c r="A67" s="247"/>
      <c r="B67" s="247"/>
      <c r="C67" s="247"/>
      <c r="D67" s="247"/>
      <c r="E67" s="247"/>
      <c r="F67" s="247"/>
      <c r="G67" s="247"/>
      <c r="H67" s="247"/>
      <c r="I67" s="247"/>
      <c r="J67" s="247"/>
      <c r="K67" s="247"/>
      <c r="L67" s="247"/>
      <c r="M67" s="247"/>
    </row>
    <row r="68">
      <c r="A68" s="247"/>
      <c r="B68" s="247"/>
      <c r="C68" s="247"/>
      <c r="D68" s="247"/>
      <c r="E68" s="247"/>
      <c r="F68" s="247"/>
      <c r="G68" s="247"/>
      <c r="H68" s="247"/>
      <c r="I68" s="247"/>
      <c r="J68" s="247"/>
      <c r="K68" s="247"/>
      <c r="L68" s="247"/>
      <c r="M68" s="247"/>
    </row>
    <row r="69">
      <c r="A69" s="247"/>
      <c r="B69" s="247"/>
      <c r="C69" s="247"/>
      <c r="D69" s="247"/>
      <c r="E69" s="247"/>
      <c r="F69" s="247"/>
      <c r="G69" s="247"/>
      <c r="H69" s="247"/>
      <c r="I69" s="247"/>
      <c r="J69" s="247"/>
      <c r="K69" s="247"/>
      <c r="L69" s="247"/>
      <c r="M69" s="247"/>
    </row>
    <row r="70">
      <c r="A70" s="247"/>
      <c r="B70" s="247"/>
      <c r="C70" s="247"/>
      <c r="D70" s="247"/>
      <c r="E70" s="247"/>
      <c r="F70" s="247"/>
      <c r="G70" s="247"/>
      <c r="H70" s="247"/>
      <c r="I70" s="247"/>
      <c r="J70" s="247"/>
      <c r="K70" s="247"/>
      <c r="L70" s="247"/>
      <c r="M70" s="247"/>
    </row>
    <row r="71">
      <c r="A71" s="247"/>
      <c r="B71" s="247"/>
      <c r="C71" s="247"/>
      <c r="D71" s="247"/>
      <c r="E71" s="247"/>
      <c r="F71" s="247"/>
      <c r="G71" s="247"/>
      <c r="H71" s="247"/>
      <c r="I71" s="247"/>
      <c r="J71" s="247"/>
      <c r="K71" s="247"/>
      <c r="L71" s="247"/>
      <c r="M71" s="247"/>
    </row>
    <row r="72">
      <c r="A72" s="247"/>
      <c r="B72" s="247"/>
      <c r="C72" s="247"/>
      <c r="D72" s="247"/>
      <c r="E72" s="247"/>
      <c r="F72" s="247"/>
      <c r="G72" s="247"/>
      <c r="H72" s="247"/>
      <c r="I72" s="247"/>
      <c r="J72" s="247"/>
      <c r="K72" s="247"/>
      <c r="L72" s="247"/>
      <c r="M72" s="247"/>
    </row>
    <row r="73">
      <c r="A73" s="247"/>
      <c r="B73" s="247"/>
      <c r="C73" s="247"/>
      <c r="D73" s="247"/>
      <c r="E73" s="247"/>
      <c r="F73" s="247"/>
      <c r="G73" s="247"/>
      <c r="H73" s="247"/>
      <c r="I73" s="247"/>
      <c r="J73" s="247"/>
      <c r="K73" s="247"/>
      <c r="L73" s="247"/>
      <c r="M73" s="247"/>
    </row>
    <row r="74">
      <c r="A74" s="247"/>
      <c r="B74" s="247"/>
      <c r="C74" s="247"/>
      <c r="D74" s="247"/>
      <c r="E74" s="247"/>
      <c r="F74" s="247"/>
      <c r="G74" s="247"/>
      <c r="H74" s="247"/>
      <c r="I74" s="247"/>
      <c r="J74" s="247"/>
      <c r="K74" s="247"/>
      <c r="L74" s="247"/>
      <c r="M74" s="247"/>
    </row>
    <row r="75">
      <c r="A75" s="247"/>
      <c r="B75" s="247"/>
      <c r="C75" s="247"/>
      <c r="D75" s="247"/>
      <c r="E75" s="247"/>
      <c r="F75" s="247"/>
      <c r="G75" s="247"/>
      <c r="H75" s="247"/>
      <c r="I75" s="247"/>
      <c r="J75" s="247"/>
      <c r="K75" s="247"/>
      <c r="L75" s="247"/>
      <c r="M75" s="247"/>
    </row>
    <row r="76">
      <c r="A76" s="247"/>
      <c r="B76" s="247"/>
      <c r="C76" s="247"/>
      <c r="D76" s="247"/>
      <c r="E76" s="247"/>
      <c r="F76" s="247"/>
      <c r="G76" s="247"/>
      <c r="H76" s="247"/>
      <c r="I76" s="247"/>
      <c r="J76" s="247"/>
      <c r="K76" s="247"/>
      <c r="L76" s="247"/>
      <c r="M76" s="247"/>
    </row>
    <row r="77">
      <c r="A77" s="247"/>
      <c r="B77" s="247"/>
      <c r="C77" s="247"/>
      <c r="D77" s="247"/>
      <c r="E77" s="247"/>
      <c r="F77" s="247"/>
      <c r="G77" s="247"/>
      <c r="H77" s="247"/>
      <c r="I77" s="247"/>
      <c r="J77" s="247"/>
      <c r="K77" s="247"/>
      <c r="L77" s="247"/>
      <c r="M77" s="247"/>
    </row>
    <row r="78">
      <c r="A78" s="247"/>
      <c r="B78" s="247"/>
      <c r="C78" s="247"/>
      <c r="D78" s="247"/>
      <c r="E78" s="247"/>
      <c r="F78" s="247"/>
      <c r="G78" s="247"/>
      <c r="H78" s="247"/>
      <c r="I78" s="247"/>
      <c r="J78" s="247"/>
      <c r="K78" s="247"/>
      <c r="L78" s="247"/>
      <c r="M78" s="247"/>
    </row>
    <row r="79">
      <c r="A79" s="247"/>
      <c r="B79" s="247"/>
      <c r="C79" s="247"/>
      <c r="D79" s="247"/>
      <c r="E79" s="247"/>
      <c r="F79" s="247"/>
      <c r="G79" s="247"/>
      <c r="H79" s="247"/>
      <c r="I79" s="247"/>
      <c r="J79" s="247"/>
      <c r="K79" s="247"/>
      <c r="L79" s="247"/>
      <c r="M79" s="247"/>
    </row>
    <row r="80">
      <c r="A80" s="247"/>
      <c r="B80" s="247"/>
      <c r="C80" s="247"/>
      <c r="D80" s="247"/>
      <c r="E80" s="247"/>
      <c r="F80" s="247"/>
      <c r="G80" s="247"/>
      <c r="H80" s="247"/>
      <c r="I80" s="247"/>
      <c r="J80" s="247"/>
      <c r="K80" s="247"/>
      <c r="L80" s="247"/>
      <c r="M80" s="247"/>
    </row>
    <row r="81">
      <c r="A81" s="247"/>
      <c r="B81" s="247"/>
      <c r="C81" s="247"/>
      <c r="D81" s="247"/>
      <c r="E81" s="247"/>
      <c r="F81" s="247"/>
      <c r="G81" s="247"/>
      <c r="H81" s="247"/>
      <c r="I81" s="247"/>
      <c r="J81" s="247"/>
      <c r="K81" s="247"/>
      <c r="L81" s="247"/>
      <c r="M81" s="247"/>
    </row>
    <row r="82">
      <c r="A82" s="247"/>
      <c r="B82" s="247"/>
      <c r="C82" s="247"/>
      <c r="D82" s="247"/>
      <c r="E82" s="247"/>
      <c r="F82" s="247"/>
      <c r="G82" s="247"/>
      <c r="H82" s="247"/>
      <c r="I82" s="247"/>
      <c r="J82" s="247"/>
      <c r="K82" s="247"/>
      <c r="L82" s="247"/>
      <c r="M82" s="247"/>
    </row>
    <row r="83">
      <c r="A83" s="247"/>
      <c r="B83" s="247"/>
      <c r="C83" s="247"/>
      <c r="D83" s="247"/>
      <c r="E83" s="247"/>
      <c r="F83" s="247"/>
      <c r="G83" s="247"/>
      <c r="H83" s="247"/>
      <c r="I83" s="247"/>
      <c r="J83" s="247"/>
      <c r="K83" s="247"/>
      <c r="L83" s="247"/>
      <c r="M83" s="247"/>
    </row>
    <row r="84">
      <c r="A84" s="247"/>
      <c r="B84" s="247"/>
      <c r="C84" s="247"/>
      <c r="D84" s="247"/>
      <c r="E84" s="247"/>
      <c r="F84" s="247"/>
      <c r="G84" s="247"/>
      <c r="H84" s="247"/>
      <c r="I84" s="247"/>
      <c r="J84" s="247"/>
      <c r="K84" s="247"/>
      <c r="L84" s="247"/>
      <c r="M84" s="247"/>
    </row>
    <row r="85">
      <c r="A85" s="247"/>
      <c r="B85" s="247"/>
      <c r="C85" s="247"/>
      <c r="D85" s="247"/>
      <c r="E85" s="247"/>
      <c r="F85" s="247"/>
      <c r="G85" s="247"/>
      <c r="H85" s="247"/>
      <c r="I85" s="247"/>
      <c r="J85" s="247"/>
      <c r="K85" s="247"/>
      <c r="L85" s="247"/>
      <c r="M85" s="247"/>
    </row>
    <row r="86">
      <c r="A86" s="247"/>
      <c r="B86" s="247"/>
      <c r="C86" s="247"/>
      <c r="D86" s="247"/>
      <c r="E86" s="247"/>
      <c r="F86" s="247"/>
      <c r="G86" s="247"/>
      <c r="H86" s="247"/>
      <c r="I86" s="247"/>
      <c r="J86" s="247"/>
      <c r="K86" s="247"/>
      <c r="L86" s="247"/>
      <c r="M86" s="247"/>
    </row>
    <row r="87">
      <c r="A87" s="247"/>
      <c r="B87" s="247"/>
      <c r="C87" s="247"/>
      <c r="D87" s="247"/>
      <c r="E87" s="247"/>
      <c r="F87" s="247"/>
      <c r="G87" s="247"/>
      <c r="H87" s="247"/>
      <c r="I87" s="247"/>
      <c r="J87" s="247"/>
      <c r="K87" s="247"/>
      <c r="L87" s="247"/>
      <c r="M87" s="247"/>
    </row>
    <row r="88">
      <c r="A88" s="247"/>
      <c r="B88" s="247"/>
      <c r="C88" s="247"/>
      <c r="D88" s="247"/>
      <c r="E88" s="247"/>
      <c r="F88" s="247"/>
      <c r="G88" s="247"/>
      <c r="H88" s="247"/>
      <c r="I88" s="247"/>
      <c r="J88" s="247"/>
      <c r="K88" s="247"/>
      <c r="L88" s="247"/>
      <c r="M88" s="247"/>
    </row>
    <row r="89">
      <c r="A89" s="247"/>
      <c r="B89" s="247"/>
      <c r="C89" s="247"/>
      <c r="D89" s="247"/>
      <c r="E89" s="247"/>
      <c r="F89" s="247"/>
      <c r="G89" s="247"/>
      <c r="H89" s="247"/>
      <c r="I89" s="247"/>
      <c r="J89" s="247"/>
      <c r="K89" s="247"/>
      <c r="L89" s="247"/>
      <c r="M89" s="247"/>
    </row>
    <row r="90">
      <c r="A90" s="247"/>
      <c r="B90" s="247"/>
      <c r="C90" s="247"/>
      <c r="D90" s="247"/>
      <c r="E90" s="247"/>
      <c r="F90" s="247"/>
      <c r="G90" s="247"/>
      <c r="H90" s="247"/>
      <c r="I90" s="247"/>
      <c r="J90" s="247"/>
      <c r="K90" s="247"/>
      <c r="L90" s="247"/>
      <c r="M90" s="247"/>
    </row>
    <row r="91">
      <c r="A91" s="247"/>
      <c r="B91" s="247"/>
      <c r="C91" s="247"/>
      <c r="D91" s="247"/>
      <c r="E91" s="247"/>
      <c r="F91" s="247"/>
      <c r="G91" s="247"/>
      <c r="H91" s="247"/>
      <c r="I91" s="247"/>
      <c r="J91" s="247"/>
      <c r="K91" s="247"/>
      <c r="L91" s="247"/>
      <c r="M91" s="247"/>
    </row>
    <row r="92">
      <c r="A92" s="247"/>
      <c r="B92" s="247"/>
      <c r="C92" s="247"/>
      <c r="D92" s="247"/>
      <c r="E92" s="247"/>
      <c r="F92" s="247"/>
      <c r="G92" s="247"/>
      <c r="H92" s="247"/>
      <c r="I92" s="247"/>
      <c r="J92" s="247"/>
      <c r="K92" s="247"/>
      <c r="L92" s="247"/>
      <c r="M92" s="247"/>
    </row>
    <row r="93">
      <c r="A93" s="247"/>
      <c r="B93" s="247"/>
      <c r="C93" s="247"/>
      <c r="D93" s="247"/>
      <c r="E93" s="247"/>
      <c r="F93" s="247"/>
      <c r="G93" s="247"/>
      <c r="H93" s="247"/>
      <c r="I93" s="247"/>
      <c r="J93" s="247"/>
      <c r="K93" s="247"/>
      <c r="L93" s="247"/>
      <c r="M93" s="247"/>
    </row>
    <row r="94">
      <c r="A94" s="247"/>
      <c r="B94" s="247"/>
      <c r="C94" s="247"/>
      <c r="D94" s="247"/>
      <c r="E94" s="247"/>
      <c r="F94" s="247"/>
      <c r="G94" s="247"/>
      <c r="H94" s="247"/>
      <c r="I94" s="247"/>
      <c r="J94" s="247"/>
      <c r="K94" s="247"/>
      <c r="L94" s="247"/>
      <c r="M94" s="247"/>
    </row>
    <row r="95">
      <c r="A95" s="247"/>
      <c r="B95" s="247"/>
      <c r="C95" s="247"/>
      <c r="D95" s="247"/>
      <c r="E95" s="247"/>
      <c r="F95" s="247"/>
      <c r="G95" s="247"/>
      <c r="H95" s="247"/>
      <c r="I95" s="247"/>
      <c r="J95" s="247"/>
      <c r="K95" s="247"/>
      <c r="L95" s="247"/>
      <c r="M95" s="247"/>
    </row>
    <row r="96">
      <c r="A96" s="247"/>
      <c r="B96" s="247"/>
      <c r="C96" s="247"/>
      <c r="D96" s="247"/>
      <c r="E96" s="247"/>
      <c r="F96" s="247"/>
      <c r="G96" s="247"/>
      <c r="H96" s="247"/>
      <c r="I96" s="247"/>
      <c r="J96" s="247"/>
      <c r="K96" s="247"/>
      <c r="L96" s="247"/>
      <c r="M96" s="247"/>
    </row>
    <row r="97">
      <c r="A97" s="247"/>
      <c r="B97" s="247"/>
      <c r="C97" s="247"/>
      <c r="D97" s="247"/>
      <c r="E97" s="247"/>
      <c r="F97" s="247"/>
      <c r="G97" s="247"/>
      <c r="H97" s="247"/>
      <c r="I97" s="247"/>
      <c r="J97" s="247"/>
      <c r="K97" s="247"/>
      <c r="L97" s="247"/>
      <c r="M97" s="247"/>
    </row>
    <row r="98">
      <c r="A98" s="247"/>
      <c r="B98" s="247"/>
      <c r="C98" s="247"/>
      <c r="D98" s="247"/>
      <c r="E98" s="247"/>
      <c r="F98" s="247"/>
      <c r="G98" s="247"/>
      <c r="H98" s="247"/>
      <c r="I98" s="247"/>
      <c r="J98" s="247"/>
      <c r="K98" s="247"/>
      <c r="L98" s="247"/>
      <c r="M98" s="247"/>
    </row>
    <row r="99">
      <c r="A99" s="247"/>
      <c r="B99" s="247"/>
      <c r="C99" s="247"/>
      <c r="D99" s="247"/>
      <c r="E99" s="247"/>
      <c r="F99" s="247"/>
      <c r="G99" s="247"/>
      <c r="H99" s="247"/>
      <c r="I99" s="247"/>
      <c r="J99" s="247"/>
      <c r="K99" s="247"/>
      <c r="L99" s="247"/>
      <c r="M99" s="247"/>
    </row>
    <row r="100">
      <c r="A100" s="247"/>
      <c r="B100" s="247"/>
      <c r="C100" s="247"/>
      <c r="D100" s="247"/>
      <c r="E100" s="247"/>
      <c r="F100" s="247"/>
      <c r="G100" s="247"/>
      <c r="H100" s="247"/>
      <c r="I100" s="247"/>
      <c r="J100" s="247"/>
      <c r="K100" s="247"/>
      <c r="L100" s="247"/>
      <c r="M100" s="247"/>
    </row>
    <row r="101">
      <c r="A101" s="247"/>
      <c r="B101" s="247"/>
      <c r="C101" s="247"/>
      <c r="D101" s="247"/>
      <c r="E101" s="247"/>
      <c r="F101" s="247"/>
      <c r="G101" s="247"/>
      <c r="H101" s="247"/>
      <c r="I101" s="247"/>
      <c r="J101" s="247"/>
      <c r="K101" s="247"/>
      <c r="L101" s="247"/>
      <c r="M101" s="247"/>
    </row>
    <row r="102">
      <c r="A102" s="247"/>
      <c r="B102" s="247"/>
      <c r="C102" s="247"/>
      <c r="D102" s="247"/>
      <c r="E102" s="247"/>
      <c r="F102" s="247"/>
      <c r="G102" s="247"/>
      <c r="H102" s="247"/>
      <c r="I102" s="247"/>
      <c r="J102" s="247"/>
      <c r="K102" s="247"/>
      <c r="L102" s="247"/>
      <c r="M102" s="247"/>
    </row>
    <row r="103">
      <c r="A103" s="247"/>
      <c r="B103" s="247"/>
      <c r="C103" s="247"/>
      <c r="D103" s="247"/>
      <c r="E103" s="247"/>
      <c r="F103" s="247"/>
      <c r="G103" s="247"/>
      <c r="H103" s="247"/>
      <c r="I103" s="247"/>
      <c r="J103" s="247"/>
      <c r="K103" s="247"/>
      <c r="L103" s="247"/>
      <c r="M103" s="247"/>
    </row>
    <row r="104">
      <c r="A104" s="247"/>
      <c r="B104" s="247"/>
      <c r="C104" s="247"/>
      <c r="D104" s="247"/>
      <c r="E104" s="247"/>
      <c r="F104" s="247"/>
      <c r="G104" s="247"/>
      <c r="H104" s="247"/>
      <c r="I104" s="247"/>
      <c r="J104" s="247"/>
      <c r="K104" s="247"/>
      <c r="L104" s="247"/>
      <c r="M104" s="247"/>
    </row>
    <row r="105">
      <c r="A105" s="247"/>
      <c r="B105" s="247"/>
      <c r="C105" s="247"/>
      <c r="D105" s="247"/>
      <c r="E105" s="247"/>
      <c r="F105" s="247"/>
      <c r="G105" s="247"/>
      <c r="H105" s="247"/>
      <c r="I105" s="247"/>
      <c r="J105" s="247"/>
      <c r="K105" s="247"/>
      <c r="L105" s="247"/>
      <c r="M105" s="247"/>
    </row>
    <row r="106">
      <c r="A106" s="247"/>
      <c r="B106" s="247"/>
      <c r="C106" s="247"/>
      <c r="D106" s="247"/>
      <c r="E106" s="247"/>
      <c r="F106" s="247"/>
      <c r="G106" s="247"/>
      <c r="H106" s="247"/>
      <c r="I106" s="247"/>
      <c r="J106" s="247"/>
      <c r="K106" s="247"/>
      <c r="L106" s="247"/>
      <c r="M106" s="247"/>
    </row>
    <row r="107">
      <c r="A107" s="247"/>
      <c r="B107" s="247"/>
      <c r="C107" s="247"/>
      <c r="D107" s="247"/>
      <c r="E107" s="247"/>
      <c r="F107" s="247"/>
      <c r="G107" s="247"/>
      <c r="H107" s="247"/>
      <c r="I107" s="247"/>
      <c r="J107" s="247"/>
      <c r="K107" s="247"/>
      <c r="L107" s="247"/>
      <c r="M107" s="247"/>
    </row>
    <row r="108">
      <c r="A108" s="247"/>
      <c r="B108" s="247"/>
      <c r="C108" s="247"/>
      <c r="D108" s="247"/>
      <c r="E108" s="247"/>
      <c r="F108" s="247"/>
      <c r="G108" s="247"/>
      <c r="H108" s="247"/>
      <c r="I108" s="247"/>
      <c r="J108" s="247"/>
      <c r="K108" s="247"/>
      <c r="L108" s="247"/>
      <c r="M108" s="247"/>
    </row>
    <row r="109">
      <c r="A109" s="247"/>
      <c r="B109" s="247"/>
      <c r="C109" s="247"/>
      <c r="D109" s="247"/>
      <c r="E109" s="247"/>
      <c r="F109" s="247"/>
      <c r="G109" s="247"/>
      <c r="H109" s="247"/>
      <c r="I109" s="247"/>
      <c r="J109" s="247"/>
      <c r="K109" s="247"/>
      <c r="L109" s="247"/>
      <c r="M109" s="247"/>
    </row>
    <row r="110">
      <c r="A110" s="247"/>
      <c r="B110" s="247"/>
      <c r="C110" s="247"/>
      <c r="D110" s="247"/>
      <c r="E110" s="247"/>
      <c r="F110" s="247"/>
      <c r="G110" s="247"/>
      <c r="H110" s="247"/>
      <c r="I110" s="247"/>
      <c r="J110" s="247"/>
      <c r="K110" s="247"/>
      <c r="L110" s="247"/>
      <c r="M110" s="247"/>
    </row>
    <row r="111">
      <c r="A111" s="247"/>
      <c r="B111" s="247"/>
      <c r="C111" s="247"/>
      <c r="D111" s="247"/>
      <c r="E111" s="247"/>
      <c r="F111" s="247"/>
      <c r="G111" s="247"/>
      <c r="H111" s="247"/>
      <c r="I111" s="247"/>
      <c r="J111" s="247"/>
      <c r="K111" s="247"/>
      <c r="L111" s="247"/>
      <c r="M111" s="247"/>
    </row>
    <row r="112">
      <c r="A112" s="247"/>
      <c r="B112" s="247"/>
      <c r="C112" s="247"/>
      <c r="D112" s="247"/>
      <c r="E112" s="247"/>
      <c r="F112" s="247"/>
      <c r="G112" s="247"/>
      <c r="H112" s="247"/>
      <c r="I112" s="247"/>
      <c r="J112" s="247"/>
      <c r="K112" s="247"/>
      <c r="L112" s="247"/>
      <c r="M112" s="247"/>
    </row>
    <row r="113">
      <c r="A113" s="247"/>
      <c r="B113" s="247"/>
      <c r="C113" s="247"/>
      <c r="D113" s="247"/>
      <c r="E113" s="247"/>
      <c r="F113" s="247"/>
      <c r="G113" s="247"/>
      <c r="H113" s="247"/>
      <c r="I113" s="247"/>
      <c r="J113" s="247"/>
      <c r="K113" s="247"/>
      <c r="L113" s="247"/>
      <c r="M113" s="247"/>
    </row>
    <row r="114">
      <c r="A114" s="247"/>
      <c r="B114" s="247"/>
      <c r="C114" s="247"/>
      <c r="D114" s="247"/>
      <c r="E114" s="247"/>
      <c r="F114" s="247"/>
      <c r="G114" s="247"/>
      <c r="H114" s="247"/>
      <c r="I114" s="247"/>
      <c r="J114" s="247"/>
      <c r="K114" s="247"/>
      <c r="L114" s="247"/>
      <c r="M114" s="247"/>
    </row>
    <row r="115">
      <c r="A115" s="247"/>
      <c r="B115" s="247"/>
      <c r="C115" s="247"/>
      <c r="D115" s="247"/>
      <c r="E115" s="247"/>
      <c r="F115" s="247"/>
      <c r="G115" s="247"/>
      <c r="H115" s="247"/>
      <c r="I115" s="247"/>
      <c r="J115" s="247"/>
      <c r="K115" s="247"/>
      <c r="L115" s="247"/>
      <c r="M115" s="247"/>
    </row>
    <row r="116">
      <c r="A116" s="247"/>
      <c r="B116" s="247"/>
      <c r="C116" s="247"/>
      <c r="D116" s="247"/>
      <c r="E116" s="247"/>
      <c r="F116" s="247"/>
      <c r="G116" s="247"/>
      <c r="H116" s="247"/>
      <c r="I116" s="247"/>
      <c r="J116" s="247"/>
      <c r="K116" s="247"/>
      <c r="L116" s="247"/>
      <c r="M116" s="247"/>
    </row>
    <row r="117">
      <c r="A117" s="247"/>
      <c r="B117" s="247"/>
      <c r="C117" s="247"/>
      <c r="D117" s="247"/>
      <c r="E117" s="247"/>
      <c r="F117" s="247"/>
      <c r="G117" s="247"/>
      <c r="H117" s="247"/>
      <c r="I117" s="247"/>
      <c r="J117" s="247"/>
      <c r="K117" s="247"/>
      <c r="L117" s="247"/>
      <c r="M117" s="247"/>
    </row>
    <row r="118">
      <c r="A118" s="247"/>
      <c r="B118" s="247"/>
      <c r="C118" s="247"/>
      <c r="D118" s="247"/>
      <c r="E118" s="247"/>
      <c r="F118" s="247"/>
      <c r="G118" s="247"/>
      <c r="H118" s="247"/>
      <c r="I118" s="247"/>
      <c r="J118" s="247"/>
      <c r="K118" s="247"/>
      <c r="L118" s="247"/>
      <c r="M118" s="247"/>
    </row>
    <row r="119">
      <c r="A119" s="247"/>
      <c r="B119" s="247"/>
      <c r="C119" s="247"/>
      <c r="D119" s="247"/>
      <c r="E119" s="247"/>
      <c r="F119" s="247"/>
      <c r="G119" s="247"/>
      <c r="H119" s="247"/>
      <c r="I119" s="247"/>
      <c r="J119" s="247"/>
      <c r="K119" s="247"/>
      <c r="L119" s="247"/>
      <c r="M119" s="247"/>
    </row>
    <row r="120">
      <c r="A120" s="247"/>
      <c r="B120" s="247"/>
      <c r="C120" s="247"/>
      <c r="D120" s="247"/>
      <c r="E120" s="247"/>
      <c r="F120" s="247"/>
      <c r="G120" s="247"/>
      <c r="H120" s="247"/>
      <c r="I120" s="247"/>
      <c r="J120" s="247"/>
      <c r="K120" s="247"/>
      <c r="L120" s="247"/>
      <c r="M120" s="247"/>
    </row>
    <row r="121">
      <c r="A121" s="247"/>
      <c r="B121" s="247"/>
      <c r="C121" s="247"/>
      <c r="D121" s="247"/>
      <c r="E121" s="247"/>
      <c r="F121" s="247"/>
      <c r="G121" s="247"/>
      <c r="H121" s="247"/>
      <c r="I121" s="247"/>
      <c r="J121" s="247"/>
      <c r="K121" s="247"/>
      <c r="L121" s="247"/>
      <c r="M121" s="247"/>
    </row>
    <row r="122">
      <c r="A122" s="247"/>
      <c r="B122" s="247"/>
      <c r="C122" s="247"/>
      <c r="D122" s="247"/>
      <c r="E122" s="247"/>
      <c r="F122" s="247"/>
      <c r="G122" s="247"/>
      <c r="H122" s="247"/>
      <c r="I122" s="247"/>
      <c r="J122" s="247"/>
      <c r="K122" s="247"/>
      <c r="L122" s="247"/>
      <c r="M122" s="247"/>
    </row>
    <row r="123">
      <c r="A123" s="247"/>
      <c r="B123" s="247"/>
      <c r="C123" s="247"/>
      <c r="D123" s="247"/>
      <c r="E123" s="247"/>
      <c r="F123" s="247"/>
      <c r="G123" s="247"/>
      <c r="H123" s="247"/>
      <c r="I123" s="247"/>
      <c r="J123" s="247"/>
      <c r="K123" s="247"/>
      <c r="L123" s="247"/>
      <c r="M123" s="247"/>
    </row>
    <row r="124">
      <c r="A124" s="247"/>
      <c r="B124" s="247"/>
      <c r="C124" s="247"/>
      <c r="D124" s="247"/>
      <c r="E124" s="247"/>
      <c r="F124" s="247"/>
      <c r="G124" s="247"/>
      <c r="H124" s="247"/>
      <c r="I124" s="247"/>
      <c r="J124" s="247"/>
      <c r="K124" s="247"/>
      <c r="L124" s="247"/>
      <c r="M124" s="247"/>
    </row>
    <row r="125">
      <c r="A125" s="247"/>
      <c r="B125" s="247"/>
      <c r="C125" s="247"/>
      <c r="D125" s="247"/>
      <c r="E125" s="247"/>
      <c r="F125" s="247"/>
      <c r="G125" s="247"/>
      <c r="H125" s="247"/>
      <c r="I125" s="247"/>
      <c r="J125" s="247"/>
      <c r="K125" s="247"/>
      <c r="L125" s="247"/>
      <c r="M125" s="247"/>
    </row>
    <row r="126">
      <c r="A126" s="247"/>
      <c r="B126" s="247"/>
      <c r="C126" s="247"/>
      <c r="D126" s="247"/>
      <c r="E126" s="247"/>
      <c r="F126" s="247"/>
      <c r="G126" s="247"/>
      <c r="H126" s="247"/>
      <c r="I126" s="247"/>
      <c r="J126" s="247"/>
      <c r="K126" s="247"/>
      <c r="L126" s="247"/>
      <c r="M126" s="247"/>
    </row>
    <row r="127">
      <c r="A127" s="247"/>
      <c r="B127" s="247"/>
      <c r="C127" s="247"/>
      <c r="D127" s="247"/>
      <c r="E127" s="247"/>
      <c r="F127" s="247"/>
      <c r="G127" s="247"/>
      <c r="H127" s="247"/>
      <c r="I127" s="247"/>
      <c r="J127" s="247"/>
      <c r="K127" s="247"/>
      <c r="L127" s="247"/>
      <c r="M127" s="247"/>
    </row>
    <row r="128">
      <c r="A128" s="247"/>
      <c r="B128" s="247"/>
      <c r="C128" s="247"/>
      <c r="D128" s="247"/>
      <c r="E128" s="247"/>
      <c r="F128" s="247"/>
      <c r="G128" s="247"/>
      <c r="H128" s="247"/>
      <c r="I128" s="247"/>
      <c r="J128" s="247"/>
      <c r="K128" s="247"/>
      <c r="L128" s="247"/>
      <c r="M128" s="247"/>
    </row>
    <row r="129">
      <c r="A129" s="247"/>
      <c r="B129" s="247"/>
      <c r="C129" s="247"/>
      <c r="D129" s="247"/>
      <c r="E129" s="247"/>
      <c r="F129" s="247"/>
      <c r="G129" s="247"/>
      <c r="H129" s="247"/>
      <c r="I129" s="247"/>
      <c r="J129" s="247"/>
      <c r="K129" s="247"/>
      <c r="L129" s="247"/>
      <c r="M129" s="247"/>
    </row>
    <row r="130">
      <c r="A130" s="247"/>
      <c r="B130" s="247"/>
      <c r="C130" s="247"/>
      <c r="D130" s="247"/>
      <c r="E130" s="247"/>
      <c r="F130" s="247"/>
      <c r="G130" s="247"/>
      <c r="H130" s="247"/>
      <c r="I130" s="247"/>
      <c r="J130" s="247"/>
      <c r="K130" s="247"/>
      <c r="L130" s="247"/>
      <c r="M130" s="247"/>
    </row>
    <row r="131">
      <c r="A131" s="247"/>
      <c r="B131" s="247"/>
      <c r="C131" s="247"/>
      <c r="D131" s="247"/>
      <c r="E131" s="247"/>
      <c r="F131" s="247"/>
      <c r="G131" s="247"/>
      <c r="H131" s="247"/>
      <c r="I131" s="247"/>
      <c r="J131" s="247"/>
      <c r="K131" s="247"/>
      <c r="L131" s="247"/>
      <c r="M131" s="247"/>
    </row>
    <row r="132">
      <c r="A132" s="247"/>
      <c r="B132" s="247"/>
      <c r="C132" s="247"/>
      <c r="D132" s="247"/>
      <c r="E132" s="247"/>
      <c r="F132" s="247"/>
      <c r="G132" s="247"/>
      <c r="H132" s="247"/>
      <c r="I132" s="247"/>
      <c r="J132" s="247"/>
      <c r="K132" s="247"/>
      <c r="L132" s="247"/>
      <c r="M132" s="247"/>
    </row>
    <row r="133">
      <c r="A133" s="247"/>
      <c r="B133" s="247"/>
      <c r="C133" s="247"/>
      <c r="D133" s="247"/>
      <c r="E133" s="247"/>
      <c r="F133" s="247"/>
      <c r="G133" s="247"/>
      <c r="H133" s="247"/>
      <c r="I133" s="247"/>
      <c r="J133" s="247"/>
      <c r="K133" s="247"/>
      <c r="L133" s="247"/>
      <c r="M133" s="247"/>
    </row>
    <row r="134">
      <c r="A134" s="247"/>
      <c r="B134" s="247"/>
      <c r="C134" s="247"/>
      <c r="D134" s="247"/>
      <c r="E134" s="247"/>
      <c r="F134" s="247"/>
      <c r="G134" s="247"/>
      <c r="H134" s="247"/>
      <c r="I134" s="247"/>
      <c r="J134" s="247"/>
      <c r="K134" s="247"/>
      <c r="L134" s="247"/>
      <c r="M134" s="247"/>
    </row>
    <row r="135">
      <c r="A135" s="247"/>
      <c r="B135" s="247"/>
      <c r="C135" s="247"/>
      <c r="D135" s="247"/>
      <c r="E135" s="247"/>
      <c r="F135" s="247"/>
      <c r="G135" s="247"/>
      <c r="H135" s="247"/>
      <c r="I135" s="247"/>
      <c r="J135" s="247"/>
      <c r="K135" s="247"/>
      <c r="L135" s="247"/>
      <c r="M135" s="247"/>
    </row>
    <row r="136">
      <c r="A136" s="247"/>
      <c r="B136" s="247"/>
      <c r="C136" s="247"/>
      <c r="D136" s="247"/>
      <c r="E136" s="247"/>
      <c r="F136" s="247"/>
      <c r="G136" s="247"/>
      <c r="H136" s="247"/>
      <c r="I136" s="247"/>
      <c r="J136" s="247"/>
      <c r="K136" s="247"/>
      <c r="L136" s="247"/>
      <c r="M136" s="247"/>
    </row>
    <row r="137">
      <c r="A137" s="247"/>
      <c r="B137" s="247"/>
      <c r="C137" s="247"/>
      <c r="D137" s="247"/>
      <c r="E137" s="247"/>
      <c r="F137" s="247"/>
      <c r="G137" s="247"/>
      <c r="H137" s="247"/>
      <c r="I137" s="247"/>
      <c r="J137" s="247"/>
      <c r="K137" s="247"/>
      <c r="L137" s="247"/>
      <c r="M137" s="247"/>
    </row>
    <row r="138">
      <c r="A138" s="247"/>
      <c r="B138" s="247"/>
      <c r="C138" s="247"/>
      <c r="D138" s="247"/>
      <c r="E138" s="247"/>
      <c r="F138" s="247"/>
      <c r="G138" s="247"/>
      <c r="H138" s="247"/>
      <c r="I138" s="247"/>
      <c r="J138" s="247"/>
      <c r="K138" s="247"/>
      <c r="L138" s="247"/>
      <c r="M138" s="247"/>
    </row>
    <row r="139">
      <c r="A139" s="247"/>
      <c r="B139" s="247"/>
      <c r="C139" s="247"/>
      <c r="D139" s="247"/>
      <c r="E139" s="247"/>
      <c r="F139" s="247"/>
      <c r="G139" s="247"/>
      <c r="H139" s="247"/>
      <c r="I139" s="247"/>
      <c r="J139" s="247"/>
      <c r="K139" s="247"/>
      <c r="L139" s="247"/>
      <c r="M139" s="247"/>
    </row>
    <row r="140">
      <c r="A140" s="247"/>
      <c r="B140" s="247"/>
      <c r="C140" s="247"/>
      <c r="D140" s="247"/>
      <c r="E140" s="247"/>
      <c r="F140" s="247"/>
      <c r="G140" s="247"/>
      <c r="H140" s="247"/>
      <c r="I140" s="247"/>
      <c r="J140" s="247"/>
      <c r="K140" s="247"/>
      <c r="L140" s="247"/>
      <c r="M140" s="247"/>
    </row>
    <row r="141">
      <c r="A141" s="247"/>
      <c r="B141" s="247"/>
      <c r="C141" s="247"/>
      <c r="D141" s="247"/>
      <c r="E141" s="247"/>
      <c r="F141" s="247"/>
      <c r="G141" s="247"/>
      <c r="H141" s="247"/>
      <c r="I141" s="247"/>
      <c r="J141" s="247"/>
      <c r="K141" s="247"/>
      <c r="L141" s="247"/>
      <c r="M141" s="247"/>
    </row>
    <row r="142">
      <c r="A142" s="247"/>
      <c r="B142" s="247"/>
      <c r="C142" s="247"/>
      <c r="D142" s="247"/>
      <c r="E142" s="247"/>
      <c r="F142" s="247"/>
      <c r="G142" s="247"/>
      <c r="H142" s="247"/>
      <c r="I142" s="247"/>
      <c r="J142" s="247"/>
      <c r="K142" s="247"/>
      <c r="L142" s="247"/>
      <c r="M142" s="247"/>
    </row>
    <row r="143">
      <c r="A143" s="247"/>
      <c r="B143" s="247"/>
      <c r="C143" s="247"/>
      <c r="D143" s="247"/>
      <c r="E143" s="247"/>
      <c r="F143" s="247"/>
      <c r="G143" s="247"/>
      <c r="H143" s="247"/>
      <c r="I143" s="247"/>
      <c r="J143" s="247"/>
      <c r="K143" s="247"/>
      <c r="L143" s="247"/>
      <c r="M143" s="247"/>
    </row>
    <row r="144">
      <c r="A144" s="247"/>
      <c r="B144" s="247"/>
      <c r="C144" s="247"/>
      <c r="D144" s="247"/>
      <c r="E144" s="247"/>
      <c r="F144" s="247"/>
      <c r="G144" s="247"/>
      <c r="H144" s="247"/>
      <c r="I144" s="247"/>
      <c r="J144" s="247"/>
      <c r="K144" s="247"/>
      <c r="L144" s="247"/>
      <c r="M144" s="247"/>
    </row>
    <row r="145">
      <c r="A145" s="247"/>
      <c r="B145" s="247"/>
      <c r="C145" s="247"/>
      <c r="D145" s="247"/>
      <c r="E145" s="247"/>
      <c r="F145" s="247"/>
      <c r="G145" s="247"/>
      <c r="H145" s="247"/>
      <c r="I145" s="247"/>
      <c r="J145" s="247"/>
      <c r="K145" s="247"/>
      <c r="L145" s="247"/>
      <c r="M145" s="247"/>
    </row>
    <row r="146">
      <c r="A146" s="247"/>
      <c r="B146" s="247"/>
      <c r="C146" s="247"/>
      <c r="D146" s="247"/>
      <c r="E146" s="247"/>
      <c r="F146" s="247"/>
      <c r="G146" s="247"/>
      <c r="H146" s="247"/>
      <c r="I146" s="247"/>
      <c r="J146" s="247"/>
      <c r="K146" s="247"/>
      <c r="L146" s="247"/>
      <c r="M146" s="247"/>
    </row>
    <row r="147">
      <c r="A147" s="247"/>
      <c r="B147" s="247"/>
      <c r="C147" s="247"/>
      <c r="D147" s="247"/>
      <c r="E147" s="247"/>
      <c r="F147" s="247"/>
      <c r="G147" s="247"/>
      <c r="H147" s="247"/>
      <c r="I147" s="247"/>
      <c r="J147" s="247"/>
      <c r="K147" s="247"/>
      <c r="L147" s="247"/>
      <c r="M147" s="247"/>
    </row>
    <row r="148">
      <c r="A148" s="247"/>
      <c r="B148" s="247"/>
      <c r="C148" s="247"/>
      <c r="D148" s="247"/>
      <c r="E148" s="247"/>
      <c r="F148" s="247"/>
      <c r="G148" s="247"/>
      <c r="H148" s="247"/>
      <c r="I148" s="247"/>
      <c r="J148" s="247"/>
      <c r="K148" s="247"/>
      <c r="L148" s="247"/>
      <c r="M148" s="247"/>
    </row>
    <row r="149">
      <c r="A149" s="247"/>
      <c r="B149" s="247"/>
      <c r="C149" s="247"/>
      <c r="D149" s="247"/>
      <c r="E149" s="247"/>
      <c r="F149" s="247"/>
      <c r="G149" s="247"/>
      <c r="H149" s="247"/>
      <c r="I149" s="247"/>
      <c r="J149" s="247"/>
      <c r="K149" s="247"/>
      <c r="L149" s="247"/>
      <c r="M149" s="247"/>
    </row>
    <row r="150">
      <c r="A150" s="247"/>
      <c r="B150" s="247"/>
      <c r="C150" s="247"/>
      <c r="D150" s="247"/>
      <c r="E150" s="247"/>
      <c r="F150" s="247"/>
      <c r="G150" s="247"/>
      <c r="H150" s="247"/>
      <c r="I150" s="247"/>
      <c r="J150" s="247"/>
      <c r="K150" s="247"/>
      <c r="L150" s="247"/>
      <c r="M150" s="247"/>
    </row>
    <row r="151">
      <c r="A151" s="247"/>
      <c r="B151" s="247"/>
      <c r="C151" s="247"/>
      <c r="D151" s="247"/>
      <c r="E151" s="247"/>
      <c r="F151" s="247"/>
      <c r="G151" s="247"/>
      <c r="H151" s="247"/>
      <c r="I151" s="247"/>
      <c r="J151" s="247"/>
      <c r="K151" s="247"/>
      <c r="L151" s="247"/>
      <c r="M151" s="247"/>
    </row>
    <row r="152">
      <c r="A152" s="247"/>
      <c r="B152" s="247"/>
      <c r="C152" s="247"/>
      <c r="D152" s="247"/>
      <c r="E152" s="247"/>
      <c r="F152" s="247"/>
      <c r="G152" s="247"/>
      <c r="H152" s="247"/>
      <c r="I152" s="247"/>
      <c r="J152" s="247"/>
      <c r="K152" s="247"/>
      <c r="L152" s="247"/>
      <c r="M152" s="247"/>
    </row>
    <row r="153">
      <c r="A153" s="247"/>
      <c r="B153" s="247"/>
      <c r="C153" s="247"/>
      <c r="D153" s="247"/>
      <c r="E153" s="247"/>
      <c r="F153" s="247"/>
      <c r="G153" s="247"/>
      <c r="H153" s="247"/>
      <c r="I153" s="247"/>
      <c r="J153" s="247"/>
      <c r="K153" s="247"/>
      <c r="L153" s="247"/>
      <c r="M153" s="247"/>
    </row>
    <row r="154">
      <c r="A154" s="247"/>
      <c r="B154" s="247"/>
      <c r="C154" s="247"/>
      <c r="D154" s="247"/>
      <c r="E154" s="247"/>
      <c r="F154" s="247"/>
      <c r="G154" s="247"/>
      <c r="H154" s="247"/>
      <c r="I154" s="247"/>
      <c r="J154" s="247"/>
      <c r="K154" s="247"/>
      <c r="L154" s="247"/>
      <c r="M154" s="247"/>
    </row>
    <row r="155">
      <c r="A155" s="247"/>
      <c r="B155" s="247"/>
      <c r="C155" s="247"/>
      <c r="D155" s="247"/>
      <c r="E155" s="247"/>
      <c r="F155" s="247"/>
      <c r="G155" s="247"/>
      <c r="H155" s="247"/>
      <c r="I155" s="247"/>
      <c r="J155" s="247"/>
      <c r="K155" s="247"/>
      <c r="L155" s="247"/>
      <c r="M155" s="247"/>
    </row>
    <row r="156">
      <c r="A156" s="247"/>
      <c r="B156" s="247"/>
      <c r="C156" s="247"/>
      <c r="D156" s="247"/>
      <c r="E156" s="247"/>
      <c r="F156" s="247"/>
      <c r="G156" s="247"/>
      <c r="H156" s="247"/>
      <c r="I156" s="247"/>
      <c r="J156" s="247"/>
      <c r="K156" s="247"/>
      <c r="L156" s="247"/>
      <c r="M156" s="247"/>
    </row>
    <row r="157">
      <c r="A157" s="247"/>
      <c r="B157" s="247"/>
      <c r="C157" s="247"/>
      <c r="D157" s="247"/>
      <c r="E157" s="247"/>
      <c r="F157" s="247"/>
      <c r="G157" s="247"/>
      <c r="H157" s="247"/>
      <c r="I157" s="247"/>
      <c r="J157" s="247"/>
      <c r="K157" s="247"/>
      <c r="L157" s="247"/>
      <c r="M157" s="247"/>
    </row>
    <row r="158">
      <c r="A158" s="247"/>
      <c r="B158" s="247"/>
      <c r="C158" s="247"/>
      <c r="D158" s="247"/>
      <c r="E158" s="247"/>
      <c r="F158" s="247"/>
      <c r="G158" s="247"/>
      <c r="H158" s="247"/>
      <c r="I158" s="247"/>
      <c r="J158" s="247"/>
      <c r="K158" s="247"/>
      <c r="L158" s="247"/>
      <c r="M158" s="247"/>
    </row>
    <row r="159">
      <c r="A159" s="247"/>
      <c r="B159" s="247"/>
      <c r="C159" s="247"/>
      <c r="D159" s="247"/>
      <c r="E159" s="247"/>
      <c r="F159" s="247"/>
      <c r="G159" s="247"/>
      <c r="H159" s="247"/>
      <c r="I159" s="247"/>
      <c r="J159" s="247"/>
      <c r="K159" s="247"/>
      <c r="L159" s="247"/>
      <c r="M159" s="247"/>
    </row>
    <row r="160">
      <c r="A160" s="247"/>
      <c r="B160" s="247"/>
      <c r="C160" s="247"/>
      <c r="D160" s="247"/>
      <c r="E160" s="247"/>
      <c r="F160" s="247"/>
      <c r="G160" s="247"/>
      <c r="H160" s="247"/>
      <c r="I160" s="247"/>
      <c r="J160" s="247"/>
      <c r="K160" s="247"/>
      <c r="L160" s="247"/>
      <c r="M160" s="247"/>
    </row>
    <row r="161">
      <c r="A161" s="247"/>
      <c r="B161" s="247"/>
      <c r="C161" s="247"/>
      <c r="D161" s="247"/>
      <c r="E161" s="247"/>
      <c r="F161" s="247"/>
      <c r="G161" s="247"/>
      <c r="H161" s="247"/>
      <c r="I161" s="247"/>
      <c r="J161" s="247"/>
      <c r="K161" s="247"/>
      <c r="L161" s="247"/>
      <c r="M161" s="247"/>
    </row>
    <row r="162">
      <c r="A162" s="247"/>
      <c r="B162" s="247"/>
      <c r="C162" s="247"/>
      <c r="D162" s="247"/>
      <c r="E162" s="247"/>
      <c r="F162" s="247"/>
      <c r="G162" s="247"/>
      <c r="H162" s="247"/>
      <c r="I162" s="247"/>
      <c r="J162" s="247"/>
      <c r="K162" s="247"/>
      <c r="L162" s="247"/>
      <c r="M162" s="247"/>
    </row>
    <row r="163">
      <c r="A163" s="247"/>
      <c r="B163" s="247"/>
      <c r="C163" s="247"/>
      <c r="D163" s="247"/>
      <c r="E163" s="247"/>
      <c r="F163" s="247"/>
      <c r="G163" s="247"/>
      <c r="H163" s="247"/>
      <c r="I163" s="247"/>
      <c r="J163" s="247"/>
      <c r="K163" s="247"/>
      <c r="L163" s="247"/>
      <c r="M163" s="247"/>
    </row>
    <row r="164">
      <c r="A164" s="247"/>
      <c r="B164" s="247"/>
      <c r="C164" s="247"/>
      <c r="D164" s="247"/>
      <c r="E164" s="247"/>
      <c r="F164" s="247"/>
      <c r="G164" s="247"/>
      <c r="H164" s="247"/>
      <c r="I164" s="247"/>
      <c r="J164" s="247"/>
      <c r="K164" s="247"/>
      <c r="L164" s="247"/>
      <c r="M164" s="247"/>
    </row>
    <row r="165">
      <c r="A165" s="247"/>
      <c r="B165" s="247"/>
      <c r="C165" s="247"/>
      <c r="D165" s="247"/>
      <c r="E165" s="247"/>
      <c r="F165" s="247"/>
      <c r="G165" s="247"/>
      <c r="H165" s="247"/>
      <c r="I165" s="247"/>
      <c r="J165" s="247"/>
      <c r="K165" s="247"/>
      <c r="L165" s="247"/>
      <c r="M165" s="247"/>
    </row>
    <row r="166">
      <c r="A166" s="247"/>
      <c r="B166" s="247"/>
      <c r="C166" s="247"/>
      <c r="D166" s="247"/>
      <c r="E166" s="247"/>
      <c r="F166" s="247"/>
      <c r="G166" s="247"/>
      <c r="H166" s="247"/>
      <c r="I166" s="247"/>
      <c r="J166" s="247"/>
      <c r="K166" s="247"/>
      <c r="L166" s="247"/>
      <c r="M166" s="247"/>
    </row>
    <row r="167">
      <c r="A167" s="247"/>
      <c r="B167" s="247"/>
      <c r="C167" s="247"/>
      <c r="D167" s="247"/>
      <c r="E167" s="247"/>
      <c r="F167" s="247"/>
      <c r="G167" s="247"/>
      <c r="H167" s="247"/>
      <c r="I167" s="247"/>
      <c r="J167" s="247"/>
      <c r="K167" s="247"/>
      <c r="L167" s="247"/>
      <c r="M167" s="247"/>
    </row>
    <row r="168">
      <c r="A168" s="247"/>
      <c r="B168" s="247"/>
      <c r="C168" s="247"/>
      <c r="D168" s="247"/>
      <c r="E168" s="247"/>
      <c r="F168" s="247"/>
      <c r="G168" s="247"/>
      <c r="H168" s="247"/>
      <c r="I168" s="247"/>
      <c r="J168" s="247"/>
      <c r="K168" s="247"/>
      <c r="L168" s="247"/>
      <c r="M168" s="247"/>
    </row>
    <row r="169">
      <c r="A169" s="247"/>
      <c r="B169" s="247"/>
      <c r="C169" s="247"/>
      <c r="D169" s="247"/>
      <c r="E169" s="247"/>
      <c r="F169" s="247"/>
      <c r="G169" s="247"/>
      <c r="H169" s="247"/>
      <c r="I169" s="247"/>
      <c r="J169" s="247"/>
      <c r="K169" s="247"/>
      <c r="L169" s="247"/>
      <c r="M169" s="247"/>
    </row>
    <row r="170">
      <c r="A170" s="247"/>
      <c r="B170" s="247"/>
      <c r="C170" s="247"/>
      <c r="D170" s="247"/>
      <c r="E170" s="247"/>
      <c r="F170" s="247"/>
      <c r="G170" s="247"/>
      <c r="H170" s="247"/>
      <c r="I170" s="247"/>
      <c r="J170" s="247"/>
      <c r="K170" s="247"/>
      <c r="L170" s="247"/>
      <c r="M170" s="247"/>
    </row>
    <row r="171">
      <c r="A171" s="247"/>
      <c r="B171" s="247"/>
      <c r="C171" s="247"/>
      <c r="D171" s="247"/>
      <c r="E171" s="247"/>
      <c r="F171" s="247"/>
      <c r="G171" s="247"/>
      <c r="H171" s="247"/>
      <c r="I171" s="247"/>
      <c r="J171" s="247"/>
      <c r="K171" s="247"/>
      <c r="L171" s="247"/>
      <c r="M171" s="247"/>
    </row>
    <row r="172">
      <c r="A172" s="247"/>
      <c r="B172" s="247"/>
      <c r="C172" s="247"/>
      <c r="D172" s="247"/>
      <c r="E172" s="247"/>
      <c r="F172" s="247"/>
      <c r="G172" s="247"/>
      <c r="H172" s="247"/>
      <c r="I172" s="247"/>
      <c r="J172" s="247"/>
      <c r="K172" s="247"/>
      <c r="L172" s="247"/>
      <c r="M172" s="247"/>
    </row>
    <row r="173">
      <c r="A173" s="247"/>
      <c r="B173" s="247"/>
      <c r="C173" s="247"/>
      <c r="D173" s="247"/>
      <c r="E173" s="247"/>
      <c r="F173" s="247"/>
      <c r="G173" s="247"/>
      <c r="H173" s="247"/>
      <c r="I173" s="247"/>
      <c r="J173" s="247"/>
      <c r="K173" s="247"/>
      <c r="L173" s="247"/>
      <c r="M173" s="247"/>
    </row>
    <row r="174">
      <c r="A174" s="247"/>
      <c r="B174" s="247"/>
      <c r="C174" s="247"/>
      <c r="D174" s="247"/>
      <c r="E174" s="247"/>
      <c r="F174" s="247"/>
      <c r="G174" s="247"/>
      <c r="H174" s="247"/>
      <c r="I174" s="247"/>
      <c r="J174" s="247"/>
      <c r="K174" s="247"/>
      <c r="L174" s="247"/>
      <c r="M174" s="247"/>
    </row>
    <row r="175">
      <c r="A175" s="247"/>
      <c r="B175" s="247"/>
      <c r="C175" s="247"/>
      <c r="D175" s="247"/>
      <c r="E175" s="247"/>
      <c r="F175" s="247"/>
      <c r="G175" s="247"/>
      <c r="H175" s="247"/>
      <c r="I175" s="247"/>
      <c r="J175" s="247"/>
      <c r="K175" s="247"/>
      <c r="L175" s="247"/>
      <c r="M175" s="247"/>
    </row>
    <row r="176">
      <c r="A176" s="247"/>
      <c r="B176" s="247"/>
      <c r="C176" s="247"/>
      <c r="D176" s="247"/>
      <c r="E176" s="247"/>
      <c r="F176" s="247"/>
      <c r="G176" s="247"/>
      <c r="H176" s="247"/>
      <c r="I176" s="247"/>
      <c r="J176" s="247"/>
      <c r="K176" s="247"/>
      <c r="L176" s="247"/>
      <c r="M176" s="247"/>
    </row>
    <row r="177">
      <c r="A177" s="247"/>
      <c r="B177" s="247"/>
      <c r="C177" s="247"/>
      <c r="D177" s="247"/>
      <c r="E177" s="247"/>
      <c r="F177" s="247"/>
      <c r="G177" s="247"/>
      <c r="H177" s="247"/>
      <c r="I177" s="247"/>
      <c r="J177" s="247"/>
      <c r="K177" s="247"/>
      <c r="L177" s="247"/>
      <c r="M177" s="247"/>
    </row>
    <row r="178">
      <c r="A178" s="247"/>
      <c r="B178" s="247"/>
      <c r="C178" s="247"/>
      <c r="D178" s="247"/>
      <c r="E178" s="247"/>
      <c r="F178" s="247"/>
      <c r="G178" s="247"/>
      <c r="H178" s="247"/>
      <c r="I178" s="247"/>
      <c r="J178" s="247"/>
      <c r="K178" s="247"/>
      <c r="L178" s="247"/>
      <c r="M178" s="247"/>
    </row>
    <row r="179">
      <c r="A179" s="247"/>
      <c r="B179" s="247"/>
      <c r="C179" s="247"/>
      <c r="D179" s="247"/>
      <c r="E179" s="247"/>
      <c r="F179" s="247"/>
      <c r="G179" s="247"/>
      <c r="H179" s="247"/>
      <c r="I179" s="247"/>
      <c r="J179" s="247"/>
      <c r="K179" s="247"/>
      <c r="L179" s="247"/>
      <c r="M179" s="247"/>
    </row>
    <row r="180">
      <c r="A180" s="247"/>
      <c r="B180" s="247"/>
      <c r="C180" s="247"/>
      <c r="D180" s="247"/>
      <c r="E180" s="247"/>
      <c r="F180" s="247"/>
      <c r="G180" s="247"/>
      <c r="H180" s="247"/>
      <c r="I180" s="247"/>
      <c r="J180" s="247"/>
      <c r="K180" s="247"/>
      <c r="L180" s="247"/>
      <c r="M180" s="247"/>
    </row>
    <row r="181">
      <c r="A181" s="247"/>
      <c r="B181" s="247"/>
      <c r="C181" s="247"/>
      <c r="D181" s="247"/>
      <c r="E181" s="247"/>
      <c r="F181" s="247"/>
      <c r="G181" s="247"/>
      <c r="H181" s="247"/>
      <c r="I181" s="247"/>
      <c r="J181" s="247"/>
      <c r="K181" s="247"/>
      <c r="L181" s="247"/>
      <c r="M181" s="247"/>
    </row>
    <row r="182">
      <c r="A182" s="247"/>
      <c r="B182" s="247"/>
      <c r="C182" s="247"/>
      <c r="D182" s="247"/>
      <c r="E182" s="247"/>
      <c r="F182" s="247"/>
      <c r="G182" s="247"/>
      <c r="H182" s="247"/>
      <c r="I182" s="247"/>
      <c r="J182" s="247"/>
      <c r="K182" s="247"/>
      <c r="L182" s="247"/>
      <c r="M182" s="247"/>
    </row>
    <row r="183">
      <c r="A183" s="247"/>
      <c r="B183" s="247"/>
      <c r="C183" s="247"/>
      <c r="D183" s="247"/>
      <c r="E183" s="247"/>
      <c r="F183" s="247"/>
      <c r="G183" s="247"/>
      <c r="H183" s="247"/>
      <c r="I183" s="247"/>
      <c r="J183" s="247"/>
      <c r="K183" s="247"/>
      <c r="L183" s="247"/>
      <c r="M183" s="247"/>
    </row>
    <row r="184">
      <c r="A184" s="247"/>
      <c r="B184" s="247"/>
      <c r="C184" s="247"/>
      <c r="D184" s="247"/>
      <c r="E184" s="247"/>
      <c r="F184" s="247"/>
      <c r="G184" s="247"/>
      <c r="H184" s="247"/>
      <c r="I184" s="247"/>
      <c r="J184" s="247"/>
      <c r="K184" s="247"/>
      <c r="L184" s="247"/>
      <c r="M184" s="247"/>
    </row>
    <row r="185">
      <c r="A185" s="247"/>
      <c r="B185" s="247"/>
      <c r="C185" s="247"/>
      <c r="D185" s="247"/>
      <c r="E185" s="247"/>
      <c r="F185" s="247"/>
      <c r="G185" s="247"/>
      <c r="H185" s="247"/>
      <c r="I185" s="247"/>
      <c r="J185" s="247"/>
      <c r="K185" s="247"/>
      <c r="L185" s="247"/>
      <c r="M185" s="247"/>
    </row>
    <row r="186">
      <c r="A186" s="247"/>
      <c r="B186" s="247"/>
      <c r="C186" s="247"/>
      <c r="D186" s="247"/>
      <c r="E186" s="247"/>
      <c r="F186" s="247"/>
      <c r="G186" s="247"/>
      <c r="H186" s="247"/>
      <c r="I186" s="247"/>
      <c r="J186" s="247"/>
      <c r="K186" s="247"/>
      <c r="L186" s="247"/>
      <c r="M186" s="247"/>
    </row>
    <row r="187">
      <c r="A187" s="247"/>
      <c r="B187" s="247"/>
      <c r="C187" s="247"/>
      <c r="D187" s="247"/>
      <c r="E187" s="247"/>
      <c r="F187" s="247"/>
      <c r="G187" s="247"/>
      <c r="H187" s="247"/>
      <c r="I187" s="247"/>
      <c r="J187" s="247"/>
      <c r="K187" s="247"/>
      <c r="L187" s="247"/>
      <c r="M187" s="247"/>
    </row>
    <row r="188">
      <c r="A188" s="247"/>
      <c r="B188" s="247"/>
      <c r="C188" s="247"/>
      <c r="D188" s="247"/>
      <c r="E188" s="247"/>
      <c r="F188" s="247"/>
      <c r="G188" s="247"/>
      <c r="H188" s="247"/>
      <c r="I188" s="247"/>
      <c r="J188" s="247"/>
      <c r="K188" s="247"/>
      <c r="L188" s="247"/>
      <c r="M188" s="247"/>
    </row>
    <row r="189">
      <c r="A189" s="247"/>
      <c r="B189" s="247"/>
      <c r="C189" s="247"/>
      <c r="D189" s="247"/>
      <c r="E189" s="247"/>
      <c r="F189" s="247"/>
      <c r="G189" s="247"/>
      <c r="H189" s="247"/>
      <c r="I189" s="247"/>
      <c r="J189" s="247"/>
      <c r="K189" s="247"/>
      <c r="L189" s="247"/>
      <c r="M189" s="247"/>
    </row>
    <row r="190">
      <c r="A190" s="247"/>
      <c r="B190" s="247"/>
      <c r="C190" s="247"/>
      <c r="D190" s="247"/>
      <c r="E190" s="247"/>
      <c r="F190" s="247"/>
      <c r="G190" s="247"/>
      <c r="H190" s="247"/>
      <c r="I190" s="247"/>
      <c r="J190" s="247"/>
      <c r="K190" s="247"/>
      <c r="L190" s="247"/>
      <c r="M190" s="247"/>
    </row>
    <row r="191">
      <c r="A191" s="247"/>
      <c r="B191" s="247"/>
      <c r="C191" s="247"/>
      <c r="D191" s="247"/>
      <c r="E191" s="247"/>
      <c r="F191" s="247"/>
      <c r="G191" s="247"/>
      <c r="H191" s="247"/>
      <c r="I191" s="247"/>
      <c r="J191" s="247"/>
      <c r="K191" s="247"/>
      <c r="L191" s="247"/>
      <c r="M191" s="247"/>
    </row>
    <row r="192">
      <c r="A192" s="247"/>
      <c r="B192" s="247"/>
      <c r="C192" s="247"/>
      <c r="D192" s="247"/>
      <c r="E192" s="247"/>
      <c r="F192" s="247"/>
      <c r="G192" s="247"/>
      <c r="H192" s="247"/>
      <c r="I192" s="247"/>
      <c r="J192" s="247"/>
      <c r="K192" s="247"/>
      <c r="L192" s="247"/>
      <c r="M192" s="247"/>
    </row>
    <row r="193">
      <c r="A193" s="247"/>
      <c r="B193" s="247"/>
      <c r="C193" s="247"/>
      <c r="D193" s="247"/>
      <c r="E193" s="247"/>
      <c r="F193" s="247"/>
      <c r="G193" s="247"/>
      <c r="H193" s="247"/>
      <c r="I193" s="247"/>
      <c r="J193" s="247"/>
      <c r="K193" s="247"/>
      <c r="L193" s="247"/>
      <c r="M193" s="247"/>
    </row>
    <row r="194">
      <c r="A194" s="247"/>
      <c r="B194" s="247"/>
      <c r="C194" s="247"/>
      <c r="D194" s="247"/>
      <c r="E194" s="247"/>
      <c r="F194" s="247"/>
      <c r="G194" s="247"/>
      <c r="H194" s="247"/>
      <c r="I194" s="247"/>
      <c r="J194" s="247"/>
      <c r="K194" s="247"/>
      <c r="L194" s="247"/>
      <c r="M194" s="247"/>
    </row>
    <row r="195">
      <c r="A195" s="247"/>
      <c r="B195" s="247"/>
      <c r="C195" s="247"/>
      <c r="D195" s="247"/>
      <c r="E195" s="247"/>
      <c r="F195" s="247"/>
      <c r="G195" s="247"/>
      <c r="H195" s="247"/>
      <c r="I195" s="247"/>
      <c r="J195" s="247"/>
      <c r="K195" s="247"/>
      <c r="L195" s="247"/>
      <c r="M195" s="247"/>
    </row>
    <row r="196">
      <c r="A196" s="247"/>
      <c r="B196" s="247"/>
      <c r="C196" s="247"/>
      <c r="D196" s="247"/>
      <c r="E196" s="247"/>
      <c r="F196" s="247"/>
      <c r="G196" s="247"/>
      <c r="H196" s="247"/>
      <c r="I196" s="247"/>
      <c r="J196" s="247"/>
      <c r="K196" s="247"/>
      <c r="L196" s="247"/>
      <c r="M196" s="247"/>
    </row>
    <row r="197">
      <c r="A197" s="247"/>
      <c r="B197" s="247"/>
      <c r="C197" s="247"/>
      <c r="D197" s="247"/>
      <c r="E197" s="247"/>
      <c r="F197" s="247"/>
      <c r="G197" s="247"/>
      <c r="H197" s="247"/>
      <c r="I197" s="247"/>
      <c r="J197" s="247"/>
      <c r="K197" s="247"/>
      <c r="L197" s="247"/>
      <c r="M197" s="247"/>
    </row>
    <row r="198">
      <c r="A198" s="247"/>
      <c r="B198" s="247"/>
      <c r="C198" s="247"/>
      <c r="D198" s="247"/>
      <c r="E198" s="247"/>
      <c r="F198" s="247"/>
      <c r="G198" s="247"/>
      <c r="H198" s="247"/>
      <c r="I198" s="247"/>
      <c r="J198" s="247"/>
      <c r="K198" s="247"/>
      <c r="L198" s="247"/>
      <c r="M198" s="247"/>
    </row>
    <row r="199">
      <c r="A199" s="247"/>
      <c r="B199" s="247"/>
      <c r="C199" s="247"/>
      <c r="D199" s="247"/>
      <c r="E199" s="247"/>
      <c r="F199" s="247"/>
      <c r="G199" s="247"/>
      <c r="H199" s="247"/>
      <c r="I199" s="247"/>
      <c r="J199" s="247"/>
      <c r="K199" s="247"/>
      <c r="L199" s="247"/>
      <c r="M199" s="247"/>
    </row>
    <row r="200">
      <c r="A200" s="247"/>
      <c r="B200" s="247"/>
      <c r="C200" s="247"/>
      <c r="D200" s="247"/>
      <c r="E200" s="247"/>
      <c r="F200" s="247"/>
      <c r="G200" s="247"/>
      <c r="H200" s="247"/>
      <c r="I200" s="247"/>
      <c r="J200" s="247"/>
      <c r="K200" s="247"/>
      <c r="L200" s="247"/>
      <c r="M200" s="247"/>
    </row>
    <row r="201">
      <c r="A201" s="247"/>
      <c r="B201" s="247"/>
      <c r="C201" s="247"/>
      <c r="D201" s="247"/>
      <c r="E201" s="247"/>
      <c r="F201" s="247"/>
      <c r="G201" s="247"/>
      <c r="H201" s="247"/>
      <c r="I201" s="247"/>
      <c r="J201" s="247"/>
      <c r="K201" s="247"/>
      <c r="L201" s="247"/>
      <c r="M201" s="247"/>
    </row>
    <row r="202">
      <c r="A202" s="247"/>
      <c r="B202" s="247"/>
      <c r="C202" s="247"/>
      <c r="D202" s="247"/>
      <c r="E202" s="247"/>
      <c r="F202" s="247"/>
      <c r="G202" s="247"/>
      <c r="H202" s="247"/>
      <c r="I202" s="247"/>
      <c r="J202" s="247"/>
      <c r="K202" s="247"/>
      <c r="L202" s="247"/>
      <c r="M202" s="247"/>
    </row>
    <row r="203">
      <c r="A203" s="247"/>
      <c r="B203" s="247"/>
      <c r="C203" s="247"/>
      <c r="D203" s="247"/>
      <c r="E203" s="247"/>
      <c r="F203" s="247"/>
      <c r="G203" s="247"/>
      <c r="H203" s="247"/>
      <c r="I203" s="247"/>
      <c r="J203" s="247"/>
      <c r="K203" s="247"/>
      <c r="L203" s="247"/>
      <c r="M203" s="247"/>
    </row>
    <row r="204">
      <c r="A204" s="247"/>
      <c r="B204" s="247"/>
      <c r="C204" s="247"/>
      <c r="D204" s="247"/>
      <c r="E204" s="247"/>
      <c r="F204" s="247"/>
      <c r="G204" s="247"/>
      <c r="H204" s="247"/>
      <c r="I204" s="247"/>
      <c r="J204" s="247"/>
      <c r="K204" s="247"/>
      <c r="L204" s="247"/>
      <c r="M204" s="247"/>
    </row>
    <row r="205">
      <c r="A205" s="247"/>
      <c r="B205" s="247"/>
      <c r="C205" s="247"/>
      <c r="D205" s="247"/>
      <c r="E205" s="247"/>
      <c r="F205" s="247"/>
      <c r="G205" s="247"/>
      <c r="H205" s="247"/>
      <c r="I205" s="247"/>
      <c r="J205" s="247"/>
      <c r="K205" s="247"/>
      <c r="L205" s="247"/>
      <c r="M205" s="247"/>
    </row>
    <row r="206">
      <c r="A206" s="247"/>
      <c r="B206" s="247"/>
      <c r="C206" s="247"/>
      <c r="D206" s="247"/>
      <c r="E206" s="247"/>
      <c r="F206" s="247"/>
      <c r="G206" s="247"/>
      <c r="H206" s="247"/>
      <c r="I206" s="247"/>
      <c r="J206" s="247"/>
      <c r="K206" s="247"/>
      <c r="L206" s="247"/>
      <c r="M206" s="247"/>
    </row>
    <row r="207">
      <c r="A207" s="247"/>
      <c r="B207" s="247"/>
      <c r="C207" s="247"/>
      <c r="D207" s="247"/>
      <c r="E207" s="247"/>
      <c r="F207" s="247"/>
      <c r="G207" s="247"/>
      <c r="H207" s="247"/>
      <c r="I207" s="247"/>
      <c r="J207" s="247"/>
      <c r="K207" s="247"/>
      <c r="L207" s="247"/>
      <c r="M207" s="247"/>
    </row>
    <row r="208">
      <c r="A208" s="247"/>
      <c r="B208" s="247"/>
      <c r="C208" s="247"/>
      <c r="D208" s="247"/>
      <c r="E208" s="247"/>
      <c r="F208" s="247"/>
      <c r="G208" s="247"/>
      <c r="H208" s="247"/>
      <c r="I208" s="247"/>
      <c r="J208" s="247"/>
      <c r="K208" s="247"/>
      <c r="L208" s="247"/>
      <c r="M208" s="247"/>
    </row>
    <row r="209">
      <c r="A209" s="247"/>
      <c r="B209" s="247"/>
      <c r="C209" s="247"/>
      <c r="D209" s="247"/>
      <c r="E209" s="247"/>
      <c r="F209" s="247"/>
      <c r="G209" s="247"/>
      <c r="H209" s="247"/>
      <c r="I209" s="247"/>
      <c r="J209" s="247"/>
      <c r="K209" s="247"/>
      <c r="L209" s="247"/>
      <c r="M209" s="247"/>
    </row>
    <row r="210">
      <c r="A210" s="247"/>
      <c r="B210" s="247"/>
      <c r="C210" s="247"/>
      <c r="D210" s="247"/>
      <c r="E210" s="247"/>
      <c r="F210" s="247"/>
      <c r="G210" s="247"/>
      <c r="H210" s="247"/>
      <c r="I210" s="247"/>
      <c r="J210" s="247"/>
      <c r="K210" s="247"/>
      <c r="L210" s="247"/>
      <c r="M210" s="247"/>
    </row>
    <row r="211">
      <c r="A211" s="247"/>
      <c r="B211" s="247"/>
      <c r="C211" s="247"/>
      <c r="D211" s="247"/>
      <c r="E211" s="247"/>
      <c r="F211" s="247"/>
      <c r="G211" s="247"/>
      <c r="H211" s="247"/>
      <c r="I211" s="247"/>
      <c r="J211" s="247"/>
      <c r="K211" s="247"/>
      <c r="L211" s="247"/>
      <c r="M211" s="247"/>
    </row>
    <row r="212">
      <c r="A212" s="247"/>
      <c r="B212" s="247"/>
      <c r="C212" s="247"/>
      <c r="D212" s="247"/>
      <c r="E212" s="247"/>
      <c r="F212" s="247"/>
      <c r="G212" s="247"/>
      <c r="H212" s="247"/>
      <c r="I212" s="247"/>
      <c r="J212" s="247"/>
      <c r="K212" s="247"/>
      <c r="L212" s="247"/>
      <c r="M212" s="247"/>
    </row>
    <row r="213">
      <c r="A213" s="247"/>
      <c r="B213" s="247"/>
      <c r="C213" s="247"/>
      <c r="D213" s="247"/>
      <c r="E213" s="247"/>
      <c r="F213" s="247"/>
      <c r="G213" s="247"/>
      <c r="H213" s="247"/>
      <c r="I213" s="247"/>
      <c r="J213" s="247"/>
      <c r="K213" s="247"/>
      <c r="L213" s="247"/>
      <c r="M213" s="247"/>
    </row>
    <row r="214">
      <c r="A214" s="247"/>
      <c r="B214" s="247"/>
      <c r="C214" s="247"/>
      <c r="D214" s="247"/>
      <c r="E214" s="247"/>
      <c r="F214" s="247"/>
      <c r="G214" s="247"/>
      <c r="H214" s="247"/>
      <c r="I214" s="247"/>
      <c r="J214" s="247"/>
      <c r="K214" s="247"/>
      <c r="L214" s="247"/>
      <c r="M214" s="247"/>
    </row>
    <row r="215">
      <c r="A215" s="247"/>
      <c r="B215" s="247"/>
      <c r="C215" s="247"/>
      <c r="D215" s="247"/>
      <c r="E215" s="247"/>
      <c r="F215" s="247"/>
      <c r="G215" s="247"/>
      <c r="H215" s="247"/>
      <c r="I215" s="247"/>
      <c r="J215" s="247"/>
      <c r="K215" s="247"/>
      <c r="L215" s="247"/>
      <c r="M215" s="247"/>
    </row>
    <row r="216">
      <c r="A216" s="247"/>
      <c r="B216" s="247"/>
      <c r="C216" s="247"/>
      <c r="D216" s="247"/>
      <c r="E216" s="247"/>
      <c r="F216" s="247"/>
      <c r="G216" s="247"/>
      <c r="H216" s="247"/>
      <c r="I216" s="247"/>
      <c r="J216" s="247"/>
      <c r="K216" s="247"/>
      <c r="L216" s="247"/>
      <c r="M216" s="247"/>
    </row>
    <row r="217">
      <c r="A217" s="247"/>
      <c r="B217" s="247"/>
      <c r="C217" s="247"/>
      <c r="D217" s="247"/>
      <c r="E217" s="247"/>
      <c r="F217" s="247"/>
      <c r="G217" s="247"/>
      <c r="H217" s="247"/>
      <c r="I217" s="247"/>
      <c r="J217" s="247"/>
      <c r="K217" s="247"/>
      <c r="L217" s="247"/>
      <c r="M217" s="247"/>
    </row>
    <row r="218">
      <c r="A218" s="247"/>
      <c r="B218" s="247"/>
      <c r="C218" s="247"/>
      <c r="D218" s="247"/>
      <c r="E218" s="247"/>
      <c r="F218" s="247"/>
      <c r="G218" s="247"/>
      <c r="H218" s="247"/>
      <c r="I218" s="247"/>
      <c r="J218" s="247"/>
      <c r="K218" s="247"/>
      <c r="L218" s="247"/>
      <c r="M218" s="247"/>
    </row>
    <row r="219">
      <c r="A219" s="247"/>
      <c r="B219" s="247"/>
      <c r="C219" s="247"/>
      <c r="D219" s="247"/>
      <c r="E219" s="247"/>
      <c r="F219" s="247"/>
      <c r="G219" s="247"/>
      <c r="H219" s="247"/>
      <c r="I219" s="247"/>
      <c r="J219" s="247"/>
      <c r="K219" s="247"/>
      <c r="L219" s="247"/>
      <c r="M219" s="247"/>
    </row>
    <row r="220">
      <c r="A220" s="247"/>
      <c r="B220" s="247"/>
      <c r="C220" s="247"/>
      <c r="D220" s="247"/>
      <c r="E220" s="247"/>
      <c r="F220" s="247"/>
      <c r="G220" s="247"/>
      <c r="H220" s="247"/>
      <c r="I220" s="247"/>
      <c r="J220" s="247"/>
      <c r="K220" s="247"/>
      <c r="L220" s="247"/>
      <c r="M220" s="247"/>
    </row>
    <row r="221">
      <c r="A221" s="247"/>
      <c r="B221" s="247"/>
      <c r="C221" s="247"/>
      <c r="D221" s="247"/>
      <c r="E221" s="247"/>
      <c r="F221" s="247"/>
      <c r="G221" s="247"/>
      <c r="H221" s="247"/>
      <c r="I221" s="247"/>
      <c r="J221" s="247"/>
      <c r="K221" s="247"/>
      <c r="L221" s="247"/>
      <c r="M221" s="247"/>
    </row>
    <row r="222">
      <c r="A222" s="247"/>
      <c r="B222" s="247"/>
      <c r="C222" s="247"/>
      <c r="D222" s="247"/>
      <c r="E222" s="247"/>
      <c r="F222" s="247"/>
      <c r="G222" s="247"/>
      <c r="H222" s="247"/>
      <c r="I222" s="247"/>
      <c r="J222" s="247"/>
      <c r="K222" s="247"/>
      <c r="L222" s="247"/>
      <c r="M222" s="247"/>
    </row>
    <row r="223">
      <c r="A223" s="247"/>
      <c r="B223" s="247"/>
      <c r="C223" s="247"/>
      <c r="D223" s="247"/>
      <c r="E223" s="247"/>
      <c r="F223" s="247"/>
      <c r="G223" s="247"/>
      <c r="H223" s="247"/>
      <c r="I223" s="247"/>
      <c r="J223" s="247"/>
      <c r="K223" s="247"/>
      <c r="L223" s="247"/>
      <c r="M223" s="247"/>
    </row>
    <row r="224">
      <c r="A224" s="247"/>
      <c r="B224" s="247"/>
      <c r="C224" s="247"/>
      <c r="D224" s="247"/>
      <c r="E224" s="247"/>
      <c r="F224" s="247"/>
      <c r="G224" s="247"/>
      <c r="H224" s="247"/>
      <c r="I224" s="247"/>
      <c r="J224" s="247"/>
      <c r="K224" s="247"/>
      <c r="L224" s="247"/>
      <c r="M224" s="247"/>
    </row>
    <row r="225">
      <c r="A225" s="247"/>
      <c r="B225" s="247"/>
      <c r="C225" s="247"/>
      <c r="D225" s="247"/>
      <c r="E225" s="247"/>
      <c r="F225" s="247"/>
      <c r="G225" s="247"/>
      <c r="H225" s="247"/>
      <c r="I225" s="247"/>
      <c r="J225" s="247"/>
      <c r="K225" s="247"/>
      <c r="L225" s="247"/>
      <c r="M225" s="247"/>
    </row>
    <row r="226">
      <c r="A226" s="247"/>
      <c r="B226" s="247"/>
      <c r="C226" s="247"/>
      <c r="D226" s="247"/>
      <c r="E226" s="247"/>
      <c r="F226" s="247"/>
      <c r="G226" s="247"/>
      <c r="H226" s="247"/>
      <c r="I226" s="247"/>
      <c r="J226" s="247"/>
      <c r="K226" s="247"/>
      <c r="L226" s="247"/>
      <c r="M226" s="247"/>
    </row>
    <row r="227">
      <c r="A227" s="247"/>
      <c r="B227" s="247"/>
      <c r="C227" s="247"/>
      <c r="D227" s="247"/>
      <c r="E227" s="247"/>
      <c r="F227" s="247"/>
      <c r="G227" s="247"/>
      <c r="H227" s="247"/>
      <c r="I227" s="247"/>
      <c r="J227" s="247"/>
      <c r="K227" s="247"/>
      <c r="L227" s="247"/>
      <c r="M227" s="247"/>
    </row>
    <row r="228">
      <c r="A228" s="247"/>
      <c r="B228" s="247"/>
      <c r="C228" s="247"/>
      <c r="D228" s="247"/>
      <c r="E228" s="247"/>
      <c r="F228" s="247"/>
      <c r="G228" s="247"/>
      <c r="H228" s="247"/>
      <c r="I228" s="247"/>
      <c r="J228" s="247"/>
      <c r="K228" s="247"/>
      <c r="L228" s="247"/>
      <c r="M228" s="247"/>
    </row>
    <row r="229">
      <c r="A229" s="247"/>
      <c r="B229" s="247"/>
      <c r="C229" s="247"/>
      <c r="D229" s="247"/>
      <c r="E229" s="247"/>
      <c r="F229" s="247"/>
      <c r="G229" s="247"/>
      <c r="H229" s="247"/>
      <c r="I229" s="247"/>
      <c r="J229" s="247"/>
      <c r="K229" s="247"/>
      <c r="L229" s="247"/>
      <c r="M229" s="247"/>
    </row>
    <row r="230">
      <c r="A230" s="247"/>
      <c r="B230" s="247"/>
      <c r="C230" s="247"/>
      <c r="D230" s="247"/>
      <c r="E230" s="247"/>
      <c r="F230" s="247"/>
      <c r="G230" s="247"/>
      <c r="H230" s="247"/>
      <c r="I230" s="247"/>
      <c r="J230" s="247"/>
      <c r="K230" s="247"/>
      <c r="L230" s="247"/>
      <c r="M230" s="247"/>
    </row>
    <row r="231">
      <c r="A231" s="247"/>
      <c r="B231" s="247"/>
      <c r="C231" s="247"/>
      <c r="D231" s="247"/>
      <c r="E231" s="247"/>
      <c r="F231" s="247"/>
      <c r="G231" s="247"/>
      <c r="H231" s="247"/>
      <c r="I231" s="247"/>
      <c r="J231" s="247"/>
      <c r="K231" s="247"/>
      <c r="L231" s="247"/>
      <c r="M231" s="247"/>
    </row>
    <row r="232">
      <c r="A232" s="247"/>
      <c r="B232" s="247"/>
      <c r="C232" s="247"/>
      <c r="D232" s="247"/>
      <c r="E232" s="247"/>
      <c r="F232" s="247"/>
      <c r="G232" s="247"/>
      <c r="H232" s="247"/>
      <c r="I232" s="247"/>
      <c r="J232" s="247"/>
      <c r="K232" s="247"/>
      <c r="L232" s="247"/>
      <c r="M232" s="247"/>
    </row>
    <row r="233">
      <c r="A233" s="247"/>
      <c r="B233" s="247"/>
      <c r="C233" s="247"/>
      <c r="D233" s="247"/>
      <c r="E233" s="247"/>
      <c r="F233" s="247"/>
      <c r="G233" s="247"/>
      <c r="H233" s="247"/>
      <c r="I233" s="247"/>
      <c r="J233" s="247"/>
      <c r="K233" s="247"/>
      <c r="L233" s="247"/>
      <c r="M233" s="247"/>
    </row>
    <row r="234">
      <c r="A234" s="247"/>
      <c r="B234" s="247"/>
      <c r="C234" s="247"/>
      <c r="D234" s="247"/>
      <c r="E234" s="247"/>
      <c r="F234" s="247"/>
      <c r="G234" s="247"/>
      <c r="H234" s="247"/>
      <c r="I234" s="247"/>
      <c r="J234" s="247"/>
      <c r="K234" s="247"/>
      <c r="L234" s="247"/>
      <c r="M234" s="247"/>
    </row>
    <row r="235">
      <c r="A235" s="247"/>
      <c r="B235" s="247"/>
      <c r="C235" s="247"/>
      <c r="D235" s="247"/>
      <c r="E235" s="247"/>
      <c r="F235" s="247"/>
      <c r="G235" s="247"/>
      <c r="H235" s="247"/>
      <c r="I235" s="247"/>
      <c r="J235" s="247"/>
      <c r="K235" s="247"/>
      <c r="L235" s="247"/>
      <c r="M235" s="247"/>
    </row>
    <row r="236">
      <c r="A236" s="247"/>
      <c r="B236" s="247"/>
      <c r="C236" s="247"/>
      <c r="D236" s="247"/>
      <c r="E236" s="247"/>
      <c r="F236" s="247"/>
      <c r="G236" s="247"/>
      <c r="H236" s="247"/>
      <c r="I236" s="247"/>
      <c r="J236" s="247"/>
      <c r="K236" s="247"/>
      <c r="L236" s="247"/>
      <c r="M236" s="247"/>
    </row>
    <row r="237">
      <c r="A237" s="247"/>
      <c r="B237" s="247"/>
      <c r="C237" s="247"/>
      <c r="D237" s="247"/>
      <c r="E237" s="247"/>
      <c r="F237" s="247"/>
      <c r="G237" s="247"/>
      <c r="H237" s="247"/>
      <c r="I237" s="247"/>
      <c r="J237" s="247"/>
      <c r="K237" s="247"/>
      <c r="L237" s="247"/>
      <c r="M237" s="247"/>
    </row>
    <row r="238">
      <c r="A238" s="247"/>
      <c r="B238" s="247"/>
      <c r="C238" s="247"/>
      <c r="D238" s="247"/>
      <c r="E238" s="247"/>
      <c r="F238" s="247"/>
      <c r="G238" s="247"/>
      <c r="H238" s="247"/>
      <c r="I238" s="247"/>
      <c r="J238" s="247"/>
      <c r="K238" s="247"/>
      <c r="L238" s="247"/>
      <c r="M238" s="247"/>
    </row>
    <row r="239">
      <c r="A239" s="247"/>
      <c r="B239" s="247"/>
      <c r="C239" s="247"/>
      <c r="D239" s="247"/>
      <c r="E239" s="247"/>
      <c r="F239" s="247"/>
      <c r="G239" s="247"/>
      <c r="H239" s="247"/>
      <c r="I239" s="247"/>
      <c r="J239" s="247"/>
      <c r="K239" s="247"/>
      <c r="L239" s="247"/>
      <c r="M239" s="247"/>
    </row>
    <row r="240">
      <c r="A240" s="247"/>
      <c r="B240" s="247"/>
      <c r="C240" s="247"/>
      <c r="D240" s="247"/>
      <c r="E240" s="247"/>
      <c r="F240" s="247"/>
      <c r="G240" s="247"/>
      <c r="H240" s="247"/>
      <c r="I240" s="247"/>
      <c r="J240" s="247"/>
      <c r="K240" s="247"/>
      <c r="L240" s="247"/>
      <c r="M240" s="247"/>
    </row>
    <row r="241">
      <c r="A241" s="247"/>
      <c r="B241" s="247"/>
      <c r="C241" s="247"/>
      <c r="D241" s="247"/>
      <c r="E241" s="247"/>
      <c r="F241" s="247"/>
      <c r="G241" s="247"/>
      <c r="H241" s="247"/>
      <c r="I241" s="247"/>
      <c r="J241" s="247"/>
      <c r="K241" s="247"/>
      <c r="L241" s="247"/>
      <c r="M241" s="247"/>
    </row>
    <row r="242">
      <c r="A242" s="247"/>
      <c r="B242" s="247"/>
      <c r="C242" s="247"/>
      <c r="D242" s="247"/>
      <c r="E242" s="247"/>
      <c r="F242" s="247"/>
      <c r="G242" s="247"/>
      <c r="H242" s="247"/>
      <c r="I242" s="247"/>
      <c r="J242" s="247"/>
      <c r="K242" s="247"/>
      <c r="L242" s="247"/>
      <c r="M242" s="247"/>
    </row>
    <row r="243">
      <c r="A243" s="247"/>
      <c r="B243" s="247"/>
      <c r="C243" s="247"/>
      <c r="D243" s="247"/>
      <c r="E243" s="247"/>
      <c r="F243" s="247"/>
      <c r="G243" s="247"/>
      <c r="H243" s="247"/>
      <c r="I243" s="247"/>
      <c r="J243" s="247"/>
      <c r="K243" s="247"/>
      <c r="L243" s="247"/>
      <c r="M243" s="247"/>
    </row>
    <row r="244">
      <c r="A244" s="247"/>
      <c r="B244" s="247"/>
      <c r="C244" s="247"/>
      <c r="D244" s="247"/>
      <c r="E244" s="247"/>
      <c r="F244" s="247"/>
      <c r="G244" s="247"/>
      <c r="H244" s="247"/>
      <c r="I244" s="247"/>
      <c r="J244" s="247"/>
      <c r="K244" s="247"/>
      <c r="L244" s="247"/>
      <c r="M244" s="247"/>
    </row>
    <row r="245">
      <c r="A245" s="247"/>
      <c r="B245" s="247"/>
      <c r="C245" s="247"/>
      <c r="D245" s="247"/>
      <c r="E245" s="247"/>
      <c r="F245" s="247"/>
      <c r="G245" s="247"/>
      <c r="H245" s="247"/>
      <c r="I245" s="247"/>
      <c r="J245" s="247"/>
      <c r="K245" s="247"/>
      <c r="L245" s="247"/>
      <c r="M245" s="247"/>
    </row>
    <row r="246">
      <c r="A246" s="247"/>
      <c r="B246" s="247"/>
      <c r="C246" s="247"/>
      <c r="D246" s="247"/>
      <c r="E246" s="247"/>
      <c r="F246" s="247"/>
      <c r="G246" s="247"/>
      <c r="H246" s="247"/>
      <c r="I246" s="247"/>
      <c r="J246" s="247"/>
      <c r="K246" s="247"/>
      <c r="L246" s="247"/>
      <c r="M246" s="247"/>
    </row>
    <row r="247">
      <c r="A247" s="247"/>
      <c r="B247" s="247"/>
      <c r="C247" s="247"/>
      <c r="D247" s="247"/>
      <c r="E247" s="247"/>
      <c r="F247" s="247"/>
      <c r="G247" s="247"/>
      <c r="H247" s="247"/>
      <c r="I247" s="247"/>
      <c r="J247" s="247"/>
      <c r="K247" s="247"/>
      <c r="L247" s="247"/>
      <c r="M247" s="247"/>
    </row>
    <row r="248">
      <c r="A248" s="247"/>
      <c r="B248" s="247"/>
      <c r="C248" s="247"/>
      <c r="D248" s="247"/>
      <c r="E248" s="247"/>
      <c r="F248" s="247"/>
      <c r="G248" s="247"/>
      <c r="H248" s="247"/>
      <c r="I248" s="247"/>
      <c r="J248" s="247"/>
      <c r="K248" s="247"/>
      <c r="L248" s="247"/>
      <c r="M248" s="247"/>
    </row>
    <row r="249">
      <c r="A249" s="247"/>
      <c r="B249" s="247"/>
      <c r="C249" s="247"/>
      <c r="D249" s="247"/>
      <c r="E249" s="247"/>
      <c r="F249" s="247"/>
      <c r="G249" s="247"/>
      <c r="H249" s="247"/>
      <c r="I249" s="247"/>
      <c r="J249" s="247"/>
      <c r="K249" s="247"/>
      <c r="L249" s="247"/>
      <c r="M249" s="247"/>
    </row>
    <row r="250">
      <c r="A250" s="247"/>
      <c r="B250" s="247"/>
      <c r="C250" s="247"/>
      <c r="D250" s="247"/>
      <c r="E250" s="247"/>
      <c r="F250" s="247"/>
      <c r="G250" s="247"/>
      <c r="H250" s="247"/>
      <c r="I250" s="247"/>
      <c r="J250" s="247"/>
      <c r="K250" s="247"/>
      <c r="L250" s="247"/>
      <c r="M250" s="247"/>
    </row>
    <row r="251">
      <c r="A251" s="247"/>
      <c r="B251" s="247"/>
      <c r="C251" s="247"/>
      <c r="D251" s="247"/>
      <c r="E251" s="247"/>
      <c r="F251" s="247"/>
      <c r="G251" s="247"/>
      <c r="H251" s="247"/>
      <c r="I251" s="247"/>
      <c r="J251" s="247"/>
      <c r="K251" s="247"/>
      <c r="L251" s="247"/>
      <c r="M251" s="247"/>
    </row>
    <row r="252">
      <c r="A252" s="247"/>
      <c r="B252" s="247"/>
      <c r="C252" s="247"/>
      <c r="D252" s="247"/>
      <c r="E252" s="247"/>
      <c r="F252" s="247"/>
      <c r="G252" s="247"/>
      <c r="H252" s="247"/>
      <c r="I252" s="247"/>
      <c r="J252" s="247"/>
      <c r="K252" s="247"/>
      <c r="L252" s="247"/>
      <c r="M252" s="247"/>
    </row>
    <row r="253">
      <c r="A253" s="247"/>
      <c r="B253" s="247"/>
      <c r="C253" s="247"/>
      <c r="D253" s="247"/>
      <c r="E253" s="247"/>
      <c r="F253" s="247"/>
      <c r="G253" s="247"/>
      <c r="H253" s="247"/>
      <c r="I253" s="247"/>
      <c r="J253" s="247"/>
      <c r="K253" s="247"/>
      <c r="L253" s="247"/>
      <c r="M253" s="247"/>
    </row>
    <row r="254">
      <c r="A254" s="247"/>
      <c r="B254" s="247"/>
      <c r="C254" s="247"/>
      <c r="D254" s="247"/>
      <c r="E254" s="247"/>
      <c r="F254" s="247"/>
      <c r="G254" s="247"/>
      <c r="H254" s="247"/>
      <c r="I254" s="247"/>
      <c r="J254" s="247"/>
      <c r="K254" s="247"/>
      <c r="L254" s="247"/>
      <c r="M254" s="247"/>
    </row>
    <row r="255">
      <c r="A255" s="247"/>
      <c r="B255" s="247"/>
      <c r="C255" s="247"/>
      <c r="D255" s="247"/>
      <c r="E255" s="247"/>
      <c r="F255" s="247"/>
      <c r="G255" s="247"/>
      <c r="H255" s="247"/>
      <c r="I255" s="247"/>
      <c r="J255" s="247"/>
      <c r="K255" s="247"/>
      <c r="L255" s="247"/>
      <c r="M255" s="247"/>
    </row>
    <row r="256">
      <c r="A256" s="247"/>
      <c r="B256" s="247"/>
      <c r="C256" s="247"/>
      <c r="D256" s="247"/>
      <c r="E256" s="247"/>
      <c r="F256" s="247"/>
      <c r="G256" s="247"/>
      <c r="H256" s="247"/>
      <c r="I256" s="247"/>
      <c r="J256" s="247"/>
      <c r="K256" s="247"/>
      <c r="L256" s="247"/>
      <c r="M256" s="247"/>
    </row>
    <row r="257">
      <c r="A257" s="247"/>
      <c r="B257" s="247"/>
      <c r="C257" s="247"/>
      <c r="D257" s="247"/>
      <c r="E257" s="247"/>
      <c r="F257" s="247"/>
      <c r="G257" s="247"/>
      <c r="H257" s="247"/>
      <c r="I257" s="247"/>
      <c r="J257" s="247"/>
      <c r="K257" s="247"/>
      <c r="L257" s="247"/>
      <c r="M257" s="247"/>
    </row>
    <row r="258">
      <c r="A258" s="247"/>
      <c r="B258" s="247"/>
      <c r="C258" s="247"/>
      <c r="D258" s="247"/>
      <c r="E258" s="247"/>
      <c r="F258" s="247"/>
      <c r="G258" s="247"/>
      <c r="H258" s="247"/>
      <c r="I258" s="247"/>
      <c r="J258" s="247"/>
      <c r="K258" s="247"/>
      <c r="L258" s="247"/>
      <c r="M258" s="247"/>
    </row>
    <row r="259">
      <c r="A259" s="247"/>
      <c r="B259" s="247"/>
      <c r="C259" s="247"/>
      <c r="D259" s="247"/>
      <c r="E259" s="247"/>
      <c r="F259" s="247"/>
      <c r="G259" s="247"/>
      <c r="H259" s="247"/>
      <c r="I259" s="247"/>
      <c r="J259" s="247"/>
      <c r="K259" s="247"/>
      <c r="L259" s="247"/>
      <c r="M259" s="247"/>
    </row>
    <row r="260">
      <c r="A260" s="247"/>
      <c r="B260" s="247"/>
      <c r="C260" s="247"/>
      <c r="D260" s="247"/>
      <c r="E260" s="247"/>
      <c r="F260" s="247"/>
      <c r="G260" s="247"/>
      <c r="H260" s="247"/>
      <c r="I260" s="247"/>
      <c r="J260" s="247"/>
      <c r="K260" s="247"/>
      <c r="L260" s="247"/>
      <c r="M260" s="247"/>
    </row>
    <row r="261">
      <c r="A261" s="247"/>
      <c r="B261" s="247"/>
      <c r="C261" s="247"/>
      <c r="D261" s="247"/>
      <c r="E261" s="247"/>
      <c r="F261" s="247"/>
      <c r="G261" s="247"/>
      <c r="H261" s="247"/>
      <c r="I261" s="247"/>
      <c r="J261" s="247"/>
      <c r="K261" s="247"/>
      <c r="L261" s="247"/>
      <c r="M261" s="247"/>
    </row>
    <row r="262">
      <c r="A262" s="247"/>
      <c r="B262" s="247"/>
      <c r="C262" s="247"/>
      <c r="D262" s="247"/>
      <c r="E262" s="247"/>
      <c r="F262" s="247"/>
      <c r="G262" s="247"/>
      <c r="H262" s="247"/>
      <c r="I262" s="247"/>
      <c r="J262" s="247"/>
      <c r="K262" s="247"/>
      <c r="L262" s="247"/>
      <c r="M262" s="247"/>
    </row>
    <row r="263">
      <c r="A263" s="247"/>
      <c r="B263" s="247"/>
      <c r="C263" s="247"/>
      <c r="D263" s="247"/>
      <c r="E263" s="247"/>
      <c r="F263" s="247"/>
      <c r="G263" s="247"/>
      <c r="H263" s="247"/>
      <c r="I263" s="247"/>
      <c r="J263" s="247"/>
      <c r="K263" s="247"/>
      <c r="L263" s="247"/>
      <c r="M263" s="247"/>
    </row>
    <row r="264">
      <c r="A264" s="247"/>
      <c r="B264" s="247"/>
      <c r="C264" s="247"/>
      <c r="D264" s="247"/>
      <c r="E264" s="247"/>
      <c r="F264" s="247"/>
      <c r="G264" s="247"/>
      <c r="H264" s="247"/>
      <c r="I264" s="247"/>
      <c r="J264" s="247"/>
      <c r="K264" s="247"/>
      <c r="L264" s="247"/>
      <c r="M264" s="247"/>
    </row>
    <row r="265">
      <c r="A265" s="247"/>
      <c r="B265" s="247"/>
      <c r="C265" s="247"/>
      <c r="D265" s="247"/>
      <c r="E265" s="247"/>
      <c r="F265" s="247"/>
      <c r="G265" s="247"/>
      <c r="H265" s="247"/>
      <c r="I265" s="247"/>
      <c r="J265" s="247"/>
      <c r="K265" s="247"/>
      <c r="L265" s="247"/>
      <c r="M265" s="247"/>
    </row>
    <row r="266">
      <c r="A266" s="247"/>
      <c r="B266" s="247"/>
      <c r="C266" s="247"/>
      <c r="D266" s="247"/>
      <c r="E266" s="247"/>
      <c r="F266" s="247"/>
      <c r="G266" s="247"/>
      <c r="H266" s="247"/>
      <c r="I266" s="247"/>
      <c r="J266" s="247"/>
      <c r="K266" s="247"/>
      <c r="L266" s="247"/>
      <c r="M266" s="247"/>
    </row>
    <row r="267">
      <c r="A267" s="247"/>
      <c r="B267" s="247"/>
      <c r="C267" s="247"/>
      <c r="D267" s="247"/>
      <c r="E267" s="247"/>
      <c r="F267" s="247"/>
      <c r="G267" s="247"/>
      <c r="H267" s="247"/>
      <c r="I267" s="247"/>
      <c r="J267" s="247"/>
      <c r="K267" s="247"/>
      <c r="L267" s="247"/>
      <c r="M267" s="247"/>
    </row>
    <row r="268">
      <c r="A268" s="247"/>
      <c r="B268" s="247"/>
      <c r="C268" s="247"/>
      <c r="D268" s="247"/>
      <c r="E268" s="247"/>
      <c r="F268" s="247"/>
      <c r="G268" s="247"/>
      <c r="H268" s="247"/>
      <c r="I268" s="247"/>
      <c r="J268" s="247"/>
      <c r="K268" s="247"/>
      <c r="L268" s="247"/>
      <c r="M268" s="247"/>
    </row>
    <row r="269">
      <c r="A269" s="247"/>
      <c r="B269" s="247"/>
      <c r="C269" s="247"/>
      <c r="D269" s="247"/>
      <c r="E269" s="247"/>
      <c r="F269" s="247"/>
      <c r="G269" s="247"/>
      <c r="H269" s="247"/>
      <c r="I269" s="247"/>
      <c r="J269" s="247"/>
      <c r="K269" s="247"/>
      <c r="L269" s="247"/>
      <c r="M269" s="247"/>
    </row>
    <row r="270">
      <c r="A270" s="247"/>
      <c r="B270" s="247"/>
      <c r="C270" s="247"/>
      <c r="D270" s="247"/>
      <c r="E270" s="247"/>
      <c r="F270" s="247"/>
      <c r="G270" s="247"/>
      <c r="H270" s="247"/>
      <c r="I270" s="247"/>
      <c r="J270" s="247"/>
      <c r="K270" s="247"/>
      <c r="L270" s="247"/>
      <c r="M270" s="247"/>
    </row>
    <row r="271">
      <c r="A271" s="247"/>
      <c r="B271" s="247"/>
      <c r="C271" s="247"/>
      <c r="D271" s="247"/>
      <c r="E271" s="247"/>
      <c r="F271" s="247"/>
      <c r="G271" s="247"/>
      <c r="H271" s="247"/>
      <c r="I271" s="247"/>
      <c r="J271" s="247"/>
      <c r="K271" s="247"/>
      <c r="L271" s="247"/>
      <c r="M271" s="247"/>
    </row>
    <row r="272">
      <c r="A272" s="247"/>
      <c r="B272" s="247"/>
      <c r="C272" s="247"/>
      <c r="D272" s="247"/>
      <c r="E272" s="247"/>
      <c r="F272" s="247"/>
      <c r="G272" s="247"/>
      <c r="H272" s="247"/>
      <c r="I272" s="247"/>
      <c r="J272" s="247"/>
      <c r="K272" s="247"/>
      <c r="L272" s="247"/>
      <c r="M272" s="247"/>
    </row>
    <row r="273">
      <c r="A273" s="247"/>
      <c r="B273" s="247"/>
      <c r="C273" s="247"/>
      <c r="D273" s="247"/>
      <c r="E273" s="247"/>
      <c r="F273" s="247"/>
      <c r="G273" s="247"/>
      <c r="H273" s="247"/>
      <c r="I273" s="247"/>
      <c r="J273" s="247"/>
      <c r="K273" s="247"/>
      <c r="L273" s="247"/>
      <c r="M273" s="247"/>
    </row>
    <row r="274">
      <c r="A274" s="247"/>
      <c r="B274" s="247"/>
      <c r="C274" s="247"/>
      <c r="D274" s="247"/>
      <c r="E274" s="247"/>
      <c r="F274" s="247"/>
      <c r="G274" s="247"/>
      <c r="H274" s="247"/>
      <c r="I274" s="247"/>
      <c r="J274" s="247"/>
      <c r="K274" s="247"/>
      <c r="L274" s="247"/>
      <c r="M274" s="247"/>
    </row>
    <row r="275">
      <c r="A275" s="247"/>
      <c r="B275" s="247"/>
      <c r="C275" s="247"/>
      <c r="D275" s="247"/>
      <c r="E275" s="247"/>
      <c r="F275" s="247"/>
      <c r="G275" s="247"/>
      <c r="H275" s="247"/>
      <c r="I275" s="247"/>
      <c r="J275" s="247"/>
      <c r="K275" s="247"/>
      <c r="L275" s="247"/>
      <c r="M275" s="247"/>
    </row>
    <row r="276">
      <c r="A276" s="247"/>
      <c r="B276" s="247"/>
      <c r="C276" s="247"/>
      <c r="D276" s="247"/>
      <c r="E276" s="247"/>
      <c r="F276" s="247"/>
      <c r="G276" s="247"/>
      <c r="H276" s="247"/>
      <c r="I276" s="247"/>
      <c r="J276" s="247"/>
      <c r="K276" s="247"/>
      <c r="L276" s="247"/>
      <c r="M276" s="247"/>
    </row>
    <row r="277">
      <c r="A277" s="247"/>
      <c r="B277" s="247"/>
      <c r="C277" s="247"/>
      <c r="D277" s="247"/>
      <c r="E277" s="247"/>
      <c r="F277" s="247"/>
      <c r="G277" s="247"/>
      <c r="H277" s="247"/>
      <c r="I277" s="247"/>
      <c r="J277" s="247"/>
      <c r="K277" s="247"/>
      <c r="L277" s="247"/>
      <c r="M277" s="247"/>
    </row>
    <row r="278">
      <c r="A278" s="247"/>
      <c r="B278" s="247"/>
      <c r="C278" s="247"/>
      <c r="D278" s="247"/>
      <c r="E278" s="247"/>
      <c r="F278" s="247"/>
      <c r="G278" s="247"/>
      <c r="H278" s="247"/>
      <c r="I278" s="247"/>
      <c r="J278" s="247"/>
      <c r="K278" s="247"/>
      <c r="L278" s="247"/>
      <c r="M278" s="247"/>
    </row>
    <row r="279">
      <c r="A279" s="247"/>
      <c r="B279" s="247"/>
      <c r="C279" s="247"/>
      <c r="D279" s="247"/>
      <c r="E279" s="247"/>
      <c r="F279" s="247"/>
      <c r="G279" s="247"/>
      <c r="H279" s="247"/>
      <c r="I279" s="247"/>
      <c r="J279" s="247"/>
      <c r="K279" s="247"/>
      <c r="L279" s="247"/>
      <c r="M279" s="247"/>
    </row>
    <row r="280">
      <c r="A280" s="247"/>
      <c r="B280" s="247"/>
      <c r="C280" s="247"/>
      <c r="D280" s="247"/>
      <c r="E280" s="247"/>
      <c r="F280" s="247"/>
      <c r="G280" s="247"/>
      <c r="H280" s="247"/>
      <c r="I280" s="247"/>
      <c r="J280" s="247"/>
      <c r="K280" s="247"/>
      <c r="L280" s="247"/>
      <c r="M280" s="247"/>
    </row>
    <row r="281">
      <c r="A281" s="247"/>
      <c r="B281" s="247"/>
      <c r="C281" s="247"/>
      <c r="D281" s="247"/>
      <c r="E281" s="247"/>
      <c r="F281" s="247"/>
      <c r="G281" s="247"/>
      <c r="H281" s="247"/>
      <c r="I281" s="247"/>
      <c r="J281" s="247"/>
      <c r="K281" s="247"/>
      <c r="L281" s="247"/>
      <c r="M281" s="247"/>
    </row>
    <row r="282">
      <c r="A282" s="247"/>
      <c r="B282" s="247"/>
      <c r="C282" s="247"/>
      <c r="D282" s="247"/>
      <c r="E282" s="247"/>
      <c r="F282" s="247"/>
      <c r="G282" s="247"/>
      <c r="H282" s="247"/>
      <c r="I282" s="247"/>
      <c r="J282" s="247"/>
      <c r="K282" s="247"/>
      <c r="L282" s="247"/>
      <c r="M282" s="247"/>
    </row>
    <row r="283">
      <c r="A283" s="247"/>
      <c r="B283" s="247"/>
      <c r="C283" s="247"/>
      <c r="D283" s="247"/>
      <c r="E283" s="247"/>
      <c r="F283" s="247"/>
      <c r="G283" s="247"/>
      <c r="H283" s="247"/>
      <c r="I283" s="247"/>
      <c r="J283" s="247"/>
      <c r="K283" s="247"/>
      <c r="L283" s="247"/>
      <c r="M283" s="247"/>
    </row>
    <row r="284">
      <c r="A284" s="247"/>
      <c r="B284" s="247"/>
      <c r="C284" s="247"/>
      <c r="D284" s="247"/>
      <c r="E284" s="247"/>
      <c r="F284" s="247"/>
      <c r="G284" s="247"/>
      <c r="H284" s="247"/>
      <c r="I284" s="247"/>
      <c r="J284" s="247"/>
      <c r="K284" s="247"/>
      <c r="L284" s="247"/>
      <c r="M284" s="247"/>
    </row>
    <row r="285">
      <c r="A285" s="247"/>
      <c r="B285" s="247"/>
      <c r="C285" s="247"/>
      <c r="D285" s="247"/>
      <c r="E285" s="247"/>
      <c r="F285" s="247"/>
      <c r="G285" s="247"/>
      <c r="H285" s="247"/>
      <c r="I285" s="247"/>
      <c r="J285" s="247"/>
      <c r="K285" s="247"/>
      <c r="L285" s="247"/>
      <c r="M285" s="247"/>
    </row>
    <row r="286">
      <c r="A286" s="247"/>
      <c r="B286" s="247"/>
      <c r="C286" s="247"/>
      <c r="D286" s="247"/>
      <c r="E286" s="247"/>
      <c r="F286" s="247"/>
      <c r="G286" s="247"/>
      <c r="H286" s="247"/>
      <c r="I286" s="247"/>
      <c r="J286" s="247"/>
      <c r="K286" s="247"/>
      <c r="L286" s="247"/>
      <c r="M286" s="247"/>
    </row>
    <row r="287">
      <c r="A287" s="247"/>
      <c r="B287" s="247"/>
      <c r="C287" s="247"/>
      <c r="D287" s="247"/>
      <c r="E287" s="247"/>
      <c r="F287" s="247"/>
      <c r="G287" s="247"/>
      <c r="H287" s="247"/>
      <c r="I287" s="247"/>
      <c r="J287" s="247"/>
      <c r="K287" s="247"/>
      <c r="L287" s="247"/>
      <c r="M287" s="247"/>
    </row>
    <row r="288">
      <c r="A288" s="247"/>
      <c r="B288" s="247"/>
      <c r="C288" s="247"/>
      <c r="D288" s="247"/>
      <c r="E288" s="247"/>
      <c r="F288" s="247"/>
      <c r="G288" s="247"/>
      <c r="H288" s="247"/>
      <c r="I288" s="247"/>
      <c r="J288" s="247"/>
      <c r="K288" s="247"/>
      <c r="L288" s="247"/>
      <c r="M288" s="247"/>
    </row>
    <row r="289">
      <c r="A289" s="247"/>
      <c r="B289" s="247"/>
      <c r="C289" s="247"/>
      <c r="D289" s="247"/>
      <c r="E289" s="247"/>
      <c r="F289" s="247"/>
      <c r="G289" s="247"/>
      <c r="H289" s="247"/>
      <c r="I289" s="247"/>
      <c r="J289" s="247"/>
      <c r="K289" s="247"/>
      <c r="L289" s="247"/>
      <c r="M289" s="247"/>
    </row>
    <row r="290">
      <c r="A290" s="247"/>
      <c r="B290" s="247"/>
      <c r="C290" s="247"/>
      <c r="D290" s="247"/>
      <c r="E290" s="247"/>
      <c r="F290" s="247"/>
      <c r="G290" s="247"/>
      <c r="H290" s="247"/>
      <c r="I290" s="247"/>
      <c r="J290" s="247"/>
      <c r="K290" s="247"/>
      <c r="L290" s="247"/>
      <c r="M290" s="247"/>
    </row>
    <row r="291">
      <c r="A291" s="247"/>
      <c r="B291" s="247"/>
      <c r="C291" s="247"/>
      <c r="D291" s="247"/>
      <c r="E291" s="247"/>
      <c r="F291" s="247"/>
      <c r="G291" s="247"/>
      <c r="H291" s="247"/>
      <c r="I291" s="247"/>
      <c r="J291" s="247"/>
      <c r="K291" s="247"/>
      <c r="L291" s="247"/>
      <c r="M291" s="247"/>
    </row>
    <row r="292">
      <c r="A292" s="247"/>
      <c r="B292" s="247"/>
      <c r="C292" s="247"/>
      <c r="D292" s="247"/>
      <c r="E292" s="247"/>
      <c r="F292" s="247"/>
      <c r="G292" s="247"/>
      <c r="H292" s="247"/>
      <c r="I292" s="247"/>
      <c r="J292" s="247"/>
      <c r="K292" s="247"/>
      <c r="L292" s="247"/>
      <c r="M292" s="247"/>
    </row>
    <row r="293">
      <c r="A293" s="247"/>
      <c r="B293" s="247"/>
      <c r="C293" s="247"/>
      <c r="D293" s="247"/>
      <c r="E293" s="247"/>
      <c r="F293" s="247"/>
      <c r="G293" s="247"/>
      <c r="H293" s="247"/>
      <c r="I293" s="247"/>
      <c r="J293" s="247"/>
      <c r="K293" s="247"/>
      <c r="L293" s="247"/>
      <c r="M293" s="247"/>
    </row>
    <row r="294">
      <c r="A294" s="247"/>
      <c r="B294" s="247"/>
      <c r="C294" s="247"/>
      <c r="D294" s="247"/>
      <c r="E294" s="247"/>
      <c r="F294" s="247"/>
      <c r="G294" s="247"/>
      <c r="H294" s="247"/>
      <c r="I294" s="247"/>
      <c r="J294" s="247"/>
      <c r="K294" s="247"/>
      <c r="L294" s="247"/>
      <c r="M294" s="247"/>
    </row>
    <row r="295">
      <c r="A295" s="247"/>
      <c r="B295" s="247"/>
      <c r="C295" s="247"/>
      <c r="D295" s="247"/>
      <c r="E295" s="247"/>
      <c r="F295" s="247"/>
      <c r="G295" s="247"/>
      <c r="H295" s="247"/>
      <c r="I295" s="247"/>
      <c r="J295" s="247"/>
      <c r="K295" s="247"/>
      <c r="L295" s="247"/>
      <c r="M295" s="247"/>
    </row>
    <row r="296">
      <c r="A296" s="247"/>
      <c r="B296" s="247"/>
      <c r="C296" s="247"/>
      <c r="D296" s="247"/>
      <c r="E296" s="247"/>
      <c r="F296" s="247"/>
      <c r="G296" s="247"/>
      <c r="H296" s="247"/>
      <c r="I296" s="247"/>
      <c r="J296" s="247"/>
      <c r="K296" s="247"/>
      <c r="L296" s="247"/>
      <c r="M296" s="247"/>
    </row>
    <row r="297">
      <c r="A297" s="247"/>
      <c r="B297" s="247"/>
      <c r="C297" s="247"/>
      <c r="D297" s="247"/>
      <c r="E297" s="247"/>
      <c r="F297" s="247"/>
      <c r="G297" s="247"/>
      <c r="H297" s="247"/>
      <c r="I297" s="247"/>
      <c r="J297" s="247"/>
      <c r="K297" s="247"/>
      <c r="L297" s="247"/>
      <c r="M297" s="247"/>
    </row>
    <row r="298">
      <c r="A298" s="247"/>
      <c r="B298" s="247"/>
      <c r="C298" s="247"/>
      <c r="D298" s="247"/>
      <c r="E298" s="247"/>
      <c r="F298" s="247"/>
      <c r="G298" s="247"/>
      <c r="H298" s="247"/>
      <c r="I298" s="247"/>
      <c r="J298" s="247"/>
      <c r="K298" s="247"/>
      <c r="L298" s="247"/>
      <c r="M298" s="247"/>
    </row>
    <row r="299">
      <c r="A299" s="247"/>
      <c r="B299" s="247"/>
      <c r="C299" s="247"/>
      <c r="D299" s="247"/>
      <c r="E299" s="247"/>
      <c r="F299" s="247"/>
      <c r="G299" s="247"/>
      <c r="H299" s="247"/>
      <c r="I299" s="247"/>
      <c r="J299" s="247"/>
      <c r="K299" s="247"/>
      <c r="L299" s="247"/>
      <c r="M299" s="247"/>
    </row>
    <row r="300">
      <c r="A300" s="247"/>
      <c r="B300" s="247"/>
      <c r="C300" s="247"/>
      <c r="D300" s="247"/>
      <c r="E300" s="247"/>
      <c r="F300" s="247"/>
      <c r="G300" s="247"/>
      <c r="H300" s="247"/>
      <c r="I300" s="247"/>
      <c r="J300" s="247"/>
      <c r="K300" s="247"/>
      <c r="L300" s="247"/>
      <c r="M300" s="247"/>
    </row>
    <row r="301">
      <c r="A301" s="247"/>
      <c r="B301" s="247"/>
      <c r="C301" s="247"/>
      <c r="D301" s="247"/>
      <c r="E301" s="247"/>
      <c r="F301" s="247"/>
      <c r="G301" s="247"/>
      <c r="H301" s="247"/>
      <c r="I301" s="247"/>
      <c r="J301" s="247"/>
      <c r="K301" s="247"/>
      <c r="L301" s="247"/>
      <c r="M301" s="247"/>
    </row>
    <row r="302">
      <c r="A302" s="247"/>
      <c r="B302" s="247"/>
      <c r="C302" s="247"/>
      <c r="D302" s="247"/>
      <c r="E302" s="247"/>
      <c r="F302" s="247"/>
      <c r="G302" s="247"/>
      <c r="H302" s="247"/>
      <c r="I302" s="247"/>
      <c r="J302" s="247"/>
      <c r="K302" s="247"/>
      <c r="L302" s="247"/>
      <c r="M302" s="247"/>
    </row>
    <row r="303">
      <c r="A303" s="247"/>
      <c r="B303" s="247"/>
      <c r="C303" s="247"/>
      <c r="D303" s="247"/>
      <c r="E303" s="247"/>
      <c r="F303" s="247"/>
      <c r="G303" s="247"/>
      <c r="H303" s="247"/>
      <c r="I303" s="247"/>
      <c r="J303" s="247"/>
      <c r="K303" s="247"/>
      <c r="L303" s="247"/>
      <c r="M303" s="247"/>
    </row>
    <row r="304">
      <c r="A304" s="247"/>
      <c r="B304" s="247"/>
      <c r="C304" s="247"/>
      <c r="D304" s="247"/>
      <c r="E304" s="247"/>
      <c r="F304" s="247"/>
      <c r="G304" s="247"/>
      <c r="H304" s="247"/>
      <c r="I304" s="247"/>
      <c r="J304" s="247"/>
      <c r="K304" s="247"/>
      <c r="L304" s="247"/>
      <c r="M304" s="247"/>
    </row>
    <row r="305">
      <c r="A305" s="247"/>
      <c r="B305" s="247"/>
      <c r="C305" s="247"/>
      <c r="D305" s="247"/>
      <c r="E305" s="247"/>
      <c r="F305" s="247"/>
      <c r="G305" s="247"/>
      <c r="H305" s="247"/>
      <c r="I305" s="247"/>
      <c r="J305" s="247"/>
      <c r="K305" s="247"/>
      <c r="L305" s="247"/>
      <c r="M305" s="247"/>
    </row>
    <row r="306">
      <c r="A306" s="247"/>
      <c r="B306" s="247"/>
      <c r="C306" s="247"/>
      <c r="D306" s="247"/>
      <c r="E306" s="247"/>
      <c r="F306" s="247"/>
      <c r="G306" s="247"/>
      <c r="H306" s="247"/>
      <c r="I306" s="247"/>
      <c r="J306" s="247"/>
      <c r="K306" s="247"/>
      <c r="L306" s="247"/>
      <c r="M306" s="247"/>
    </row>
    <row r="307">
      <c r="A307" s="247"/>
      <c r="B307" s="247"/>
      <c r="C307" s="247"/>
      <c r="D307" s="247"/>
      <c r="E307" s="247"/>
      <c r="F307" s="247"/>
      <c r="G307" s="247"/>
      <c r="H307" s="247"/>
      <c r="I307" s="247"/>
      <c r="J307" s="247"/>
      <c r="K307" s="247"/>
      <c r="L307" s="247"/>
      <c r="M307" s="247"/>
    </row>
    <row r="308">
      <c r="A308" s="247"/>
      <c r="B308" s="247"/>
      <c r="C308" s="247"/>
      <c r="D308" s="247"/>
      <c r="E308" s="247"/>
      <c r="F308" s="247"/>
      <c r="G308" s="247"/>
      <c r="H308" s="247"/>
      <c r="I308" s="247"/>
      <c r="J308" s="247"/>
      <c r="K308" s="247"/>
      <c r="L308" s="247"/>
      <c r="M308" s="247"/>
    </row>
    <row r="309">
      <c r="A309" s="247"/>
      <c r="B309" s="247"/>
      <c r="C309" s="247"/>
      <c r="D309" s="247"/>
      <c r="E309" s="247"/>
      <c r="F309" s="247"/>
      <c r="G309" s="247"/>
      <c r="H309" s="247"/>
      <c r="I309" s="247"/>
      <c r="J309" s="247"/>
      <c r="K309" s="247"/>
      <c r="L309" s="247"/>
      <c r="M309" s="247"/>
    </row>
    <row r="310">
      <c r="A310" s="247"/>
      <c r="B310" s="247"/>
      <c r="C310" s="247"/>
      <c r="D310" s="247"/>
      <c r="E310" s="247"/>
      <c r="F310" s="247"/>
      <c r="G310" s="247"/>
      <c r="H310" s="247"/>
      <c r="I310" s="247"/>
      <c r="J310" s="247"/>
      <c r="K310" s="247"/>
      <c r="L310" s="247"/>
      <c r="M310" s="247"/>
    </row>
    <row r="311">
      <c r="A311" s="247"/>
      <c r="B311" s="247"/>
      <c r="C311" s="247"/>
      <c r="D311" s="247"/>
      <c r="E311" s="247"/>
      <c r="F311" s="247"/>
      <c r="G311" s="247"/>
      <c r="H311" s="247"/>
      <c r="I311" s="247"/>
      <c r="J311" s="247"/>
      <c r="K311" s="247"/>
      <c r="L311" s="247"/>
      <c r="M311" s="247"/>
    </row>
    <row r="312">
      <c r="A312" s="247"/>
      <c r="B312" s="247"/>
      <c r="C312" s="247"/>
      <c r="D312" s="247"/>
      <c r="E312" s="247"/>
      <c r="F312" s="247"/>
      <c r="G312" s="247"/>
      <c r="H312" s="247"/>
      <c r="I312" s="247"/>
      <c r="J312" s="247"/>
      <c r="K312" s="247"/>
      <c r="L312" s="247"/>
      <c r="M312" s="247"/>
    </row>
    <row r="313">
      <c r="A313" s="247"/>
      <c r="B313" s="247"/>
      <c r="C313" s="247"/>
      <c r="D313" s="247"/>
      <c r="E313" s="247"/>
      <c r="F313" s="247"/>
      <c r="G313" s="247"/>
      <c r="H313" s="247"/>
      <c r="I313" s="247"/>
      <c r="J313" s="247"/>
      <c r="K313" s="247"/>
      <c r="L313" s="247"/>
      <c r="M313" s="247"/>
    </row>
    <row r="314">
      <c r="A314" s="247"/>
      <c r="B314" s="247"/>
      <c r="C314" s="247"/>
      <c r="D314" s="247"/>
      <c r="E314" s="247"/>
      <c r="F314" s="247"/>
      <c r="G314" s="247"/>
      <c r="H314" s="247"/>
      <c r="I314" s="247"/>
      <c r="J314" s="247"/>
      <c r="K314" s="247"/>
      <c r="L314" s="247"/>
      <c r="M314" s="247"/>
    </row>
    <row r="315">
      <c r="A315" s="247"/>
      <c r="B315" s="247"/>
      <c r="C315" s="247"/>
      <c r="D315" s="247"/>
      <c r="E315" s="247"/>
      <c r="F315" s="247"/>
      <c r="G315" s="247"/>
      <c r="H315" s="247"/>
      <c r="I315" s="247"/>
      <c r="J315" s="247"/>
      <c r="K315" s="247"/>
      <c r="L315" s="247"/>
      <c r="M315" s="247"/>
    </row>
    <row r="316">
      <c r="A316" s="247"/>
      <c r="B316" s="247"/>
      <c r="C316" s="247"/>
      <c r="D316" s="247"/>
      <c r="E316" s="247"/>
      <c r="F316" s="247"/>
      <c r="G316" s="247"/>
      <c r="H316" s="247"/>
      <c r="I316" s="247"/>
      <c r="J316" s="247"/>
      <c r="K316" s="247"/>
      <c r="L316" s="247"/>
      <c r="M316" s="247"/>
    </row>
    <row r="317">
      <c r="A317" s="247"/>
      <c r="B317" s="247"/>
      <c r="C317" s="247"/>
      <c r="D317" s="247"/>
      <c r="E317" s="247"/>
      <c r="F317" s="247"/>
      <c r="G317" s="247"/>
      <c r="H317" s="247"/>
      <c r="I317" s="247"/>
      <c r="J317" s="247"/>
      <c r="K317" s="247"/>
      <c r="L317" s="247"/>
      <c r="M317" s="247"/>
    </row>
    <row r="318">
      <c r="A318" s="247"/>
      <c r="B318" s="247"/>
      <c r="C318" s="247"/>
      <c r="D318" s="247"/>
      <c r="E318" s="247"/>
      <c r="F318" s="247"/>
      <c r="G318" s="247"/>
      <c r="H318" s="247"/>
      <c r="I318" s="247"/>
      <c r="J318" s="247"/>
      <c r="K318" s="247"/>
      <c r="L318" s="247"/>
      <c r="M318" s="247"/>
    </row>
    <row r="319">
      <c r="A319" s="247"/>
      <c r="B319" s="247"/>
      <c r="C319" s="247"/>
      <c r="D319" s="247"/>
      <c r="E319" s="247"/>
      <c r="F319" s="247"/>
      <c r="G319" s="247"/>
      <c r="H319" s="247"/>
      <c r="I319" s="247"/>
      <c r="J319" s="247"/>
      <c r="K319" s="247"/>
      <c r="L319" s="247"/>
      <c r="M319" s="247"/>
    </row>
    <row r="320">
      <c r="A320" s="247"/>
      <c r="B320" s="247"/>
      <c r="C320" s="247"/>
      <c r="D320" s="247"/>
      <c r="E320" s="247"/>
      <c r="F320" s="247"/>
      <c r="G320" s="247"/>
      <c r="H320" s="247"/>
      <c r="I320" s="247"/>
      <c r="J320" s="247"/>
      <c r="K320" s="247"/>
      <c r="L320" s="247"/>
      <c r="M320" s="247"/>
    </row>
    <row r="321">
      <c r="A321" s="247"/>
      <c r="B321" s="247"/>
      <c r="C321" s="247"/>
      <c r="D321" s="247"/>
      <c r="E321" s="247"/>
      <c r="F321" s="247"/>
      <c r="G321" s="247"/>
      <c r="H321" s="247"/>
      <c r="I321" s="247"/>
      <c r="J321" s="247"/>
      <c r="K321" s="247"/>
      <c r="L321" s="247"/>
      <c r="M321" s="247"/>
    </row>
    <row r="322">
      <c r="A322" s="247"/>
      <c r="B322" s="247"/>
      <c r="C322" s="247"/>
      <c r="D322" s="247"/>
      <c r="E322" s="247"/>
      <c r="F322" s="247"/>
      <c r="G322" s="247"/>
      <c r="H322" s="247"/>
      <c r="I322" s="247"/>
      <c r="J322" s="247"/>
      <c r="K322" s="247"/>
      <c r="L322" s="247"/>
      <c r="M322" s="247"/>
    </row>
    <row r="323">
      <c r="A323" s="247"/>
      <c r="B323" s="247"/>
      <c r="C323" s="247"/>
      <c r="D323" s="247"/>
      <c r="E323" s="247"/>
      <c r="F323" s="247"/>
      <c r="G323" s="247"/>
      <c r="H323" s="247"/>
      <c r="I323" s="247"/>
      <c r="J323" s="247"/>
      <c r="K323" s="247"/>
      <c r="L323" s="247"/>
      <c r="M323" s="247"/>
    </row>
    <row r="324">
      <c r="A324" s="247"/>
      <c r="B324" s="247"/>
      <c r="C324" s="247"/>
      <c r="D324" s="247"/>
      <c r="E324" s="247"/>
      <c r="F324" s="247"/>
      <c r="G324" s="247"/>
      <c r="H324" s="247"/>
      <c r="I324" s="247"/>
      <c r="J324" s="247"/>
      <c r="K324" s="247"/>
      <c r="L324" s="247"/>
      <c r="M324" s="247"/>
    </row>
    <row r="325">
      <c r="A325" s="247"/>
      <c r="B325" s="247"/>
      <c r="C325" s="247"/>
      <c r="D325" s="247"/>
      <c r="E325" s="247"/>
      <c r="F325" s="247"/>
      <c r="G325" s="247"/>
      <c r="H325" s="247"/>
      <c r="I325" s="247"/>
      <c r="J325" s="247"/>
      <c r="K325" s="247"/>
      <c r="L325" s="247"/>
      <c r="M325" s="247"/>
    </row>
    <row r="326">
      <c r="A326" s="247"/>
      <c r="B326" s="247"/>
      <c r="C326" s="247"/>
      <c r="D326" s="247"/>
      <c r="E326" s="247"/>
      <c r="F326" s="247"/>
      <c r="G326" s="247"/>
      <c r="H326" s="247"/>
      <c r="I326" s="247"/>
      <c r="J326" s="247"/>
      <c r="K326" s="247"/>
      <c r="L326" s="247"/>
      <c r="M326" s="247"/>
    </row>
    <row r="327">
      <c r="A327" s="247"/>
      <c r="B327" s="247"/>
      <c r="C327" s="247"/>
      <c r="D327" s="247"/>
      <c r="E327" s="247"/>
      <c r="F327" s="247"/>
      <c r="G327" s="247"/>
      <c r="H327" s="247"/>
      <c r="I327" s="247"/>
      <c r="J327" s="247"/>
      <c r="K327" s="247"/>
      <c r="L327" s="247"/>
      <c r="M327" s="247"/>
    </row>
    <row r="328">
      <c r="A328" s="247"/>
      <c r="B328" s="247"/>
      <c r="C328" s="247"/>
      <c r="D328" s="247"/>
      <c r="E328" s="247"/>
      <c r="F328" s="247"/>
      <c r="G328" s="247"/>
      <c r="H328" s="247"/>
      <c r="I328" s="247"/>
      <c r="J328" s="247"/>
      <c r="K328" s="247"/>
      <c r="L328" s="247"/>
      <c r="M328" s="247"/>
    </row>
    <row r="329">
      <c r="A329" s="247"/>
      <c r="B329" s="247"/>
      <c r="C329" s="247"/>
      <c r="D329" s="247"/>
      <c r="E329" s="247"/>
      <c r="F329" s="247"/>
      <c r="G329" s="247"/>
      <c r="H329" s="247"/>
      <c r="I329" s="247"/>
      <c r="J329" s="247"/>
      <c r="K329" s="247"/>
      <c r="L329" s="247"/>
      <c r="M329" s="247"/>
    </row>
    <row r="330">
      <c r="A330" s="247"/>
      <c r="B330" s="247"/>
      <c r="C330" s="247"/>
      <c r="D330" s="247"/>
      <c r="E330" s="247"/>
      <c r="F330" s="247"/>
      <c r="G330" s="247"/>
      <c r="H330" s="247"/>
      <c r="I330" s="247"/>
      <c r="J330" s="247"/>
      <c r="K330" s="247"/>
      <c r="L330" s="247"/>
      <c r="M330" s="247"/>
    </row>
    <row r="331">
      <c r="A331" s="247"/>
      <c r="B331" s="247"/>
      <c r="C331" s="247"/>
      <c r="D331" s="247"/>
      <c r="E331" s="247"/>
      <c r="F331" s="247"/>
      <c r="G331" s="247"/>
      <c r="H331" s="247"/>
      <c r="I331" s="247"/>
      <c r="J331" s="247"/>
      <c r="K331" s="247"/>
      <c r="L331" s="247"/>
      <c r="M331" s="247"/>
    </row>
    <row r="332">
      <c r="A332" s="247"/>
      <c r="B332" s="247"/>
      <c r="C332" s="247"/>
      <c r="D332" s="247"/>
      <c r="E332" s="247"/>
      <c r="F332" s="247"/>
      <c r="G332" s="247"/>
      <c r="H332" s="247"/>
      <c r="I332" s="247"/>
      <c r="J332" s="247"/>
      <c r="K332" s="247"/>
      <c r="L332" s="247"/>
      <c r="M332" s="247"/>
    </row>
    <row r="333">
      <c r="A333" s="247"/>
      <c r="B333" s="247"/>
      <c r="C333" s="247"/>
      <c r="D333" s="247"/>
      <c r="E333" s="247"/>
      <c r="F333" s="247"/>
      <c r="G333" s="247"/>
      <c r="H333" s="247"/>
      <c r="I333" s="247"/>
      <c r="J333" s="247"/>
      <c r="K333" s="247"/>
      <c r="L333" s="247"/>
      <c r="M333" s="247"/>
    </row>
    <row r="334">
      <c r="A334" s="247"/>
      <c r="B334" s="247"/>
      <c r="C334" s="247"/>
      <c r="D334" s="247"/>
      <c r="E334" s="247"/>
      <c r="F334" s="247"/>
      <c r="G334" s="247"/>
      <c r="H334" s="247"/>
      <c r="I334" s="247"/>
      <c r="J334" s="247"/>
      <c r="K334" s="247"/>
      <c r="L334" s="247"/>
      <c r="M334" s="247"/>
    </row>
    <row r="335">
      <c r="A335" s="247"/>
      <c r="B335" s="247"/>
      <c r="C335" s="247"/>
      <c r="D335" s="247"/>
      <c r="E335" s="247"/>
      <c r="F335" s="247"/>
      <c r="G335" s="247"/>
      <c r="H335" s="247"/>
      <c r="I335" s="247"/>
      <c r="J335" s="247"/>
      <c r="K335" s="247"/>
      <c r="L335" s="247"/>
      <c r="M335" s="247"/>
    </row>
    <row r="336">
      <c r="A336" s="247"/>
      <c r="B336" s="247"/>
      <c r="C336" s="247"/>
      <c r="D336" s="247"/>
      <c r="E336" s="247"/>
      <c r="F336" s="247"/>
      <c r="G336" s="247"/>
      <c r="H336" s="247"/>
      <c r="I336" s="247"/>
      <c r="J336" s="247"/>
      <c r="K336" s="247"/>
      <c r="L336" s="247"/>
      <c r="M336" s="247"/>
    </row>
    <row r="337">
      <c r="A337" s="247"/>
      <c r="B337" s="247"/>
      <c r="C337" s="247"/>
      <c r="D337" s="247"/>
      <c r="E337" s="247"/>
      <c r="F337" s="247"/>
      <c r="G337" s="247"/>
      <c r="H337" s="247"/>
      <c r="I337" s="247"/>
      <c r="J337" s="247"/>
      <c r="K337" s="247"/>
      <c r="L337" s="247"/>
      <c r="M337" s="247"/>
    </row>
    <row r="338">
      <c r="A338" s="247"/>
      <c r="B338" s="247"/>
      <c r="C338" s="247"/>
      <c r="D338" s="247"/>
      <c r="E338" s="247"/>
      <c r="F338" s="247"/>
      <c r="G338" s="247"/>
      <c r="H338" s="247"/>
      <c r="I338" s="247"/>
      <c r="J338" s="247"/>
      <c r="K338" s="247"/>
      <c r="L338" s="247"/>
      <c r="M338" s="247"/>
    </row>
    <row r="339">
      <c r="A339" s="247"/>
      <c r="B339" s="247"/>
      <c r="C339" s="247"/>
      <c r="D339" s="247"/>
      <c r="E339" s="247"/>
      <c r="F339" s="247"/>
      <c r="G339" s="247"/>
      <c r="H339" s="247"/>
      <c r="I339" s="247"/>
      <c r="J339" s="247"/>
      <c r="K339" s="247"/>
      <c r="L339" s="247"/>
      <c r="M339" s="247"/>
    </row>
    <row r="340">
      <c r="A340" s="247"/>
      <c r="B340" s="247"/>
      <c r="C340" s="247"/>
      <c r="D340" s="247"/>
      <c r="E340" s="247"/>
      <c r="F340" s="247"/>
      <c r="G340" s="247"/>
      <c r="H340" s="247"/>
      <c r="I340" s="247"/>
      <c r="J340" s="247"/>
      <c r="K340" s="247"/>
      <c r="L340" s="247"/>
      <c r="M340" s="247"/>
    </row>
    <row r="341">
      <c r="A341" s="247"/>
      <c r="B341" s="247"/>
      <c r="C341" s="247"/>
      <c r="D341" s="247"/>
      <c r="E341" s="247"/>
      <c r="F341" s="247"/>
      <c r="G341" s="247"/>
      <c r="H341" s="247"/>
      <c r="I341" s="247"/>
      <c r="J341" s="247"/>
      <c r="K341" s="247"/>
      <c r="L341" s="247"/>
      <c r="M341" s="247"/>
    </row>
    <row r="342">
      <c r="A342" s="247"/>
      <c r="B342" s="247"/>
      <c r="C342" s="247"/>
      <c r="D342" s="247"/>
      <c r="E342" s="247"/>
      <c r="F342" s="247"/>
      <c r="G342" s="247"/>
      <c r="H342" s="247"/>
      <c r="I342" s="247"/>
      <c r="J342" s="247"/>
      <c r="K342" s="247"/>
      <c r="L342" s="247"/>
      <c r="M342" s="247"/>
    </row>
    <row r="343">
      <c r="A343" s="247"/>
      <c r="B343" s="247"/>
      <c r="C343" s="247"/>
      <c r="D343" s="247"/>
      <c r="E343" s="247"/>
      <c r="F343" s="247"/>
      <c r="G343" s="247"/>
      <c r="H343" s="247"/>
      <c r="I343" s="247"/>
      <c r="J343" s="247"/>
      <c r="K343" s="247"/>
      <c r="L343" s="247"/>
      <c r="M343" s="247"/>
    </row>
    <row r="344">
      <c r="A344" s="247"/>
      <c r="B344" s="247"/>
      <c r="C344" s="247"/>
      <c r="D344" s="247"/>
      <c r="E344" s="247"/>
      <c r="F344" s="247"/>
      <c r="G344" s="247"/>
      <c r="H344" s="247"/>
      <c r="I344" s="247"/>
      <c r="J344" s="247"/>
      <c r="K344" s="247"/>
      <c r="L344" s="247"/>
      <c r="M344" s="247"/>
    </row>
    <row r="345">
      <c r="A345" s="247"/>
      <c r="B345" s="247"/>
      <c r="C345" s="247"/>
      <c r="D345" s="247"/>
      <c r="E345" s="247"/>
      <c r="F345" s="247"/>
      <c r="G345" s="247"/>
      <c r="H345" s="247"/>
      <c r="I345" s="247"/>
      <c r="J345" s="247"/>
      <c r="K345" s="247"/>
      <c r="L345" s="247"/>
      <c r="M345" s="247"/>
    </row>
    <row r="346">
      <c r="A346" s="247"/>
      <c r="B346" s="247"/>
      <c r="C346" s="247"/>
      <c r="D346" s="247"/>
      <c r="E346" s="247"/>
      <c r="F346" s="247"/>
      <c r="G346" s="247"/>
      <c r="H346" s="247"/>
      <c r="I346" s="247"/>
      <c r="J346" s="247"/>
      <c r="K346" s="247"/>
      <c r="L346" s="247"/>
      <c r="M346" s="247"/>
    </row>
    <row r="347">
      <c r="A347" s="247"/>
      <c r="B347" s="247"/>
      <c r="C347" s="247"/>
      <c r="D347" s="247"/>
      <c r="E347" s="247"/>
      <c r="F347" s="247"/>
      <c r="G347" s="247"/>
      <c r="H347" s="247"/>
      <c r="I347" s="247"/>
      <c r="J347" s="247"/>
      <c r="K347" s="247"/>
      <c r="L347" s="247"/>
      <c r="M347" s="247"/>
    </row>
    <row r="348">
      <c r="A348" s="247"/>
      <c r="B348" s="247"/>
      <c r="C348" s="247"/>
      <c r="D348" s="247"/>
      <c r="E348" s="247"/>
      <c r="F348" s="247"/>
      <c r="G348" s="247"/>
      <c r="H348" s="247"/>
      <c r="I348" s="247"/>
      <c r="J348" s="247"/>
      <c r="K348" s="247"/>
      <c r="L348" s="247"/>
      <c r="M348" s="247"/>
    </row>
    <row r="349">
      <c r="A349" s="247"/>
      <c r="B349" s="247"/>
      <c r="C349" s="247"/>
      <c r="D349" s="247"/>
      <c r="E349" s="247"/>
      <c r="F349" s="247"/>
      <c r="G349" s="247"/>
      <c r="H349" s="247"/>
      <c r="I349" s="247"/>
      <c r="J349" s="247"/>
      <c r="K349" s="247"/>
      <c r="L349" s="247"/>
      <c r="M349" s="247"/>
    </row>
    <row r="350">
      <c r="A350" s="247"/>
      <c r="B350" s="247"/>
      <c r="C350" s="247"/>
      <c r="D350" s="247"/>
      <c r="E350" s="247"/>
      <c r="F350" s="247"/>
      <c r="G350" s="247"/>
      <c r="H350" s="247"/>
      <c r="I350" s="247"/>
      <c r="J350" s="247"/>
      <c r="K350" s="247"/>
      <c r="L350" s="247"/>
      <c r="M350" s="247"/>
    </row>
    <row r="351">
      <c r="A351" s="247"/>
      <c r="B351" s="247"/>
      <c r="C351" s="247"/>
      <c r="D351" s="247"/>
      <c r="E351" s="247"/>
      <c r="F351" s="247"/>
      <c r="G351" s="247"/>
      <c r="H351" s="247"/>
      <c r="I351" s="247"/>
      <c r="J351" s="247"/>
      <c r="K351" s="247"/>
      <c r="L351" s="247"/>
      <c r="M351" s="247"/>
    </row>
    <row r="352">
      <c r="A352" s="247"/>
      <c r="B352" s="247"/>
      <c r="C352" s="247"/>
      <c r="D352" s="247"/>
      <c r="E352" s="247"/>
      <c r="F352" s="247"/>
      <c r="G352" s="247"/>
      <c r="H352" s="247"/>
      <c r="I352" s="247"/>
      <c r="J352" s="247"/>
      <c r="K352" s="247"/>
      <c r="L352" s="247"/>
      <c r="M352" s="247"/>
    </row>
    <row r="353">
      <c r="A353" s="247"/>
      <c r="B353" s="247"/>
      <c r="C353" s="247"/>
      <c r="D353" s="247"/>
      <c r="E353" s="247"/>
      <c r="F353" s="247"/>
      <c r="G353" s="247"/>
      <c r="H353" s="247"/>
      <c r="I353" s="247"/>
      <c r="J353" s="247"/>
      <c r="K353" s="247"/>
      <c r="L353" s="247"/>
      <c r="M353" s="247"/>
    </row>
    <row r="354">
      <c r="A354" s="247"/>
      <c r="B354" s="247"/>
      <c r="C354" s="247"/>
      <c r="D354" s="247"/>
      <c r="E354" s="247"/>
      <c r="F354" s="247"/>
      <c r="G354" s="247"/>
      <c r="H354" s="247"/>
      <c r="I354" s="247"/>
      <c r="J354" s="247"/>
      <c r="K354" s="247"/>
      <c r="L354" s="247"/>
      <c r="M354" s="247"/>
    </row>
    <row r="355">
      <c r="A355" s="247"/>
      <c r="B355" s="247"/>
      <c r="C355" s="247"/>
      <c r="D355" s="247"/>
      <c r="E355" s="247"/>
      <c r="F355" s="247"/>
      <c r="G355" s="247"/>
      <c r="H355" s="247"/>
      <c r="I355" s="247"/>
      <c r="J355" s="247"/>
      <c r="K355" s="247"/>
      <c r="L355" s="247"/>
      <c r="M355" s="247"/>
    </row>
    <row r="356">
      <c r="A356" s="247"/>
      <c r="B356" s="247"/>
      <c r="C356" s="247"/>
      <c r="D356" s="247"/>
      <c r="E356" s="247"/>
      <c r="F356" s="247"/>
      <c r="G356" s="247"/>
      <c r="H356" s="247"/>
      <c r="I356" s="247"/>
      <c r="J356" s="247"/>
      <c r="K356" s="247"/>
      <c r="L356" s="247"/>
      <c r="M356" s="247"/>
    </row>
    <row r="357">
      <c r="A357" s="247"/>
      <c r="B357" s="247"/>
      <c r="C357" s="247"/>
      <c r="D357" s="247"/>
      <c r="E357" s="247"/>
      <c r="F357" s="247"/>
      <c r="G357" s="247"/>
      <c r="H357" s="247"/>
      <c r="I357" s="247"/>
      <c r="J357" s="247"/>
      <c r="K357" s="247"/>
      <c r="L357" s="247"/>
      <c r="M357" s="247"/>
    </row>
    <row r="358">
      <c r="A358" s="247"/>
      <c r="B358" s="247"/>
      <c r="C358" s="247"/>
      <c r="D358" s="247"/>
      <c r="E358" s="247"/>
      <c r="F358" s="247"/>
      <c r="G358" s="247"/>
      <c r="H358" s="247"/>
      <c r="I358" s="247"/>
      <c r="J358" s="247"/>
      <c r="K358" s="247"/>
      <c r="L358" s="247"/>
      <c r="M358" s="247"/>
    </row>
    <row r="359">
      <c r="A359" s="247"/>
      <c r="B359" s="247"/>
      <c r="C359" s="247"/>
      <c r="D359" s="247"/>
      <c r="E359" s="247"/>
      <c r="F359" s="247"/>
      <c r="G359" s="247"/>
      <c r="H359" s="247"/>
      <c r="I359" s="247"/>
      <c r="J359" s="247"/>
      <c r="K359" s="247"/>
      <c r="L359" s="247"/>
      <c r="M359" s="247"/>
    </row>
    <row r="360">
      <c r="A360" s="247"/>
      <c r="B360" s="247"/>
      <c r="C360" s="247"/>
      <c r="D360" s="247"/>
      <c r="E360" s="247"/>
      <c r="F360" s="247"/>
      <c r="G360" s="247"/>
      <c r="H360" s="247"/>
      <c r="I360" s="247"/>
      <c r="J360" s="247"/>
      <c r="K360" s="247"/>
      <c r="L360" s="247"/>
      <c r="M360" s="247"/>
    </row>
    <row r="361">
      <c r="A361" s="247"/>
      <c r="B361" s="247"/>
      <c r="C361" s="247"/>
      <c r="D361" s="247"/>
      <c r="E361" s="247"/>
      <c r="F361" s="247"/>
      <c r="G361" s="247"/>
      <c r="H361" s="247"/>
      <c r="I361" s="247"/>
      <c r="J361" s="247"/>
      <c r="K361" s="247"/>
      <c r="L361" s="247"/>
      <c r="M361" s="247"/>
    </row>
    <row r="362">
      <c r="A362" s="247"/>
      <c r="B362" s="247"/>
      <c r="C362" s="247"/>
      <c r="D362" s="247"/>
      <c r="E362" s="247"/>
      <c r="F362" s="247"/>
      <c r="G362" s="247"/>
      <c r="H362" s="247"/>
      <c r="I362" s="247"/>
      <c r="J362" s="247"/>
      <c r="K362" s="247"/>
      <c r="L362" s="247"/>
      <c r="M362" s="247"/>
    </row>
    <row r="363">
      <c r="A363" s="247"/>
      <c r="B363" s="247"/>
      <c r="C363" s="247"/>
      <c r="D363" s="247"/>
      <c r="E363" s="247"/>
      <c r="F363" s="247"/>
      <c r="G363" s="247"/>
      <c r="H363" s="247"/>
      <c r="I363" s="247"/>
      <c r="J363" s="247"/>
      <c r="K363" s="247"/>
      <c r="L363" s="247"/>
      <c r="M363" s="247"/>
    </row>
    <row r="364">
      <c r="A364" s="247"/>
      <c r="B364" s="247"/>
      <c r="C364" s="247"/>
      <c r="D364" s="247"/>
      <c r="E364" s="247"/>
      <c r="F364" s="247"/>
      <c r="G364" s="247"/>
      <c r="H364" s="247"/>
      <c r="I364" s="247"/>
      <c r="J364" s="247"/>
      <c r="K364" s="247"/>
      <c r="L364" s="247"/>
      <c r="M364" s="247"/>
    </row>
    <row r="365">
      <c r="A365" s="247"/>
      <c r="B365" s="247"/>
      <c r="C365" s="247"/>
      <c r="D365" s="247"/>
      <c r="E365" s="247"/>
      <c r="F365" s="247"/>
      <c r="G365" s="247"/>
      <c r="H365" s="247"/>
      <c r="I365" s="247"/>
      <c r="J365" s="247"/>
      <c r="K365" s="247"/>
      <c r="L365" s="247"/>
      <c r="M365" s="247"/>
    </row>
    <row r="366">
      <c r="A366" s="247"/>
      <c r="B366" s="247"/>
      <c r="C366" s="247"/>
      <c r="D366" s="247"/>
      <c r="E366" s="247"/>
      <c r="F366" s="247"/>
      <c r="G366" s="247"/>
      <c r="H366" s="247"/>
      <c r="I366" s="247"/>
      <c r="J366" s="247"/>
      <c r="K366" s="247"/>
      <c r="L366" s="247"/>
      <c r="M366" s="247"/>
    </row>
    <row r="367">
      <c r="A367" s="247"/>
      <c r="B367" s="247"/>
      <c r="C367" s="247"/>
      <c r="D367" s="247"/>
      <c r="E367" s="247"/>
      <c r="F367" s="247"/>
      <c r="G367" s="247"/>
      <c r="H367" s="247"/>
      <c r="I367" s="247"/>
      <c r="J367" s="247"/>
      <c r="K367" s="247"/>
      <c r="L367" s="247"/>
      <c r="M367" s="247"/>
    </row>
    <row r="368">
      <c r="A368" s="247"/>
      <c r="B368" s="247"/>
      <c r="C368" s="247"/>
      <c r="D368" s="247"/>
      <c r="E368" s="247"/>
      <c r="F368" s="247"/>
      <c r="G368" s="247"/>
      <c r="H368" s="247"/>
      <c r="I368" s="247"/>
      <c r="J368" s="247"/>
      <c r="K368" s="247"/>
      <c r="L368" s="247"/>
      <c r="M368" s="247"/>
    </row>
    <row r="369">
      <c r="A369" s="247"/>
      <c r="B369" s="247"/>
      <c r="C369" s="247"/>
      <c r="D369" s="247"/>
      <c r="E369" s="247"/>
      <c r="F369" s="247"/>
      <c r="G369" s="247"/>
      <c r="H369" s="247"/>
      <c r="I369" s="247"/>
      <c r="J369" s="247"/>
      <c r="K369" s="247"/>
      <c r="L369" s="247"/>
      <c r="M369" s="247"/>
    </row>
    <row r="370">
      <c r="A370" s="247"/>
      <c r="B370" s="247"/>
      <c r="C370" s="247"/>
      <c r="D370" s="247"/>
      <c r="E370" s="247"/>
      <c r="F370" s="247"/>
      <c r="G370" s="247"/>
      <c r="H370" s="247"/>
      <c r="I370" s="247"/>
      <c r="J370" s="247"/>
      <c r="K370" s="247"/>
      <c r="L370" s="247"/>
      <c r="M370" s="247"/>
    </row>
    <row r="371">
      <c r="A371" s="247"/>
      <c r="B371" s="247"/>
      <c r="C371" s="247"/>
      <c r="D371" s="247"/>
      <c r="E371" s="247"/>
      <c r="F371" s="247"/>
      <c r="G371" s="247"/>
      <c r="H371" s="247"/>
      <c r="I371" s="247"/>
      <c r="J371" s="247"/>
      <c r="K371" s="247"/>
      <c r="L371" s="247"/>
      <c r="M371" s="247"/>
    </row>
    <row r="372">
      <c r="A372" s="247"/>
      <c r="B372" s="247"/>
      <c r="C372" s="247"/>
      <c r="D372" s="247"/>
      <c r="E372" s="247"/>
      <c r="F372" s="247"/>
      <c r="G372" s="247"/>
      <c r="H372" s="247"/>
      <c r="I372" s="247"/>
      <c r="J372" s="247"/>
      <c r="K372" s="247"/>
      <c r="L372" s="247"/>
      <c r="M372" s="247"/>
    </row>
    <row r="373">
      <c r="A373" s="247"/>
      <c r="B373" s="247"/>
      <c r="C373" s="247"/>
      <c r="D373" s="247"/>
      <c r="E373" s="247"/>
      <c r="F373" s="247"/>
      <c r="G373" s="247"/>
      <c r="H373" s="247"/>
      <c r="I373" s="247"/>
      <c r="J373" s="247"/>
      <c r="K373" s="247"/>
      <c r="L373" s="247"/>
      <c r="M373" s="247"/>
    </row>
    <row r="374">
      <c r="A374" s="247"/>
      <c r="B374" s="247"/>
      <c r="C374" s="247"/>
      <c r="D374" s="247"/>
      <c r="E374" s="247"/>
      <c r="F374" s="247"/>
      <c r="G374" s="247"/>
      <c r="H374" s="247"/>
      <c r="I374" s="247"/>
      <c r="J374" s="247"/>
      <c r="K374" s="247"/>
      <c r="L374" s="247"/>
      <c r="M374" s="247"/>
    </row>
    <row r="375">
      <c r="A375" s="247"/>
      <c r="B375" s="247"/>
      <c r="C375" s="247"/>
      <c r="D375" s="247"/>
      <c r="E375" s="247"/>
      <c r="F375" s="247"/>
      <c r="G375" s="247"/>
      <c r="H375" s="247"/>
      <c r="I375" s="247"/>
      <c r="J375" s="247"/>
      <c r="K375" s="247"/>
      <c r="L375" s="247"/>
      <c r="M375" s="247"/>
    </row>
    <row r="376">
      <c r="A376" s="247"/>
      <c r="B376" s="247"/>
      <c r="C376" s="247"/>
      <c r="D376" s="247"/>
      <c r="E376" s="247"/>
      <c r="F376" s="247"/>
      <c r="G376" s="247"/>
      <c r="H376" s="247"/>
      <c r="I376" s="247"/>
      <c r="J376" s="247"/>
      <c r="K376" s="247"/>
      <c r="L376" s="247"/>
      <c r="M376" s="247"/>
    </row>
    <row r="377">
      <c r="A377" s="247"/>
      <c r="B377" s="247"/>
      <c r="C377" s="247"/>
      <c r="D377" s="247"/>
      <c r="E377" s="247"/>
      <c r="F377" s="247"/>
      <c r="G377" s="247"/>
      <c r="H377" s="247"/>
      <c r="I377" s="247"/>
      <c r="J377" s="247"/>
      <c r="K377" s="247"/>
      <c r="L377" s="247"/>
      <c r="M377" s="247"/>
    </row>
    <row r="378">
      <c r="A378" s="247"/>
      <c r="B378" s="247"/>
      <c r="C378" s="247"/>
      <c r="D378" s="247"/>
      <c r="E378" s="247"/>
      <c r="F378" s="247"/>
      <c r="G378" s="247"/>
      <c r="H378" s="247"/>
      <c r="I378" s="247"/>
      <c r="J378" s="247"/>
      <c r="K378" s="247"/>
      <c r="L378" s="247"/>
      <c r="M378" s="247"/>
    </row>
    <row r="379">
      <c r="A379" s="247"/>
      <c r="B379" s="247"/>
      <c r="C379" s="247"/>
      <c r="D379" s="247"/>
      <c r="E379" s="247"/>
      <c r="F379" s="247"/>
      <c r="G379" s="247"/>
      <c r="H379" s="247"/>
      <c r="I379" s="247"/>
      <c r="J379" s="247"/>
      <c r="K379" s="247"/>
      <c r="L379" s="247"/>
      <c r="M379" s="247"/>
    </row>
    <row r="380">
      <c r="A380" s="247"/>
      <c r="B380" s="247"/>
      <c r="C380" s="247"/>
      <c r="D380" s="247"/>
      <c r="E380" s="247"/>
      <c r="F380" s="247"/>
      <c r="G380" s="247"/>
      <c r="H380" s="247"/>
      <c r="I380" s="247"/>
      <c r="J380" s="247"/>
      <c r="K380" s="247"/>
      <c r="L380" s="247"/>
      <c r="M380" s="247"/>
    </row>
    <row r="381">
      <c r="A381" s="247"/>
      <c r="B381" s="247"/>
      <c r="C381" s="247"/>
      <c r="D381" s="247"/>
      <c r="E381" s="247"/>
      <c r="F381" s="247"/>
      <c r="G381" s="247"/>
      <c r="H381" s="247"/>
      <c r="I381" s="247"/>
      <c r="J381" s="247"/>
      <c r="K381" s="247"/>
      <c r="L381" s="247"/>
      <c r="M381" s="247"/>
    </row>
    <row r="382">
      <c r="A382" s="247"/>
      <c r="B382" s="247"/>
      <c r="C382" s="247"/>
      <c r="D382" s="247"/>
      <c r="E382" s="247"/>
      <c r="F382" s="247"/>
      <c r="G382" s="247"/>
      <c r="H382" s="247"/>
      <c r="I382" s="247"/>
      <c r="J382" s="247"/>
      <c r="K382" s="247"/>
      <c r="L382" s="247"/>
      <c r="M382" s="247"/>
    </row>
    <row r="383">
      <c r="A383" s="247"/>
      <c r="B383" s="247"/>
      <c r="C383" s="247"/>
      <c r="D383" s="247"/>
      <c r="E383" s="247"/>
      <c r="F383" s="247"/>
      <c r="G383" s="247"/>
      <c r="H383" s="247"/>
      <c r="I383" s="247"/>
      <c r="J383" s="247"/>
      <c r="K383" s="247"/>
      <c r="L383" s="247"/>
      <c r="M383" s="247"/>
    </row>
    <row r="384">
      <c r="A384" s="247"/>
      <c r="B384" s="247"/>
      <c r="C384" s="247"/>
      <c r="D384" s="247"/>
      <c r="E384" s="247"/>
      <c r="F384" s="247"/>
      <c r="G384" s="247"/>
      <c r="H384" s="247"/>
      <c r="I384" s="247"/>
      <c r="J384" s="247"/>
      <c r="K384" s="247"/>
      <c r="L384" s="247"/>
      <c r="M384" s="247"/>
    </row>
    <row r="385">
      <c r="A385" s="247"/>
      <c r="B385" s="247"/>
      <c r="C385" s="247"/>
      <c r="D385" s="247"/>
      <c r="E385" s="247"/>
      <c r="F385" s="247"/>
      <c r="G385" s="247"/>
      <c r="H385" s="247"/>
      <c r="I385" s="247"/>
      <c r="J385" s="247"/>
      <c r="K385" s="247"/>
      <c r="L385" s="247"/>
      <c r="M385" s="247"/>
    </row>
    <row r="386">
      <c r="A386" s="247"/>
      <c r="B386" s="247"/>
      <c r="C386" s="247"/>
      <c r="D386" s="247"/>
      <c r="E386" s="247"/>
      <c r="F386" s="247"/>
      <c r="G386" s="247"/>
      <c r="H386" s="247"/>
      <c r="I386" s="247"/>
      <c r="J386" s="247"/>
      <c r="K386" s="247"/>
      <c r="L386" s="247"/>
      <c r="M386" s="247"/>
    </row>
    <row r="387">
      <c r="A387" s="247"/>
      <c r="B387" s="247"/>
      <c r="C387" s="247"/>
      <c r="D387" s="247"/>
      <c r="E387" s="247"/>
      <c r="F387" s="247"/>
      <c r="G387" s="247"/>
      <c r="H387" s="247"/>
      <c r="I387" s="247"/>
      <c r="J387" s="247"/>
      <c r="K387" s="247"/>
      <c r="L387" s="247"/>
      <c r="M387" s="247"/>
    </row>
    <row r="388">
      <c r="A388" s="247"/>
      <c r="B388" s="247"/>
      <c r="C388" s="247"/>
      <c r="D388" s="247"/>
      <c r="E388" s="247"/>
      <c r="F388" s="247"/>
      <c r="G388" s="247"/>
      <c r="H388" s="247"/>
      <c r="I388" s="247"/>
      <c r="J388" s="247"/>
      <c r="K388" s="247"/>
      <c r="L388" s="247"/>
      <c r="M388" s="247"/>
    </row>
    <row r="389">
      <c r="A389" s="247"/>
      <c r="B389" s="247"/>
      <c r="C389" s="247"/>
      <c r="D389" s="247"/>
      <c r="E389" s="247"/>
      <c r="F389" s="247"/>
      <c r="G389" s="247"/>
      <c r="H389" s="247"/>
      <c r="I389" s="247"/>
      <c r="J389" s="247"/>
      <c r="K389" s="247"/>
      <c r="L389" s="247"/>
      <c r="M389" s="247"/>
    </row>
    <row r="390">
      <c r="A390" s="247"/>
      <c r="B390" s="247"/>
      <c r="C390" s="247"/>
      <c r="D390" s="247"/>
      <c r="E390" s="247"/>
      <c r="F390" s="247"/>
      <c r="G390" s="247"/>
      <c r="H390" s="247"/>
      <c r="I390" s="247"/>
      <c r="J390" s="247"/>
      <c r="K390" s="247"/>
      <c r="L390" s="247"/>
      <c r="M390" s="247"/>
    </row>
    <row r="391">
      <c r="A391" s="247"/>
      <c r="B391" s="247"/>
      <c r="C391" s="247"/>
      <c r="D391" s="247"/>
      <c r="E391" s="247"/>
      <c r="F391" s="247"/>
      <c r="G391" s="247"/>
      <c r="H391" s="247"/>
      <c r="I391" s="247"/>
      <c r="J391" s="247"/>
      <c r="K391" s="247"/>
      <c r="L391" s="247"/>
      <c r="M391" s="247"/>
    </row>
    <row r="392">
      <c r="A392" s="247"/>
      <c r="B392" s="247"/>
      <c r="C392" s="247"/>
      <c r="D392" s="247"/>
      <c r="E392" s="247"/>
      <c r="F392" s="247"/>
      <c r="G392" s="247"/>
      <c r="H392" s="247"/>
      <c r="I392" s="247"/>
      <c r="J392" s="247"/>
      <c r="K392" s="247"/>
      <c r="L392" s="247"/>
      <c r="M392" s="247"/>
    </row>
    <row r="393">
      <c r="A393" s="247"/>
      <c r="B393" s="247"/>
      <c r="C393" s="247"/>
      <c r="D393" s="247"/>
      <c r="E393" s="247"/>
      <c r="F393" s="247"/>
      <c r="G393" s="247"/>
      <c r="H393" s="247"/>
      <c r="I393" s="247"/>
      <c r="J393" s="247"/>
      <c r="K393" s="247"/>
      <c r="L393" s="247"/>
      <c r="M393" s="247"/>
    </row>
    <row r="394">
      <c r="A394" s="247"/>
      <c r="B394" s="247"/>
      <c r="C394" s="247"/>
      <c r="D394" s="247"/>
      <c r="E394" s="247"/>
      <c r="F394" s="247"/>
      <c r="G394" s="247"/>
      <c r="H394" s="247"/>
      <c r="I394" s="247"/>
      <c r="J394" s="247"/>
      <c r="K394" s="247"/>
      <c r="L394" s="247"/>
      <c r="M394" s="247"/>
    </row>
    <row r="395">
      <c r="A395" s="247"/>
      <c r="B395" s="247"/>
      <c r="C395" s="247"/>
      <c r="D395" s="247"/>
      <c r="E395" s="247"/>
      <c r="F395" s="247"/>
      <c r="G395" s="247"/>
      <c r="H395" s="247"/>
      <c r="I395" s="247"/>
      <c r="J395" s="247"/>
      <c r="K395" s="247"/>
      <c r="L395" s="247"/>
      <c r="M395" s="247"/>
    </row>
    <row r="396">
      <c r="A396" s="247"/>
      <c r="B396" s="247"/>
      <c r="C396" s="247"/>
      <c r="D396" s="247"/>
      <c r="E396" s="247"/>
      <c r="F396" s="247"/>
      <c r="G396" s="247"/>
      <c r="H396" s="247"/>
      <c r="I396" s="247"/>
      <c r="J396" s="247"/>
      <c r="K396" s="247"/>
      <c r="L396" s="247"/>
      <c r="M396" s="247"/>
    </row>
    <row r="397">
      <c r="A397" s="247"/>
      <c r="B397" s="247"/>
      <c r="C397" s="247"/>
      <c r="D397" s="247"/>
      <c r="E397" s="247"/>
      <c r="F397" s="247"/>
      <c r="G397" s="247"/>
      <c r="H397" s="247"/>
      <c r="I397" s="247"/>
      <c r="J397" s="247"/>
      <c r="K397" s="247"/>
      <c r="L397" s="247"/>
      <c r="M397" s="247"/>
    </row>
    <row r="398">
      <c r="A398" s="247"/>
      <c r="B398" s="247"/>
      <c r="C398" s="247"/>
      <c r="D398" s="247"/>
      <c r="E398" s="247"/>
      <c r="F398" s="247"/>
      <c r="G398" s="247"/>
      <c r="H398" s="247"/>
      <c r="I398" s="247"/>
      <c r="J398" s="247"/>
      <c r="K398" s="247"/>
      <c r="L398" s="247"/>
      <c r="M398" s="247"/>
    </row>
    <row r="399">
      <c r="A399" s="247"/>
      <c r="B399" s="247"/>
      <c r="C399" s="247"/>
      <c r="D399" s="247"/>
      <c r="E399" s="247"/>
      <c r="F399" s="247"/>
      <c r="G399" s="247"/>
      <c r="H399" s="247"/>
      <c r="I399" s="247"/>
      <c r="J399" s="247"/>
      <c r="K399" s="247"/>
      <c r="L399" s="247"/>
      <c r="M399" s="247"/>
    </row>
    <row r="400">
      <c r="A400" s="247"/>
      <c r="B400" s="247"/>
      <c r="C400" s="247"/>
      <c r="D400" s="247"/>
      <c r="E400" s="247"/>
      <c r="F400" s="247"/>
      <c r="G400" s="247"/>
      <c r="H400" s="247"/>
      <c r="I400" s="247"/>
      <c r="J400" s="247"/>
      <c r="K400" s="247"/>
      <c r="L400" s="247"/>
      <c r="M400" s="247"/>
    </row>
    <row r="401">
      <c r="A401" s="247"/>
      <c r="B401" s="247"/>
      <c r="C401" s="247"/>
      <c r="D401" s="247"/>
      <c r="E401" s="247"/>
      <c r="F401" s="247"/>
      <c r="G401" s="247"/>
      <c r="H401" s="247"/>
      <c r="I401" s="247"/>
      <c r="J401" s="247"/>
      <c r="K401" s="247"/>
      <c r="L401" s="247"/>
      <c r="M401" s="247"/>
    </row>
    <row r="402">
      <c r="A402" s="247"/>
      <c r="B402" s="247"/>
      <c r="C402" s="247"/>
      <c r="D402" s="247"/>
      <c r="E402" s="247"/>
      <c r="F402" s="247"/>
      <c r="G402" s="247"/>
      <c r="H402" s="247"/>
      <c r="I402" s="247"/>
      <c r="J402" s="247"/>
      <c r="K402" s="247"/>
      <c r="L402" s="247"/>
      <c r="M402" s="247"/>
    </row>
    <row r="403">
      <c r="A403" s="247"/>
      <c r="B403" s="247"/>
      <c r="C403" s="247"/>
      <c r="D403" s="247"/>
      <c r="E403" s="247"/>
      <c r="F403" s="247"/>
      <c r="G403" s="247"/>
      <c r="H403" s="247"/>
      <c r="I403" s="247"/>
      <c r="J403" s="247"/>
      <c r="K403" s="247"/>
      <c r="L403" s="247"/>
      <c r="M403" s="247"/>
    </row>
    <row r="404">
      <c r="A404" s="247"/>
      <c r="B404" s="247"/>
      <c r="C404" s="247"/>
      <c r="D404" s="247"/>
      <c r="E404" s="247"/>
      <c r="F404" s="247"/>
      <c r="G404" s="247"/>
      <c r="H404" s="247"/>
      <c r="I404" s="247"/>
      <c r="J404" s="247"/>
      <c r="K404" s="247"/>
      <c r="L404" s="247"/>
      <c r="M404" s="247"/>
    </row>
    <row r="405">
      <c r="A405" s="247"/>
      <c r="B405" s="247"/>
      <c r="C405" s="247"/>
      <c r="D405" s="247"/>
      <c r="E405" s="247"/>
      <c r="F405" s="247"/>
      <c r="G405" s="247"/>
      <c r="H405" s="247"/>
      <c r="I405" s="247"/>
      <c r="J405" s="247"/>
      <c r="K405" s="247"/>
      <c r="L405" s="247"/>
      <c r="M405" s="247"/>
    </row>
    <row r="406">
      <c r="A406" s="247"/>
      <c r="B406" s="247"/>
      <c r="C406" s="247"/>
      <c r="D406" s="247"/>
      <c r="E406" s="247"/>
      <c r="F406" s="247"/>
      <c r="G406" s="247"/>
      <c r="H406" s="247"/>
      <c r="I406" s="247"/>
      <c r="J406" s="247"/>
      <c r="K406" s="247"/>
      <c r="L406" s="247"/>
      <c r="M406" s="247"/>
    </row>
    <row r="407">
      <c r="A407" s="247"/>
      <c r="B407" s="247"/>
      <c r="C407" s="247"/>
      <c r="D407" s="247"/>
      <c r="E407" s="247"/>
      <c r="F407" s="247"/>
      <c r="G407" s="247"/>
      <c r="H407" s="247"/>
      <c r="I407" s="247"/>
      <c r="J407" s="247"/>
      <c r="K407" s="247"/>
      <c r="L407" s="247"/>
      <c r="M407" s="247"/>
    </row>
    <row r="408">
      <c r="A408" s="247"/>
      <c r="B408" s="247"/>
      <c r="C408" s="247"/>
      <c r="D408" s="247"/>
      <c r="E408" s="247"/>
      <c r="F408" s="247"/>
      <c r="G408" s="247"/>
      <c r="H408" s="247"/>
      <c r="I408" s="247"/>
      <c r="J408" s="247"/>
      <c r="K408" s="247"/>
      <c r="L408" s="247"/>
      <c r="M408" s="247"/>
    </row>
    <row r="409">
      <c r="A409" s="247"/>
      <c r="B409" s="247"/>
      <c r="C409" s="247"/>
      <c r="D409" s="247"/>
      <c r="E409" s="247"/>
      <c r="F409" s="247"/>
      <c r="G409" s="247"/>
      <c r="H409" s="247"/>
      <c r="I409" s="247"/>
      <c r="J409" s="247"/>
      <c r="K409" s="247"/>
      <c r="L409" s="247"/>
      <c r="M409" s="247"/>
    </row>
    <row r="410">
      <c r="A410" s="247"/>
      <c r="B410" s="247"/>
      <c r="C410" s="247"/>
      <c r="D410" s="247"/>
      <c r="E410" s="247"/>
      <c r="F410" s="247"/>
      <c r="G410" s="247"/>
      <c r="H410" s="247"/>
      <c r="I410" s="247"/>
      <c r="J410" s="247"/>
      <c r="K410" s="247"/>
      <c r="L410" s="247"/>
      <c r="M410" s="247"/>
    </row>
    <row r="411">
      <c r="A411" s="247"/>
      <c r="B411" s="247"/>
      <c r="C411" s="247"/>
      <c r="D411" s="247"/>
      <c r="E411" s="247"/>
      <c r="F411" s="247"/>
      <c r="G411" s="247"/>
      <c r="H411" s="247"/>
      <c r="I411" s="247"/>
      <c r="J411" s="247"/>
      <c r="K411" s="247"/>
      <c r="L411" s="247"/>
      <c r="M411" s="247"/>
    </row>
    <row r="412">
      <c r="A412" s="247"/>
      <c r="B412" s="247"/>
      <c r="C412" s="247"/>
      <c r="D412" s="247"/>
      <c r="E412" s="247"/>
      <c r="F412" s="247"/>
      <c r="G412" s="247"/>
      <c r="H412" s="247"/>
      <c r="I412" s="247"/>
      <c r="J412" s="247"/>
      <c r="K412" s="247"/>
      <c r="L412" s="247"/>
      <c r="M412" s="247"/>
    </row>
    <row r="413">
      <c r="A413" s="247"/>
      <c r="B413" s="247"/>
      <c r="C413" s="247"/>
      <c r="D413" s="247"/>
      <c r="E413" s="247"/>
      <c r="F413" s="247"/>
      <c r="G413" s="247"/>
      <c r="H413" s="247"/>
      <c r="I413" s="247"/>
      <c r="J413" s="247"/>
      <c r="K413" s="247"/>
      <c r="L413" s="247"/>
      <c r="M413" s="247"/>
    </row>
    <row r="414">
      <c r="A414" s="247"/>
      <c r="B414" s="247"/>
      <c r="C414" s="247"/>
      <c r="D414" s="247"/>
      <c r="E414" s="247"/>
      <c r="F414" s="247"/>
      <c r="G414" s="247"/>
      <c r="H414" s="247"/>
      <c r="I414" s="247"/>
      <c r="J414" s="247"/>
      <c r="K414" s="247"/>
      <c r="L414" s="247"/>
      <c r="M414" s="247"/>
    </row>
    <row r="415">
      <c r="A415" s="247"/>
      <c r="B415" s="247"/>
      <c r="C415" s="247"/>
      <c r="D415" s="247"/>
      <c r="E415" s="247"/>
      <c r="F415" s="247"/>
      <c r="G415" s="247"/>
      <c r="H415" s="247"/>
      <c r="I415" s="247"/>
      <c r="J415" s="247"/>
      <c r="K415" s="247"/>
      <c r="L415" s="247"/>
      <c r="M415" s="247"/>
    </row>
    <row r="416">
      <c r="A416" s="247"/>
      <c r="B416" s="247"/>
      <c r="C416" s="247"/>
      <c r="D416" s="247"/>
      <c r="E416" s="247"/>
      <c r="F416" s="247"/>
      <c r="G416" s="247"/>
      <c r="H416" s="247"/>
      <c r="I416" s="247"/>
      <c r="J416" s="247"/>
      <c r="K416" s="247"/>
      <c r="L416" s="247"/>
      <c r="M416" s="247"/>
    </row>
    <row r="417">
      <c r="A417" s="247"/>
      <c r="B417" s="247"/>
      <c r="C417" s="247"/>
      <c r="D417" s="247"/>
      <c r="E417" s="247"/>
      <c r="F417" s="247"/>
      <c r="G417" s="247"/>
      <c r="H417" s="247"/>
      <c r="I417" s="247"/>
      <c r="J417" s="247"/>
      <c r="K417" s="247"/>
      <c r="L417" s="247"/>
      <c r="M417" s="247"/>
    </row>
    <row r="418">
      <c r="A418" s="247"/>
      <c r="B418" s="247"/>
      <c r="C418" s="247"/>
      <c r="D418" s="247"/>
      <c r="E418" s="247"/>
      <c r="F418" s="247"/>
      <c r="G418" s="247"/>
      <c r="H418" s="247"/>
      <c r="I418" s="247"/>
      <c r="J418" s="247"/>
      <c r="K418" s="247"/>
      <c r="L418" s="247"/>
      <c r="M418" s="247"/>
    </row>
    <row r="419">
      <c r="A419" s="247"/>
      <c r="B419" s="247"/>
      <c r="C419" s="247"/>
      <c r="D419" s="247"/>
      <c r="E419" s="247"/>
      <c r="F419" s="247"/>
      <c r="G419" s="247"/>
      <c r="H419" s="247"/>
      <c r="I419" s="247"/>
      <c r="J419" s="247"/>
      <c r="K419" s="247"/>
      <c r="L419" s="247"/>
      <c r="M419" s="247"/>
    </row>
    <row r="420">
      <c r="A420" s="247"/>
      <c r="B420" s="247"/>
      <c r="C420" s="247"/>
      <c r="D420" s="247"/>
      <c r="E420" s="247"/>
      <c r="F420" s="247"/>
      <c r="G420" s="247"/>
      <c r="H420" s="247"/>
      <c r="I420" s="247"/>
      <c r="J420" s="247"/>
      <c r="K420" s="247"/>
      <c r="L420" s="247"/>
      <c r="M420" s="247"/>
    </row>
    <row r="421">
      <c r="A421" s="247"/>
      <c r="B421" s="247"/>
      <c r="C421" s="247"/>
      <c r="D421" s="247"/>
      <c r="E421" s="247"/>
      <c r="F421" s="247"/>
      <c r="G421" s="247"/>
      <c r="H421" s="247"/>
      <c r="I421" s="247"/>
      <c r="J421" s="247"/>
      <c r="K421" s="247"/>
      <c r="L421" s="247"/>
      <c r="M421" s="247"/>
    </row>
    <row r="422">
      <c r="A422" s="247"/>
      <c r="B422" s="247"/>
      <c r="C422" s="247"/>
      <c r="D422" s="247"/>
      <c r="E422" s="247"/>
      <c r="F422" s="247"/>
      <c r="G422" s="247"/>
      <c r="H422" s="247"/>
      <c r="I422" s="247"/>
      <c r="J422" s="247"/>
      <c r="K422" s="247"/>
      <c r="L422" s="247"/>
      <c r="M422" s="247"/>
    </row>
    <row r="423">
      <c r="A423" s="247"/>
      <c r="B423" s="247"/>
      <c r="C423" s="247"/>
      <c r="D423" s="247"/>
      <c r="E423" s="247"/>
      <c r="F423" s="247"/>
      <c r="G423" s="247"/>
      <c r="H423" s="247"/>
      <c r="I423" s="247"/>
      <c r="J423" s="247"/>
      <c r="K423" s="247"/>
      <c r="L423" s="247"/>
      <c r="M423" s="247"/>
    </row>
    <row r="424">
      <c r="A424" s="247"/>
      <c r="B424" s="247"/>
      <c r="C424" s="247"/>
      <c r="D424" s="247"/>
      <c r="E424" s="247"/>
      <c r="F424" s="247"/>
      <c r="G424" s="247"/>
      <c r="H424" s="247"/>
      <c r="I424" s="247"/>
      <c r="J424" s="247"/>
      <c r="K424" s="247"/>
      <c r="L424" s="247"/>
      <c r="M424" s="247"/>
    </row>
    <row r="425">
      <c r="A425" s="247"/>
      <c r="B425" s="247"/>
      <c r="C425" s="247"/>
      <c r="D425" s="247"/>
      <c r="E425" s="247"/>
      <c r="F425" s="247"/>
      <c r="G425" s="247"/>
      <c r="H425" s="247"/>
      <c r="I425" s="247"/>
      <c r="J425" s="247"/>
      <c r="K425" s="247"/>
      <c r="L425" s="247"/>
      <c r="M425" s="247"/>
    </row>
    <row r="426">
      <c r="A426" s="247"/>
      <c r="B426" s="247"/>
      <c r="C426" s="247"/>
      <c r="D426" s="247"/>
      <c r="E426" s="247"/>
      <c r="F426" s="247"/>
      <c r="G426" s="247"/>
      <c r="H426" s="247"/>
      <c r="I426" s="247"/>
      <c r="J426" s="247"/>
      <c r="K426" s="247"/>
      <c r="L426" s="247"/>
      <c r="M426" s="247"/>
    </row>
    <row r="427">
      <c r="A427" s="247"/>
      <c r="B427" s="247"/>
      <c r="C427" s="247"/>
      <c r="D427" s="247"/>
      <c r="E427" s="247"/>
      <c r="F427" s="247"/>
      <c r="G427" s="247"/>
      <c r="H427" s="247"/>
      <c r="I427" s="247"/>
      <c r="J427" s="247"/>
      <c r="K427" s="247"/>
      <c r="L427" s="247"/>
      <c r="M427" s="247"/>
    </row>
    <row r="428">
      <c r="A428" s="247"/>
      <c r="B428" s="247"/>
      <c r="C428" s="247"/>
      <c r="D428" s="247"/>
      <c r="E428" s="247"/>
      <c r="F428" s="247"/>
      <c r="G428" s="247"/>
      <c r="H428" s="247"/>
      <c r="I428" s="247"/>
      <c r="J428" s="247"/>
      <c r="K428" s="247"/>
      <c r="L428" s="247"/>
      <c r="M428" s="247"/>
    </row>
    <row r="429">
      <c r="A429" s="247"/>
      <c r="B429" s="247"/>
      <c r="C429" s="247"/>
      <c r="D429" s="247"/>
      <c r="E429" s="247"/>
      <c r="F429" s="247"/>
      <c r="G429" s="247"/>
      <c r="H429" s="247"/>
      <c r="I429" s="247"/>
      <c r="J429" s="247"/>
      <c r="K429" s="247"/>
      <c r="L429" s="247"/>
      <c r="M429" s="247"/>
    </row>
    <row r="430">
      <c r="A430" s="247"/>
      <c r="B430" s="247"/>
      <c r="C430" s="247"/>
      <c r="D430" s="247"/>
      <c r="E430" s="247"/>
      <c r="F430" s="247"/>
      <c r="G430" s="247"/>
      <c r="H430" s="247"/>
      <c r="I430" s="247"/>
      <c r="J430" s="247"/>
      <c r="K430" s="247"/>
      <c r="L430" s="247"/>
      <c r="M430" s="247"/>
    </row>
    <row r="431">
      <c r="A431" s="247"/>
      <c r="B431" s="247"/>
      <c r="C431" s="247"/>
      <c r="D431" s="247"/>
      <c r="E431" s="247"/>
      <c r="F431" s="247"/>
      <c r="G431" s="247"/>
      <c r="H431" s="247"/>
      <c r="I431" s="247"/>
      <c r="J431" s="247"/>
      <c r="K431" s="247"/>
      <c r="L431" s="247"/>
      <c r="M431" s="247"/>
    </row>
    <row r="432">
      <c r="A432" s="247"/>
      <c r="B432" s="247"/>
      <c r="C432" s="247"/>
      <c r="D432" s="247"/>
      <c r="E432" s="247"/>
      <c r="F432" s="247"/>
      <c r="G432" s="247"/>
      <c r="H432" s="247"/>
      <c r="I432" s="247"/>
      <c r="J432" s="247"/>
      <c r="K432" s="247"/>
      <c r="L432" s="247"/>
      <c r="M432" s="247"/>
    </row>
    <row r="433">
      <c r="A433" s="247"/>
      <c r="B433" s="247"/>
      <c r="C433" s="247"/>
      <c r="D433" s="247"/>
      <c r="E433" s="247"/>
      <c r="F433" s="247"/>
      <c r="G433" s="247"/>
      <c r="H433" s="247"/>
      <c r="I433" s="247"/>
      <c r="J433" s="247"/>
      <c r="K433" s="247"/>
      <c r="L433" s="247"/>
      <c r="M433" s="247"/>
    </row>
    <row r="434">
      <c r="A434" s="247"/>
      <c r="B434" s="247"/>
      <c r="C434" s="247"/>
      <c r="D434" s="247"/>
      <c r="E434" s="247"/>
      <c r="F434" s="247"/>
      <c r="G434" s="247"/>
      <c r="H434" s="247"/>
      <c r="I434" s="247"/>
      <c r="J434" s="247"/>
      <c r="K434" s="247"/>
      <c r="L434" s="247"/>
      <c r="M434" s="247"/>
    </row>
    <row r="435">
      <c r="A435" s="247"/>
      <c r="B435" s="247"/>
      <c r="C435" s="247"/>
      <c r="D435" s="247"/>
      <c r="E435" s="247"/>
      <c r="F435" s="247"/>
      <c r="G435" s="247"/>
      <c r="H435" s="247"/>
      <c r="I435" s="247"/>
      <c r="J435" s="247"/>
      <c r="K435" s="247"/>
      <c r="L435" s="247"/>
      <c r="M435" s="247"/>
    </row>
    <row r="436">
      <c r="A436" s="247"/>
      <c r="B436" s="247"/>
      <c r="C436" s="247"/>
      <c r="D436" s="247"/>
      <c r="E436" s="247"/>
      <c r="F436" s="247"/>
      <c r="G436" s="247"/>
      <c r="H436" s="247"/>
      <c r="I436" s="247"/>
      <c r="J436" s="247"/>
      <c r="K436" s="247"/>
      <c r="L436" s="247"/>
      <c r="M436" s="247"/>
    </row>
    <row r="437">
      <c r="A437" s="247"/>
      <c r="B437" s="247"/>
      <c r="C437" s="247"/>
      <c r="D437" s="247"/>
      <c r="E437" s="247"/>
      <c r="F437" s="247"/>
      <c r="G437" s="247"/>
      <c r="H437" s="247"/>
      <c r="I437" s="247"/>
      <c r="J437" s="247"/>
      <c r="K437" s="247"/>
      <c r="L437" s="247"/>
      <c r="M437" s="247"/>
    </row>
    <row r="438">
      <c r="A438" s="247"/>
      <c r="B438" s="247"/>
      <c r="C438" s="247"/>
      <c r="D438" s="247"/>
      <c r="E438" s="247"/>
      <c r="F438" s="247"/>
      <c r="G438" s="247"/>
      <c r="H438" s="247"/>
      <c r="I438" s="247"/>
      <c r="J438" s="247"/>
      <c r="K438" s="247"/>
      <c r="L438" s="247"/>
      <c r="M438" s="247"/>
    </row>
    <row r="439">
      <c r="A439" s="247"/>
      <c r="B439" s="247"/>
      <c r="C439" s="247"/>
      <c r="D439" s="247"/>
      <c r="E439" s="247"/>
      <c r="F439" s="247"/>
      <c r="G439" s="247"/>
      <c r="H439" s="247"/>
      <c r="I439" s="247"/>
      <c r="J439" s="247"/>
      <c r="K439" s="247"/>
      <c r="L439" s="247"/>
      <c r="M439" s="247"/>
    </row>
    <row r="440">
      <c r="A440" s="247"/>
      <c r="B440" s="247"/>
      <c r="C440" s="247"/>
      <c r="D440" s="247"/>
      <c r="E440" s="247"/>
      <c r="F440" s="247"/>
      <c r="G440" s="247"/>
      <c r="H440" s="247"/>
      <c r="I440" s="247"/>
      <c r="J440" s="247"/>
      <c r="K440" s="247"/>
      <c r="L440" s="247"/>
      <c r="M440" s="247"/>
    </row>
    <row r="441">
      <c r="A441" s="247"/>
      <c r="B441" s="247"/>
      <c r="C441" s="247"/>
      <c r="D441" s="247"/>
      <c r="E441" s="247"/>
      <c r="F441" s="247"/>
      <c r="G441" s="247"/>
      <c r="H441" s="247"/>
      <c r="I441" s="247"/>
      <c r="J441" s="247"/>
      <c r="K441" s="247"/>
      <c r="L441" s="247"/>
      <c r="M441" s="247"/>
    </row>
    <row r="442">
      <c r="A442" s="247"/>
      <c r="B442" s="247"/>
      <c r="C442" s="247"/>
      <c r="D442" s="247"/>
      <c r="E442" s="247"/>
      <c r="F442" s="247"/>
      <c r="G442" s="247"/>
      <c r="H442" s="247"/>
      <c r="I442" s="247"/>
      <c r="J442" s="247"/>
      <c r="K442" s="247"/>
      <c r="L442" s="247"/>
      <c r="M442" s="247"/>
    </row>
    <row r="443">
      <c r="A443" s="247"/>
      <c r="B443" s="247"/>
      <c r="C443" s="247"/>
      <c r="D443" s="247"/>
      <c r="E443" s="247"/>
      <c r="F443" s="247"/>
      <c r="G443" s="247"/>
      <c r="H443" s="247"/>
      <c r="I443" s="247"/>
      <c r="J443" s="247"/>
      <c r="K443" s="247"/>
      <c r="L443" s="247"/>
      <c r="M443" s="247"/>
    </row>
    <row r="444">
      <c r="A444" s="247"/>
      <c r="B444" s="247"/>
      <c r="C444" s="247"/>
      <c r="D444" s="247"/>
      <c r="E444" s="247"/>
      <c r="F444" s="247"/>
      <c r="G444" s="247"/>
      <c r="H444" s="247"/>
      <c r="I444" s="247"/>
      <c r="J444" s="247"/>
      <c r="K444" s="247"/>
      <c r="L444" s="247"/>
      <c r="M444" s="247"/>
    </row>
    <row r="445">
      <c r="A445" s="247"/>
      <c r="B445" s="247"/>
      <c r="C445" s="247"/>
      <c r="D445" s="247"/>
      <c r="E445" s="247"/>
      <c r="F445" s="247"/>
      <c r="G445" s="247"/>
      <c r="H445" s="247"/>
      <c r="I445" s="247"/>
      <c r="J445" s="247"/>
      <c r="K445" s="247"/>
      <c r="L445" s="247"/>
      <c r="M445" s="247"/>
    </row>
    <row r="446">
      <c r="A446" s="247"/>
      <c r="B446" s="247"/>
      <c r="C446" s="247"/>
      <c r="D446" s="247"/>
      <c r="E446" s="247"/>
      <c r="F446" s="247"/>
      <c r="G446" s="247"/>
      <c r="H446" s="247"/>
      <c r="I446" s="247"/>
      <c r="J446" s="247"/>
      <c r="K446" s="247"/>
      <c r="L446" s="247"/>
      <c r="M446" s="247"/>
    </row>
    <row r="447">
      <c r="A447" s="247"/>
      <c r="B447" s="247"/>
      <c r="C447" s="247"/>
      <c r="D447" s="247"/>
      <c r="E447" s="247"/>
      <c r="F447" s="247"/>
      <c r="G447" s="247"/>
      <c r="H447" s="247"/>
      <c r="I447" s="247"/>
      <c r="J447" s="247"/>
      <c r="K447" s="247"/>
      <c r="L447" s="247"/>
      <c r="M447" s="247"/>
    </row>
    <row r="448">
      <c r="A448" s="247"/>
      <c r="B448" s="247"/>
      <c r="C448" s="247"/>
      <c r="D448" s="247"/>
      <c r="E448" s="247"/>
      <c r="F448" s="247"/>
      <c r="G448" s="247"/>
      <c r="H448" s="247"/>
      <c r="I448" s="247"/>
      <c r="J448" s="247"/>
      <c r="K448" s="247"/>
      <c r="L448" s="247"/>
      <c r="M448" s="247"/>
    </row>
    <row r="449">
      <c r="A449" s="247"/>
      <c r="B449" s="247"/>
      <c r="C449" s="247"/>
      <c r="D449" s="247"/>
      <c r="E449" s="247"/>
      <c r="F449" s="247"/>
      <c r="G449" s="247"/>
      <c r="H449" s="247"/>
      <c r="I449" s="247"/>
      <c r="J449" s="247"/>
      <c r="K449" s="247"/>
      <c r="L449" s="247"/>
      <c r="M449" s="247"/>
    </row>
    <row r="450">
      <c r="A450" s="247"/>
      <c r="B450" s="247"/>
      <c r="C450" s="247"/>
      <c r="D450" s="247"/>
      <c r="E450" s="247"/>
      <c r="F450" s="247"/>
      <c r="G450" s="247"/>
      <c r="H450" s="247"/>
      <c r="I450" s="247"/>
      <c r="J450" s="247"/>
      <c r="K450" s="247"/>
      <c r="L450" s="247"/>
      <c r="M450" s="247"/>
    </row>
    <row r="451">
      <c r="A451" s="247"/>
      <c r="B451" s="247"/>
      <c r="C451" s="247"/>
      <c r="D451" s="247"/>
      <c r="E451" s="247"/>
      <c r="F451" s="247"/>
      <c r="G451" s="247"/>
      <c r="H451" s="247"/>
      <c r="I451" s="247"/>
      <c r="J451" s="247"/>
      <c r="K451" s="247"/>
      <c r="L451" s="247"/>
      <c r="M451" s="247"/>
    </row>
    <row r="452">
      <c r="A452" s="247"/>
      <c r="B452" s="247"/>
      <c r="C452" s="247"/>
      <c r="D452" s="247"/>
      <c r="E452" s="247"/>
      <c r="F452" s="247"/>
      <c r="G452" s="247"/>
      <c r="H452" s="247"/>
      <c r="I452" s="247"/>
      <c r="J452" s="247"/>
      <c r="K452" s="247"/>
      <c r="L452" s="247"/>
      <c r="M452" s="247"/>
    </row>
    <row r="453">
      <c r="A453" s="247"/>
      <c r="B453" s="247"/>
      <c r="C453" s="247"/>
      <c r="D453" s="247"/>
      <c r="E453" s="247"/>
      <c r="F453" s="247"/>
      <c r="G453" s="247"/>
      <c r="H453" s="247"/>
      <c r="I453" s="247"/>
      <c r="J453" s="247"/>
      <c r="K453" s="247"/>
      <c r="L453" s="247"/>
      <c r="M453" s="247"/>
    </row>
    <row r="454">
      <c r="A454" s="247"/>
      <c r="B454" s="247"/>
      <c r="C454" s="247"/>
      <c r="D454" s="247"/>
      <c r="E454" s="247"/>
      <c r="F454" s="247"/>
      <c r="G454" s="247"/>
      <c r="H454" s="247"/>
      <c r="I454" s="247"/>
      <c r="J454" s="247"/>
      <c r="K454" s="247"/>
      <c r="L454" s="247"/>
      <c r="M454" s="247"/>
    </row>
    <row r="455">
      <c r="A455" s="247"/>
      <c r="B455" s="247"/>
      <c r="C455" s="247"/>
      <c r="D455" s="247"/>
      <c r="E455" s="247"/>
      <c r="F455" s="247"/>
      <c r="G455" s="247"/>
      <c r="H455" s="247"/>
      <c r="I455" s="247"/>
      <c r="J455" s="247"/>
      <c r="K455" s="247"/>
      <c r="L455" s="247"/>
      <c r="M455" s="247"/>
    </row>
    <row r="456">
      <c r="A456" s="247"/>
      <c r="B456" s="247"/>
      <c r="C456" s="247"/>
      <c r="D456" s="247"/>
      <c r="E456" s="247"/>
      <c r="F456" s="247"/>
      <c r="G456" s="247"/>
      <c r="H456" s="247"/>
      <c r="I456" s="247"/>
      <c r="J456" s="247"/>
      <c r="K456" s="247"/>
      <c r="L456" s="247"/>
      <c r="M456" s="247"/>
    </row>
    <row r="457">
      <c r="A457" s="247"/>
      <c r="B457" s="247"/>
      <c r="C457" s="247"/>
      <c r="D457" s="247"/>
      <c r="E457" s="247"/>
      <c r="F457" s="247"/>
      <c r="G457" s="247"/>
      <c r="H457" s="247"/>
      <c r="I457" s="247"/>
      <c r="J457" s="247"/>
      <c r="K457" s="247"/>
      <c r="L457" s="247"/>
      <c r="M457" s="247"/>
    </row>
    <row r="458">
      <c r="A458" s="247"/>
      <c r="B458" s="247"/>
      <c r="C458" s="247"/>
      <c r="D458" s="247"/>
      <c r="E458" s="247"/>
      <c r="F458" s="247"/>
      <c r="G458" s="247"/>
      <c r="H458" s="247"/>
      <c r="I458" s="247"/>
      <c r="J458" s="247"/>
      <c r="K458" s="247"/>
      <c r="L458" s="247"/>
      <c r="M458" s="247"/>
    </row>
    <row r="459">
      <c r="A459" s="247"/>
      <c r="B459" s="247"/>
      <c r="C459" s="247"/>
      <c r="D459" s="247"/>
      <c r="E459" s="247"/>
      <c r="F459" s="247"/>
      <c r="G459" s="247"/>
      <c r="H459" s="247"/>
      <c r="I459" s="247"/>
      <c r="J459" s="247"/>
      <c r="K459" s="247"/>
      <c r="L459" s="247"/>
      <c r="M459" s="247"/>
    </row>
    <row r="460">
      <c r="A460" s="247"/>
      <c r="B460" s="247"/>
      <c r="C460" s="247"/>
      <c r="D460" s="247"/>
      <c r="E460" s="247"/>
      <c r="F460" s="247"/>
      <c r="G460" s="247"/>
      <c r="H460" s="247"/>
      <c r="I460" s="247"/>
      <c r="J460" s="247"/>
      <c r="K460" s="247"/>
      <c r="L460" s="247"/>
      <c r="M460" s="247"/>
    </row>
    <row r="461">
      <c r="A461" s="247"/>
      <c r="B461" s="247"/>
      <c r="C461" s="247"/>
      <c r="D461" s="247"/>
      <c r="E461" s="247"/>
      <c r="F461" s="247"/>
      <c r="G461" s="247"/>
      <c r="H461" s="247"/>
      <c r="I461" s="247"/>
      <c r="J461" s="247"/>
      <c r="K461" s="247"/>
      <c r="L461" s="247"/>
      <c r="M461" s="247"/>
    </row>
    <row r="462">
      <c r="A462" s="247"/>
      <c r="B462" s="247"/>
      <c r="C462" s="247"/>
      <c r="D462" s="247"/>
      <c r="E462" s="247"/>
      <c r="F462" s="247"/>
      <c r="G462" s="247"/>
      <c r="H462" s="247"/>
      <c r="I462" s="247"/>
      <c r="J462" s="247"/>
      <c r="K462" s="247"/>
      <c r="L462" s="247"/>
      <c r="M462" s="247"/>
    </row>
    <row r="463">
      <c r="A463" s="247"/>
      <c r="B463" s="247"/>
      <c r="C463" s="247"/>
      <c r="D463" s="247"/>
      <c r="E463" s="247"/>
      <c r="F463" s="247"/>
      <c r="G463" s="247"/>
      <c r="H463" s="247"/>
      <c r="I463" s="247"/>
      <c r="J463" s="247"/>
      <c r="K463" s="247"/>
      <c r="L463" s="247"/>
      <c r="M463" s="247"/>
    </row>
    <row r="464">
      <c r="A464" s="247"/>
      <c r="B464" s="247"/>
      <c r="C464" s="247"/>
      <c r="D464" s="247"/>
      <c r="E464" s="247"/>
      <c r="F464" s="247"/>
      <c r="G464" s="247"/>
      <c r="H464" s="247"/>
      <c r="I464" s="247"/>
      <c r="J464" s="247"/>
      <c r="K464" s="247"/>
      <c r="L464" s="247"/>
      <c r="M464" s="247"/>
    </row>
    <row r="465">
      <c r="A465" s="247"/>
      <c r="B465" s="247"/>
      <c r="C465" s="247"/>
      <c r="D465" s="247"/>
      <c r="E465" s="247"/>
      <c r="F465" s="247"/>
      <c r="G465" s="247"/>
      <c r="H465" s="247"/>
      <c r="I465" s="247"/>
      <c r="J465" s="247"/>
      <c r="K465" s="247"/>
      <c r="L465" s="247"/>
      <c r="M465" s="247"/>
    </row>
    <row r="466">
      <c r="A466" s="247"/>
      <c r="B466" s="247"/>
      <c r="C466" s="247"/>
      <c r="D466" s="247"/>
      <c r="E466" s="247"/>
      <c r="F466" s="247"/>
      <c r="G466" s="247"/>
      <c r="H466" s="247"/>
      <c r="I466" s="247"/>
      <c r="J466" s="247"/>
      <c r="K466" s="247"/>
      <c r="L466" s="247"/>
      <c r="M466" s="247"/>
    </row>
    <row r="467">
      <c r="A467" s="247"/>
      <c r="B467" s="247"/>
      <c r="C467" s="247"/>
      <c r="D467" s="247"/>
      <c r="E467" s="247"/>
      <c r="F467" s="247"/>
      <c r="G467" s="247"/>
      <c r="H467" s="247"/>
      <c r="I467" s="247"/>
      <c r="J467" s="247"/>
      <c r="K467" s="247"/>
      <c r="L467" s="247"/>
      <c r="M467" s="247"/>
    </row>
    <row r="468">
      <c r="A468" s="247"/>
      <c r="B468" s="247"/>
      <c r="C468" s="247"/>
      <c r="D468" s="247"/>
      <c r="E468" s="247"/>
      <c r="F468" s="247"/>
      <c r="G468" s="247"/>
      <c r="H468" s="247"/>
      <c r="I468" s="247"/>
      <c r="J468" s="247"/>
      <c r="K468" s="247"/>
      <c r="L468" s="247"/>
      <c r="M468" s="247"/>
    </row>
    <row r="469">
      <c r="A469" s="247"/>
      <c r="B469" s="247"/>
      <c r="C469" s="247"/>
      <c r="D469" s="247"/>
      <c r="E469" s="247"/>
      <c r="F469" s="247"/>
      <c r="G469" s="247"/>
      <c r="H469" s="247"/>
      <c r="I469" s="247"/>
      <c r="J469" s="247"/>
      <c r="K469" s="247"/>
      <c r="L469" s="247"/>
      <c r="M469" s="247"/>
    </row>
    <row r="470">
      <c r="A470" s="247"/>
      <c r="B470" s="247"/>
      <c r="C470" s="247"/>
      <c r="D470" s="247"/>
      <c r="E470" s="247"/>
      <c r="F470" s="247"/>
      <c r="G470" s="247"/>
      <c r="H470" s="247"/>
      <c r="I470" s="247"/>
      <c r="J470" s="247"/>
      <c r="K470" s="247"/>
      <c r="L470" s="247"/>
      <c r="M470" s="247"/>
    </row>
    <row r="471">
      <c r="A471" s="247"/>
      <c r="B471" s="247"/>
      <c r="C471" s="247"/>
      <c r="D471" s="247"/>
      <c r="E471" s="247"/>
      <c r="F471" s="247"/>
      <c r="G471" s="247"/>
      <c r="H471" s="247"/>
      <c r="I471" s="247"/>
      <c r="J471" s="247"/>
      <c r="K471" s="247"/>
      <c r="L471" s="247"/>
      <c r="M471" s="247"/>
    </row>
    <row r="472">
      <c r="A472" s="247"/>
      <c r="B472" s="247"/>
      <c r="C472" s="247"/>
      <c r="D472" s="247"/>
      <c r="E472" s="247"/>
      <c r="F472" s="247"/>
      <c r="G472" s="247"/>
      <c r="H472" s="247"/>
      <c r="I472" s="247"/>
      <c r="J472" s="247"/>
      <c r="K472" s="247"/>
      <c r="L472" s="247"/>
      <c r="M472" s="247"/>
    </row>
    <row r="473">
      <c r="A473" s="247"/>
      <c r="B473" s="247"/>
      <c r="C473" s="247"/>
      <c r="D473" s="247"/>
      <c r="E473" s="247"/>
      <c r="F473" s="247"/>
      <c r="G473" s="247"/>
      <c r="H473" s="247"/>
      <c r="I473" s="247"/>
      <c r="J473" s="247"/>
      <c r="K473" s="247"/>
      <c r="L473" s="247"/>
      <c r="M473" s="247"/>
    </row>
    <row r="474">
      <c r="A474" s="247"/>
      <c r="B474" s="247"/>
      <c r="C474" s="247"/>
      <c r="D474" s="247"/>
      <c r="E474" s="247"/>
      <c r="F474" s="247"/>
      <c r="G474" s="247"/>
      <c r="H474" s="247"/>
      <c r="I474" s="247"/>
      <c r="J474" s="247"/>
      <c r="K474" s="247"/>
      <c r="L474" s="247"/>
      <c r="M474" s="247"/>
    </row>
    <row r="475">
      <c r="A475" s="247"/>
      <c r="B475" s="247"/>
      <c r="C475" s="247"/>
      <c r="D475" s="247"/>
      <c r="E475" s="247"/>
      <c r="F475" s="247"/>
      <c r="G475" s="247"/>
      <c r="H475" s="247"/>
      <c r="I475" s="247"/>
      <c r="J475" s="247"/>
      <c r="K475" s="247"/>
      <c r="L475" s="247"/>
      <c r="M475" s="247"/>
    </row>
    <row r="476">
      <c r="A476" s="247"/>
      <c r="B476" s="247"/>
      <c r="C476" s="247"/>
      <c r="D476" s="247"/>
      <c r="E476" s="247"/>
      <c r="F476" s="247"/>
      <c r="G476" s="247"/>
      <c r="H476" s="247"/>
      <c r="I476" s="247"/>
      <c r="J476" s="247"/>
      <c r="K476" s="247"/>
      <c r="L476" s="247"/>
      <c r="M476" s="247"/>
    </row>
    <row r="477">
      <c r="A477" s="247"/>
      <c r="B477" s="247"/>
      <c r="C477" s="247"/>
      <c r="D477" s="247"/>
      <c r="E477" s="247"/>
      <c r="F477" s="247"/>
      <c r="G477" s="247"/>
      <c r="H477" s="247"/>
      <c r="I477" s="247"/>
      <c r="J477" s="247"/>
      <c r="K477" s="247"/>
      <c r="L477" s="247"/>
      <c r="M477" s="247"/>
    </row>
    <row r="478">
      <c r="A478" s="247"/>
      <c r="B478" s="247"/>
      <c r="C478" s="247"/>
      <c r="D478" s="247"/>
      <c r="E478" s="247"/>
      <c r="F478" s="247"/>
      <c r="G478" s="247"/>
      <c r="H478" s="247"/>
      <c r="I478" s="247"/>
      <c r="J478" s="247"/>
      <c r="K478" s="247"/>
      <c r="L478" s="247"/>
      <c r="M478" s="247"/>
    </row>
    <row r="479">
      <c r="A479" s="247"/>
      <c r="B479" s="247"/>
      <c r="C479" s="247"/>
      <c r="D479" s="247"/>
      <c r="E479" s="247"/>
      <c r="F479" s="247"/>
      <c r="G479" s="247"/>
      <c r="H479" s="247"/>
      <c r="I479" s="247"/>
      <c r="J479" s="247"/>
      <c r="K479" s="247"/>
      <c r="L479" s="247"/>
      <c r="M479" s="247"/>
    </row>
    <row r="480">
      <c r="A480" s="247"/>
      <c r="B480" s="247"/>
      <c r="C480" s="247"/>
      <c r="D480" s="247"/>
      <c r="E480" s="247"/>
      <c r="F480" s="247"/>
      <c r="G480" s="247"/>
      <c r="H480" s="247"/>
      <c r="I480" s="247"/>
      <c r="J480" s="247"/>
      <c r="K480" s="247"/>
      <c r="L480" s="247"/>
      <c r="M480" s="247"/>
    </row>
    <row r="481">
      <c r="A481" s="247"/>
      <c r="B481" s="247"/>
      <c r="C481" s="247"/>
      <c r="D481" s="247"/>
      <c r="E481" s="247"/>
      <c r="F481" s="247"/>
      <c r="G481" s="247"/>
      <c r="H481" s="247"/>
      <c r="I481" s="247"/>
      <c r="J481" s="247"/>
      <c r="K481" s="247"/>
      <c r="L481" s="247"/>
      <c r="M481" s="247"/>
    </row>
    <row r="482">
      <c r="A482" s="247"/>
      <c r="B482" s="247"/>
      <c r="C482" s="247"/>
      <c r="D482" s="247"/>
      <c r="E482" s="247"/>
      <c r="F482" s="247"/>
      <c r="G482" s="247"/>
      <c r="H482" s="247"/>
      <c r="I482" s="247"/>
      <c r="J482" s="247"/>
      <c r="K482" s="247"/>
      <c r="L482" s="247"/>
      <c r="M482" s="247"/>
    </row>
    <row r="483">
      <c r="A483" s="247"/>
      <c r="B483" s="247"/>
      <c r="C483" s="247"/>
      <c r="D483" s="247"/>
      <c r="E483" s="247"/>
      <c r="F483" s="247"/>
      <c r="G483" s="247"/>
      <c r="H483" s="247"/>
      <c r="I483" s="247"/>
      <c r="J483" s="247"/>
      <c r="K483" s="247"/>
      <c r="L483" s="247"/>
      <c r="M483" s="247"/>
    </row>
    <row r="484">
      <c r="A484" s="247"/>
      <c r="B484" s="247"/>
      <c r="C484" s="247"/>
      <c r="D484" s="247"/>
      <c r="E484" s="247"/>
      <c r="F484" s="247"/>
      <c r="G484" s="247"/>
      <c r="H484" s="247"/>
      <c r="I484" s="247"/>
      <c r="J484" s="247"/>
      <c r="K484" s="247"/>
      <c r="L484" s="247"/>
      <c r="M484" s="247"/>
    </row>
    <row r="485">
      <c r="A485" s="247"/>
      <c r="B485" s="247"/>
      <c r="C485" s="247"/>
      <c r="D485" s="247"/>
      <c r="E485" s="247"/>
      <c r="F485" s="247"/>
      <c r="G485" s="247"/>
      <c r="H485" s="247"/>
      <c r="I485" s="247"/>
      <c r="J485" s="247"/>
      <c r="K485" s="247"/>
      <c r="L485" s="247"/>
      <c r="M485" s="247"/>
    </row>
    <row r="486">
      <c r="A486" s="247"/>
      <c r="B486" s="247"/>
      <c r="C486" s="247"/>
      <c r="D486" s="247"/>
      <c r="E486" s="247"/>
      <c r="F486" s="247"/>
      <c r="G486" s="247"/>
      <c r="H486" s="247"/>
      <c r="I486" s="247"/>
      <c r="J486" s="247"/>
      <c r="K486" s="247"/>
      <c r="L486" s="247"/>
      <c r="M486" s="247"/>
    </row>
    <row r="487">
      <c r="A487" s="247"/>
      <c r="B487" s="247"/>
      <c r="C487" s="247"/>
      <c r="D487" s="247"/>
      <c r="E487" s="247"/>
      <c r="F487" s="247"/>
      <c r="G487" s="247"/>
      <c r="H487" s="247"/>
      <c r="I487" s="247"/>
      <c r="J487" s="247"/>
      <c r="K487" s="247"/>
      <c r="L487" s="247"/>
      <c r="M487" s="247"/>
    </row>
    <row r="488">
      <c r="A488" s="247"/>
      <c r="B488" s="247"/>
      <c r="C488" s="247"/>
      <c r="D488" s="247"/>
      <c r="E488" s="247"/>
      <c r="F488" s="247"/>
      <c r="G488" s="247"/>
      <c r="H488" s="247"/>
      <c r="I488" s="247"/>
      <c r="J488" s="247"/>
      <c r="K488" s="247"/>
      <c r="L488" s="247"/>
      <c r="M488" s="247"/>
    </row>
    <row r="489">
      <c r="A489" s="247"/>
      <c r="B489" s="247"/>
      <c r="C489" s="247"/>
      <c r="D489" s="247"/>
      <c r="E489" s="247"/>
      <c r="F489" s="247"/>
      <c r="G489" s="247"/>
      <c r="H489" s="247"/>
      <c r="I489" s="247"/>
      <c r="J489" s="247"/>
      <c r="K489" s="247"/>
      <c r="L489" s="247"/>
      <c r="M489" s="247"/>
    </row>
    <row r="490">
      <c r="A490" s="247"/>
      <c r="B490" s="247"/>
      <c r="C490" s="247"/>
      <c r="D490" s="247"/>
      <c r="E490" s="247"/>
      <c r="F490" s="247"/>
      <c r="G490" s="247"/>
      <c r="H490" s="247"/>
      <c r="I490" s="247"/>
      <c r="J490" s="247"/>
      <c r="K490" s="247"/>
      <c r="L490" s="247"/>
      <c r="M490" s="247"/>
    </row>
    <row r="491">
      <c r="A491" s="247"/>
      <c r="B491" s="247"/>
      <c r="C491" s="247"/>
      <c r="D491" s="247"/>
      <c r="E491" s="247"/>
      <c r="F491" s="247"/>
      <c r="G491" s="247"/>
      <c r="H491" s="247"/>
      <c r="I491" s="247"/>
      <c r="J491" s="247"/>
      <c r="K491" s="247"/>
      <c r="L491" s="247"/>
      <c r="M491" s="247"/>
    </row>
    <row r="492">
      <c r="A492" s="247"/>
      <c r="B492" s="247"/>
      <c r="C492" s="247"/>
      <c r="D492" s="247"/>
      <c r="E492" s="247"/>
      <c r="F492" s="247"/>
      <c r="G492" s="247"/>
      <c r="H492" s="247"/>
      <c r="I492" s="247"/>
      <c r="J492" s="247"/>
      <c r="K492" s="247"/>
      <c r="L492" s="247"/>
      <c r="M492" s="247"/>
    </row>
    <row r="493">
      <c r="A493" s="247"/>
      <c r="B493" s="247"/>
      <c r="C493" s="247"/>
      <c r="D493" s="247"/>
      <c r="E493" s="247"/>
      <c r="F493" s="247"/>
      <c r="G493" s="247"/>
      <c r="H493" s="247"/>
      <c r="I493" s="247"/>
      <c r="J493" s="247"/>
      <c r="K493" s="247"/>
      <c r="L493" s="247"/>
      <c r="M493" s="247"/>
    </row>
    <row r="494">
      <c r="A494" s="247"/>
      <c r="B494" s="247"/>
      <c r="C494" s="247"/>
      <c r="D494" s="247"/>
      <c r="E494" s="247"/>
      <c r="F494" s="247"/>
      <c r="G494" s="247"/>
      <c r="H494" s="247"/>
      <c r="I494" s="247"/>
      <c r="J494" s="247"/>
      <c r="K494" s="247"/>
      <c r="L494" s="247"/>
      <c r="M494" s="247"/>
    </row>
    <row r="495">
      <c r="A495" s="247"/>
      <c r="B495" s="247"/>
      <c r="C495" s="247"/>
      <c r="D495" s="247"/>
      <c r="E495" s="247"/>
      <c r="F495" s="247"/>
      <c r="G495" s="247"/>
      <c r="H495" s="247"/>
      <c r="I495" s="247"/>
      <c r="J495" s="247"/>
      <c r="K495" s="247"/>
      <c r="L495" s="247"/>
      <c r="M495" s="247"/>
    </row>
    <row r="496">
      <c r="A496" s="247"/>
      <c r="B496" s="247"/>
      <c r="C496" s="247"/>
      <c r="D496" s="247"/>
      <c r="E496" s="247"/>
      <c r="F496" s="247"/>
      <c r="G496" s="247"/>
      <c r="H496" s="247"/>
      <c r="I496" s="247"/>
      <c r="J496" s="247"/>
      <c r="K496" s="247"/>
      <c r="L496" s="247"/>
      <c r="M496" s="247"/>
    </row>
    <row r="497">
      <c r="A497" s="247"/>
      <c r="B497" s="247"/>
      <c r="C497" s="247"/>
      <c r="D497" s="247"/>
      <c r="E497" s="247"/>
      <c r="F497" s="247"/>
      <c r="G497" s="247"/>
      <c r="H497" s="247"/>
      <c r="I497" s="247"/>
      <c r="J497" s="247"/>
      <c r="K497" s="247"/>
      <c r="L497" s="247"/>
      <c r="M497" s="247"/>
    </row>
    <row r="498">
      <c r="A498" s="247"/>
      <c r="B498" s="247"/>
      <c r="C498" s="247"/>
      <c r="D498" s="247"/>
      <c r="E498" s="247"/>
      <c r="F498" s="247"/>
      <c r="G498" s="247"/>
      <c r="H498" s="247"/>
      <c r="I498" s="247"/>
      <c r="J498" s="247"/>
      <c r="K498" s="247"/>
      <c r="L498" s="247"/>
      <c r="M498" s="247"/>
    </row>
    <row r="499">
      <c r="A499" s="247"/>
      <c r="B499" s="247"/>
      <c r="C499" s="247"/>
      <c r="D499" s="247"/>
      <c r="E499" s="247"/>
      <c r="F499" s="247"/>
      <c r="G499" s="247"/>
      <c r="H499" s="247"/>
      <c r="I499" s="247"/>
      <c r="J499" s="247"/>
      <c r="K499" s="247"/>
      <c r="L499" s="247"/>
      <c r="M499" s="247"/>
    </row>
    <row r="500">
      <c r="A500" s="247"/>
      <c r="B500" s="247"/>
      <c r="C500" s="247"/>
      <c r="D500" s="247"/>
      <c r="E500" s="247"/>
      <c r="F500" s="247"/>
      <c r="G500" s="247"/>
      <c r="H500" s="247"/>
      <c r="I500" s="247"/>
      <c r="J500" s="247"/>
      <c r="K500" s="247"/>
      <c r="L500" s="247"/>
      <c r="M500" s="247"/>
    </row>
    <row r="501">
      <c r="A501" s="247"/>
      <c r="B501" s="247"/>
      <c r="C501" s="247"/>
      <c r="D501" s="247"/>
      <c r="E501" s="247"/>
      <c r="F501" s="247"/>
      <c r="G501" s="247"/>
      <c r="H501" s="247"/>
      <c r="I501" s="247"/>
      <c r="J501" s="247"/>
      <c r="K501" s="247"/>
      <c r="L501" s="247"/>
      <c r="M501" s="247"/>
    </row>
    <row r="502">
      <c r="A502" s="247"/>
      <c r="B502" s="247"/>
      <c r="C502" s="247"/>
      <c r="D502" s="247"/>
      <c r="E502" s="247"/>
      <c r="F502" s="247"/>
      <c r="G502" s="247"/>
      <c r="H502" s="247"/>
      <c r="I502" s="247"/>
      <c r="J502" s="247"/>
      <c r="K502" s="247"/>
      <c r="L502" s="247"/>
      <c r="M502" s="247"/>
    </row>
    <row r="503">
      <c r="A503" s="247"/>
      <c r="B503" s="247"/>
      <c r="C503" s="247"/>
      <c r="D503" s="247"/>
      <c r="E503" s="247"/>
      <c r="F503" s="247"/>
      <c r="G503" s="247"/>
      <c r="H503" s="247"/>
      <c r="I503" s="247"/>
      <c r="J503" s="247"/>
      <c r="K503" s="247"/>
      <c r="L503" s="247"/>
      <c r="M503" s="247"/>
    </row>
    <row r="504">
      <c r="A504" s="247"/>
      <c r="B504" s="247"/>
      <c r="C504" s="247"/>
      <c r="D504" s="247"/>
      <c r="E504" s="247"/>
      <c r="F504" s="247"/>
      <c r="G504" s="247"/>
      <c r="H504" s="247"/>
      <c r="I504" s="247"/>
      <c r="J504" s="247"/>
      <c r="K504" s="247"/>
      <c r="L504" s="247"/>
      <c r="M504" s="247"/>
    </row>
    <row r="505">
      <c r="A505" s="247"/>
      <c r="B505" s="247"/>
      <c r="C505" s="247"/>
      <c r="D505" s="247"/>
      <c r="E505" s="247"/>
      <c r="F505" s="247"/>
      <c r="G505" s="247"/>
      <c r="H505" s="247"/>
      <c r="I505" s="247"/>
      <c r="J505" s="247"/>
      <c r="K505" s="247"/>
      <c r="L505" s="247"/>
      <c r="M505" s="247"/>
    </row>
    <row r="506">
      <c r="A506" s="247"/>
      <c r="B506" s="247"/>
      <c r="C506" s="247"/>
      <c r="D506" s="247"/>
      <c r="E506" s="247"/>
      <c r="F506" s="247"/>
      <c r="G506" s="247"/>
      <c r="H506" s="247"/>
      <c r="I506" s="247"/>
      <c r="J506" s="247"/>
      <c r="K506" s="247"/>
      <c r="L506" s="247"/>
      <c r="M506" s="247"/>
    </row>
    <row r="507">
      <c r="A507" s="247"/>
      <c r="B507" s="247"/>
      <c r="C507" s="247"/>
      <c r="D507" s="247"/>
      <c r="E507" s="247"/>
      <c r="F507" s="247"/>
      <c r="G507" s="247"/>
      <c r="H507" s="247"/>
      <c r="I507" s="247"/>
      <c r="J507" s="247"/>
      <c r="K507" s="247"/>
      <c r="L507" s="247"/>
      <c r="M507" s="247"/>
    </row>
    <row r="508">
      <c r="A508" s="247"/>
      <c r="B508" s="247"/>
      <c r="C508" s="247"/>
      <c r="D508" s="247"/>
      <c r="E508" s="247"/>
      <c r="F508" s="247"/>
      <c r="G508" s="247"/>
      <c r="H508" s="247"/>
      <c r="I508" s="247"/>
      <c r="J508" s="247"/>
      <c r="K508" s="247"/>
      <c r="L508" s="247"/>
      <c r="M508" s="247"/>
    </row>
    <row r="509">
      <c r="A509" s="247"/>
      <c r="B509" s="247"/>
      <c r="C509" s="247"/>
      <c r="D509" s="247"/>
      <c r="E509" s="247"/>
      <c r="F509" s="247"/>
      <c r="G509" s="247"/>
      <c r="H509" s="247"/>
      <c r="I509" s="247"/>
      <c r="J509" s="247"/>
      <c r="K509" s="247"/>
      <c r="L509" s="247"/>
      <c r="M509" s="247"/>
    </row>
    <row r="510">
      <c r="A510" s="247"/>
      <c r="B510" s="247"/>
      <c r="C510" s="247"/>
      <c r="D510" s="247"/>
      <c r="E510" s="247"/>
      <c r="F510" s="247"/>
      <c r="G510" s="247"/>
      <c r="H510" s="247"/>
      <c r="I510" s="247"/>
      <c r="J510" s="247"/>
      <c r="K510" s="247"/>
      <c r="L510" s="247"/>
      <c r="M510" s="247"/>
    </row>
    <row r="511">
      <c r="A511" s="247"/>
      <c r="B511" s="247"/>
      <c r="C511" s="247"/>
      <c r="D511" s="247"/>
      <c r="E511" s="247"/>
      <c r="F511" s="247"/>
      <c r="G511" s="247"/>
      <c r="H511" s="247"/>
      <c r="I511" s="247"/>
      <c r="J511" s="247"/>
      <c r="K511" s="247"/>
      <c r="L511" s="247"/>
      <c r="M511" s="247"/>
    </row>
    <row r="512">
      <c r="A512" s="247"/>
      <c r="B512" s="247"/>
      <c r="C512" s="247"/>
      <c r="D512" s="247"/>
      <c r="E512" s="247"/>
      <c r="F512" s="247"/>
      <c r="G512" s="247"/>
      <c r="H512" s="247"/>
      <c r="I512" s="247"/>
      <c r="J512" s="247"/>
      <c r="K512" s="247"/>
      <c r="L512" s="247"/>
      <c r="M512" s="247"/>
    </row>
    <row r="513">
      <c r="A513" s="247"/>
      <c r="B513" s="247"/>
      <c r="C513" s="247"/>
      <c r="D513" s="247"/>
      <c r="E513" s="247"/>
      <c r="F513" s="247"/>
      <c r="G513" s="247"/>
      <c r="H513" s="247"/>
      <c r="I513" s="247"/>
      <c r="J513" s="247"/>
      <c r="K513" s="247"/>
      <c r="L513" s="247"/>
      <c r="M513" s="247"/>
    </row>
    <row r="514">
      <c r="A514" s="247"/>
      <c r="B514" s="247"/>
      <c r="C514" s="247"/>
      <c r="D514" s="247"/>
      <c r="E514" s="247"/>
      <c r="F514" s="247"/>
      <c r="G514" s="247"/>
      <c r="H514" s="247"/>
      <c r="I514" s="247"/>
      <c r="J514" s="247"/>
      <c r="K514" s="247"/>
      <c r="L514" s="247"/>
      <c r="M514" s="247"/>
    </row>
    <row r="515">
      <c r="A515" s="247"/>
      <c r="B515" s="247"/>
      <c r="C515" s="247"/>
      <c r="D515" s="247"/>
      <c r="E515" s="247"/>
      <c r="F515" s="247"/>
      <c r="G515" s="247"/>
      <c r="H515" s="247"/>
      <c r="I515" s="247"/>
      <c r="J515" s="247"/>
      <c r="K515" s="247"/>
      <c r="L515" s="247"/>
      <c r="M515" s="247"/>
    </row>
    <row r="516">
      <c r="A516" s="247"/>
      <c r="B516" s="247"/>
      <c r="C516" s="247"/>
      <c r="D516" s="247"/>
      <c r="E516" s="247"/>
      <c r="F516" s="247"/>
      <c r="G516" s="247"/>
      <c r="H516" s="247"/>
      <c r="I516" s="247"/>
      <c r="J516" s="247"/>
      <c r="K516" s="247"/>
      <c r="L516" s="247"/>
      <c r="M516" s="247"/>
    </row>
    <row r="517">
      <c r="A517" s="247"/>
      <c r="B517" s="247"/>
      <c r="C517" s="247"/>
      <c r="D517" s="247"/>
      <c r="E517" s="247"/>
      <c r="F517" s="247"/>
      <c r="G517" s="247"/>
      <c r="H517" s="247"/>
      <c r="I517" s="247"/>
      <c r="J517" s="247"/>
      <c r="K517" s="247"/>
      <c r="L517" s="247"/>
      <c r="M517" s="247"/>
    </row>
    <row r="518">
      <c r="A518" s="247"/>
      <c r="B518" s="247"/>
      <c r="C518" s="247"/>
      <c r="D518" s="247"/>
      <c r="E518" s="247"/>
      <c r="F518" s="247"/>
      <c r="G518" s="247"/>
      <c r="H518" s="247"/>
      <c r="I518" s="247"/>
      <c r="J518" s="247"/>
      <c r="K518" s="247"/>
      <c r="L518" s="247"/>
      <c r="M518" s="247"/>
    </row>
    <row r="519">
      <c r="A519" s="247"/>
      <c r="B519" s="247"/>
      <c r="C519" s="247"/>
      <c r="D519" s="247"/>
      <c r="E519" s="247"/>
      <c r="F519" s="247"/>
      <c r="G519" s="247"/>
      <c r="H519" s="247"/>
      <c r="I519" s="247"/>
      <c r="J519" s="247"/>
      <c r="K519" s="247"/>
      <c r="L519" s="247"/>
      <c r="M519" s="247"/>
    </row>
    <row r="520">
      <c r="A520" s="247"/>
      <c r="B520" s="247"/>
      <c r="C520" s="247"/>
      <c r="D520" s="247"/>
      <c r="E520" s="247"/>
      <c r="F520" s="247"/>
      <c r="G520" s="247"/>
      <c r="H520" s="247"/>
      <c r="I520" s="247"/>
      <c r="J520" s="247"/>
      <c r="K520" s="247"/>
      <c r="L520" s="247"/>
      <c r="M520" s="247"/>
    </row>
    <row r="521">
      <c r="A521" s="247"/>
      <c r="B521" s="247"/>
      <c r="C521" s="247"/>
      <c r="D521" s="247"/>
      <c r="E521" s="247"/>
      <c r="F521" s="247"/>
      <c r="G521" s="247"/>
      <c r="H521" s="247"/>
      <c r="I521" s="247"/>
      <c r="J521" s="247"/>
      <c r="K521" s="247"/>
      <c r="L521" s="247"/>
      <c r="M521" s="247"/>
    </row>
    <row r="522">
      <c r="A522" s="247"/>
      <c r="B522" s="247"/>
      <c r="C522" s="247"/>
      <c r="D522" s="247"/>
      <c r="E522" s="247"/>
      <c r="F522" s="247"/>
      <c r="G522" s="247"/>
      <c r="H522" s="247"/>
      <c r="I522" s="247"/>
      <c r="J522" s="247"/>
      <c r="K522" s="247"/>
      <c r="L522" s="247"/>
      <c r="M522" s="247"/>
    </row>
    <row r="523">
      <c r="A523" s="247"/>
      <c r="B523" s="247"/>
      <c r="C523" s="247"/>
      <c r="D523" s="247"/>
      <c r="E523" s="247"/>
      <c r="F523" s="247"/>
      <c r="G523" s="247"/>
      <c r="H523" s="247"/>
      <c r="I523" s="247"/>
      <c r="J523" s="247"/>
      <c r="K523" s="247"/>
      <c r="L523" s="247"/>
      <c r="M523" s="247"/>
    </row>
    <row r="524">
      <c r="A524" s="247"/>
      <c r="B524" s="247"/>
      <c r="C524" s="247"/>
      <c r="D524" s="247"/>
      <c r="E524" s="247"/>
      <c r="F524" s="247"/>
      <c r="G524" s="247"/>
      <c r="H524" s="247"/>
      <c r="I524" s="247"/>
      <c r="J524" s="247"/>
      <c r="K524" s="247"/>
      <c r="L524" s="247"/>
      <c r="M524" s="247"/>
    </row>
    <row r="525">
      <c r="A525" s="247"/>
      <c r="B525" s="247"/>
      <c r="C525" s="247"/>
      <c r="D525" s="247"/>
      <c r="E525" s="247"/>
      <c r="F525" s="247"/>
      <c r="G525" s="247"/>
      <c r="H525" s="247"/>
      <c r="I525" s="247"/>
      <c r="J525" s="247"/>
      <c r="K525" s="247"/>
      <c r="L525" s="247"/>
      <c r="M525" s="247"/>
    </row>
    <row r="526">
      <c r="A526" s="247"/>
      <c r="B526" s="247"/>
      <c r="C526" s="247"/>
      <c r="D526" s="247"/>
      <c r="E526" s="247"/>
      <c r="F526" s="247"/>
      <c r="G526" s="247"/>
      <c r="H526" s="247"/>
      <c r="I526" s="247"/>
      <c r="J526" s="247"/>
      <c r="K526" s="247"/>
      <c r="L526" s="247"/>
      <c r="M526" s="247"/>
    </row>
    <row r="527">
      <c r="A527" s="247"/>
      <c r="B527" s="247"/>
      <c r="C527" s="247"/>
      <c r="D527" s="247"/>
      <c r="E527" s="247"/>
      <c r="F527" s="247"/>
      <c r="G527" s="247"/>
      <c r="H527" s="247"/>
      <c r="I527" s="247"/>
      <c r="J527" s="247"/>
      <c r="K527" s="247"/>
      <c r="L527" s="247"/>
      <c r="M527" s="247"/>
    </row>
    <row r="528">
      <c r="A528" s="247"/>
      <c r="B528" s="247"/>
      <c r="C528" s="247"/>
      <c r="D528" s="247"/>
      <c r="E528" s="247"/>
      <c r="F528" s="247"/>
      <c r="G528" s="247"/>
      <c r="H528" s="247"/>
      <c r="I528" s="247"/>
      <c r="J528" s="247"/>
      <c r="K528" s="247"/>
      <c r="L528" s="247"/>
      <c r="M528" s="247"/>
    </row>
    <row r="529">
      <c r="A529" s="247"/>
      <c r="B529" s="247"/>
      <c r="C529" s="247"/>
      <c r="D529" s="247"/>
      <c r="E529" s="247"/>
      <c r="F529" s="247"/>
      <c r="G529" s="247"/>
      <c r="H529" s="247"/>
      <c r="I529" s="247"/>
      <c r="J529" s="247"/>
      <c r="K529" s="247"/>
      <c r="L529" s="247"/>
      <c r="M529" s="247"/>
    </row>
    <row r="530">
      <c r="A530" s="247"/>
      <c r="B530" s="247"/>
      <c r="C530" s="247"/>
      <c r="D530" s="247"/>
      <c r="E530" s="247"/>
      <c r="F530" s="247"/>
      <c r="G530" s="247"/>
      <c r="H530" s="247"/>
      <c r="I530" s="247"/>
      <c r="J530" s="247"/>
      <c r="K530" s="247"/>
      <c r="L530" s="247"/>
      <c r="M530" s="247"/>
    </row>
    <row r="531">
      <c r="A531" s="247"/>
      <c r="B531" s="247"/>
      <c r="C531" s="247"/>
      <c r="D531" s="247"/>
      <c r="E531" s="247"/>
      <c r="F531" s="247"/>
      <c r="G531" s="247"/>
      <c r="H531" s="247"/>
      <c r="I531" s="247"/>
      <c r="J531" s="247"/>
      <c r="K531" s="247"/>
      <c r="L531" s="247"/>
      <c r="M531" s="247"/>
    </row>
    <row r="532">
      <c r="A532" s="247"/>
      <c r="B532" s="247"/>
      <c r="C532" s="247"/>
      <c r="D532" s="247"/>
      <c r="E532" s="247"/>
      <c r="F532" s="247"/>
      <c r="G532" s="247"/>
      <c r="H532" s="247"/>
      <c r="I532" s="247"/>
      <c r="J532" s="247"/>
      <c r="K532" s="247"/>
      <c r="L532" s="247"/>
      <c r="M532" s="247"/>
    </row>
    <row r="533">
      <c r="A533" s="247"/>
      <c r="B533" s="247"/>
      <c r="C533" s="247"/>
      <c r="D533" s="247"/>
      <c r="E533" s="247"/>
      <c r="F533" s="247"/>
      <c r="G533" s="247"/>
      <c r="H533" s="247"/>
      <c r="I533" s="247"/>
      <c r="J533" s="247"/>
      <c r="K533" s="247"/>
      <c r="L533" s="247"/>
      <c r="M533" s="247"/>
    </row>
    <row r="534">
      <c r="A534" s="247"/>
      <c r="B534" s="247"/>
      <c r="C534" s="247"/>
      <c r="D534" s="247"/>
      <c r="E534" s="247"/>
      <c r="F534" s="247"/>
      <c r="G534" s="247"/>
      <c r="H534" s="247"/>
      <c r="I534" s="247"/>
      <c r="J534" s="247"/>
      <c r="K534" s="247"/>
      <c r="L534" s="247"/>
      <c r="M534" s="247"/>
    </row>
    <row r="535">
      <c r="A535" s="247"/>
      <c r="B535" s="247"/>
      <c r="C535" s="247"/>
      <c r="D535" s="247"/>
      <c r="E535" s="247"/>
      <c r="F535" s="247"/>
      <c r="G535" s="247"/>
      <c r="H535" s="247"/>
      <c r="I535" s="247"/>
      <c r="J535" s="247"/>
      <c r="K535" s="247"/>
      <c r="L535" s="247"/>
      <c r="M535" s="247"/>
    </row>
    <row r="536">
      <c r="A536" s="247"/>
      <c r="B536" s="247"/>
      <c r="C536" s="247"/>
      <c r="D536" s="247"/>
      <c r="E536" s="247"/>
      <c r="F536" s="247"/>
      <c r="G536" s="247"/>
      <c r="H536" s="247"/>
      <c r="I536" s="247"/>
      <c r="J536" s="247"/>
      <c r="K536" s="247"/>
      <c r="L536" s="247"/>
      <c r="M536" s="247"/>
    </row>
    <row r="537">
      <c r="A537" s="247"/>
      <c r="B537" s="247"/>
      <c r="C537" s="247"/>
      <c r="D537" s="247"/>
      <c r="E537" s="247"/>
      <c r="F537" s="247"/>
      <c r="G537" s="247"/>
      <c r="H537" s="247"/>
      <c r="I537" s="247"/>
      <c r="J537" s="247"/>
      <c r="K537" s="247"/>
      <c r="L537" s="247"/>
      <c r="M537" s="247"/>
    </row>
    <row r="538">
      <c r="A538" s="247"/>
      <c r="B538" s="247"/>
      <c r="C538" s="247"/>
      <c r="D538" s="247"/>
      <c r="E538" s="247"/>
      <c r="F538" s="247"/>
      <c r="G538" s="247"/>
      <c r="H538" s="247"/>
      <c r="I538" s="247"/>
      <c r="J538" s="247"/>
      <c r="K538" s="247"/>
      <c r="L538" s="247"/>
      <c r="M538" s="247"/>
    </row>
    <row r="539">
      <c r="A539" s="247"/>
      <c r="B539" s="247"/>
      <c r="C539" s="247"/>
      <c r="D539" s="247"/>
      <c r="E539" s="247"/>
      <c r="F539" s="247"/>
      <c r="G539" s="247"/>
      <c r="H539" s="247"/>
      <c r="I539" s="247"/>
      <c r="J539" s="247"/>
      <c r="K539" s="247"/>
      <c r="L539" s="247"/>
      <c r="M539" s="247"/>
    </row>
    <row r="540">
      <c r="A540" s="247"/>
      <c r="B540" s="247"/>
      <c r="C540" s="247"/>
      <c r="D540" s="247"/>
      <c r="E540" s="247"/>
      <c r="F540" s="247"/>
      <c r="G540" s="247"/>
      <c r="H540" s="247"/>
      <c r="I540" s="247"/>
      <c r="J540" s="247"/>
      <c r="K540" s="247"/>
      <c r="L540" s="247"/>
      <c r="M540" s="247"/>
    </row>
    <row r="541">
      <c r="A541" s="247"/>
      <c r="B541" s="247"/>
      <c r="C541" s="247"/>
      <c r="D541" s="247"/>
      <c r="E541" s="247"/>
      <c r="F541" s="247"/>
      <c r="G541" s="247"/>
      <c r="H541" s="247"/>
      <c r="I541" s="247"/>
      <c r="J541" s="247"/>
      <c r="K541" s="247"/>
      <c r="L541" s="247"/>
      <c r="M541" s="247"/>
    </row>
    <row r="542">
      <c r="A542" s="247"/>
      <c r="B542" s="247"/>
      <c r="C542" s="247"/>
      <c r="D542" s="247"/>
      <c r="E542" s="247"/>
      <c r="F542" s="247"/>
      <c r="G542" s="247"/>
      <c r="H542" s="247"/>
      <c r="I542" s="247"/>
      <c r="J542" s="247"/>
      <c r="K542" s="247"/>
      <c r="L542" s="247"/>
      <c r="M542" s="247"/>
    </row>
    <row r="543">
      <c r="A543" s="247"/>
      <c r="B543" s="247"/>
      <c r="C543" s="247"/>
      <c r="D543" s="247"/>
      <c r="E543" s="247"/>
      <c r="F543" s="247"/>
      <c r="G543" s="247"/>
      <c r="H543" s="247"/>
      <c r="I543" s="247"/>
      <c r="J543" s="247"/>
      <c r="K543" s="247"/>
      <c r="L543" s="247"/>
      <c r="M543" s="247"/>
    </row>
    <row r="544">
      <c r="A544" s="247"/>
      <c r="B544" s="247"/>
      <c r="C544" s="247"/>
      <c r="D544" s="247"/>
      <c r="E544" s="247"/>
      <c r="F544" s="247"/>
      <c r="G544" s="247"/>
      <c r="H544" s="247"/>
      <c r="I544" s="247"/>
      <c r="J544" s="247"/>
      <c r="K544" s="247"/>
      <c r="L544" s="247"/>
      <c r="M544" s="247"/>
    </row>
    <row r="545">
      <c r="A545" s="247"/>
      <c r="B545" s="247"/>
      <c r="C545" s="247"/>
      <c r="D545" s="247"/>
      <c r="E545" s="247"/>
      <c r="F545" s="247"/>
      <c r="G545" s="247"/>
      <c r="H545" s="247"/>
      <c r="I545" s="247"/>
      <c r="J545" s="247"/>
      <c r="K545" s="247"/>
      <c r="L545" s="247"/>
      <c r="M545" s="247"/>
    </row>
    <row r="546">
      <c r="A546" s="247"/>
      <c r="B546" s="247"/>
      <c r="C546" s="247"/>
      <c r="D546" s="247"/>
      <c r="E546" s="247"/>
      <c r="F546" s="247"/>
      <c r="G546" s="247"/>
      <c r="H546" s="247"/>
      <c r="I546" s="247"/>
      <c r="J546" s="247"/>
      <c r="K546" s="247"/>
      <c r="L546" s="247"/>
      <c r="M546" s="247"/>
    </row>
    <row r="547">
      <c r="A547" s="247"/>
      <c r="B547" s="247"/>
      <c r="C547" s="247"/>
      <c r="D547" s="247"/>
      <c r="E547" s="247"/>
      <c r="F547" s="247"/>
      <c r="G547" s="247"/>
      <c r="H547" s="247"/>
      <c r="I547" s="247"/>
      <c r="J547" s="247"/>
      <c r="K547" s="247"/>
      <c r="L547" s="247"/>
      <c r="M547" s="247"/>
    </row>
    <row r="548">
      <c r="A548" s="247"/>
      <c r="B548" s="247"/>
      <c r="C548" s="247"/>
      <c r="D548" s="247"/>
      <c r="E548" s="247"/>
      <c r="F548" s="247"/>
      <c r="G548" s="247"/>
      <c r="H548" s="247"/>
      <c r="I548" s="247"/>
      <c r="J548" s="247"/>
      <c r="K548" s="247"/>
      <c r="L548" s="247"/>
      <c r="M548" s="247"/>
    </row>
    <row r="549">
      <c r="A549" s="247"/>
      <c r="B549" s="247"/>
      <c r="C549" s="247"/>
      <c r="D549" s="247"/>
      <c r="E549" s="247"/>
      <c r="F549" s="247"/>
      <c r="G549" s="247"/>
      <c r="H549" s="247"/>
      <c r="I549" s="247"/>
      <c r="J549" s="247"/>
      <c r="K549" s="247"/>
      <c r="L549" s="247"/>
      <c r="M549" s="247"/>
    </row>
    <row r="550">
      <c r="A550" s="247"/>
      <c r="B550" s="247"/>
      <c r="C550" s="247"/>
      <c r="D550" s="247"/>
      <c r="E550" s="247"/>
      <c r="F550" s="247"/>
      <c r="G550" s="247"/>
      <c r="H550" s="247"/>
      <c r="I550" s="247"/>
      <c r="J550" s="247"/>
      <c r="K550" s="247"/>
      <c r="L550" s="247"/>
      <c r="M550" s="247"/>
    </row>
    <row r="551">
      <c r="A551" s="247"/>
      <c r="B551" s="247"/>
      <c r="C551" s="247"/>
      <c r="D551" s="247"/>
      <c r="E551" s="247"/>
      <c r="F551" s="247"/>
      <c r="G551" s="247"/>
      <c r="H551" s="247"/>
      <c r="I551" s="247"/>
      <c r="J551" s="247"/>
      <c r="K551" s="247"/>
      <c r="L551" s="247"/>
      <c r="M551" s="247"/>
    </row>
    <row r="552">
      <c r="A552" s="247"/>
      <c r="B552" s="247"/>
      <c r="C552" s="247"/>
      <c r="D552" s="247"/>
      <c r="E552" s="247"/>
      <c r="F552" s="247"/>
      <c r="G552" s="247"/>
      <c r="H552" s="247"/>
      <c r="I552" s="247"/>
      <c r="J552" s="247"/>
      <c r="K552" s="247"/>
      <c r="L552" s="247"/>
      <c r="M552" s="247"/>
    </row>
    <row r="553">
      <c r="A553" s="247"/>
      <c r="B553" s="247"/>
      <c r="C553" s="247"/>
      <c r="D553" s="247"/>
      <c r="E553" s="247"/>
      <c r="F553" s="247"/>
      <c r="G553" s="247"/>
      <c r="H553" s="247"/>
      <c r="I553" s="247"/>
      <c r="J553" s="247"/>
      <c r="K553" s="247"/>
      <c r="L553" s="247"/>
      <c r="M553" s="247"/>
    </row>
    <row r="554">
      <c r="A554" s="247"/>
      <c r="B554" s="247"/>
      <c r="C554" s="247"/>
      <c r="D554" s="247"/>
      <c r="E554" s="247"/>
      <c r="F554" s="247"/>
      <c r="G554" s="247"/>
      <c r="H554" s="247"/>
      <c r="I554" s="247"/>
      <c r="J554" s="247"/>
      <c r="K554" s="247"/>
      <c r="L554" s="247"/>
      <c r="M554" s="247"/>
    </row>
    <row r="555">
      <c r="A555" s="247"/>
      <c r="B555" s="247"/>
      <c r="C555" s="247"/>
      <c r="D555" s="247"/>
      <c r="E555" s="247"/>
      <c r="F555" s="247"/>
      <c r="G555" s="247"/>
      <c r="H555" s="247"/>
      <c r="I555" s="247"/>
      <c r="J555" s="247"/>
      <c r="K555" s="247"/>
      <c r="L555" s="247"/>
      <c r="M555" s="247"/>
    </row>
    <row r="556">
      <c r="A556" s="247"/>
      <c r="B556" s="247"/>
      <c r="C556" s="247"/>
      <c r="D556" s="247"/>
      <c r="E556" s="247"/>
      <c r="F556" s="247"/>
      <c r="G556" s="247"/>
      <c r="H556" s="247"/>
      <c r="I556" s="247"/>
      <c r="J556" s="247"/>
      <c r="K556" s="247"/>
      <c r="L556" s="247"/>
      <c r="M556" s="247"/>
    </row>
    <row r="557">
      <c r="A557" s="247"/>
      <c r="B557" s="247"/>
      <c r="C557" s="247"/>
      <c r="D557" s="247"/>
      <c r="E557" s="247"/>
      <c r="F557" s="247"/>
      <c r="G557" s="247"/>
      <c r="H557" s="247"/>
      <c r="I557" s="247"/>
      <c r="J557" s="247"/>
      <c r="K557" s="247"/>
      <c r="L557" s="247"/>
      <c r="M557" s="247"/>
    </row>
    <row r="558">
      <c r="A558" s="247"/>
      <c r="B558" s="247"/>
      <c r="C558" s="247"/>
      <c r="D558" s="247"/>
      <c r="E558" s="247"/>
      <c r="F558" s="247"/>
      <c r="G558" s="247"/>
      <c r="H558" s="247"/>
      <c r="I558" s="247"/>
      <c r="J558" s="247"/>
      <c r="K558" s="247"/>
      <c r="L558" s="247"/>
      <c r="M558" s="247"/>
    </row>
    <row r="559">
      <c r="A559" s="247"/>
      <c r="B559" s="247"/>
      <c r="C559" s="247"/>
      <c r="D559" s="247"/>
      <c r="E559" s="247"/>
      <c r="F559" s="247"/>
      <c r="G559" s="247"/>
      <c r="H559" s="247"/>
      <c r="I559" s="247"/>
      <c r="J559" s="247"/>
      <c r="K559" s="247"/>
      <c r="L559" s="247"/>
      <c r="M559" s="247"/>
    </row>
    <row r="560">
      <c r="A560" s="247"/>
      <c r="B560" s="247"/>
      <c r="C560" s="247"/>
      <c r="D560" s="247"/>
      <c r="E560" s="247"/>
      <c r="F560" s="247"/>
      <c r="G560" s="247"/>
      <c r="H560" s="247"/>
      <c r="I560" s="247"/>
      <c r="J560" s="247"/>
      <c r="K560" s="247"/>
      <c r="L560" s="247"/>
      <c r="M560" s="247"/>
    </row>
    <row r="561">
      <c r="A561" s="247"/>
      <c r="B561" s="247"/>
      <c r="C561" s="247"/>
      <c r="D561" s="247"/>
      <c r="E561" s="247"/>
      <c r="F561" s="247"/>
      <c r="G561" s="247"/>
      <c r="H561" s="247"/>
      <c r="I561" s="247"/>
      <c r="J561" s="247"/>
      <c r="K561" s="247"/>
      <c r="L561" s="247"/>
      <c r="M561" s="247"/>
    </row>
    <row r="562">
      <c r="A562" s="247"/>
      <c r="B562" s="247"/>
      <c r="C562" s="247"/>
      <c r="D562" s="247"/>
      <c r="E562" s="247"/>
      <c r="F562" s="247"/>
      <c r="G562" s="247"/>
      <c r="H562" s="247"/>
      <c r="I562" s="247"/>
      <c r="J562" s="247"/>
      <c r="K562" s="247"/>
      <c r="L562" s="247"/>
      <c r="M562" s="247"/>
    </row>
    <row r="563">
      <c r="A563" s="247"/>
      <c r="B563" s="247"/>
      <c r="C563" s="247"/>
      <c r="D563" s="247"/>
      <c r="E563" s="247"/>
      <c r="F563" s="247"/>
      <c r="G563" s="247"/>
      <c r="H563" s="247"/>
      <c r="I563" s="247"/>
      <c r="J563" s="247"/>
      <c r="K563" s="247"/>
      <c r="L563" s="247"/>
      <c r="M563" s="247"/>
    </row>
    <row r="564">
      <c r="A564" s="247"/>
      <c r="B564" s="247"/>
      <c r="C564" s="247"/>
      <c r="D564" s="247"/>
      <c r="E564" s="247"/>
      <c r="F564" s="247"/>
      <c r="G564" s="247"/>
      <c r="H564" s="247"/>
      <c r="I564" s="247"/>
      <c r="J564" s="247"/>
      <c r="K564" s="247"/>
      <c r="L564" s="247"/>
      <c r="M564" s="247"/>
    </row>
    <row r="565">
      <c r="A565" s="247"/>
      <c r="B565" s="247"/>
      <c r="C565" s="247"/>
      <c r="D565" s="247"/>
      <c r="E565" s="247"/>
      <c r="F565" s="247"/>
      <c r="G565" s="247"/>
      <c r="H565" s="247"/>
      <c r="I565" s="247"/>
      <c r="J565" s="247"/>
      <c r="K565" s="247"/>
      <c r="L565" s="247"/>
      <c r="M565" s="247"/>
    </row>
    <row r="566">
      <c r="A566" s="247"/>
      <c r="B566" s="247"/>
      <c r="C566" s="247"/>
      <c r="D566" s="247"/>
      <c r="E566" s="247"/>
      <c r="F566" s="247"/>
      <c r="G566" s="247"/>
      <c r="H566" s="247"/>
      <c r="I566" s="247"/>
      <c r="J566" s="247"/>
      <c r="K566" s="247"/>
      <c r="L566" s="247"/>
      <c r="M566" s="247"/>
    </row>
    <row r="567">
      <c r="A567" s="247"/>
      <c r="B567" s="247"/>
      <c r="C567" s="247"/>
      <c r="D567" s="247"/>
      <c r="E567" s="247"/>
      <c r="F567" s="247"/>
      <c r="G567" s="247"/>
      <c r="H567" s="247"/>
      <c r="I567" s="247"/>
      <c r="J567" s="247"/>
      <c r="K567" s="247"/>
      <c r="L567" s="247"/>
      <c r="M567" s="247"/>
    </row>
    <row r="568">
      <c r="A568" s="247"/>
      <c r="B568" s="247"/>
      <c r="C568" s="247"/>
      <c r="D568" s="247"/>
      <c r="E568" s="247"/>
      <c r="F568" s="247"/>
      <c r="G568" s="247"/>
      <c r="H568" s="247"/>
      <c r="I568" s="247"/>
      <c r="J568" s="247"/>
      <c r="K568" s="247"/>
      <c r="L568" s="247"/>
      <c r="M568" s="247"/>
    </row>
    <row r="569">
      <c r="A569" s="247"/>
      <c r="B569" s="247"/>
      <c r="C569" s="247"/>
      <c r="D569" s="247"/>
      <c r="E569" s="247"/>
      <c r="F569" s="247"/>
      <c r="G569" s="247"/>
      <c r="H569" s="247"/>
      <c r="I569" s="247"/>
      <c r="J569" s="247"/>
      <c r="K569" s="247"/>
      <c r="L569" s="247"/>
      <c r="M569" s="247"/>
    </row>
    <row r="570">
      <c r="A570" s="247"/>
      <c r="B570" s="247"/>
      <c r="C570" s="247"/>
      <c r="D570" s="247"/>
      <c r="E570" s="247"/>
      <c r="F570" s="247"/>
      <c r="G570" s="247"/>
      <c r="H570" s="247"/>
      <c r="I570" s="247"/>
      <c r="J570" s="247"/>
      <c r="K570" s="247"/>
      <c r="L570" s="247"/>
      <c r="M570" s="247"/>
    </row>
    <row r="571">
      <c r="A571" s="247"/>
      <c r="B571" s="247"/>
      <c r="C571" s="247"/>
      <c r="D571" s="247"/>
      <c r="E571" s="247"/>
      <c r="F571" s="247"/>
      <c r="G571" s="247"/>
      <c r="H571" s="247"/>
      <c r="I571" s="247"/>
      <c r="J571" s="247"/>
      <c r="K571" s="247"/>
      <c r="L571" s="247"/>
      <c r="M571" s="247"/>
    </row>
    <row r="572">
      <c r="A572" s="247"/>
      <c r="B572" s="247"/>
      <c r="C572" s="247"/>
      <c r="D572" s="247"/>
      <c r="E572" s="247"/>
      <c r="F572" s="247"/>
      <c r="G572" s="247"/>
      <c r="H572" s="247"/>
      <c r="I572" s="247"/>
      <c r="J572" s="247"/>
      <c r="K572" s="247"/>
      <c r="L572" s="247"/>
      <c r="M572" s="247"/>
    </row>
    <row r="573">
      <c r="A573" s="247"/>
      <c r="B573" s="247"/>
      <c r="C573" s="247"/>
      <c r="D573" s="247"/>
      <c r="E573" s="247"/>
      <c r="F573" s="247"/>
      <c r="G573" s="247"/>
      <c r="H573" s="247"/>
      <c r="I573" s="247"/>
      <c r="J573" s="247"/>
      <c r="K573" s="247"/>
      <c r="L573" s="247"/>
      <c r="M573" s="247"/>
    </row>
    <row r="574">
      <c r="A574" s="247"/>
      <c r="B574" s="247"/>
      <c r="C574" s="247"/>
      <c r="D574" s="247"/>
      <c r="E574" s="247"/>
      <c r="F574" s="247"/>
      <c r="G574" s="247"/>
      <c r="H574" s="247"/>
      <c r="I574" s="247"/>
      <c r="J574" s="247"/>
      <c r="K574" s="247"/>
      <c r="L574" s="247"/>
      <c r="M574" s="247"/>
    </row>
    <row r="575">
      <c r="A575" s="247"/>
      <c r="B575" s="247"/>
      <c r="C575" s="247"/>
      <c r="D575" s="247"/>
      <c r="E575" s="247"/>
      <c r="F575" s="247"/>
      <c r="G575" s="247"/>
      <c r="H575" s="247"/>
      <c r="I575" s="247"/>
      <c r="J575" s="247"/>
      <c r="K575" s="247"/>
      <c r="L575" s="247"/>
      <c r="M575" s="247"/>
    </row>
    <row r="576">
      <c r="A576" s="247"/>
      <c r="B576" s="247"/>
      <c r="C576" s="247"/>
      <c r="D576" s="247"/>
      <c r="E576" s="247"/>
      <c r="F576" s="247"/>
      <c r="G576" s="247"/>
      <c r="H576" s="247"/>
      <c r="I576" s="247"/>
      <c r="J576" s="247"/>
      <c r="K576" s="247"/>
      <c r="L576" s="247"/>
      <c r="M576" s="247"/>
    </row>
    <row r="577">
      <c r="A577" s="247"/>
      <c r="B577" s="247"/>
      <c r="C577" s="247"/>
      <c r="D577" s="247"/>
      <c r="E577" s="247"/>
      <c r="F577" s="247"/>
      <c r="G577" s="247"/>
      <c r="H577" s="247"/>
      <c r="I577" s="247"/>
      <c r="J577" s="247"/>
      <c r="K577" s="247"/>
      <c r="L577" s="247"/>
      <c r="M577" s="247"/>
    </row>
    <row r="578">
      <c r="A578" s="247"/>
      <c r="B578" s="247"/>
      <c r="C578" s="247"/>
      <c r="D578" s="247"/>
      <c r="E578" s="247"/>
      <c r="F578" s="247"/>
      <c r="G578" s="247"/>
      <c r="H578" s="247"/>
      <c r="I578" s="247"/>
      <c r="J578" s="247"/>
      <c r="K578" s="247"/>
      <c r="L578" s="247"/>
      <c r="M578" s="247"/>
    </row>
    <row r="579">
      <c r="A579" s="247"/>
      <c r="B579" s="247"/>
      <c r="C579" s="247"/>
      <c r="D579" s="247"/>
      <c r="E579" s="247"/>
      <c r="F579" s="247"/>
      <c r="G579" s="247"/>
      <c r="H579" s="247"/>
      <c r="I579" s="247"/>
      <c r="J579" s="247"/>
      <c r="K579" s="247"/>
      <c r="L579" s="247"/>
      <c r="M579" s="247"/>
    </row>
    <row r="580">
      <c r="A580" s="247"/>
      <c r="B580" s="247"/>
      <c r="C580" s="247"/>
      <c r="D580" s="247"/>
      <c r="E580" s="247"/>
      <c r="F580" s="247"/>
      <c r="G580" s="247"/>
      <c r="H580" s="247"/>
      <c r="I580" s="247"/>
      <c r="J580" s="247"/>
      <c r="K580" s="247"/>
      <c r="L580" s="247"/>
      <c r="M580" s="247"/>
    </row>
    <row r="581">
      <c r="A581" s="247"/>
      <c r="B581" s="247"/>
      <c r="C581" s="247"/>
      <c r="D581" s="247"/>
      <c r="E581" s="247"/>
      <c r="F581" s="247"/>
      <c r="G581" s="247"/>
      <c r="H581" s="247"/>
      <c r="I581" s="247"/>
      <c r="J581" s="247"/>
      <c r="K581" s="247"/>
      <c r="L581" s="247"/>
      <c r="M581" s="247"/>
    </row>
    <row r="582">
      <c r="A582" s="247"/>
      <c r="B582" s="247"/>
      <c r="C582" s="247"/>
      <c r="D582" s="247"/>
      <c r="E582" s="247"/>
      <c r="F582" s="247"/>
      <c r="G582" s="247"/>
      <c r="H582" s="247"/>
      <c r="I582" s="247"/>
      <c r="J582" s="247"/>
      <c r="K582" s="247"/>
      <c r="L582" s="247"/>
      <c r="M582" s="247"/>
    </row>
    <row r="583">
      <c r="A583" s="247"/>
      <c r="B583" s="247"/>
      <c r="C583" s="247"/>
      <c r="D583" s="247"/>
      <c r="E583" s="247"/>
      <c r="F583" s="247"/>
      <c r="G583" s="247"/>
      <c r="H583" s="247"/>
      <c r="I583" s="247"/>
      <c r="J583" s="247"/>
      <c r="K583" s="247"/>
      <c r="L583" s="247"/>
      <c r="M583" s="247"/>
    </row>
    <row r="584">
      <c r="A584" s="247"/>
      <c r="B584" s="247"/>
      <c r="C584" s="247"/>
      <c r="D584" s="247"/>
      <c r="E584" s="247"/>
      <c r="F584" s="247"/>
      <c r="G584" s="247"/>
      <c r="H584" s="247"/>
      <c r="I584" s="247"/>
      <c r="J584" s="247"/>
      <c r="K584" s="247"/>
      <c r="L584" s="247"/>
      <c r="M584" s="247"/>
    </row>
    <row r="585">
      <c r="A585" s="247"/>
      <c r="B585" s="247"/>
      <c r="C585" s="247"/>
      <c r="D585" s="247"/>
      <c r="E585" s="247"/>
      <c r="F585" s="247"/>
      <c r="G585" s="247"/>
      <c r="H585" s="247"/>
      <c r="I585" s="247"/>
      <c r="J585" s="247"/>
      <c r="K585" s="247"/>
      <c r="L585" s="247"/>
      <c r="M585" s="247"/>
    </row>
    <row r="586">
      <c r="A586" s="247"/>
      <c r="B586" s="247"/>
      <c r="C586" s="247"/>
      <c r="D586" s="247"/>
      <c r="E586" s="247"/>
      <c r="F586" s="247"/>
      <c r="G586" s="247"/>
      <c r="H586" s="247"/>
      <c r="I586" s="247"/>
      <c r="J586" s="247"/>
      <c r="K586" s="247"/>
      <c r="L586" s="247"/>
      <c r="M586" s="247"/>
    </row>
    <row r="587">
      <c r="A587" s="247"/>
      <c r="B587" s="247"/>
      <c r="C587" s="247"/>
      <c r="D587" s="247"/>
      <c r="E587" s="247"/>
      <c r="F587" s="247"/>
      <c r="G587" s="247"/>
      <c r="H587" s="247"/>
      <c r="I587" s="247"/>
      <c r="J587" s="247"/>
      <c r="K587" s="247"/>
      <c r="L587" s="247"/>
      <c r="M587" s="247"/>
    </row>
    <row r="588">
      <c r="A588" s="247"/>
      <c r="B588" s="247"/>
      <c r="C588" s="247"/>
      <c r="D588" s="247"/>
      <c r="E588" s="247"/>
      <c r="F588" s="247"/>
      <c r="G588" s="247"/>
      <c r="H588" s="247"/>
      <c r="I588" s="247"/>
      <c r="J588" s="247"/>
      <c r="K588" s="247"/>
      <c r="L588" s="247"/>
      <c r="M588" s="247"/>
    </row>
    <row r="589">
      <c r="A589" s="247"/>
      <c r="B589" s="247"/>
      <c r="C589" s="247"/>
      <c r="D589" s="247"/>
      <c r="E589" s="247"/>
      <c r="F589" s="247"/>
      <c r="G589" s="247"/>
      <c r="H589" s="247"/>
      <c r="I589" s="247"/>
      <c r="J589" s="247"/>
      <c r="K589" s="247"/>
      <c r="L589" s="247"/>
      <c r="M589" s="247"/>
    </row>
    <row r="590">
      <c r="A590" s="247"/>
      <c r="B590" s="247"/>
      <c r="C590" s="247"/>
      <c r="D590" s="247"/>
      <c r="E590" s="247"/>
      <c r="F590" s="247"/>
      <c r="G590" s="247"/>
      <c r="H590" s="247"/>
      <c r="I590" s="247"/>
      <c r="J590" s="247"/>
      <c r="K590" s="247"/>
      <c r="L590" s="247"/>
      <c r="M590" s="247"/>
    </row>
    <row r="591">
      <c r="A591" s="247"/>
      <c r="B591" s="247"/>
      <c r="C591" s="247"/>
      <c r="D591" s="247"/>
      <c r="E591" s="247"/>
      <c r="F591" s="247"/>
      <c r="G591" s="247"/>
      <c r="H591" s="247"/>
      <c r="I591" s="247"/>
      <c r="J591" s="247"/>
      <c r="K591" s="247"/>
      <c r="L591" s="247"/>
      <c r="M591" s="247"/>
    </row>
    <row r="592">
      <c r="A592" s="247"/>
      <c r="B592" s="247"/>
      <c r="C592" s="247"/>
      <c r="D592" s="247"/>
      <c r="E592" s="247"/>
      <c r="F592" s="247"/>
      <c r="G592" s="247"/>
      <c r="H592" s="247"/>
      <c r="I592" s="247"/>
      <c r="J592" s="247"/>
      <c r="K592" s="247"/>
      <c r="L592" s="247"/>
      <c r="M592" s="247"/>
    </row>
    <row r="593">
      <c r="A593" s="247"/>
      <c r="B593" s="247"/>
      <c r="C593" s="247"/>
      <c r="D593" s="247"/>
      <c r="E593" s="247"/>
      <c r="F593" s="247"/>
      <c r="G593" s="247"/>
      <c r="H593" s="247"/>
      <c r="I593" s="247"/>
      <c r="J593" s="247"/>
      <c r="K593" s="247"/>
      <c r="L593" s="247"/>
      <c r="M593" s="247"/>
    </row>
    <row r="594">
      <c r="A594" s="247"/>
      <c r="B594" s="247"/>
      <c r="C594" s="247"/>
      <c r="D594" s="247"/>
      <c r="E594" s="247"/>
      <c r="F594" s="247"/>
      <c r="G594" s="247"/>
      <c r="H594" s="247"/>
      <c r="I594" s="247"/>
      <c r="J594" s="247"/>
      <c r="K594" s="247"/>
      <c r="L594" s="247"/>
      <c r="M594" s="247"/>
    </row>
    <row r="595">
      <c r="A595" s="247"/>
      <c r="B595" s="247"/>
      <c r="C595" s="247"/>
      <c r="D595" s="247"/>
      <c r="E595" s="247"/>
      <c r="F595" s="247"/>
      <c r="G595" s="247"/>
      <c r="H595" s="247"/>
      <c r="I595" s="247"/>
      <c r="J595" s="247"/>
      <c r="K595" s="247"/>
      <c r="L595" s="247"/>
      <c r="M595" s="247"/>
    </row>
    <row r="596">
      <c r="A596" s="247"/>
      <c r="B596" s="247"/>
      <c r="C596" s="247"/>
      <c r="D596" s="247"/>
      <c r="E596" s="247"/>
      <c r="F596" s="247"/>
      <c r="G596" s="247"/>
      <c r="H596" s="247"/>
      <c r="I596" s="247"/>
      <c r="J596" s="247"/>
      <c r="K596" s="247"/>
      <c r="L596" s="247"/>
      <c r="M596" s="247"/>
    </row>
    <row r="597">
      <c r="A597" s="247"/>
      <c r="B597" s="247"/>
      <c r="C597" s="247"/>
      <c r="D597" s="247"/>
      <c r="E597" s="247"/>
      <c r="F597" s="247"/>
      <c r="G597" s="247"/>
      <c r="H597" s="247"/>
      <c r="I597" s="247"/>
      <c r="J597" s="247"/>
      <c r="K597" s="247"/>
      <c r="L597" s="247"/>
      <c r="M597" s="247"/>
    </row>
    <row r="598">
      <c r="A598" s="247"/>
      <c r="B598" s="247"/>
      <c r="C598" s="247"/>
      <c r="D598" s="247"/>
      <c r="E598" s="247"/>
      <c r="F598" s="247"/>
      <c r="G598" s="247"/>
      <c r="H598" s="247"/>
      <c r="I598" s="247"/>
      <c r="J598" s="247"/>
      <c r="K598" s="247"/>
      <c r="L598" s="247"/>
      <c r="M598" s="247"/>
    </row>
    <row r="599">
      <c r="A599" s="247"/>
      <c r="B599" s="247"/>
      <c r="C599" s="247"/>
      <c r="D599" s="247"/>
      <c r="E599" s="247"/>
      <c r="F599" s="247"/>
      <c r="G599" s="247"/>
      <c r="H599" s="247"/>
      <c r="I599" s="247"/>
      <c r="J599" s="247"/>
      <c r="K599" s="247"/>
      <c r="L599" s="247"/>
      <c r="M599" s="247"/>
    </row>
    <row r="600">
      <c r="A600" s="247"/>
      <c r="B600" s="247"/>
      <c r="C600" s="247"/>
      <c r="D600" s="247"/>
      <c r="E600" s="247"/>
      <c r="F600" s="247"/>
      <c r="G600" s="247"/>
      <c r="H600" s="247"/>
      <c r="I600" s="247"/>
      <c r="J600" s="247"/>
      <c r="K600" s="247"/>
      <c r="L600" s="247"/>
      <c r="M600" s="247"/>
    </row>
    <row r="601">
      <c r="A601" s="247"/>
      <c r="B601" s="247"/>
      <c r="C601" s="247"/>
      <c r="D601" s="247"/>
      <c r="E601" s="247"/>
      <c r="F601" s="247"/>
      <c r="G601" s="247"/>
      <c r="H601" s="247"/>
      <c r="I601" s="247"/>
      <c r="J601" s="247"/>
      <c r="K601" s="247"/>
      <c r="L601" s="247"/>
      <c r="M601" s="247"/>
    </row>
    <row r="602">
      <c r="A602" s="247"/>
      <c r="B602" s="247"/>
      <c r="C602" s="247"/>
      <c r="D602" s="247"/>
      <c r="E602" s="247"/>
      <c r="F602" s="247"/>
      <c r="G602" s="247"/>
      <c r="H602" s="247"/>
      <c r="I602" s="247"/>
      <c r="J602" s="247"/>
      <c r="K602" s="247"/>
      <c r="L602" s="247"/>
      <c r="M602" s="247"/>
    </row>
    <row r="603">
      <c r="A603" s="247"/>
      <c r="B603" s="247"/>
      <c r="C603" s="247"/>
      <c r="D603" s="247"/>
      <c r="E603" s="247"/>
      <c r="F603" s="247"/>
      <c r="G603" s="247"/>
      <c r="H603" s="247"/>
      <c r="I603" s="247"/>
      <c r="J603" s="247"/>
      <c r="K603" s="247"/>
      <c r="L603" s="247"/>
      <c r="M603" s="247"/>
    </row>
    <row r="604">
      <c r="A604" s="247"/>
      <c r="B604" s="247"/>
      <c r="C604" s="247"/>
      <c r="D604" s="247"/>
      <c r="E604" s="247"/>
      <c r="F604" s="247"/>
      <c r="G604" s="247"/>
      <c r="H604" s="247"/>
      <c r="I604" s="247"/>
      <c r="J604" s="247"/>
      <c r="K604" s="247"/>
      <c r="L604" s="247"/>
      <c r="M604" s="247"/>
    </row>
    <row r="605">
      <c r="A605" s="247"/>
      <c r="B605" s="247"/>
      <c r="C605" s="247"/>
      <c r="D605" s="247"/>
      <c r="E605" s="247"/>
      <c r="F605" s="247"/>
      <c r="G605" s="247"/>
      <c r="H605" s="247"/>
      <c r="I605" s="247"/>
      <c r="J605" s="247"/>
      <c r="K605" s="247"/>
      <c r="L605" s="247"/>
      <c r="M605" s="247"/>
    </row>
    <row r="606">
      <c r="A606" s="247"/>
      <c r="B606" s="247"/>
      <c r="C606" s="247"/>
      <c r="D606" s="247"/>
      <c r="E606" s="247"/>
      <c r="F606" s="247"/>
      <c r="G606" s="247"/>
      <c r="H606" s="247"/>
      <c r="I606" s="247"/>
      <c r="J606" s="247"/>
      <c r="K606" s="247"/>
      <c r="L606" s="247"/>
      <c r="M606" s="247"/>
    </row>
    <row r="607">
      <c r="A607" s="247"/>
      <c r="B607" s="247"/>
      <c r="C607" s="247"/>
      <c r="D607" s="247"/>
      <c r="E607" s="247"/>
      <c r="F607" s="247"/>
      <c r="G607" s="247"/>
      <c r="H607" s="247"/>
      <c r="I607" s="247"/>
      <c r="J607" s="247"/>
      <c r="K607" s="247"/>
      <c r="L607" s="247"/>
      <c r="M607" s="247"/>
    </row>
    <row r="608">
      <c r="A608" s="247"/>
      <c r="B608" s="247"/>
      <c r="C608" s="247"/>
      <c r="D608" s="247"/>
      <c r="E608" s="247"/>
      <c r="F608" s="247"/>
      <c r="G608" s="247"/>
      <c r="H608" s="247"/>
      <c r="I608" s="247"/>
      <c r="J608" s="247"/>
      <c r="K608" s="247"/>
      <c r="L608" s="247"/>
      <c r="M608" s="247"/>
    </row>
    <row r="609">
      <c r="A609" s="247"/>
      <c r="B609" s="247"/>
      <c r="C609" s="247"/>
      <c r="D609" s="247"/>
      <c r="E609" s="247"/>
      <c r="F609" s="247"/>
      <c r="G609" s="247"/>
      <c r="H609" s="247"/>
      <c r="I609" s="247"/>
      <c r="J609" s="247"/>
      <c r="K609" s="247"/>
      <c r="L609" s="247"/>
      <c r="M609" s="247"/>
    </row>
    <row r="610">
      <c r="A610" s="247"/>
      <c r="B610" s="247"/>
      <c r="C610" s="247"/>
      <c r="D610" s="247"/>
      <c r="E610" s="247"/>
      <c r="F610" s="247"/>
      <c r="G610" s="247"/>
      <c r="H610" s="247"/>
      <c r="I610" s="247"/>
      <c r="J610" s="247"/>
      <c r="K610" s="247"/>
      <c r="L610" s="247"/>
      <c r="M610" s="247"/>
    </row>
    <row r="611">
      <c r="A611" s="247"/>
      <c r="B611" s="247"/>
      <c r="C611" s="247"/>
      <c r="D611" s="247"/>
      <c r="E611" s="247"/>
      <c r="F611" s="247"/>
      <c r="G611" s="247"/>
      <c r="H611" s="247"/>
      <c r="I611" s="247"/>
      <c r="J611" s="247"/>
      <c r="K611" s="247"/>
      <c r="L611" s="247"/>
      <c r="M611" s="247"/>
    </row>
    <row r="612">
      <c r="A612" s="247"/>
      <c r="B612" s="247"/>
      <c r="C612" s="247"/>
      <c r="D612" s="247"/>
      <c r="E612" s="247"/>
      <c r="F612" s="247"/>
      <c r="G612" s="247"/>
      <c r="H612" s="247"/>
      <c r="I612" s="247"/>
      <c r="J612" s="247"/>
      <c r="K612" s="247"/>
      <c r="L612" s="247"/>
      <c r="M612" s="247"/>
    </row>
    <row r="613">
      <c r="A613" s="247"/>
      <c r="B613" s="247"/>
      <c r="C613" s="247"/>
      <c r="D613" s="247"/>
      <c r="E613" s="247"/>
      <c r="F613" s="247"/>
      <c r="G613" s="247"/>
      <c r="H613" s="247"/>
      <c r="I613" s="247"/>
      <c r="J613" s="247"/>
      <c r="K613" s="247"/>
      <c r="L613" s="247"/>
      <c r="M613" s="247"/>
    </row>
    <row r="614">
      <c r="A614" s="247"/>
      <c r="B614" s="247"/>
      <c r="C614" s="247"/>
      <c r="D614" s="247"/>
      <c r="E614" s="247"/>
      <c r="F614" s="247"/>
      <c r="G614" s="247"/>
      <c r="H614" s="247"/>
      <c r="I614" s="247"/>
      <c r="J614" s="247"/>
      <c r="K614" s="247"/>
      <c r="L614" s="247"/>
      <c r="M614" s="247"/>
    </row>
    <row r="615">
      <c r="A615" s="247"/>
      <c r="B615" s="247"/>
      <c r="C615" s="247"/>
      <c r="D615" s="247"/>
      <c r="E615" s="247"/>
      <c r="F615" s="247"/>
      <c r="G615" s="247"/>
      <c r="H615" s="247"/>
      <c r="I615" s="247"/>
      <c r="J615" s="247"/>
      <c r="K615" s="247"/>
      <c r="L615" s="247"/>
      <c r="M615" s="247"/>
    </row>
    <row r="616">
      <c r="A616" s="247"/>
      <c r="B616" s="247"/>
      <c r="C616" s="247"/>
      <c r="D616" s="247"/>
      <c r="E616" s="247"/>
      <c r="F616" s="247"/>
      <c r="G616" s="247"/>
      <c r="H616" s="247"/>
      <c r="I616" s="247"/>
      <c r="J616" s="247"/>
      <c r="K616" s="247"/>
      <c r="L616" s="247"/>
      <c r="M616" s="247"/>
    </row>
    <row r="617">
      <c r="A617" s="247"/>
      <c r="B617" s="247"/>
      <c r="C617" s="247"/>
      <c r="D617" s="247"/>
      <c r="E617" s="247"/>
      <c r="F617" s="247"/>
      <c r="G617" s="247"/>
      <c r="H617" s="247"/>
      <c r="I617" s="247"/>
      <c r="J617" s="247"/>
      <c r="K617" s="247"/>
      <c r="L617" s="247"/>
      <c r="M617" s="247"/>
    </row>
    <row r="618">
      <c r="A618" s="247"/>
      <c r="B618" s="247"/>
      <c r="C618" s="247"/>
      <c r="D618" s="247"/>
      <c r="E618" s="247"/>
      <c r="F618" s="247"/>
      <c r="G618" s="247"/>
      <c r="H618" s="247"/>
      <c r="I618" s="247"/>
      <c r="J618" s="247"/>
      <c r="K618" s="247"/>
      <c r="L618" s="247"/>
      <c r="M618" s="247"/>
    </row>
    <row r="619">
      <c r="A619" s="247"/>
      <c r="B619" s="247"/>
      <c r="C619" s="247"/>
      <c r="D619" s="247"/>
      <c r="E619" s="247"/>
      <c r="F619" s="247"/>
      <c r="G619" s="247"/>
      <c r="H619" s="247"/>
      <c r="I619" s="247"/>
      <c r="J619" s="247"/>
      <c r="K619" s="247"/>
      <c r="L619" s="247"/>
      <c r="M619" s="247"/>
    </row>
    <row r="620">
      <c r="A620" s="247"/>
      <c r="B620" s="247"/>
      <c r="C620" s="247"/>
      <c r="D620" s="247"/>
      <c r="E620" s="247"/>
      <c r="F620" s="247"/>
      <c r="G620" s="247"/>
      <c r="H620" s="247"/>
      <c r="I620" s="247"/>
      <c r="J620" s="247"/>
      <c r="K620" s="247"/>
      <c r="L620" s="247"/>
      <c r="M620" s="247"/>
    </row>
    <row r="621">
      <c r="A621" s="247"/>
      <c r="B621" s="247"/>
      <c r="C621" s="247"/>
      <c r="D621" s="247"/>
      <c r="E621" s="247"/>
      <c r="F621" s="247"/>
      <c r="G621" s="247"/>
      <c r="H621" s="247"/>
      <c r="I621" s="247"/>
      <c r="J621" s="247"/>
      <c r="K621" s="247"/>
      <c r="L621" s="247"/>
      <c r="M621" s="247"/>
    </row>
    <row r="622">
      <c r="A622" s="247"/>
      <c r="B622" s="247"/>
      <c r="C622" s="247"/>
      <c r="D622" s="247"/>
      <c r="E622" s="247"/>
      <c r="F622" s="247"/>
      <c r="G622" s="247"/>
      <c r="H622" s="247"/>
      <c r="I622" s="247"/>
      <c r="J622" s="247"/>
      <c r="K622" s="247"/>
      <c r="L622" s="247"/>
      <c r="M622" s="247"/>
    </row>
    <row r="623">
      <c r="A623" s="247"/>
      <c r="B623" s="247"/>
      <c r="C623" s="247"/>
      <c r="D623" s="247"/>
      <c r="E623" s="247"/>
      <c r="F623" s="247"/>
      <c r="G623" s="247"/>
      <c r="H623" s="247"/>
      <c r="I623" s="247"/>
      <c r="J623" s="247"/>
      <c r="K623" s="247"/>
      <c r="L623" s="247"/>
      <c r="M623" s="247"/>
    </row>
    <row r="624">
      <c r="A624" s="247"/>
      <c r="B624" s="247"/>
      <c r="C624" s="247"/>
      <c r="D624" s="247"/>
      <c r="E624" s="247"/>
      <c r="F624" s="247"/>
      <c r="G624" s="247"/>
      <c r="H624" s="247"/>
      <c r="I624" s="247"/>
      <c r="J624" s="247"/>
      <c r="K624" s="247"/>
      <c r="L624" s="247"/>
      <c r="M624" s="247"/>
    </row>
    <row r="625">
      <c r="A625" s="247"/>
      <c r="B625" s="247"/>
      <c r="C625" s="247"/>
      <c r="D625" s="247"/>
      <c r="E625" s="247"/>
      <c r="F625" s="247"/>
      <c r="G625" s="247"/>
      <c r="H625" s="247"/>
      <c r="I625" s="247"/>
      <c r="J625" s="247"/>
      <c r="K625" s="247"/>
      <c r="L625" s="247"/>
      <c r="M625" s="247"/>
    </row>
    <row r="626">
      <c r="A626" s="247"/>
      <c r="B626" s="247"/>
      <c r="C626" s="247"/>
      <c r="D626" s="247"/>
      <c r="E626" s="247"/>
      <c r="F626" s="247"/>
      <c r="G626" s="247"/>
      <c r="H626" s="247"/>
      <c r="I626" s="247"/>
      <c r="J626" s="247"/>
      <c r="K626" s="247"/>
      <c r="L626" s="247"/>
      <c r="M626" s="247"/>
    </row>
    <row r="627">
      <c r="A627" s="247"/>
      <c r="B627" s="247"/>
      <c r="C627" s="247"/>
      <c r="D627" s="247"/>
      <c r="E627" s="247"/>
      <c r="F627" s="247"/>
      <c r="G627" s="247"/>
      <c r="H627" s="247"/>
      <c r="I627" s="247"/>
      <c r="J627" s="247"/>
      <c r="K627" s="247"/>
      <c r="L627" s="247"/>
      <c r="M627" s="247"/>
    </row>
    <row r="628">
      <c r="A628" s="247"/>
      <c r="B628" s="247"/>
      <c r="C628" s="247"/>
      <c r="D628" s="247"/>
      <c r="E628" s="247"/>
      <c r="F628" s="247"/>
      <c r="G628" s="247"/>
      <c r="H628" s="247"/>
      <c r="I628" s="247"/>
      <c r="J628" s="247"/>
      <c r="K628" s="247"/>
      <c r="L628" s="247"/>
      <c r="M628" s="247"/>
    </row>
    <row r="629">
      <c r="A629" s="247"/>
      <c r="B629" s="247"/>
      <c r="C629" s="247"/>
      <c r="D629" s="247"/>
      <c r="E629" s="247"/>
      <c r="F629" s="247"/>
      <c r="G629" s="247"/>
      <c r="H629" s="247"/>
      <c r="I629" s="247"/>
      <c r="J629" s="247"/>
      <c r="K629" s="247"/>
      <c r="L629" s="247"/>
      <c r="M629" s="247"/>
    </row>
    <row r="630">
      <c r="A630" s="247"/>
      <c r="B630" s="247"/>
      <c r="C630" s="247"/>
      <c r="D630" s="247"/>
      <c r="E630" s="247"/>
      <c r="F630" s="247"/>
      <c r="G630" s="247"/>
      <c r="H630" s="247"/>
      <c r="I630" s="247"/>
      <c r="J630" s="247"/>
      <c r="K630" s="247"/>
      <c r="L630" s="247"/>
      <c r="M630" s="247"/>
    </row>
    <row r="631">
      <c r="A631" s="247"/>
      <c r="B631" s="247"/>
      <c r="C631" s="247"/>
      <c r="D631" s="247"/>
      <c r="E631" s="247"/>
      <c r="F631" s="247"/>
      <c r="G631" s="247"/>
      <c r="H631" s="247"/>
      <c r="I631" s="247"/>
      <c r="J631" s="247"/>
      <c r="K631" s="247"/>
      <c r="L631" s="247"/>
      <c r="M631" s="247"/>
    </row>
    <row r="632">
      <c r="A632" s="247"/>
      <c r="B632" s="247"/>
      <c r="C632" s="247"/>
      <c r="D632" s="247"/>
      <c r="E632" s="247"/>
      <c r="F632" s="247"/>
      <c r="G632" s="247"/>
      <c r="H632" s="247"/>
      <c r="I632" s="247"/>
      <c r="J632" s="247"/>
      <c r="K632" s="247"/>
      <c r="L632" s="247"/>
      <c r="M632" s="247"/>
    </row>
    <row r="633">
      <c r="A633" s="247"/>
      <c r="B633" s="247"/>
      <c r="C633" s="247"/>
      <c r="D633" s="247"/>
      <c r="E633" s="247"/>
      <c r="F633" s="247"/>
      <c r="G633" s="247"/>
      <c r="H633" s="247"/>
      <c r="I633" s="247"/>
      <c r="J633" s="247"/>
      <c r="K633" s="247"/>
      <c r="L633" s="247"/>
      <c r="M633" s="247"/>
    </row>
    <row r="634">
      <c r="A634" s="247"/>
      <c r="B634" s="247"/>
      <c r="C634" s="247"/>
      <c r="D634" s="247"/>
      <c r="E634" s="247"/>
      <c r="F634" s="247"/>
      <c r="G634" s="247"/>
      <c r="H634" s="247"/>
      <c r="I634" s="247"/>
      <c r="J634" s="247"/>
      <c r="K634" s="247"/>
      <c r="L634" s="247"/>
      <c r="M634" s="247"/>
    </row>
    <row r="635">
      <c r="A635" s="247"/>
      <c r="B635" s="247"/>
      <c r="C635" s="247"/>
      <c r="D635" s="247"/>
      <c r="E635" s="247"/>
      <c r="F635" s="247"/>
      <c r="G635" s="247"/>
      <c r="H635" s="247"/>
      <c r="I635" s="247"/>
      <c r="J635" s="247"/>
      <c r="K635" s="247"/>
      <c r="L635" s="247"/>
      <c r="M635" s="247"/>
    </row>
    <row r="636">
      <c r="A636" s="247"/>
      <c r="B636" s="247"/>
      <c r="C636" s="247"/>
      <c r="D636" s="247"/>
      <c r="E636" s="247"/>
      <c r="F636" s="247"/>
      <c r="G636" s="247"/>
      <c r="H636" s="247"/>
      <c r="I636" s="247"/>
      <c r="J636" s="247"/>
      <c r="K636" s="247"/>
      <c r="L636" s="247"/>
      <c r="M636" s="247"/>
    </row>
    <row r="637">
      <c r="A637" s="247"/>
      <c r="B637" s="247"/>
      <c r="C637" s="247"/>
      <c r="D637" s="247"/>
      <c r="E637" s="247"/>
      <c r="F637" s="247"/>
      <c r="G637" s="247"/>
      <c r="H637" s="247"/>
      <c r="I637" s="247"/>
      <c r="J637" s="247"/>
      <c r="K637" s="247"/>
      <c r="L637" s="247"/>
      <c r="M637" s="247"/>
    </row>
    <row r="638">
      <c r="A638" s="247"/>
      <c r="B638" s="247"/>
      <c r="C638" s="247"/>
      <c r="D638" s="247"/>
      <c r="E638" s="247"/>
      <c r="F638" s="247"/>
      <c r="G638" s="247"/>
      <c r="H638" s="247"/>
      <c r="I638" s="247"/>
      <c r="J638" s="247"/>
      <c r="K638" s="247"/>
      <c r="L638" s="247"/>
      <c r="M638" s="247"/>
    </row>
    <row r="639">
      <c r="A639" s="247"/>
      <c r="B639" s="247"/>
      <c r="C639" s="247"/>
      <c r="D639" s="247"/>
      <c r="E639" s="247"/>
      <c r="F639" s="247"/>
      <c r="G639" s="247"/>
      <c r="H639" s="247"/>
      <c r="I639" s="247"/>
      <c r="J639" s="247"/>
      <c r="K639" s="247"/>
      <c r="L639" s="247"/>
      <c r="M639" s="247"/>
    </row>
    <row r="640">
      <c r="A640" s="247"/>
      <c r="B640" s="247"/>
      <c r="C640" s="247"/>
      <c r="D640" s="247"/>
      <c r="E640" s="247"/>
      <c r="F640" s="247"/>
      <c r="G640" s="247"/>
      <c r="H640" s="247"/>
      <c r="I640" s="247"/>
      <c r="J640" s="247"/>
      <c r="K640" s="247"/>
      <c r="L640" s="247"/>
      <c r="M640" s="247"/>
    </row>
    <row r="641">
      <c r="A641" s="247"/>
      <c r="B641" s="247"/>
      <c r="C641" s="247"/>
      <c r="D641" s="247"/>
      <c r="E641" s="247"/>
      <c r="F641" s="247"/>
      <c r="G641" s="247"/>
      <c r="H641" s="247"/>
      <c r="I641" s="247"/>
      <c r="J641" s="247"/>
      <c r="K641" s="247"/>
      <c r="L641" s="247"/>
      <c r="M641" s="247"/>
    </row>
    <row r="642">
      <c r="A642" s="247"/>
      <c r="B642" s="247"/>
      <c r="C642" s="247"/>
      <c r="D642" s="247"/>
      <c r="E642" s="247"/>
      <c r="F642" s="247"/>
      <c r="G642" s="247"/>
      <c r="H642" s="247"/>
      <c r="I642" s="247"/>
      <c r="J642" s="247"/>
      <c r="K642" s="247"/>
      <c r="L642" s="247"/>
      <c r="M642" s="247"/>
    </row>
    <row r="643">
      <c r="A643" s="247"/>
      <c r="B643" s="247"/>
      <c r="C643" s="247"/>
      <c r="D643" s="247"/>
      <c r="E643" s="247"/>
      <c r="F643" s="247"/>
      <c r="G643" s="247"/>
      <c r="H643" s="247"/>
      <c r="I643" s="247"/>
      <c r="J643" s="247"/>
      <c r="K643" s="247"/>
      <c r="L643" s="247"/>
      <c r="M643" s="247"/>
    </row>
    <row r="644">
      <c r="A644" s="247"/>
      <c r="B644" s="247"/>
      <c r="C644" s="247"/>
      <c r="D644" s="247"/>
      <c r="E644" s="247"/>
      <c r="F644" s="247"/>
      <c r="G644" s="247"/>
      <c r="H644" s="247"/>
      <c r="I644" s="247"/>
      <c r="J644" s="247"/>
      <c r="K644" s="247"/>
      <c r="L644" s="247"/>
      <c r="M644" s="247"/>
    </row>
    <row r="645">
      <c r="A645" s="247"/>
      <c r="B645" s="247"/>
      <c r="C645" s="247"/>
      <c r="D645" s="247"/>
      <c r="E645" s="247"/>
      <c r="F645" s="247"/>
      <c r="G645" s="247"/>
      <c r="H645" s="247"/>
      <c r="I645" s="247"/>
      <c r="J645" s="247"/>
      <c r="K645" s="247"/>
      <c r="L645" s="247"/>
      <c r="M645" s="247"/>
    </row>
    <row r="646">
      <c r="A646" s="247"/>
      <c r="B646" s="247"/>
      <c r="C646" s="247"/>
      <c r="D646" s="247"/>
      <c r="E646" s="247"/>
      <c r="F646" s="247"/>
      <c r="G646" s="247"/>
      <c r="H646" s="247"/>
      <c r="I646" s="247"/>
      <c r="J646" s="247"/>
      <c r="K646" s="247"/>
      <c r="L646" s="247"/>
      <c r="M646" s="247"/>
    </row>
    <row r="647">
      <c r="A647" s="247"/>
      <c r="B647" s="247"/>
      <c r="C647" s="247"/>
      <c r="D647" s="247"/>
      <c r="E647" s="247"/>
      <c r="F647" s="247"/>
      <c r="G647" s="247"/>
      <c r="H647" s="247"/>
      <c r="I647" s="247"/>
      <c r="J647" s="247"/>
      <c r="K647" s="247"/>
      <c r="L647" s="247"/>
      <c r="M647" s="247"/>
    </row>
    <row r="648">
      <c r="A648" s="247"/>
      <c r="B648" s="247"/>
      <c r="C648" s="247"/>
      <c r="D648" s="247"/>
      <c r="E648" s="247"/>
      <c r="F648" s="247"/>
      <c r="G648" s="247"/>
      <c r="H648" s="247"/>
      <c r="I648" s="247"/>
      <c r="J648" s="247"/>
      <c r="K648" s="247"/>
      <c r="L648" s="247"/>
      <c r="M648" s="247"/>
    </row>
    <row r="649">
      <c r="A649" s="247"/>
      <c r="B649" s="247"/>
      <c r="C649" s="247"/>
      <c r="D649" s="247"/>
      <c r="E649" s="247"/>
      <c r="F649" s="247"/>
      <c r="G649" s="247"/>
      <c r="H649" s="247"/>
      <c r="I649" s="247"/>
      <c r="J649" s="247"/>
      <c r="K649" s="247"/>
      <c r="L649" s="247"/>
      <c r="M649" s="247"/>
    </row>
    <row r="650">
      <c r="A650" s="247"/>
      <c r="B650" s="247"/>
      <c r="C650" s="247"/>
      <c r="D650" s="247"/>
      <c r="E650" s="247"/>
      <c r="F650" s="247"/>
      <c r="G650" s="247"/>
      <c r="H650" s="247"/>
      <c r="I650" s="247"/>
      <c r="J650" s="247"/>
      <c r="K650" s="247"/>
      <c r="L650" s="247"/>
      <c r="M650" s="247"/>
    </row>
    <row r="651">
      <c r="A651" s="247"/>
      <c r="B651" s="247"/>
      <c r="C651" s="247"/>
      <c r="D651" s="247"/>
      <c r="E651" s="247"/>
      <c r="F651" s="247"/>
      <c r="G651" s="247"/>
      <c r="H651" s="247"/>
      <c r="I651" s="247"/>
      <c r="J651" s="247"/>
      <c r="K651" s="247"/>
      <c r="L651" s="247"/>
      <c r="M651" s="247"/>
    </row>
    <row r="652">
      <c r="A652" s="247"/>
      <c r="B652" s="247"/>
      <c r="C652" s="247"/>
      <c r="D652" s="247"/>
      <c r="E652" s="247"/>
      <c r="F652" s="247"/>
      <c r="G652" s="247"/>
      <c r="H652" s="247"/>
      <c r="I652" s="247"/>
      <c r="J652" s="247"/>
      <c r="K652" s="247"/>
      <c r="L652" s="247"/>
      <c r="M652" s="247"/>
    </row>
    <row r="653">
      <c r="A653" s="247"/>
      <c r="B653" s="247"/>
      <c r="C653" s="247"/>
      <c r="D653" s="247"/>
      <c r="E653" s="247"/>
      <c r="F653" s="247"/>
      <c r="G653" s="247"/>
      <c r="H653" s="247"/>
      <c r="I653" s="247"/>
      <c r="J653" s="247"/>
      <c r="K653" s="247"/>
      <c r="L653" s="247"/>
      <c r="M653" s="247"/>
    </row>
    <row r="654">
      <c r="A654" s="247"/>
      <c r="B654" s="247"/>
      <c r="C654" s="247"/>
      <c r="D654" s="247"/>
      <c r="E654" s="247"/>
      <c r="F654" s="247"/>
      <c r="G654" s="247"/>
      <c r="H654" s="247"/>
      <c r="I654" s="247"/>
      <c r="J654" s="247"/>
      <c r="K654" s="247"/>
      <c r="L654" s="247"/>
      <c r="M654" s="247"/>
    </row>
    <row r="655">
      <c r="A655" s="247"/>
      <c r="B655" s="247"/>
      <c r="C655" s="247"/>
      <c r="D655" s="247"/>
      <c r="E655" s="247"/>
      <c r="F655" s="247"/>
      <c r="G655" s="247"/>
      <c r="H655" s="247"/>
      <c r="I655" s="247"/>
      <c r="J655" s="247"/>
      <c r="K655" s="247"/>
      <c r="L655" s="247"/>
      <c r="M655" s="247"/>
    </row>
    <row r="656">
      <c r="A656" s="247"/>
      <c r="B656" s="247"/>
      <c r="C656" s="247"/>
      <c r="D656" s="247"/>
      <c r="E656" s="247"/>
      <c r="F656" s="247"/>
      <c r="G656" s="247"/>
      <c r="H656" s="247"/>
      <c r="I656" s="247"/>
      <c r="J656" s="247"/>
      <c r="K656" s="247"/>
      <c r="L656" s="247"/>
      <c r="M656" s="247"/>
    </row>
    <row r="657">
      <c r="A657" s="247"/>
      <c r="B657" s="247"/>
      <c r="C657" s="247"/>
      <c r="D657" s="247"/>
      <c r="E657" s="247"/>
      <c r="F657" s="247"/>
      <c r="G657" s="247"/>
      <c r="H657" s="247"/>
      <c r="I657" s="247"/>
      <c r="J657" s="247"/>
      <c r="K657" s="247"/>
      <c r="L657" s="247"/>
      <c r="M657" s="247"/>
    </row>
    <row r="658">
      <c r="A658" s="247"/>
      <c r="B658" s="247"/>
      <c r="C658" s="247"/>
      <c r="D658" s="247"/>
      <c r="E658" s="247"/>
      <c r="F658" s="247"/>
      <c r="G658" s="247"/>
      <c r="H658" s="247"/>
      <c r="I658" s="247"/>
      <c r="J658" s="247"/>
      <c r="K658" s="247"/>
      <c r="L658" s="247"/>
      <c r="M658" s="247"/>
    </row>
    <row r="659">
      <c r="A659" s="247"/>
      <c r="B659" s="247"/>
      <c r="C659" s="247"/>
      <c r="D659" s="247"/>
      <c r="E659" s="247"/>
      <c r="F659" s="247"/>
      <c r="G659" s="247"/>
      <c r="H659" s="247"/>
      <c r="I659" s="247"/>
      <c r="J659" s="247"/>
      <c r="K659" s="247"/>
      <c r="L659" s="247"/>
      <c r="M659" s="247"/>
    </row>
    <row r="660">
      <c r="A660" s="247"/>
      <c r="B660" s="247"/>
      <c r="C660" s="247"/>
      <c r="D660" s="247"/>
      <c r="E660" s="247"/>
      <c r="F660" s="247"/>
      <c r="G660" s="247"/>
      <c r="H660" s="247"/>
      <c r="I660" s="247"/>
      <c r="J660" s="247"/>
      <c r="K660" s="247"/>
      <c r="L660" s="247"/>
      <c r="M660" s="247"/>
    </row>
    <row r="661">
      <c r="A661" s="247"/>
      <c r="B661" s="247"/>
      <c r="C661" s="247"/>
      <c r="D661" s="247"/>
      <c r="E661" s="247"/>
      <c r="F661" s="247"/>
      <c r="G661" s="247"/>
      <c r="H661" s="247"/>
      <c r="I661" s="247"/>
      <c r="J661" s="247"/>
      <c r="K661" s="247"/>
      <c r="L661" s="247"/>
      <c r="M661" s="247"/>
    </row>
    <row r="662">
      <c r="A662" s="247"/>
      <c r="B662" s="247"/>
      <c r="C662" s="247"/>
      <c r="D662" s="247"/>
      <c r="E662" s="247"/>
      <c r="F662" s="247"/>
      <c r="G662" s="247"/>
      <c r="H662" s="247"/>
      <c r="I662" s="247"/>
      <c r="J662" s="247"/>
      <c r="K662" s="247"/>
      <c r="L662" s="247"/>
      <c r="M662" s="247"/>
    </row>
    <row r="663">
      <c r="A663" s="247"/>
      <c r="B663" s="247"/>
      <c r="C663" s="247"/>
      <c r="D663" s="247"/>
      <c r="E663" s="247"/>
      <c r="F663" s="247"/>
      <c r="G663" s="247"/>
      <c r="H663" s="247"/>
      <c r="I663" s="247"/>
      <c r="J663" s="247"/>
      <c r="K663" s="247"/>
      <c r="L663" s="247"/>
      <c r="M663" s="247"/>
    </row>
    <row r="664">
      <c r="A664" s="247"/>
      <c r="B664" s="247"/>
      <c r="C664" s="247"/>
      <c r="D664" s="247"/>
      <c r="E664" s="247"/>
      <c r="F664" s="247"/>
      <c r="G664" s="247"/>
      <c r="H664" s="247"/>
      <c r="I664" s="247"/>
      <c r="J664" s="247"/>
      <c r="K664" s="247"/>
      <c r="L664" s="247"/>
      <c r="M664" s="247"/>
    </row>
    <row r="665">
      <c r="A665" s="247"/>
      <c r="B665" s="247"/>
      <c r="C665" s="247"/>
      <c r="D665" s="247"/>
      <c r="E665" s="247"/>
      <c r="F665" s="247"/>
      <c r="G665" s="247"/>
      <c r="H665" s="247"/>
      <c r="I665" s="247"/>
      <c r="J665" s="247"/>
      <c r="K665" s="247"/>
      <c r="L665" s="247"/>
      <c r="M665" s="247"/>
    </row>
    <row r="666">
      <c r="A666" s="247"/>
      <c r="B666" s="247"/>
      <c r="C666" s="247"/>
      <c r="D666" s="247"/>
      <c r="E666" s="247"/>
      <c r="F666" s="247"/>
      <c r="G666" s="247"/>
      <c r="H666" s="247"/>
      <c r="I666" s="247"/>
      <c r="J666" s="247"/>
      <c r="K666" s="247"/>
      <c r="L666" s="247"/>
      <c r="M666" s="247"/>
    </row>
    <row r="667">
      <c r="A667" s="247"/>
      <c r="B667" s="247"/>
      <c r="C667" s="247"/>
      <c r="D667" s="247"/>
      <c r="E667" s="247"/>
      <c r="F667" s="247"/>
      <c r="G667" s="247"/>
      <c r="H667" s="247"/>
      <c r="I667" s="247"/>
      <c r="J667" s="247"/>
      <c r="K667" s="247"/>
      <c r="L667" s="247"/>
      <c r="M667" s="247"/>
    </row>
    <row r="668">
      <c r="A668" s="247"/>
      <c r="B668" s="247"/>
      <c r="C668" s="247"/>
      <c r="D668" s="247"/>
      <c r="E668" s="247"/>
      <c r="F668" s="247"/>
      <c r="G668" s="247"/>
      <c r="H668" s="247"/>
      <c r="I668" s="247"/>
      <c r="J668" s="247"/>
      <c r="K668" s="247"/>
      <c r="L668" s="247"/>
      <c r="M668" s="247"/>
    </row>
    <row r="669">
      <c r="A669" s="247"/>
      <c r="B669" s="247"/>
      <c r="C669" s="247"/>
      <c r="D669" s="247"/>
      <c r="E669" s="247"/>
      <c r="F669" s="247"/>
      <c r="G669" s="247"/>
      <c r="H669" s="247"/>
      <c r="I669" s="247"/>
      <c r="J669" s="247"/>
      <c r="K669" s="247"/>
      <c r="L669" s="247"/>
      <c r="M669" s="247"/>
    </row>
    <row r="670">
      <c r="A670" s="247"/>
      <c r="B670" s="247"/>
      <c r="C670" s="247"/>
      <c r="D670" s="247"/>
      <c r="E670" s="247"/>
      <c r="F670" s="247"/>
      <c r="G670" s="247"/>
      <c r="H670" s="247"/>
      <c r="I670" s="247"/>
      <c r="J670" s="247"/>
      <c r="K670" s="247"/>
      <c r="L670" s="247"/>
      <c r="M670" s="247"/>
    </row>
    <row r="671">
      <c r="A671" s="247"/>
      <c r="B671" s="247"/>
      <c r="C671" s="247"/>
      <c r="D671" s="247"/>
      <c r="E671" s="247"/>
      <c r="F671" s="247"/>
      <c r="G671" s="247"/>
      <c r="H671" s="247"/>
      <c r="I671" s="247"/>
      <c r="J671" s="247"/>
      <c r="K671" s="247"/>
      <c r="L671" s="247"/>
      <c r="M671" s="247"/>
    </row>
    <row r="672">
      <c r="A672" s="247"/>
      <c r="B672" s="247"/>
      <c r="C672" s="247"/>
      <c r="D672" s="247"/>
      <c r="E672" s="247"/>
      <c r="F672" s="247"/>
      <c r="G672" s="247"/>
      <c r="H672" s="247"/>
      <c r="I672" s="247"/>
      <c r="J672" s="247"/>
      <c r="K672" s="247"/>
      <c r="L672" s="247"/>
      <c r="M672" s="247"/>
    </row>
    <row r="673">
      <c r="A673" s="247"/>
      <c r="B673" s="247"/>
      <c r="C673" s="247"/>
      <c r="D673" s="247"/>
      <c r="E673" s="247"/>
      <c r="F673" s="247"/>
      <c r="G673" s="247"/>
      <c r="H673" s="247"/>
      <c r="I673" s="247"/>
      <c r="J673" s="247"/>
      <c r="K673" s="247"/>
      <c r="L673" s="247"/>
      <c r="M673" s="247"/>
    </row>
    <row r="674">
      <c r="A674" s="247"/>
      <c r="B674" s="247"/>
      <c r="C674" s="247"/>
      <c r="D674" s="247"/>
      <c r="E674" s="247"/>
      <c r="F674" s="247"/>
      <c r="G674" s="247"/>
      <c r="H674" s="247"/>
      <c r="I674" s="247"/>
      <c r="J674" s="247"/>
      <c r="K674" s="247"/>
      <c r="L674" s="247"/>
      <c r="M674" s="247"/>
    </row>
    <row r="675">
      <c r="A675" s="247"/>
      <c r="B675" s="247"/>
      <c r="C675" s="247"/>
      <c r="D675" s="247"/>
      <c r="E675" s="247"/>
      <c r="F675" s="247"/>
      <c r="G675" s="247"/>
      <c r="H675" s="247"/>
      <c r="I675" s="247"/>
      <c r="J675" s="247"/>
      <c r="K675" s="247"/>
      <c r="L675" s="247"/>
      <c r="M675" s="247"/>
    </row>
    <row r="676">
      <c r="A676" s="247"/>
      <c r="B676" s="247"/>
      <c r="C676" s="247"/>
      <c r="D676" s="247"/>
      <c r="E676" s="247"/>
      <c r="F676" s="247"/>
      <c r="G676" s="247"/>
      <c r="H676" s="247"/>
      <c r="I676" s="247"/>
      <c r="J676" s="247"/>
      <c r="K676" s="247"/>
      <c r="L676" s="247"/>
      <c r="M676" s="247"/>
    </row>
    <row r="677">
      <c r="A677" s="247"/>
      <c r="B677" s="247"/>
      <c r="C677" s="247"/>
      <c r="D677" s="247"/>
      <c r="E677" s="247"/>
      <c r="F677" s="247"/>
      <c r="G677" s="247"/>
      <c r="H677" s="247"/>
      <c r="I677" s="247"/>
      <c r="J677" s="247"/>
      <c r="K677" s="247"/>
      <c r="L677" s="247"/>
      <c r="M677" s="247"/>
    </row>
    <row r="678">
      <c r="A678" s="247"/>
      <c r="B678" s="247"/>
      <c r="C678" s="247"/>
      <c r="D678" s="247"/>
      <c r="E678" s="247"/>
      <c r="F678" s="247"/>
      <c r="G678" s="247"/>
      <c r="H678" s="247"/>
      <c r="I678" s="247"/>
      <c r="J678" s="247"/>
      <c r="K678" s="247"/>
      <c r="L678" s="247"/>
      <c r="M678" s="247"/>
    </row>
    <row r="679">
      <c r="A679" s="247"/>
      <c r="B679" s="247"/>
      <c r="C679" s="247"/>
      <c r="D679" s="247"/>
      <c r="E679" s="247"/>
      <c r="F679" s="247"/>
      <c r="G679" s="247"/>
      <c r="H679" s="247"/>
      <c r="I679" s="247"/>
      <c r="J679" s="247"/>
      <c r="K679" s="247"/>
      <c r="L679" s="247"/>
      <c r="M679" s="247"/>
    </row>
    <row r="680">
      <c r="A680" s="247"/>
      <c r="B680" s="247"/>
      <c r="C680" s="247"/>
      <c r="D680" s="247"/>
      <c r="E680" s="247"/>
      <c r="F680" s="247"/>
      <c r="G680" s="247"/>
      <c r="H680" s="247"/>
      <c r="I680" s="247"/>
      <c r="J680" s="247"/>
      <c r="K680" s="247"/>
      <c r="L680" s="247"/>
      <c r="M680" s="247"/>
    </row>
    <row r="681">
      <c r="A681" s="247"/>
      <c r="B681" s="247"/>
      <c r="C681" s="247"/>
      <c r="D681" s="247"/>
      <c r="E681" s="247"/>
      <c r="F681" s="247"/>
      <c r="G681" s="247"/>
      <c r="H681" s="247"/>
      <c r="I681" s="247"/>
      <c r="J681" s="247"/>
      <c r="K681" s="247"/>
      <c r="L681" s="247"/>
      <c r="M681" s="247"/>
    </row>
    <row r="682">
      <c r="A682" s="247"/>
      <c r="B682" s="247"/>
      <c r="C682" s="247"/>
      <c r="D682" s="247"/>
      <c r="E682" s="247"/>
      <c r="F682" s="247"/>
      <c r="G682" s="247"/>
      <c r="H682" s="247"/>
      <c r="I682" s="247"/>
      <c r="J682" s="247"/>
      <c r="K682" s="247"/>
      <c r="L682" s="247"/>
      <c r="M682" s="247"/>
    </row>
    <row r="683">
      <c r="A683" s="247"/>
      <c r="B683" s="247"/>
      <c r="C683" s="247"/>
      <c r="D683" s="247"/>
      <c r="E683" s="247"/>
      <c r="F683" s="247"/>
      <c r="G683" s="247"/>
      <c r="H683" s="247"/>
      <c r="I683" s="247"/>
      <c r="J683" s="247"/>
      <c r="K683" s="247"/>
      <c r="L683" s="247"/>
      <c r="M683" s="247"/>
    </row>
    <row r="684">
      <c r="A684" s="247"/>
      <c r="B684" s="247"/>
      <c r="C684" s="247"/>
      <c r="D684" s="247"/>
      <c r="E684" s="247"/>
      <c r="F684" s="247"/>
      <c r="G684" s="247"/>
      <c r="H684" s="247"/>
      <c r="I684" s="247"/>
      <c r="J684" s="247"/>
      <c r="K684" s="247"/>
      <c r="L684" s="247"/>
      <c r="M684" s="247"/>
    </row>
    <row r="685">
      <c r="A685" s="247"/>
      <c r="B685" s="247"/>
      <c r="C685" s="247"/>
      <c r="D685" s="247"/>
      <c r="E685" s="247"/>
      <c r="F685" s="247"/>
      <c r="G685" s="247"/>
      <c r="H685" s="247"/>
      <c r="I685" s="247"/>
      <c r="J685" s="247"/>
      <c r="K685" s="247"/>
      <c r="L685" s="247"/>
      <c r="M685" s="247"/>
    </row>
    <row r="686">
      <c r="A686" s="247"/>
      <c r="B686" s="247"/>
      <c r="C686" s="247"/>
      <c r="D686" s="247"/>
      <c r="E686" s="247"/>
      <c r="F686" s="247"/>
      <c r="G686" s="247"/>
      <c r="H686" s="247"/>
      <c r="I686" s="247"/>
      <c r="J686" s="247"/>
      <c r="K686" s="247"/>
      <c r="L686" s="247"/>
      <c r="M686" s="247"/>
    </row>
    <row r="687">
      <c r="A687" s="247"/>
      <c r="B687" s="247"/>
      <c r="C687" s="247"/>
      <c r="D687" s="247"/>
      <c r="E687" s="247"/>
      <c r="F687" s="247"/>
      <c r="G687" s="247"/>
      <c r="H687" s="247"/>
      <c r="I687" s="247"/>
      <c r="J687" s="247"/>
      <c r="K687" s="247"/>
      <c r="L687" s="247"/>
      <c r="M687" s="247"/>
    </row>
    <row r="688">
      <c r="A688" s="247"/>
      <c r="B688" s="247"/>
      <c r="C688" s="247"/>
      <c r="D688" s="247"/>
      <c r="E688" s="247"/>
      <c r="F688" s="247"/>
      <c r="G688" s="247"/>
      <c r="H688" s="247"/>
      <c r="I688" s="247"/>
      <c r="J688" s="247"/>
      <c r="K688" s="247"/>
      <c r="L688" s="247"/>
      <c r="M688" s="247"/>
    </row>
    <row r="689">
      <c r="A689" s="247"/>
      <c r="B689" s="247"/>
      <c r="C689" s="247"/>
      <c r="D689" s="247"/>
      <c r="E689" s="247"/>
      <c r="F689" s="247"/>
      <c r="G689" s="247"/>
      <c r="H689" s="247"/>
      <c r="I689" s="247"/>
      <c r="J689" s="247"/>
      <c r="K689" s="247"/>
      <c r="L689" s="247"/>
      <c r="M689" s="247"/>
    </row>
    <row r="690">
      <c r="A690" s="247"/>
      <c r="B690" s="247"/>
      <c r="C690" s="247"/>
      <c r="D690" s="247"/>
      <c r="E690" s="247"/>
      <c r="F690" s="247"/>
      <c r="G690" s="247"/>
      <c r="H690" s="247"/>
      <c r="I690" s="247"/>
      <c r="J690" s="247"/>
      <c r="K690" s="247"/>
      <c r="L690" s="247"/>
      <c r="M690" s="247"/>
    </row>
    <row r="691">
      <c r="A691" s="247"/>
      <c r="B691" s="247"/>
      <c r="C691" s="247"/>
      <c r="D691" s="247"/>
      <c r="E691" s="247"/>
      <c r="F691" s="247"/>
      <c r="G691" s="247"/>
      <c r="H691" s="247"/>
      <c r="I691" s="247"/>
      <c r="J691" s="247"/>
      <c r="K691" s="247"/>
      <c r="L691" s="247"/>
      <c r="M691" s="247"/>
    </row>
    <row r="692">
      <c r="A692" s="247"/>
      <c r="B692" s="247"/>
      <c r="C692" s="247"/>
      <c r="D692" s="247"/>
      <c r="E692" s="247"/>
      <c r="F692" s="247"/>
      <c r="G692" s="247"/>
      <c r="H692" s="247"/>
      <c r="I692" s="247"/>
      <c r="J692" s="247"/>
      <c r="K692" s="247"/>
      <c r="L692" s="247"/>
      <c r="M692" s="247"/>
    </row>
    <row r="693">
      <c r="A693" s="247"/>
      <c r="B693" s="247"/>
      <c r="C693" s="247"/>
      <c r="D693" s="247"/>
      <c r="E693" s="247"/>
      <c r="F693" s="247"/>
      <c r="G693" s="247"/>
      <c r="H693" s="247"/>
      <c r="I693" s="247"/>
      <c r="J693" s="247"/>
      <c r="K693" s="247"/>
      <c r="L693" s="247"/>
      <c r="M693" s="247"/>
    </row>
    <row r="694">
      <c r="A694" s="247"/>
      <c r="B694" s="247"/>
      <c r="C694" s="247"/>
      <c r="D694" s="247"/>
      <c r="E694" s="247"/>
      <c r="F694" s="247"/>
      <c r="G694" s="247"/>
      <c r="H694" s="247"/>
      <c r="I694" s="247"/>
      <c r="J694" s="247"/>
      <c r="K694" s="247"/>
      <c r="L694" s="247"/>
      <c r="M694" s="247"/>
    </row>
    <row r="695">
      <c r="A695" s="247"/>
      <c r="B695" s="247"/>
      <c r="C695" s="247"/>
      <c r="D695" s="247"/>
      <c r="E695" s="247"/>
      <c r="F695" s="247"/>
      <c r="G695" s="247"/>
      <c r="H695" s="247"/>
      <c r="I695" s="247"/>
      <c r="J695" s="247"/>
      <c r="K695" s="247"/>
      <c r="L695" s="247"/>
      <c r="M695" s="247"/>
    </row>
    <row r="696">
      <c r="A696" s="247"/>
      <c r="B696" s="247"/>
      <c r="C696" s="247"/>
      <c r="D696" s="247"/>
      <c r="E696" s="247"/>
      <c r="F696" s="247"/>
      <c r="G696" s="247"/>
      <c r="H696" s="247"/>
      <c r="I696" s="247"/>
      <c r="J696" s="247"/>
      <c r="K696" s="247"/>
      <c r="L696" s="247"/>
      <c r="M696" s="247"/>
    </row>
    <row r="697">
      <c r="A697" s="247"/>
      <c r="B697" s="247"/>
      <c r="C697" s="247"/>
      <c r="D697" s="247"/>
      <c r="E697" s="247"/>
      <c r="F697" s="247"/>
      <c r="G697" s="247"/>
      <c r="H697" s="247"/>
      <c r="I697" s="247"/>
      <c r="J697" s="247"/>
      <c r="K697" s="247"/>
      <c r="L697" s="247"/>
      <c r="M697" s="247"/>
    </row>
    <row r="698">
      <c r="A698" s="247"/>
      <c r="B698" s="247"/>
      <c r="C698" s="247"/>
      <c r="D698" s="247"/>
      <c r="E698" s="247"/>
      <c r="F698" s="247"/>
      <c r="G698" s="247"/>
      <c r="H698" s="247"/>
      <c r="I698" s="247"/>
      <c r="J698" s="247"/>
      <c r="K698" s="247"/>
      <c r="L698" s="247"/>
      <c r="M698" s="247"/>
    </row>
    <row r="699">
      <c r="A699" s="247"/>
      <c r="B699" s="247"/>
      <c r="C699" s="247"/>
      <c r="D699" s="247"/>
      <c r="E699" s="247"/>
      <c r="F699" s="247"/>
      <c r="G699" s="247"/>
      <c r="H699" s="247"/>
      <c r="I699" s="247"/>
      <c r="J699" s="247"/>
      <c r="K699" s="247"/>
      <c r="L699" s="247"/>
      <c r="M699" s="247"/>
    </row>
    <row r="700">
      <c r="A700" s="247"/>
      <c r="B700" s="247"/>
      <c r="C700" s="247"/>
      <c r="D700" s="247"/>
      <c r="E700" s="247"/>
      <c r="F700" s="247"/>
      <c r="G700" s="247"/>
      <c r="H700" s="247"/>
      <c r="I700" s="247"/>
      <c r="J700" s="247"/>
      <c r="K700" s="247"/>
      <c r="L700" s="247"/>
      <c r="M700" s="247"/>
    </row>
    <row r="701">
      <c r="A701" s="247"/>
      <c r="B701" s="247"/>
      <c r="C701" s="247"/>
      <c r="D701" s="247"/>
      <c r="E701" s="247"/>
      <c r="F701" s="247"/>
      <c r="G701" s="247"/>
      <c r="H701" s="247"/>
      <c r="I701" s="247"/>
      <c r="J701" s="247"/>
      <c r="K701" s="247"/>
      <c r="L701" s="247"/>
      <c r="M701" s="247"/>
    </row>
    <row r="702">
      <c r="A702" s="247"/>
      <c r="B702" s="247"/>
      <c r="C702" s="247"/>
      <c r="D702" s="247"/>
      <c r="E702" s="247"/>
      <c r="F702" s="247"/>
      <c r="G702" s="247"/>
      <c r="H702" s="247"/>
      <c r="I702" s="247"/>
      <c r="J702" s="247"/>
      <c r="K702" s="247"/>
      <c r="L702" s="247"/>
      <c r="M702" s="247"/>
    </row>
    <row r="703">
      <c r="A703" s="247"/>
      <c r="B703" s="247"/>
      <c r="C703" s="247"/>
      <c r="D703" s="247"/>
      <c r="E703" s="247"/>
      <c r="F703" s="247"/>
      <c r="G703" s="247"/>
      <c r="H703" s="247"/>
      <c r="I703" s="247"/>
      <c r="J703" s="247"/>
      <c r="K703" s="247"/>
      <c r="L703" s="247"/>
      <c r="M703" s="247"/>
    </row>
    <row r="704">
      <c r="A704" s="247"/>
      <c r="B704" s="247"/>
      <c r="C704" s="247"/>
      <c r="D704" s="247"/>
      <c r="E704" s="247"/>
      <c r="F704" s="247"/>
      <c r="G704" s="247"/>
      <c r="H704" s="247"/>
      <c r="I704" s="247"/>
      <c r="J704" s="247"/>
      <c r="K704" s="247"/>
      <c r="L704" s="247"/>
      <c r="M704" s="247"/>
    </row>
    <row r="705">
      <c r="A705" s="247"/>
      <c r="B705" s="247"/>
      <c r="C705" s="247"/>
      <c r="D705" s="247"/>
      <c r="E705" s="247"/>
      <c r="F705" s="247"/>
      <c r="G705" s="247"/>
      <c r="H705" s="247"/>
      <c r="I705" s="247"/>
      <c r="J705" s="247"/>
      <c r="K705" s="247"/>
      <c r="L705" s="247"/>
      <c r="M705" s="247"/>
    </row>
    <row r="706">
      <c r="A706" s="247"/>
      <c r="B706" s="247"/>
      <c r="C706" s="247"/>
      <c r="D706" s="247"/>
      <c r="E706" s="247"/>
      <c r="F706" s="247"/>
      <c r="G706" s="247"/>
      <c r="H706" s="247"/>
      <c r="I706" s="247"/>
      <c r="J706" s="247"/>
      <c r="K706" s="247"/>
      <c r="L706" s="247"/>
      <c r="M706" s="247"/>
    </row>
    <row r="707">
      <c r="A707" s="247"/>
      <c r="B707" s="247"/>
      <c r="C707" s="247"/>
      <c r="D707" s="247"/>
      <c r="E707" s="247"/>
      <c r="F707" s="247"/>
      <c r="G707" s="247"/>
      <c r="H707" s="247"/>
      <c r="I707" s="247"/>
      <c r="J707" s="247"/>
      <c r="K707" s="247"/>
      <c r="L707" s="247"/>
      <c r="M707" s="247"/>
    </row>
    <row r="708">
      <c r="A708" s="247"/>
      <c r="B708" s="247"/>
      <c r="C708" s="247"/>
      <c r="D708" s="247"/>
      <c r="E708" s="247"/>
      <c r="F708" s="247"/>
      <c r="G708" s="247"/>
      <c r="H708" s="247"/>
      <c r="I708" s="247"/>
      <c r="J708" s="247"/>
      <c r="K708" s="247"/>
      <c r="L708" s="247"/>
      <c r="M708" s="247"/>
    </row>
    <row r="709">
      <c r="A709" s="247"/>
      <c r="B709" s="247"/>
      <c r="C709" s="247"/>
      <c r="D709" s="247"/>
      <c r="E709" s="247"/>
      <c r="F709" s="247"/>
      <c r="G709" s="247"/>
      <c r="H709" s="247"/>
      <c r="I709" s="247"/>
      <c r="J709" s="247"/>
      <c r="K709" s="247"/>
      <c r="L709" s="247"/>
      <c r="M709" s="247"/>
    </row>
    <row r="710">
      <c r="A710" s="247"/>
      <c r="B710" s="247"/>
      <c r="C710" s="247"/>
      <c r="D710" s="247"/>
      <c r="E710" s="247"/>
      <c r="F710" s="247"/>
      <c r="G710" s="247"/>
      <c r="H710" s="247"/>
      <c r="I710" s="247"/>
      <c r="J710" s="247"/>
      <c r="K710" s="247"/>
      <c r="L710" s="247"/>
      <c r="M710" s="247"/>
    </row>
    <row r="711">
      <c r="A711" s="247"/>
      <c r="B711" s="247"/>
      <c r="C711" s="247"/>
      <c r="D711" s="247"/>
      <c r="E711" s="247"/>
      <c r="F711" s="247"/>
      <c r="G711" s="247"/>
      <c r="H711" s="247"/>
      <c r="I711" s="247"/>
      <c r="J711" s="247"/>
      <c r="K711" s="247"/>
      <c r="L711" s="247"/>
      <c r="M711" s="247"/>
    </row>
    <row r="712">
      <c r="A712" s="247"/>
      <c r="B712" s="247"/>
      <c r="C712" s="247"/>
      <c r="D712" s="247"/>
      <c r="E712" s="247"/>
      <c r="F712" s="247"/>
      <c r="G712" s="247"/>
      <c r="H712" s="247"/>
      <c r="I712" s="247"/>
      <c r="J712" s="247"/>
      <c r="K712" s="247"/>
      <c r="L712" s="247"/>
      <c r="M712" s="247"/>
    </row>
    <row r="713">
      <c r="A713" s="247"/>
      <c r="B713" s="247"/>
      <c r="C713" s="247"/>
      <c r="D713" s="247"/>
      <c r="E713" s="247"/>
      <c r="F713" s="247"/>
      <c r="G713" s="247"/>
      <c r="H713" s="247"/>
      <c r="I713" s="247"/>
      <c r="J713" s="247"/>
      <c r="K713" s="247"/>
      <c r="L713" s="247"/>
      <c r="M713" s="247"/>
    </row>
    <row r="714">
      <c r="A714" s="247"/>
      <c r="B714" s="247"/>
      <c r="C714" s="247"/>
      <c r="D714" s="247"/>
      <c r="E714" s="247"/>
      <c r="F714" s="247"/>
      <c r="G714" s="247"/>
      <c r="H714" s="247"/>
      <c r="I714" s="247"/>
      <c r="J714" s="247"/>
      <c r="K714" s="247"/>
      <c r="L714" s="247"/>
      <c r="M714" s="247"/>
    </row>
    <row r="715">
      <c r="A715" s="247"/>
      <c r="B715" s="247"/>
      <c r="C715" s="247"/>
      <c r="D715" s="247"/>
      <c r="E715" s="247"/>
      <c r="F715" s="247"/>
      <c r="G715" s="247"/>
      <c r="H715" s="247"/>
      <c r="I715" s="247"/>
      <c r="J715" s="247"/>
      <c r="K715" s="247"/>
      <c r="L715" s="247"/>
      <c r="M715" s="247"/>
    </row>
    <row r="716">
      <c r="A716" s="247"/>
      <c r="B716" s="247"/>
      <c r="C716" s="247"/>
      <c r="D716" s="247"/>
      <c r="E716" s="247"/>
      <c r="F716" s="247"/>
      <c r="G716" s="247"/>
      <c r="H716" s="247"/>
      <c r="I716" s="247"/>
      <c r="J716" s="247"/>
      <c r="K716" s="247"/>
      <c r="L716" s="247"/>
      <c r="M716" s="247"/>
    </row>
    <row r="717">
      <c r="A717" s="247"/>
      <c r="B717" s="247"/>
      <c r="C717" s="247"/>
      <c r="D717" s="247"/>
      <c r="E717" s="247"/>
      <c r="F717" s="247"/>
      <c r="G717" s="247"/>
      <c r="H717" s="247"/>
      <c r="I717" s="247"/>
      <c r="J717" s="247"/>
      <c r="K717" s="247"/>
      <c r="L717" s="247"/>
      <c r="M717" s="247"/>
    </row>
    <row r="718">
      <c r="A718" s="247"/>
      <c r="B718" s="247"/>
      <c r="C718" s="247"/>
      <c r="D718" s="247"/>
      <c r="E718" s="247"/>
      <c r="F718" s="247"/>
      <c r="G718" s="247"/>
      <c r="H718" s="247"/>
      <c r="I718" s="247"/>
      <c r="J718" s="247"/>
      <c r="K718" s="247"/>
      <c r="L718" s="247"/>
      <c r="M718" s="247"/>
    </row>
    <row r="719">
      <c r="A719" s="247"/>
      <c r="B719" s="247"/>
      <c r="C719" s="247"/>
      <c r="D719" s="247"/>
      <c r="E719" s="247"/>
      <c r="F719" s="247"/>
      <c r="G719" s="247"/>
      <c r="H719" s="247"/>
      <c r="I719" s="247"/>
      <c r="J719" s="247"/>
      <c r="K719" s="247"/>
      <c r="L719" s="247"/>
      <c r="M719" s="247"/>
    </row>
    <row r="720">
      <c r="A720" s="247"/>
      <c r="B720" s="247"/>
      <c r="C720" s="247"/>
      <c r="D720" s="247"/>
      <c r="E720" s="247"/>
      <c r="F720" s="247"/>
      <c r="G720" s="247"/>
      <c r="H720" s="247"/>
      <c r="I720" s="247"/>
      <c r="J720" s="247"/>
      <c r="K720" s="247"/>
      <c r="L720" s="247"/>
      <c r="M720" s="247"/>
    </row>
    <row r="721">
      <c r="A721" s="247"/>
      <c r="B721" s="247"/>
      <c r="C721" s="247"/>
      <c r="D721" s="247"/>
      <c r="E721" s="247"/>
      <c r="F721" s="247"/>
      <c r="G721" s="247"/>
      <c r="H721" s="247"/>
      <c r="I721" s="247"/>
      <c r="J721" s="247"/>
      <c r="K721" s="247"/>
      <c r="L721" s="247"/>
      <c r="M721" s="247"/>
    </row>
    <row r="722">
      <c r="A722" s="247"/>
      <c r="B722" s="247"/>
      <c r="C722" s="247"/>
      <c r="D722" s="247"/>
      <c r="E722" s="247"/>
      <c r="F722" s="247"/>
      <c r="G722" s="247"/>
      <c r="H722" s="247"/>
      <c r="I722" s="247"/>
      <c r="J722" s="247"/>
      <c r="K722" s="247"/>
      <c r="L722" s="247"/>
      <c r="M722" s="247"/>
    </row>
    <row r="723">
      <c r="A723" s="247"/>
      <c r="B723" s="247"/>
      <c r="C723" s="247"/>
      <c r="D723" s="247"/>
      <c r="E723" s="247"/>
      <c r="F723" s="247"/>
      <c r="G723" s="247"/>
      <c r="H723" s="247"/>
      <c r="I723" s="247"/>
      <c r="J723" s="247"/>
      <c r="K723" s="247"/>
      <c r="L723" s="247"/>
      <c r="M723" s="247"/>
    </row>
    <row r="724">
      <c r="A724" s="247"/>
      <c r="B724" s="247"/>
      <c r="C724" s="247"/>
      <c r="D724" s="247"/>
      <c r="E724" s="247"/>
      <c r="F724" s="247"/>
      <c r="G724" s="247"/>
      <c r="H724" s="247"/>
      <c r="I724" s="247"/>
      <c r="J724" s="247"/>
      <c r="K724" s="247"/>
      <c r="L724" s="247"/>
      <c r="M724" s="247"/>
    </row>
    <row r="725">
      <c r="A725" s="247"/>
      <c r="B725" s="247"/>
      <c r="C725" s="247"/>
      <c r="D725" s="247"/>
      <c r="E725" s="247"/>
      <c r="F725" s="247"/>
      <c r="G725" s="247"/>
      <c r="H725" s="247"/>
      <c r="I725" s="247"/>
      <c r="J725" s="247"/>
      <c r="K725" s="247"/>
      <c r="L725" s="247"/>
      <c r="M725" s="247"/>
    </row>
    <row r="726">
      <c r="A726" s="247"/>
      <c r="B726" s="247"/>
      <c r="C726" s="247"/>
      <c r="D726" s="247"/>
      <c r="E726" s="247"/>
      <c r="F726" s="247"/>
      <c r="G726" s="247"/>
      <c r="H726" s="247"/>
      <c r="I726" s="247"/>
      <c r="J726" s="247"/>
      <c r="K726" s="247"/>
      <c r="L726" s="247"/>
      <c r="M726" s="247"/>
    </row>
    <row r="727">
      <c r="A727" s="247"/>
      <c r="B727" s="247"/>
      <c r="C727" s="247"/>
      <c r="D727" s="247"/>
      <c r="E727" s="247"/>
      <c r="F727" s="247"/>
      <c r="G727" s="247"/>
      <c r="H727" s="247"/>
      <c r="I727" s="247"/>
      <c r="J727" s="247"/>
      <c r="K727" s="247"/>
      <c r="L727" s="247"/>
      <c r="M727" s="247"/>
    </row>
    <row r="728">
      <c r="A728" s="247"/>
      <c r="B728" s="247"/>
      <c r="C728" s="247"/>
      <c r="D728" s="247"/>
      <c r="E728" s="247"/>
      <c r="F728" s="247"/>
      <c r="G728" s="247"/>
      <c r="H728" s="247"/>
      <c r="I728" s="247"/>
      <c r="J728" s="247"/>
      <c r="K728" s="247"/>
      <c r="L728" s="247"/>
      <c r="M728" s="247"/>
    </row>
    <row r="729">
      <c r="A729" s="247"/>
      <c r="B729" s="247"/>
      <c r="C729" s="247"/>
      <c r="D729" s="247"/>
      <c r="E729" s="247"/>
      <c r="F729" s="247"/>
      <c r="G729" s="247"/>
      <c r="H729" s="247"/>
      <c r="I729" s="247"/>
      <c r="J729" s="247"/>
      <c r="K729" s="247"/>
      <c r="L729" s="247"/>
      <c r="M729" s="247"/>
    </row>
    <row r="730">
      <c r="A730" s="247"/>
      <c r="B730" s="247"/>
      <c r="C730" s="247"/>
      <c r="D730" s="247"/>
      <c r="E730" s="247"/>
      <c r="F730" s="247"/>
      <c r="G730" s="247"/>
      <c r="H730" s="247"/>
      <c r="I730" s="247"/>
      <c r="J730" s="247"/>
      <c r="K730" s="247"/>
      <c r="L730" s="247"/>
      <c r="M730" s="247"/>
    </row>
    <row r="731">
      <c r="A731" s="247"/>
      <c r="B731" s="247"/>
      <c r="C731" s="247"/>
      <c r="D731" s="247"/>
      <c r="E731" s="247"/>
      <c r="F731" s="247"/>
      <c r="G731" s="247"/>
      <c r="H731" s="247"/>
      <c r="I731" s="247"/>
      <c r="J731" s="247"/>
      <c r="K731" s="247"/>
      <c r="L731" s="247"/>
      <c r="M731" s="247"/>
    </row>
    <row r="732">
      <c r="A732" s="247"/>
      <c r="B732" s="247"/>
      <c r="C732" s="247"/>
      <c r="D732" s="247"/>
      <c r="E732" s="247"/>
      <c r="F732" s="247"/>
      <c r="G732" s="247"/>
      <c r="H732" s="247"/>
      <c r="I732" s="247"/>
      <c r="J732" s="247"/>
      <c r="K732" s="247"/>
      <c r="L732" s="247"/>
      <c r="M732" s="247"/>
    </row>
    <row r="733">
      <c r="A733" s="247"/>
      <c r="B733" s="247"/>
      <c r="C733" s="247"/>
      <c r="D733" s="247"/>
      <c r="E733" s="247"/>
      <c r="F733" s="247"/>
      <c r="G733" s="247"/>
      <c r="H733" s="247"/>
      <c r="I733" s="247"/>
      <c r="J733" s="247"/>
      <c r="K733" s="247"/>
      <c r="L733" s="247"/>
      <c r="M733" s="247"/>
    </row>
    <row r="734">
      <c r="A734" s="247"/>
      <c r="B734" s="247"/>
      <c r="C734" s="247"/>
      <c r="D734" s="247"/>
      <c r="E734" s="247"/>
      <c r="F734" s="247"/>
      <c r="G734" s="247"/>
      <c r="H734" s="247"/>
      <c r="I734" s="247"/>
      <c r="J734" s="247"/>
      <c r="K734" s="247"/>
      <c r="L734" s="247"/>
      <c r="M734" s="247"/>
    </row>
    <row r="735">
      <c r="A735" s="247"/>
      <c r="B735" s="247"/>
      <c r="C735" s="247"/>
      <c r="D735" s="247"/>
      <c r="E735" s="247"/>
      <c r="F735" s="247"/>
      <c r="G735" s="247"/>
      <c r="H735" s="247"/>
      <c r="I735" s="247"/>
      <c r="J735" s="247"/>
      <c r="K735" s="247"/>
      <c r="L735" s="247"/>
      <c r="M735" s="247"/>
    </row>
    <row r="736">
      <c r="A736" s="247"/>
      <c r="B736" s="247"/>
      <c r="C736" s="247"/>
      <c r="D736" s="247"/>
      <c r="E736" s="247"/>
      <c r="F736" s="247"/>
      <c r="G736" s="247"/>
      <c r="H736" s="247"/>
      <c r="I736" s="247"/>
      <c r="J736" s="247"/>
      <c r="K736" s="247"/>
      <c r="L736" s="247"/>
      <c r="M736" s="247"/>
    </row>
    <row r="737">
      <c r="A737" s="247"/>
      <c r="B737" s="247"/>
      <c r="C737" s="247"/>
      <c r="D737" s="247"/>
      <c r="E737" s="247"/>
      <c r="F737" s="247"/>
      <c r="G737" s="247"/>
      <c r="H737" s="247"/>
      <c r="I737" s="247"/>
      <c r="J737" s="247"/>
      <c r="K737" s="247"/>
      <c r="L737" s="247"/>
      <c r="M737" s="247"/>
    </row>
    <row r="738">
      <c r="A738" s="247"/>
      <c r="B738" s="247"/>
      <c r="C738" s="247"/>
      <c r="D738" s="247"/>
      <c r="E738" s="247"/>
      <c r="F738" s="247"/>
      <c r="G738" s="247"/>
      <c r="H738" s="247"/>
      <c r="I738" s="247"/>
      <c r="J738" s="247"/>
      <c r="K738" s="247"/>
      <c r="L738" s="247"/>
      <c r="M738" s="247"/>
    </row>
    <row r="739">
      <c r="A739" s="247"/>
      <c r="B739" s="247"/>
      <c r="C739" s="247"/>
      <c r="D739" s="247"/>
      <c r="E739" s="247"/>
      <c r="F739" s="247"/>
      <c r="G739" s="247"/>
      <c r="H739" s="247"/>
      <c r="I739" s="247"/>
      <c r="J739" s="247"/>
      <c r="K739" s="247"/>
      <c r="L739" s="247"/>
      <c r="M739" s="247"/>
    </row>
    <row r="740">
      <c r="A740" s="247"/>
      <c r="B740" s="247"/>
      <c r="C740" s="247"/>
      <c r="D740" s="247"/>
      <c r="E740" s="247"/>
      <c r="F740" s="247"/>
      <c r="G740" s="247"/>
      <c r="H740" s="247"/>
      <c r="I740" s="247"/>
      <c r="J740" s="247"/>
      <c r="K740" s="247"/>
      <c r="L740" s="247"/>
      <c r="M740" s="247"/>
    </row>
    <row r="741">
      <c r="A741" s="247"/>
      <c r="B741" s="247"/>
      <c r="C741" s="247"/>
      <c r="D741" s="247"/>
      <c r="E741" s="247"/>
      <c r="F741" s="247"/>
      <c r="G741" s="247"/>
      <c r="H741" s="247"/>
      <c r="I741" s="247"/>
      <c r="J741" s="247"/>
      <c r="K741" s="247"/>
      <c r="L741" s="247"/>
      <c r="M741" s="247"/>
    </row>
    <row r="742">
      <c r="A742" s="247"/>
      <c r="B742" s="247"/>
      <c r="C742" s="247"/>
      <c r="D742" s="247"/>
      <c r="E742" s="247"/>
      <c r="F742" s="247"/>
      <c r="G742" s="247"/>
      <c r="H742" s="247"/>
      <c r="I742" s="247"/>
      <c r="J742" s="247"/>
      <c r="K742" s="247"/>
      <c r="L742" s="247"/>
      <c r="M742" s="247"/>
    </row>
    <row r="743">
      <c r="A743" s="247"/>
      <c r="B743" s="247"/>
      <c r="C743" s="247"/>
      <c r="D743" s="247"/>
      <c r="E743" s="247"/>
      <c r="F743" s="247"/>
      <c r="G743" s="247"/>
      <c r="H743" s="247"/>
      <c r="I743" s="247"/>
      <c r="J743" s="247"/>
      <c r="K743" s="247"/>
      <c r="L743" s="247"/>
      <c r="M743" s="247"/>
    </row>
    <row r="744">
      <c r="A744" s="247"/>
      <c r="B744" s="247"/>
      <c r="C744" s="247"/>
      <c r="D744" s="247"/>
      <c r="E744" s="247"/>
      <c r="F744" s="247"/>
      <c r="G744" s="247"/>
      <c r="H744" s="247"/>
      <c r="I744" s="247"/>
      <c r="J744" s="247"/>
      <c r="K744" s="247"/>
      <c r="L744" s="247"/>
      <c r="M744" s="247"/>
    </row>
    <row r="745">
      <c r="A745" s="247"/>
      <c r="B745" s="247"/>
      <c r="C745" s="247"/>
      <c r="D745" s="247"/>
      <c r="E745" s="247"/>
      <c r="F745" s="247"/>
      <c r="G745" s="247"/>
      <c r="H745" s="247"/>
      <c r="I745" s="247"/>
      <c r="J745" s="247"/>
      <c r="K745" s="247"/>
      <c r="L745" s="247"/>
      <c r="M745" s="247"/>
    </row>
    <row r="746">
      <c r="A746" s="247"/>
      <c r="B746" s="247"/>
      <c r="C746" s="247"/>
      <c r="D746" s="247"/>
      <c r="E746" s="247"/>
      <c r="F746" s="247"/>
      <c r="G746" s="247"/>
      <c r="H746" s="247"/>
      <c r="I746" s="247"/>
      <c r="J746" s="247"/>
      <c r="K746" s="247"/>
      <c r="L746" s="247"/>
      <c r="M746" s="247"/>
    </row>
    <row r="747">
      <c r="A747" s="247"/>
      <c r="B747" s="247"/>
      <c r="C747" s="247"/>
      <c r="D747" s="247"/>
      <c r="E747" s="247"/>
      <c r="F747" s="247"/>
      <c r="G747" s="247"/>
      <c r="H747" s="247"/>
      <c r="I747" s="247"/>
      <c r="J747" s="247"/>
      <c r="K747" s="247"/>
      <c r="L747" s="247"/>
      <c r="M747" s="247"/>
    </row>
    <row r="748">
      <c r="A748" s="247"/>
      <c r="B748" s="247"/>
      <c r="C748" s="247"/>
      <c r="D748" s="247"/>
      <c r="E748" s="247"/>
      <c r="F748" s="247"/>
      <c r="G748" s="247"/>
      <c r="H748" s="247"/>
      <c r="I748" s="247"/>
      <c r="J748" s="247"/>
      <c r="K748" s="247"/>
      <c r="L748" s="247"/>
      <c r="M748" s="247"/>
    </row>
    <row r="749">
      <c r="A749" s="247"/>
      <c r="B749" s="247"/>
      <c r="C749" s="247"/>
      <c r="D749" s="247"/>
      <c r="E749" s="247"/>
      <c r="F749" s="247"/>
      <c r="G749" s="247"/>
      <c r="H749" s="247"/>
      <c r="I749" s="247"/>
      <c r="J749" s="247"/>
      <c r="K749" s="247"/>
      <c r="L749" s="247"/>
      <c r="M749" s="247"/>
    </row>
    <row r="750">
      <c r="A750" s="247"/>
      <c r="B750" s="247"/>
      <c r="C750" s="247"/>
      <c r="D750" s="247"/>
      <c r="E750" s="247"/>
      <c r="F750" s="247"/>
      <c r="G750" s="247"/>
      <c r="H750" s="247"/>
      <c r="I750" s="247"/>
      <c r="J750" s="247"/>
      <c r="K750" s="247"/>
      <c r="L750" s="247"/>
      <c r="M750" s="247"/>
    </row>
    <row r="751">
      <c r="A751" s="247"/>
      <c r="B751" s="247"/>
      <c r="C751" s="247"/>
      <c r="D751" s="247"/>
      <c r="E751" s="247"/>
      <c r="F751" s="247"/>
      <c r="G751" s="247"/>
      <c r="H751" s="247"/>
      <c r="I751" s="247"/>
      <c r="J751" s="247"/>
      <c r="K751" s="247"/>
      <c r="L751" s="247"/>
      <c r="M751" s="247"/>
    </row>
    <row r="752">
      <c r="A752" s="247"/>
      <c r="B752" s="247"/>
      <c r="C752" s="247"/>
      <c r="D752" s="247"/>
      <c r="E752" s="247"/>
      <c r="F752" s="247"/>
      <c r="G752" s="247"/>
      <c r="H752" s="247"/>
      <c r="I752" s="247"/>
      <c r="J752" s="247"/>
      <c r="K752" s="247"/>
      <c r="L752" s="247"/>
      <c r="M752" s="247"/>
    </row>
    <row r="753">
      <c r="A753" s="247"/>
      <c r="B753" s="247"/>
      <c r="C753" s="247"/>
      <c r="D753" s="247"/>
      <c r="E753" s="247"/>
      <c r="F753" s="247"/>
      <c r="G753" s="247"/>
      <c r="H753" s="247"/>
      <c r="I753" s="247"/>
      <c r="J753" s="247"/>
      <c r="K753" s="247"/>
      <c r="L753" s="247"/>
      <c r="M753" s="247"/>
    </row>
    <row r="754">
      <c r="A754" s="247"/>
      <c r="B754" s="247"/>
      <c r="C754" s="247"/>
      <c r="D754" s="247"/>
      <c r="E754" s="247"/>
      <c r="F754" s="247"/>
      <c r="G754" s="247"/>
      <c r="H754" s="247"/>
      <c r="I754" s="247"/>
      <c r="J754" s="247"/>
      <c r="K754" s="247"/>
      <c r="L754" s="247"/>
      <c r="M754" s="247"/>
    </row>
    <row r="755">
      <c r="A755" s="247"/>
      <c r="B755" s="247"/>
      <c r="C755" s="247"/>
      <c r="D755" s="247"/>
      <c r="E755" s="247"/>
      <c r="F755" s="247"/>
      <c r="G755" s="247"/>
      <c r="H755" s="247"/>
      <c r="I755" s="247"/>
      <c r="J755" s="247"/>
      <c r="K755" s="247"/>
      <c r="L755" s="247"/>
      <c r="M755" s="247"/>
    </row>
    <row r="756">
      <c r="A756" s="247"/>
      <c r="B756" s="247"/>
      <c r="C756" s="247"/>
      <c r="D756" s="247"/>
      <c r="E756" s="247"/>
      <c r="F756" s="247"/>
      <c r="G756" s="247"/>
      <c r="H756" s="247"/>
      <c r="I756" s="247"/>
      <c r="J756" s="247"/>
      <c r="K756" s="247"/>
      <c r="L756" s="247"/>
      <c r="M756" s="247"/>
    </row>
    <row r="757">
      <c r="A757" s="247"/>
      <c r="B757" s="247"/>
      <c r="C757" s="247"/>
      <c r="D757" s="247"/>
      <c r="E757" s="247"/>
      <c r="F757" s="247"/>
      <c r="G757" s="247"/>
      <c r="H757" s="247"/>
      <c r="I757" s="247"/>
      <c r="J757" s="247"/>
      <c r="K757" s="247"/>
      <c r="L757" s="247"/>
      <c r="M757" s="247"/>
    </row>
    <row r="758">
      <c r="A758" s="247"/>
      <c r="B758" s="247"/>
      <c r="C758" s="247"/>
      <c r="D758" s="247"/>
      <c r="E758" s="247"/>
      <c r="F758" s="247"/>
      <c r="G758" s="247"/>
      <c r="H758" s="247"/>
      <c r="I758" s="247"/>
      <c r="J758" s="247"/>
      <c r="K758" s="247"/>
      <c r="L758" s="247"/>
      <c r="M758" s="247"/>
    </row>
    <row r="759">
      <c r="A759" s="247"/>
      <c r="B759" s="247"/>
      <c r="C759" s="247"/>
      <c r="D759" s="247"/>
      <c r="E759" s="247"/>
      <c r="F759" s="247"/>
      <c r="G759" s="247"/>
      <c r="H759" s="247"/>
      <c r="I759" s="247"/>
      <c r="J759" s="247"/>
      <c r="K759" s="247"/>
      <c r="L759" s="247"/>
      <c r="M759" s="247"/>
    </row>
    <row r="760">
      <c r="A760" s="247"/>
      <c r="B760" s="247"/>
      <c r="C760" s="247"/>
      <c r="D760" s="247"/>
      <c r="E760" s="247"/>
      <c r="F760" s="247"/>
      <c r="G760" s="247"/>
      <c r="H760" s="247"/>
      <c r="I760" s="247"/>
      <c r="J760" s="247"/>
      <c r="K760" s="247"/>
      <c r="L760" s="247"/>
      <c r="M760" s="247"/>
    </row>
    <row r="761">
      <c r="A761" s="247"/>
      <c r="B761" s="247"/>
      <c r="C761" s="247"/>
      <c r="D761" s="247"/>
      <c r="E761" s="247"/>
      <c r="F761" s="247"/>
      <c r="G761" s="247"/>
      <c r="H761" s="247"/>
      <c r="I761" s="247"/>
      <c r="J761" s="247"/>
      <c r="K761" s="247"/>
      <c r="L761" s="247"/>
      <c r="M761" s="247"/>
    </row>
    <row r="762">
      <c r="A762" s="247"/>
      <c r="B762" s="247"/>
      <c r="C762" s="247"/>
      <c r="D762" s="247"/>
      <c r="E762" s="247"/>
      <c r="F762" s="247"/>
      <c r="G762" s="247"/>
      <c r="H762" s="247"/>
      <c r="I762" s="247"/>
      <c r="J762" s="247"/>
      <c r="K762" s="247"/>
      <c r="L762" s="247"/>
      <c r="M762" s="247"/>
    </row>
    <row r="763">
      <c r="A763" s="247"/>
      <c r="B763" s="247"/>
      <c r="C763" s="247"/>
      <c r="D763" s="247"/>
      <c r="E763" s="247"/>
      <c r="F763" s="247"/>
      <c r="G763" s="247"/>
      <c r="H763" s="247"/>
      <c r="I763" s="247"/>
      <c r="J763" s="247"/>
      <c r="K763" s="247"/>
      <c r="L763" s="247"/>
      <c r="M763" s="247"/>
    </row>
    <row r="764">
      <c r="A764" s="247"/>
      <c r="B764" s="247"/>
      <c r="C764" s="247"/>
      <c r="D764" s="247"/>
      <c r="E764" s="247"/>
      <c r="F764" s="247"/>
      <c r="G764" s="247"/>
      <c r="H764" s="247"/>
      <c r="I764" s="247"/>
      <c r="J764" s="247"/>
      <c r="K764" s="247"/>
      <c r="L764" s="247"/>
      <c r="M764" s="247"/>
    </row>
    <row r="765">
      <c r="A765" s="247"/>
      <c r="B765" s="247"/>
      <c r="C765" s="247"/>
      <c r="D765" s="247"/>
      <c r="E765" s="247"/>
      <c r="F765" s="247"/>
      <c r="G765" s="247"/>
      <c r="H765" s="247"/>
      <c r="I765" s="247"/>
      <c r="J765" s="247"/>
      <c r="K765" s="247"/>
      <c r="L765" s="247"/>
      <c r="M765" s="247"/>
    </row>
    <row r="766">
      <c r="A766" s="247"/>
      <c r="B766" s="247"/>
      <c r="C766" s="247"/>
      <c r="D766" s="247"/>
      <c r="E766" s="247"/>
      <c r="F766" s="247"/>
      <c r="G766" s="247"/>
      <c r="H766" s="247"/>
      <c r="I766" s="247"/>
      <c r="J766" s="247"/>
      <c r="K766" s="247"/>
      <c r="L766" s="247"/>
      <c r="M766" s="247"/>
    </row>
    <row r="767">
      <c r="A767" s="247"/>
      <c r="B767" s="247"/>
      <c r="C767" s="247"/>
      <c r="D767" s="247"/>
      <c r="E767" s="247"/>
      <c r="F767" s="247"/>
      <c r="G767" s="247"/>
      <c r="H767" s="247"/>
      <c r="I767" s="247"/>
      <c r="J767" s="247"/>
      <c r="K767" s="247"/>
      <c r="L767" s="247"/>
      <c r="M767" s="247"/>
    </row>
    <row r="768">
      <c r="A768" s="247"/>
      <c r="B768" s="247"/>
      <c r="C768" s="247"/>
      <c r="D768" s="247"/>
      <c r="E768" s="247"/>
      <c r="F768" s="247"/>
      <c r="G768" s="247"/>
      <c r="H768" s="247"/>
      <c r="I768" s="247"/>
      <c r="J768" s="247"/>
      <c r="K768" s="247"/>
      <c r="L768" s="247"/>
      <c r="M768" s="247"/>
    </row>
    <row r="769">
      <c r="A769" s="247"/>
      <c r="B769" s="247"/>
      <c r="C769" s="247"/>
      <c r="D769" s="247"/>
      <c r="E769" s="247"/>
      <c r="F769" s="247"/>
      <c r="G769" s="247"/>
      <c r="H769" s="247"/>
      <c r="I769" s="247"/>
      <c r="J769" s="247"/>
      <c r="K769" s="247"/>
      <c r="L769" s="247"/>
      <c r="M769" s="247"/>
    </row>
    <row r="770">
      <c r="A770" s="247"/>
      <c r="B770" s="247"/>
      <c r="C770" s="247"/>
      <c r="D770" s="247"/>
      <c r="E770" s="247"/>
      <c r="F770" s="247"/>
      <c r="G770" s="247"/>
      <c r="H770" s="247"/>
      <c r="I770" s="247"/>
      <c r="J770" s="247"/>
      <c r="K770" s="247"/>
      <c r="L770" s="247"/>
      <c r="M770" s="247"/>
    </row>
    <row r="771">
      <c r="A771" s="247"/>
      <c r="B771" s="247"/>
      <c r="C771" s="247"/>
      <c r="D771" s="247"/>
      <c r="E771" s="247"/>
      <c r="F771" s="247"/>
      <c r="G771" s="247"/>
      <c r="H771" s="247"/>
      <c r="I771" s="247"/>
      <c r="J771" s="247"/>
      <c r="K771" s="247"/>
      <c r="L771" s="247"/>
      <c r="M771" s="247"/>
    </row>
    <row r="772">
      <c r="A772" s="247"/>
      <c r="B772" s="247"/>
      <c r="C772" s="247"/>
      <c r="D772" s="247"/>
      <c r="E772" s="247"/>
      <c r="F772" s="247"/>
      <c r="G772" s="247"/>
      <c r="H772" s="247"/>
      <c r="I772" s="247"/>
      <c r="J772" s="247"/>
      <c r="K772" s="247"/>
      <c r="L772" s="247"/>
      <c r="M772" s="247"/>
    </row>
    <row r="773">
      <c r="A773" s="247"/>
      <c r="B773" s="247"/>
      <c r="C773" s="247"/>
      <c r="D773" s="247"/>
      <c r="E773" s="247"/>
      <c r="F773" s="247"/>
      <c r="G773" s="247"/>
      <c r="H773" s="247"/>
      <c r="I773" s="247"/>
      <c r="J773" s="247"/>
      <c r="K773" s="247"/>
      <c r="L773" s="247"/>
      <c r="M773" s="247"/>
    </row>
    <row r="774">
      <c r="A774" s="247"/>
      <c r="B774" s="247"/>
      <c r="C774" s="247"/>
      <c r="D774" s="247"/>
      <c r="E774" s="247"/>
      <c r="F774" s="247"/>
      <c r="G774" s="247"/>
      <c r="H774" s="247"/>
      <c r="I774" s="247"/>
      <c r="J774" s="247"/>
      <c r="K774" s="247"/>
      <c r="L774" s="247"/>
      <c r="M774" s="247"/>
    </row>
    <row r="775">
      <c r="A775" s="247"/>
      <c r="B775" s="247"/>
      <c r="C775" s="247"/>
      <c r="D775" s="247"/>
      <c r="E775" s="247"/>
      <c r="F775" s="247"/>
      <c r="G775" s="247"/>
      <c r="H775" s="247"/>
      <c r="I775" s="247"/>
      <c r="J775" s="247"/>
      <c r="K775" s="247"/>
      <c r="L775" s="247"/>
      <c r="M775" s="247"/>
    </row>
    <row r="776">
      <c r="A776" s="247"/>
      <c r="B776" s="247"/>
      <c r="C776" s="247"/>
      <c r="D776" s="247"/>
      <c r="E776" s="247"/>
      <c r="F776" s="247"/>
      <c r="G776" s="247"/>
      <c r="H776" s="247"/>
      <c r="I776" s="247"/>
      <c r="J776" s="247"/>
      <c r="K776" s="247"/>
      <c r="L776" s="247"/>
      <c r="M776" s="247"/>
    </row>
    <row r="777">
      <c r="A777" s="247"/>
      <c r="B777" s="247"/>
      <c r="C777" s="247"/>
      <c r="D777" s="247"/>
      <c r="E777" s="247"/>
      <c r="F777" s="247"/>
      <c r="G777" s="247"/>
      <c r="H777" s="247"/>
      <c r="I777" s="247"/>
      <c r="J777" s="247"/>
      <c r="K777" s="247"/>
      <c r="L777" s="247"/>
      <c r="M777" s="247"/>
    </row>
    <row r="778">
      <c r="A778" s="247"/>
      <c r="B778" s="247"/>
      <c r="C778" s="247"/>
      <c r="D778" s="247"/>
      <c r="E778" s="247"/>
      <c r="F778" s="247"/>
      <c r="G778" s="247"/>
      <c r="H778" s="247"/>
      <c r="I778" s="247"/>
      <c r="J778" s="247"/>
      <c r="K778" s="247"/>
      <c r="L778" s="247"/>
      <c r="M778" s="247"/>
    </row>
    <row r="779">
      <c r="A779" s="247"/>
      <c r="B779" s="247"/>
      <c r="C779" s="247"/>
      <c r="D779" s="247"/>
      <c r="E779" s="247"/>
      <c r="F779" s="247"/>
      <c r="G779" s="247"/>
      <c r="H779" s="247"/>
      <c r="I779" s="247"/>
      <c r="J779" s="247"/>
      <c r="K779" s="247"/>
      <c r="L779" s="247"/>
      <c r="M779" s="247"/>
    </row>
    <row r="780">
      <c r="A780" s="247"/>
      <c r="B780" s="247"/>
      <c r="C780" s="247"/>
      <c r="D780" s="247"/>
      <c r="E780" s="247"/>
      <c r="F780" s="247"/>
      <c r="G780" s="247"/>
      <c r="H780" s="247"/>
      <c r="I780" s="247"/>
      <c r="J780" s="247"/>
      <c r="K780" s="247"/>
      <c r="L780" s="247"/>
      <c r="M780" s="247"/>
    </row>
    <row r="781">
      <c r="A781" s="247"/>
      <c r="B781" s="247"/>
      <c r="C781" s="247"/>
      <c r="D781" s="247"/>
      <c r="E781" s="247"/>
      <c r="F781" s="247"/>
      <c r="G781" s="247"/>
      <c r="H781" s="247"/>
      <c r="I781" s="247"/>
      <c r="J781" s="247"/>
      <c r="K781" s="247"/>
      <c r="L781" s="247"/>
      <c r="M781" s="247"/>
    </row>
    <row r="782">
      <c r="A782" s="247"/>
      <c r="B782" s="247"/>
      <c r="C782" s="247"/>
      <c r="D782" s="247"/>
      <c r="E782" s="247"/>
      <c r="F782" s="247"/>
      <c r="G782" s="247"/>
      <c r="H782" s="247"/>
      <c r="I782" s="247"/>
      <c r="J782" s="247"/>
      <c r="K782" s="247"/>
      <c r="L782" s="247"/>
      <c r="M782" s="247"/>
    </row>
    <row r="783">
      <c r="A783" s="247"/>
      <c r="B783" s="247"/>
      <c r="C783" s="247"/>
      <c r="D783" s="247"/>
      <c r="E783" s="247"/>
      <c r="F783" s="247"/>
      <c r="G783" s="247"/>
      <c r="H783" s="247"/>
      <c r="I783" s="247"/>
      <c r="J783" s="247"/>
      <c r="K783" s="247"/>
      <c r="L783" s="247"/>
      <c r="M783" s="247"/>
    </row>
    <row r="784">
      <c r="A784" s="247"/>
      <c r="B784" s="247"/>
      <c r="C784" s="247"/>
      <c r="D784" s="247"/>
      <c r="E784" s="247"/>
      <c r="F784" s="247"/>
      <c r="G784" s="247"/>
      <c r="H784" s="247"/>
      <c r="I784" s="247"/>
      <c r="J784" s="247"/>
      <c r="K784" s="247"/>
      <c r="L784" s="247"/>
      <c r="M784" s="247"/>
    </row>
    <row r="785">
      <c r="A785" s="247"/>
      <c r="B785" s="247"/>
      <c r="C785" s="247"/>
      <c r="D785" s="247"/>
      <c r="E785" s="247"/>
      <c r="F785" s="247"/>
      <c r="G785" s="247"/>
      <c r="H785" s="247"/>
      <c r="I785" s="247"/>
      <c r="J785" s="247"/>
      <c r="K785" s="247"/>
      <c r="L785" s="247"/>
      <c r="M785" s="247"/>
    </row>
    <row r="786">
      <c r="A786" s="247"/>
      <c r="B786" s="247"/>
      <c r="C786" s="247"/>
      <c r="D786" s="247"/>
      <c r="E786" s="247"/>
      <c r="F786" s="247"/>
      <c r="G786" s="247"/>
      <c r="H786" s="247"/>
      <c r="I786" s="247"/>
      <c r="J786" s="247"/>
      <c r="K786" s="247"/>
      <c r="L786" s="247"/>
      <c r="M786" s="247"/>
    </row>
    <row r="787">
      <c r="A787" s="247"/>
      <c r="B787" s="247"/>
      <c r="C787" s="247"/>
      <c r="D787" s="247"/>
      <c r="E787" s="247"/>
      <c r="F787" s="247"/>
      <c r="G787" s="247"/>
      <c r="H787" s="247"/>
      <c r="I787" s="247"/>
      <c r="J787" s="247"/>
      <c r="K787" s="247"/>
      <c r="L787" s="247"/>
      <c r="M787" s="247"/>
    </row>
    <row r="788">
      <c r="A788" s="247"/>
      <c r="B788" s="247"/>
      <c r="C788" s="247"/>
      <c r="D788" s="247"/>
      <c r="E788" s="247"/>
      <c r="F788" s="247"/>
      <c r="G788" s="247"/>
      <c r="H788" s="247"/>
      <c r="I788" s="247"/>
      <c r="J788" s="247"/>
      <c r="K788" s="247"/>
      <c r="L788" s="247"/>
      <c r="M788" s="247"/>
    </row>
    <row r="789">
      <c r="A789" s="247"/>
      <c r="B789" s="247"/>
      <c r="C789" s="247"/>
      <c r="D789" s="247"/>
      <c r="E789" s="247"/>
      <c r="F789" s="247"/>
      <c r="G789" s="247"/>
      <c r="H789" s="247"/>
      <c r="I789" s="247"/>
      <c r="J789" s="247"/>
      <c r="K789" s="247"/>
      <c r="L789" s="247"/>
      <c r="M789" s="247"/>
    </row>
    <row r="790">
      <c r="A790" s="247"/>
      <c r="B790" s="247"/>
      <c r="C790" s="247"/>
      <c r="D790" s="247"/>
      <c r="E790" s="247"/>
      <c r="F790" s="247"/>
      <c r="G790" s="247"/>
      <c r="H790" s="247"/>
      <c r="I790" s="247"/>
      <c r="J790" s="247"/>
      <c r="K790" s="247"/>
      <c r="L790" s="247"/>
      <c r="M790" s="247"/>
    </row>
    <row r="791">
      <c r="A791" s="247"/>
      <c r="B791" s="247"/>
      <c r="C791" s="247"/>
      <c r="D791" s="247"/>
      <c r="E791" s="247"/>
      <c r="F791" s="247"/>
      <c r="G791" s="247"/>
      <c r="H791" s="247"/>
      <c r="I791" s="247"/>
      <c r="J791" s="247"/>
      <c r="K791" s="247"/>
      <c r="L791" s="247"/>
      <c r="M791" s="247"/>
    </row>
    <row r="792">
      <c r="A792" s="247"/>
      <c r="B792" s="247"/>
      <c r="C792" s="247"/>
      <c r="D792" s="247"/>
      <c r="E792" s="247"/>
      <c r="F792" s="247"/>
      <c r="G792" s="247"/>
      <c r="H792" s="247"/>
      <c r="I792" s="247"/>
      <c r="J792" s="247"/>
      <c r="K792" s="247"/>
      <c r="L792" s="247"/>
      <c r="M792" s="247"/>
    </row>
    <row r="793">
      <c r="A793" s="247"/>
      <c r="B793" s="247"/>
      <c r="C793" s="247"/>
      <c r="D793" s="247"/>
      <c r="E793" s="247"/>
      <c r="F793" s="247"/>
      <c r="G793" s="247"/>
      <c r="H793" s="247"/>
      <c r="I793" s="247"/>
      <c r="J793" s="247"/>
      <c r="K793" s="247"/>
      <c r="L793" s="247"/>
      <c r="M793" s="247"/>
    </row>
    <row r="794">
      <c r="A794" s="247"/>
      <c r="B794" s="247"/>
      <c r="C794" s="247"/>
      <c r="D794" s="247"/>
      <c r="E794" s="247"/>
      <c r="F794" s="247"/>
      <c r="G794" s="247"/>
      <c r="H794" s="247"/>
      <c r="I794" s="247"/>
      <c r="J794" s="247"/>
      <c r="K794" s="247"/>
      <c r="L794" s="247"/>
      <c r="M794" s="247"/>
    </row>
    <row r="795">
      <c r="A795" s="247"/>
      <c r="B795" s="247"/>
      <c r="C795" s="247"/>
      <c r="D795" s="247"/>
      <c r="E795" s="247"/>
      <c r="F795" s="247"/>
      <c r="G795" s="247"/>
      <c r="H795" s="247"/>
      <c r="I795" s="247"/>
      <c r="J795" s="247"/>
      <c r="K795" s="247"/>
      <c r="L795" s="247"/>
      <c r="M795" s="247"/>
    </row>
    <row r="796">
      <c r="A796" s="247"/>
      <c r="B796" s="247"/>
      <c r="C796" s="247"/>
      <c r="D796" s="247"/>
      <c r="E796" s="247"/>
      <c r="F796" s="247"/>
      <c r="G796" s="247"/>
      <c r="H796" s="247"/>
      <c r="I796" s="247"/>
      <c r="J796" s="247"/>
      <c r="K796" s="247"/>
      <c r="L796" s="247"/>
      <c r="M796" s="247"/>
    </row>
    <row r="797">
      <c r="A797" s="247"/>
      <c r="B797" s="247"/>
      <c r="C797" s="247"/>
      <c r="D797" s="247"/>
      <c r="E797" s="247"/>
      <c r="F797" s="247"/>
      <c r="G797" s="247"/>
      <c r="H797" s="247"/>
      <c r="I797" s="247"/>
      <c r="J797" s="247"/>
      <c r="K797" s="247"/>
      <c r="L797" s="247"/>
      <c r="M797" s="247"/>
    </row>
    <row r="798">
      <c r="A798" s="247"/>
      <c r="B798" s="247"/>
      <c r="C798" s="247"/>
      <c r="D798" s="247"/>
      <c r="E798" s="247"/>
      <c r="F798" s="247"/>
      <c r="G798" s="247"/>
      <c r="H798" s="247"/>
      <c r="I798" s="247"/>
      <c r="J798" s="247"/>
      <c r="K798" s="247"/>
      <c r="L798" s="247"/>
      <c r="M798" s="247"/>
    </row>
    <row r="799">
      <c r="A799" s="247"/>
      <c r="B799" s="247"/>
      <c r="C799" s="247"/>
      <c r="D799" s="247"/>
      <c r="E799" s="247"/>
      <c r="F799" s="247"/>
      <c r="G799" s="247"/>
      <c r="H799" s="247"/>
      <c r="I799" s="247"/>
      <c r="J799" s="247"/>
      <c r="K799" s="247"/>
      <c r="L799" s="247"/>
      <c r="M799" s="247"/>
    </row>
    <row r="800">
      <c r="A800" s="247"/>
      <c r="B800" s="247"/>
      <c r="C800" s="247"/>
      <c r="D800" s="247"/>
      <c r="E800" s="247"/>
      <c r="F800" s="247"/>
      <c r="G800" s="247"/>
      <c r="H800" s="247"/>
      <c r="I800" s="247"/>
      <c r="J800" s="247"/>
      <c r="K800" s="247"/>
      <c r="L800" s="247"/>
      <c r="M800" s="247"/>
    </row>
    <row r="801">
      <c r="A801" s="247"/>
      <c r="B801" s="247"/>
      <c r="C801" s="247"/>
      <c r="D801" s="247"/>
      <c r="E801" s="247"/>
      <c r="F801" s="247"/>
      <c r="G801" s="247"/>
      <c r="H801" s="247"/>
      <c r="I801" s="247"/>
      <c r="J801" s="247"/>
      <c r="K801" s="247"/>
      <c r="L801" s="247"/>
      <c r="M801" s="247"/>
    </row>
    <row r="802">
      <c r="A802" s="247"/>
      <c r="B802" s="247"/>
      <c r="C802" s="247"/>
      <c r="D802" s="247"/>
      <c r="E802" s="247"/>
      <c r="F802" s="247"/>
      <c r="G802" s="247"/>
      <c r="H802" s="247"/>
      <c r="I802" s="247"/>
      <c r="J802" s="247"/>
      <c r="K802" s="247"/>
      <c r="L802" s="247"/>
      <c r="M802" s="247"/>
    </row>
    <row r="803">
      <c r="A803" s="247"/>
      <c r="B803" s="247"/>
      <c r="C803" s="247"/>
      <c r="D803" s="247"/>
      <c r="E803" s="247"/>
      <c r="F803" s="247"/>
      <c r="G803" s="247"/>
      <c r="H803" s="247"/>
      <c r="I803" s="247"/>
      <c r="J803" s="247"/>
      <c r="K803" s="247"/>
      <c r="L803" s="247"/>
      <c r="M803" s="247"/>
    </row>
    <row r="804">
      <c r="A804" s="247"/>
      <c r="B804" s="247"/>
      <c r="C804" s="247"/>
      <c r="D804" s="247"/>
      <c r="E804" s="247"/>
      <c r="F804" s="247"/>
      <c r="G804" s="247"/>
      <c r="H804" s="247"/>
      <c r="I804" s="247"/>
      <c r="J804" s="247"/>
      <c r="K804" s="247"/>
      <c r="L804" s="247"/>
      <c r="M804" s="247"/>
    </row>
    <row r="805">
      <c r="A805" s="247"/>
      <c r="B805" s="247"/>
      <c r="C805" s="247"/>
      <c r="D805" s="247"/>
      <c r="E805" s="247"/>
      <c r="F805" s="247"/>
      <c r="G805" s="247"/>
      <c r="H805" s="247"/>
      <c r="I805" s="247"/>
      <c r="J805" s="247"/>
      <c r="K805" s="247"/>
      <c r="L805" s="247"/>
      <c r="M805" s="247"/>
    </row>
    <row r="806">
      <c r="A806" s="247"/>
      <c r="B806" s="247"/>
      <c r="C806" s="247"/>
      <c r="D806" s="247"/>
      <c r="E806" s="247"/>
      <c r="F806" s="247"/>
      <c r="G806" s="247"/>
      <c r="H806" s="247"/>
      <c r="I806" s="247"/>
      <c r="J806" s="247"/>
      <c r="K806" s="247"/>
      <c r="L806" s="247"/>
      <c r="M806" s="247"/>
    </row>
    <row r="807">
      <c r="A807" s="247"/>
      <c r="B807" s="247"/>
      <c r="C807" s="247"/>
      <c r="D807" s="247"/>
      <c r="E807" s="247"/>
      <c r="F807" s="247"/>
      <c r="G807" s="247"/>
      <c r="H807" s="247"/>
      <c r="I807" s="247"/>
      <c r="J807" s="247"/>
      <c r="K807" s="247"/>
      <c r="L807" s="247"/>
      <c r="M807" s="247"/>
    </row>
    <row r="808">
      <c r="A808" s="247"/>
      <c r="B808" s="247"/>
      <c r="C808" s="247"/>
      <c r="D808" s="247"/>
      <c r="E808" s="247"/>
      <c r="F808" s="247"/>
      <c r="G808" s="247"/>
      <c r="H808" s="247"/>
      <c r="I808" s="247"/>
      <c r="J808" s="247"/>
      <c r="K808" s="247"/>
      <c r="L808" s="247"/>
      <c r="M808" s="247"/>
    </row>
    <row r="809">
      <c r="A809" s="247"/>
      <c r="B809" s="247"/>
      <c r="C809" s="247"/>
      <c r="D809" s="247"/>
      <c r="E809" s="247"/>
      <c r="F809" s="247"/>
      <c r="G809" s="247"/>
      <c r="H809" s="247"/>
      <c r="I809" s="247"/>
      <c r="J809" s="247"/>
      <c r="K809" s="247"/>
      <c r="L809" s="247"/>
      <c r="M809" s="247"/>
    </row>
    <row r="810">
      <c r="A810" s="247"/>
      <c r="B810" s="247"/>
      <c r="C810" s="247"/>
      <c r="D810" s="247"/>
      <c r="E810" s="247"/>
      <c r="F810" s="247"/>
      <c r="G810" s="247"/>
      <c r="H810" s="247"/>
      <c r="I810" s="247"/>
      <c r="J810" s="247"/>
      <c r="K810" s="247"/>
      <c r="L810" s="247"/>
      <c r="M810" s="247"/>
    </row>
    <row r="811">
      <c r="A811" s="247"/>
      <c r="B811" s="247"/>
      <c r="C811" s="247"/>
      <c r="D811" s="247"/>
      <c r="E811" s="247"/>
      <c r="F811" s="247"/>
      <c r="G811" s="247"/>
      <c r="H811" s="247"/>
      <c r="I811" s="247"/>
      <c r="J811" s="247"/>
      <c r="K811" s="247"/>
      <c r="L811" s="247"/>
      <c r="M811" s="247"/>
    </row>
    <row r="812">
      <c r="A812" s="247"/>
      <c r="B812" s="247"/>
      <c r="C812" s="247"/>
      <c r="D812" s="247"/>
      <c r="E812" s="247"/>
      <c r="F812" s="247"/>
      <c r="G812" s="247"/>
      <c r="H812" s="247"/>
      <c r="I812" s="247"/>
      <c r="J812" s="247"/>
      <c r="K812" s="247"/>
      <c r="L812" s="247"/>
      <c r="M812" s="247"/>
    </row>
    <row r="813">
      <c r="A813" s="247"/>
      <c r="B813" s="247"/>
      <c r="C813" s="247"/>
      <c r="D813" s="247"/>
      <c r="E813" s="247"/>
      <c r="F813" s="247"/>
      <c r="G813" s="247"/>
      <c r="H813" s="247"/>
      <c r="I813" s="247"/>
      <c r="J813" s="247"/>
      <c r="K813" s="247"/>
      <c r="L813" s="247"/>
      <c r="M813" s="247"/>
    </row>
    <row r="814">
      <c r="A814" s="247"/>
      <c r="B814" s="247"/>
      <c r="C814" s="247"/>
      <c r="D814" s="247"/>
      <c r="E814" s="247"/>
      <c r="F814" s="247"/>
      <c r="G814" s="247"/>
      <c r="H814" s="247"/>
      <c r="I814" s="247"/>
      <c r="J814" s="247"/>
      <c r="K814" s="247"/>
      <c r="L814" s="247"/>
      <c r="M814" s="247"/>
    </row>
    <row r="815">
      <c r="A815" s="247"/>
      <c r="B815" s="247"/>
      <c r="C815" s="247"/>
      <c r="D815" s="247"/>
      <c r="E815" s="247"/>
      <c r="F815" s="247"/>
      <c r="G815" s="247"/>
      <c r="H815" s="247"/>
      <c r="I815" s="247"/>
      <c r="J815" s="247"/>
      <c r="K815" s="247"/>
      <c r="L815" s="247"/>
      <c r="M815" s="247"/>
    </row>
    <row r="816">
      <c r="A816" s="247"/>
      <c r="B816" s="247"/>
      <c r="C816" s="247"/>
      <c r="D816" s="247"/>
      <c r="E816" s="247"/>
      <c r="F816" s="247"/>
      <c r="G816" s="247"/>
      <c r="H816" s="247"/>
      <c r="I816" s="247"/>
      <c r="J816" s="247"/>
      <c r="K816" s="247"/>
      <c r="L816" s="247"/>
      <c r="M816" s="247"/>
    </row>
    <row r="817">
      <c r="A817" s="247"/>
      <c r="B817" s="247"/>
      <c r="C817" s="247"/>
      <c r="D817" s="247"/>
      <c r="E817" s="247"/>
      <c r="F817" s="247"/>
      <c r="G817" s="247"/>
      <c r="H817" s="247"/>
      <c r="I817" s="247"/>
      <c r="J817" s="247"/>
      <c r="K817" s="247"/>
      <c r="L817" s="247"/>
      <c r="M817" s="247"/>
    </row>
    <row r="818">
      <c r="A818" s="247"/>
      <c r="B818" s="247"/>
      <c r="C818" s="247"/>
      <c r="D818" s="247"/>
      <c r="E818" s="247"/>
      <c r="F818" s="247"/>
      <c r="G818" s="247"/>
      <c r="H818" s="247"/>
      <c r="I818" s="247"/>
      <c r="J818" s="247"/>
      <c r="K818" s="247"/>
      <c r="L818" s="247"/>
      <c r="M818" s="247"/>
    </row>
    <row r="819">
      <c r="A819" s="247"/>
      <c r="B819" s="247"/>
      <c r="C819" s="247"/>
      <c r="D819" s="247"/>
      <c r="E819" s="247"/>
      <c r="F819" s="247"/>
      <c r="G819" s="247"/>
      <c r="H819" s="247"/>
      <c r="I819" s="247"/>
      <c r="J819" s="247"/>
      <c r="K819" s="247"/>
      <c r="L819" s="247"/>
      <c r="M819" s="247"/>
    </row>
    <row r="820">
      <c r="A820" s="247"/>
      <c r="B820" s="247"/>
      <c r="C820" s="247"/>
      <c r="D820" s="247"/>
      <c r="E820" s="247"/>
      <c r="F820" s="247"/>
      <c r="G820" s="247"/>
      <c r="H820" s="247"/>
      <c r="I820" s="247"/>
      <c r="J820" s="247"/>
      <c r="K820" s="247"/>
      <c r="L820" s="247"/>
      <c r="M820" s="247"/>
    </row>
    <row r="821">
      <c r="A821" s="247"/>
      <c r="B821" s="247"/>
      <c r="C821" s="247"/>
      <c r="D821" s="247"/>
      <c r="E821" s="247"/>
      <c r="F821" s="247"/>
      <c r="G821" s="247"/>
      <c r="H821" s="247"/>
      <c r="I821" s="247"/>
      <c r="J821" s="247"/>
      <c r="K821" s="247"/>
      <c r="L821" s="247"/>
      <c r="M821" s="247"/>
    </row>
    <row r="822">
      <c r="A822" s="247"/>
      <c r="B822" s="247"/>
      <c r="C822" s="247"/>
      <c r="D822" s="247"/>
      <c r="E822" s="247"/>
      <c r="F822" s="247"/>
      <c r="G822" s="247"/>
      <c r="H822" s="247"/>
      <c r="I822" s="247"/>
      <c r="J822" s="247"/>
      <c r="K822" s="247"/>
      <c r="L822" s="247"/>
      <c r="M822" s="247"/>
    </row>
    <row r="823">
      <c r="A823" s="247"/>
      <c r="B823" s="247"/>
      <c r="C823" s="247"/>
      <c r="D823" s="247"/>
      <c r="E823" s="247"/>
      <c r="F823" s="247"/>
      <c r="G823" s="247"/>
      <c r="H823" s="247"/>
      <c r="I823" s="247"/>
      <c r="J823" s="247"/>
      <c r="K823" s="247"/>
      <c r="L823" s="247"/>
      <c r="M823" s="247"/>
    </row>
    <row r="824">
      <c r="A824" s="247"/>
      <c r="B824" s="247"/>
      <c r="C824" s="247"/>
      <c r="D824" s="247"/>
      <c r="E824" s="247"/>
      <c r="F824" s="247"/>
      <c r="G824" s="247"/>
      <c r="H824" s="247"/>
      <c r="I824" s="247"/>
      <c r="J824" s="247"/>
      <c r="K824" s="247"/>
      <c r="L824" s="247"/>
      <c r="M824" s="247"/>
    </row>
    <row r="825">
      <c r="A825" s="247"/>
      <c r="B825" s="247"/>
      <c r="C825" s="247"/>
      <c r="D825" s="247"/>
      <c r="E825" s="247"/>
      <c r="F825" s="247"/>
      <c r="G825" s="247"/>
      <c r="H825" s="247"/>
      <c r="I825" s="247"/>
      <c r="J825" s="247"/>
      <c r="K825" s="247"/>
      <c r="L825" s="247"/>
      <c r="M825" s="247"/>
    </row>
    <row r="826">
      <c r="A826" s="247"/>
      <c r="B826" s="247"/>
      <c r="C826" s="247"/>
      <c r="D826" s="247"/>
      <c r="E826" s="247"/>
      <c r="F826" s="247"/>
      <c r="G826" s="247"/>
      <c r="H826" s="247"/>
      <c r="I826" s="247"/>
      <c r="J826" s="247"/>
      <c r="K826" s="247"/>
      <c r="L826" s="247"/>
      <c r="M826" s="247"/>
    </row>
    <row r="827">
      <c r="A827" s="247"/>
      <c r="B827" s="247"/>
      <c r="C827" s="247"/>
      <c r="D827" s="247"/>
      <c r="E827" s="247"/>
      <c r="F827" s="247"/>
      <c r="G827" s="247"/>
      <c r="H827" s="247"/>
      <c r="I827" s="247"/>
      <c r="J827" s="247"/>
      <c r="K827" s="247"/>
      <c r="L827" s="247"/>
      <c r="M827" s="247"/>
    </row>
    <row r="828">
      <c r="A828" s="247"/>
      <c r="B828" s="247"/>
      <c r="C828" s="247"/>
      <c r="D828" s="247"/>
      <c r="E828" s="247"/>
      <c r="F828" s="247"/>
      <c r="G828" s="247"/>
      <c r="H828" s="247"/>
      <c r="I828" s="247"/>
      <c r="J828" s="247"/>
      <c r="K828" s="247"/>
      <c r="L828" s="247"/>
      <c r="M828" s="247"/>
    </row>
    <row r="829">
      <c r="A829" s="247"/>
      <c r="B829" s="247"/>
      <c r="C829" s="247"/>
      <c r="D829" s="247"/>
      <c r="E829" s="247"/>
      <c r="F829" s="247"/>
      <c r="G829" s="247"/>
      <c r="H829" s="247"/>
      <c r="I829" s="247"/>
      <c r="J829" s="247"/>
      <c r="K829" s="247"/>
      <c r="L829" s="247"/>
      <c r="M829" s="247"/>
    </row>
    <row r="830">
      <c r="A830" s="247"/>
      <c r="B830" s="247"/>
      <c r="C830" s="247"/>
      <c r="D830" s="247"/>
      <c r="E830" s="247"/>
      <c r="F830" s="247"/>
      <c r="G830" s="247"/>
      <c r="H830" s="247"/>
      <c r="I830" s="247"/>
      <c r="J830" s="247"/>
      <c r="K830" s="247"/>
      <c r="L830" s="247"/>
      <c r="M830" s="247"/>
    </row>
    <row r="831">
      <c r="A831" s="247"/>
      <c r="B831" s="247"/>
      <c r="C831" s="247"/>
      <c r="D831" s="247"/>
      <c r="E831" s="247"/>
      <c r="F831" s="247"/>
      <c r="G831" s="247"/>
      <c r="H831" s="247"/>
      <c r="I831" s="247"/>
      <c r="J831" s="247"/>
      <c r="K831" s="247"/>
      <c r="L831" s="247"/>
      <c r="M831" s="247"/>
    </row>
    <row r="832">
      <c r="A832" s="247"/>
      <c r="B832" s="247"/>
      <c r="C832" s="247"/>
      <c r="D832" s="247"/>
      <c r="E832" s="247"/>
      <c r="F832" s="247"/>
      <c r="G832" s="247"/>
      <c r="H832" s="247"/>
      <c r="I832" s="247"/>
      <c r="J832" s="247"/>
      <c r="K832" s="247"/>
      <c r="L832" s="247"/>
      <c r="M832" s="247"/>
    </row>
    <row r="833">
      <c r="A833" s="247"/>
      <c r="B833" s="247"/>
      <c r="C833" s="247"/>
      <c r="D833" s="247"/>
      <c r="E833" s="247"/>
      <c r="F833" s="247"/>
      <c r="G833" s="247"/>
      <c r="H833" s="247"/>
      <c r="I833" s="247"/>
      <c r="J833" s="247"/>
      <c r="K833" s="247"/>
      <c r="L833" s="247"/>
      <c r="M833" s="247"/>
    </row>
    <row r="834">
      <c r="A834" s="247"/>
      <c r="B834" s="247"/>
      <c r="C834" s="247"/>
      <c r="D834" s="247"/>
      <c r="E834" s="247"/>
      <c r="F834" s="247"/>
      <c r="G834" s="247"/>
      <c r="H834" s="247"/>
      <c r="I834" s="247"/>
      <c r="J834" s="247"/>
      <c r="K834" s="247"/>
      <c r="L834" s="247"/>
      <c r="M834" s="247"/>
    </row>
    <row r="835">
      <c r="A835" s="247"/>
      <c r="B835" s="247"/>
      <c r="C835" s="247"/>
      <c r="D835" s="247"/>
      <c r="E835" s="247"/>
      <c r="F835" s="247"/>
      <c r="G835" s="247"/>
      <c r="H835" s="247"/>
      <c r="I835" s="247"/>
      <c r="J835" s="247"/>
      <c r="K835" s="247"/>
      <c r="L835" s="247"/>
      <c r="M835" s="247"/>
    </row>
    <row r="836">
      <c r="A836" s="247"/>
      <c r="B836" s="247"/>
      <c r="C836" s="247"/>
      <c r="D836" s="247"/>
      <c r="E836" s="247"/>
      <c r="F836" s="247"/>
      <c r="G836" s="247"/>
      <c r="H836" s="247"/>
      <c r="I836" s="247"/>
      <c r="J836" s="247"/>
      <c r="K836" s="247"/>
      <c r="L836" s="247"/>
      <c r="M836" s="247"/>
    </row>
    <row r="837">
      <c r="A837" s="247"/>
      <c r="B837" s="247"/>
      <c r="C837" s="247"/>
      <c r="D837" s="247"/>
      <c r="E837" s="247"/>
      <c r="F837" s="247"/>
      <c r="G837" s="247"/>
      <c r="H837" s="247"/>
      <c r="I837" s="247"/>
      <c r="J837" s="247"/>
      <c r="K837" s="247"/>
      <c r="L837" s="247"/>
      <c r="M837" s="247"/>
    </row>
    <row r="838">
      <c r="A838" s="247"/>
      <c r="B838" s="247"/>
      <c r="C838" s="247"/>
      <c r="D838" s="247"/>
      <c r="E838" s="247"/>
      <c r="F838" s="247"/>
      <c r="G838" s="247"/>
      <c r="H838" s="247"/>
      <c r="I838" s="247"/>
      <c r="J838" s="247"/>
      <c r="K838" s="247"/>
      <c r="L838" s="247"/>
      <c r="M838" s="247"/>
    </row>
    <row r="839">
      <c r="A839" s="247"/>
      <c r="B839" s="247"/>
      <c r="C839" s="247"/>
      <c r="D839" s="247"/>
      <c r="E839" s="247"/>
      <c r="F839" s="247"/>
      <c r="G839" s="247"/>
      <c r="H839" s="247"/>
      <c r="I839" s="247"/>
      <c r="J839" s="247"/>
      <c r="K839" s="247"/>
      <c r="L839" s="247"/>
      <c r="M839" s="247"/>
    </row>
    <row r="840">
      <c r="A840" s="247"/>
      <c r="B840" s="247"/>
      <c r="C840" s="247"/>
      <c r="D840" s="247"/>
      <c r="E840" s="247"/>
      <c r="F840" s="247"/>
      <c r="G840" s="247"/>
      <c r="H840" s="247"/>
      <c r="I840" s="247"/>
      <c r="J840" s="247"/>
      <c r="K840" s="247"/>
      <c r="L840" s="247"/>
      <c r="M840" s="247"/>
    </row>
    <row r="841">
      <c r="A841" s="247"/>
      <c r="B841" s="247"/>
      <c r="C841" s="247"/>
      <c r="D841" s="247"/>
      <c r="E841" s="247"/>
      <c r="F841" s="247"/>
      <c r="G841" s="247"/>
      <c r="H841" s="247"/>
      <c r="I841" s="247"/>
      <c r="J841" s="247"/>
      <c r="K841" s="247"/>
      <c r="L841" s="247"/>
      <c r="M841" s="247"/>
    </row>
    <row r="842">
      <c r="A842" s="247"/>
      <c r="B842" s="247"/>
      <c r="C842" s="247"/>
      <c r="D842" s="247"/>
      <c r="E842" s="247"/>
      <c r="F842" s="247"/>
      <c r="G842" s="247"/>
      <c r="H842" s="247"/>
      <c r="I842" s="247"/>
      <c r="J842" s="247"/>
      <c r="K842" s="247"/>
      <c r="L842" s="247"/>
      <c r="M842" s="247"/>
    </row>
    <row r="843">
      <c r="A843" s="247"/>
      <c r="B843" s="247"/>
      <c r="C843" s="247"/>
      <c r="D843" s="247"/>
      <c r="E843" s="247"/>
      <c r="F843" s="247"/>
      <c r="G843" s="247"/>
      <c r="H843" s="247"/>
      <c r="I843" s="247"/>
      <c r="J843" s="247"/>
      <c r="K843" s="247"/>
      <c r="L843" s="247"/>
      <c r="M843" s="247"/>
    </row>
    <row r="844">
      <c r="A844" s="247"/>
      <c r="B844" s="247"/>
      <c r="C844" s="247"/>
      <c r="D844" s="247"/>
      <c r="E844" s="247"/>
      <c r="F844" s="247"/>
      <c r="G844" s="247"/>
      <c r="H844" s="247"/>
      <c r="I844" s="247"/>
      <c r="J844" s="247"/>
      <c r="K844" s="247"/>
      <c r="L844" s="247"/>
      <c r="M844" s="247"/>
    </row>
    <row r="845">
      <c r="A845" s="247"/>
      <c r="B845" s="247"/>
      <c r="C845" s="247"/>
      <c r="D845" s="247"/>
      <c r="E845" s="247"/>
      <c r="F845" s="247"/>
      <c r="G845" s="247"/>
      <c r="H845" s="247"/>
      <c r="I845" s="247"/>
      <c r="J845" s="247"/>
      <c r="K845" s="247"/>
      <c r="L845" s="247"/>
      <c r="M845" s="247"/>
    </row>
    <row r="846">
      <c r="A846" s="247"/>
      <c r="B846" s="247"/>
      <c r="C846" s="247"/>
      <c r="D846" s="247"/>
      <c r="E846" s="247"/>
      <c r="F846" s="247"/>
      <c r="G846" s="247"/>
      <c r="H846" s="247"/>
      <c r="I846" s="247"/>
      <c r="J846" s="247"/>
      <c r="K846" s="247"/>
      <c r="L846" s="247"/>
      <c r="M846" s="247"/>
    </row>
    <row r="847">
      <c r="A847" s="247"/>
      <c r="B847" s="247"/>
      <c r="C847" s="247"/>
      <c r="D847" s="247"/>
      <c r="E847" s="247"/>
      <c r="F847" s="247"/>
      <c r="G847" s="247"/>
      <c r="H847" s="247"/>
      <c r="I847" s="247"/>
      <c r="J847" s="247"/>
      <c r="K847" s="247"/>
      <c r="L847" s="247"/>
      <c r="M847" s="247"/>
    </row>
    <row r="848">
      <c r="A848" s="247"/>
      <c r="B848" s="247"/>
      <c r="C848" s="247"/>
      <c r="D848" s="247"/>
      <c r="E848" s="247"/>
      <c r="F848" s="247"/>
      <c r="G848" s="247"/>
      <c r="H848" s="247"/>
      <c r="I848" s="247"/>
      <c r="J848" s="247"/>
      <c r="K848" s="247"/>
      <c r="L848" s="247"/>
      <c r="M848" s="247"/>
    </row>
    <row r="849">
      <c r="A849" s="247"/>
      <c r="B849" s="247"/>
      <c r="C849" s="247"/>
      <c r="D849" s="247"/>
      <c r="E849" s="247"/>
      <c r="F849" s="247"/>
      <c r="G849" s="247"/>
      <c r="H849" s="247"/>
      <c r="I849" s="247"/>
      <c r="J849" s="247"/>
      <c r="K849" s="247"/>
      <c r="L849" s="247"/>
      <c r="M849" s="247"/>
    </row>
    <row r="850">
      <c r="A850" s="247"/>
      <c r="B850" s="247"/>
      <c r="C850" s="247"/>
      <c r="D850" s="247"/>
      <c r="E850" s="247"/>
      <c r="F850" s="247"/>
      <c r="G850" s="247"/>
      <c r="H850" s="247"/>
      <c r="I850" s="247"/>
      <c r="J850" s="247"/>
      <c r="K850" s="247"/>
      <c r="L850" s="247"/>
      <c r="M850" s="247"/>
    </row>
    <row r="851">
      <c r="A851" s="247"/>
      <c r="B851" s="247"/>
      <c r="C851" s="247"/>
      <c r="D851" s="247"/>
      <c r="E851" s="247"/>
      <c r="F851" s="247"/>
      <c r="G851" s="247"/>
      <c r="H851" s="247"/>
      <c r="I851" s="247"/>
      <c r="J851" s="247"/>
      <c r="K851" s="247"/>
      <c r="L851" s="247"/>
      <c r="M851" s="247"/>
    </row>
    <row r="852">
      <c r="A852" s="247"/>
      <c r="B852" s="247"/>
      <c r="C852" s="247"/>
      <c r="D852" s="247"/>
      <c r="E852" s="247"/>
      <c r="F852" s="247"/>
      <c r="G852" s="247"/>
      <c r="H852" s="247"/>
      <c r="I852" s="247"/>
      <c r="J852" s="247"/>
      <c r="K852" s="247"/>
      <c r="L852" s="247"/>
      <c r="M852" s="247"/>
    </row>
    <row r="853">
      <c r="A853" s="247"/>
      <c r="B853" s="247"/>
      <c r="C853" s="247"/>
      <c r="D853" s="247"/>
      <c r="E853" s="247"/>
      <c r="F853" s="247"/>
      <c r="G853" s="247"/>
      <c r="H853" s="247"/>
      <c r="I853" s="247"/>
      <c r="J853" s="247"/>
      <c r="K853" s="247"/>
      <c r="L853" s="247"/>
      <c r="M853" s="247"/>
    </row>
    <row r="854">
      <c r="A854" s="247"/>
      <c r="B854" s="247"/>
      <c r="C854" s="247"/>
      <c r="D854" s="247"/>
      <c r="E854" s="247"/>
      <c r="F854" s="247"/>
      <c r="G854" s="247"/>
      <c r="H854" s="247"/>
      <c r="I854" s="247"/>
      <c r="J854" s="247"/>
      <c r="K854" s="247"/>
      <c r="L854" s="247"/>
      <c r="M854" s="247"/>
    </row>
    <row r="855">
      <c r="A855" s="247"/>
      <c r="B855" s="247"/>
      <c r="C855" s="247"/>
      <c r="D855" s="247"/>
      <c r="E855" s="247"/>
      <c r="F855" s="247"/>
      <c r="G855" s="247"/>
      <c r="H855" s="247"/>
      <c r="I855" s="247"/>
      <c r="J855" s="247"/>
      <c r="K855" s="247"/>
      <c r="L855" s="247"/>
      <c r="M855" s="247"/>
    </row>
    <row r="856">
      <c r="A856" s="247"/>
      <c r="B856" s="247"/>
      <c r="C856" s="247"/>
      <c r="D856" s="247"/>
      <c r="E856" s="247"/>
      <c r="F856" s="247"/>
      <c r="G856" s="247"/>
      <c r="H856" s="247"/>
      <c r="I856" s="247"/>
      <c r="J856" s="247"/>
      <c r="K856" s="247"/>
      <c r="L856" s="247"/>
      <c r="M856" s="247"/>
    </row>
    <row r="857">
      <c r="A857" s="247"/>
      <c r="B857" s="247"/>
      <c r="C857" s="247"/>
      <c r="D857" s="247"/>
      <c r="E857" s="247"/>
      <c r="F857" s="247"/>
      <c r="G857" s="247"/>
      <c r="H857" s="247"/>
      <c r="I857" s="247"/>
      <c r="J857" s="247"/>
      <c r="K857" s="247"/>
      <c r="L857" s="247"/>
      <c r="M857" s="247"/>
    </row>
    <row r="858">
      <c r="A858" s="247"/>
      <c r="B858" s="247"/>
      <c r="C858" s="247"/>
      <c r="D858" s="247"/>
      <c r="E858" s="247"/>
      <c r="F858" s="247"/>
      <c r="G858" s="247"/>
      <c r="H858" s="247"/>
      <c r="I858" s="247"/>
      <c r="J858" s="247"/>
      <c r="K858" s="247"/>
      <c r="L858" s="247"/>
      <c r="M858" s="247"/>
    </row>
    <row r="859">
      <c r="A859" s="247"/>
      <c r="B859" s="247"/>
      <c r="C859" s="247"/>
      <c r="D859" s="247"/>
      <c r="E859" s="247"/>
      <c r="F859" s="247"/>
      <c r="G859" s="247"/>
      <c r="H859" s="247"/>
      <c r="I859" s="247"/>
      <c r="J859" s="247"/>
      <c r="K859" s="247"/>
      <c r="L859" s="247"/>
      <c r="M859" s="247"/>
    </row>
    <row r="860">
      <c r="A860" s="247"/>
      <c r="B860" s="247"/>
      <c r="C860" s="247"/>
      <c r="D860" s="247"/>
      <c r="E860" s="247"/>
      <c r="F860" s="247"/>
      <c r="G860" s="247"/>
      <c r="H860" s="247"/>
      <c r="I860" s="247"/>
      <c r="J860" s="247"/>
      <c r="K860" s="247"/>
      <c r="L860" s="247"/>
      <c r="M860" s="247"/>
    </row>
    <row r="861">
      <c r="A861" s="247"/>
      <c r="B861" s="247"/>
      <c r="C861" s="247"/>
      <c r="D861" s="247"/>
      <c r="E861" s="247"/>
      <c r="F861" s="247"/>
      <c r="G861" s="247"/>
      <c r="H861" s="247"/>
      <c r="I861" s="247"/>
      <c r="J861" s="247"/>
      <c r="K861" s="247"/>
      <c r="L861" s="247"/>
      <c r="M861" s="247"/>
    </row>
    <row r="862">
      <c r="A862" s="247"/>
      <c r="B862" s="247"/>
      <c r="C862" s="247"/>
      <c r="D862" s="247"/>
      <c r="E862" s="247"/>
      <c r="F862" s="247"/>
      <c r="G862" s="247"/>
      <c r="H862" s="247"/>
      <c r="I862" s="247"/>
      <c r="J862" s="247"/>
      <c r="K862" s="247"/>
      <c r="L862" s="247"/>
      <c r="M862" s="247"/>
    </row>
    <row r="863">
      <c r="A863" s="247"/>
      <c r="B863" s="247"/>
      <c r="C863" s="247"/>
      <c r="D863" s="247"/>
      <c r="E863" s="247"/>
      <c r="F863" s="247"/>
      <c r="G863" s="247"/>
      <c r="H863" s="247"/>
      <c r="I863" s="247"/>
      <c r="J863" s="247"/>
      <c r="K863" s="247"/>
      <c r="L863" s="247"/>
      <c r="M863" s="247"/>
    </row>
    <row r="864">
      <c r="A864" s="247"/>
      <c r="B864" s="247"/>
      <c r="C864" s="247"/>
      <c r="D864" s="247"/>
      <c r="E864" s="247"/>
      <c r="F864" s="247"/>
      <c r="G864" s="247"/>
      <c r="H864" s="247"/>
      <c r="I864" s="247"/>
      <c r="J864" s="247"/>
      <c r="K864" s="247"/>
      <c r="L864" s="247"/>
      <c r="M864" s="247"/>
    </row>
    <row r="865">
      <c r="A865" s="247"/>
      <c r="B865" s="247"/>
      <c r="C865" s="247"/>
      <c r="D865" s="247"/>
      <c r="E865" s="247"/>
      <c r="F865" s="247"/>
      <c r="G865" s="247"/>
      <c r="H865" s="247"/>
      <c r="I865" s="247"/>
      <c r="J865" s="247"/>
      <c r="K865" s="247"/>
      <c r="L865" s="247"/>
      <c r="M865" s="247"/>
    </row>
    <row r="866">
      <c r="A866" s="247"/>
      <c r="B866" s="247"/>
      <c r="C866" s="247"/>
      <c r="D866" s="247"/>
      <c r="E866" s="247"/>
      <c r="F866" s="247"/>
      <c r="G866" s="247"/>
      <c r="H866" s="247"/>
      <c r="I866" s="247"/>
      <c r="J866" s="247"/>
      <c r="K866" s="247"/>
      <c r="L866" s="247"/>
      <c r="M866" s="247"/>
    </row>
    <row r="867">
      <c r="A867" s="247"/>
      <c r="B867" s="247"/>
      <c r="C867" s="247"/>
      <c r="D867" s="247"/>
      <c r="E867" s="247"/>
      <c r="F867" s="247"/>
      <c r="G867" s="247"/>
      <c r="H867" s="247"/>
      <c r="I867" s="247"/>
      <c r="J867" s="247"/>
      <c r="K867" s="247"/>
      <c r="L867" s="247"/>
      <c r="M867" s="247"/>
    </row>
    <row r="868">
      <c r="A868" s="247"/>
      <c r="B868" s="247"/>
      <c r="C868" s="247"/>
      <c r="D868" s="247"/>
      <c r="E868" s="247"/>
      <c r="F868" s="247"/>
      <c r="G868" s="247"/>
      <c r="H868" s="247"/>
      <c r="I868" s="247"/>
      <c r="J868" s="247"/>
      <c r="K868" s="247"/>
      <c r="L868" s="247"/>
      <c r="M868" s="247"/>
    </row>
    <row r="869">
      <c r="A869" s="247"/>
      <c r="B869" s="247"/>
      <c r="C869" s="247"/>
      <c r="D869" s="247"/>
      <c r="E869" s="247"/>
      <c r="F869" s="247"/>
      <c r="G869" s="247"/>
      <c r="H869" s="247"/>
      <c r="I869" s="247"/>
      <c r="J869" s="247"/>
      <c r="K869" s="247"/>
      <c r="L869" s="247"/>
      <c r="M869" s="247"/>
    </row>
    <row r="870">
      <c r="A870" s="247"/>
      <c r="B870" s="247"/>
      <c r="C870" s="247"/>
      <c r="D870" s="247"/>
      <c r="E870" s="247"/>
      <c r="F870" s="247"/>
      <c r="G870" s="247"/>
      <c r="H870" s="247"/>
      <c r="I870" s="247"/>
      <c r="J870" s="247"/>
      <c r="K870" s="247"/>
      <c r="L870" s="247"/>
      <c r="M870" s="247"/>
    </row>
    <row r="871">
      <c r="A871" s="247"/>
      <c r="B871" s="247"/>
      <c r="C871" s="247"/>
      <c r="D871" s="247"/>
      <c r="E871" s="247"/>
      <c r="F871" s="247"/>
      <c r="G871" s="247"/>
      <c r="H871" s="247"/>
      <c r="I871" s="247"/>
      <c r="J871" s="247"/>
      <c r="K871" s="247"/>
      <c r="L871" s="247"/>
      <c r="M871" s="247"/>
    </row>
    <row r="872">
      <c r="A872" s="247"/>
      <c r="B872" s="247"/>
      <c r="C872" s="247"/>
      <c r="D872" s="247"/>
      <c r="E872" s="247"/>
      <c r="F872" s="247"/>
      <c r="G872" s="247"/>
      <c r="H872" s="247"/>
      <c r="I872" s="247"/>
      <c r="J872" s="247"/>
      <c r="K872" s="247"/>
      <c r="L872" s="247"/>
      <c r="M872" s="247"/>
    </row>
    <row r="873">
      <c r="A873" s="247"/>
      <c r="B873" s="247"/>
      <c r="C873" s="247"/>
      <c r="D873" s="247"/>
      <c r="E873" s="247"/>
      <c r="F873" s="247"/>
      <c r="G873" s="247"/>
      <c r="H873" s="247"/>
      <c r="I873" s="247"/>
      <c r="J873" s="247"/>
      <c r="K873" s="247"/>
      <c r="L873" s="247"/>
      <c r="M873" s="247"/>
    </row>
    <row r="874">
      <c r="A874" s="247"/>
      <c r="B874" s="247"/>
      <c r="C874" s="247"/>
      <c r="D874" s="247"/>
      <c r="E874" s="247"/>
      <c r="F874" s="247"/>
      <c r="G874" s="247"/>
      <c r="H874" s="247"/>
      <c r="I874" s="247"/>
      <c r="J874" s="247"/>
      <c r="K874" s="247"/>
      <c r="L874" s="247"/>
      <c r="M874" s="247"/>
    </row>
    <row r="875">
      <c r="A875" s="247"/>
      <c r="B875" s="247"/>
      <c r="C875" s="247"/>
      <c r="D875" s="247"/>
      <c r="E875" s="247"/>
      <c r="F875" s="247"/>
      <c r="G875" s="247"/>
      <c r="H875" s="247"/>
      <c r="I875" s="247"/>
      <c r="J875" s="247"/>
      <c r="K875" s="247"/>
      <c r="L875" s="247"/>
      <c r="M875" s="247"/>
    </row>
    <row r="876">
      <c r="A876" s="247"/>
      <c r="B876" s="247"/>
      <c r="C876" s="247"/>
      <c r="D876" s="247"/>
      <c r="E876" s="247"/>
      <c r="F876" s="247"/>
      <c r="G876" s="247"/>
      <c r="H876" s="247"/>
      <c r="I876" s="247"/>
      <c r="J876" s="247"/>
      <c r="K876" s="247"/>
      <c r="L876" s="247"/>
      <c r="M876" s="247"/>
    </row>
    <row r="877">
      <c r="A877" s="247"/>
      <c r="B877" s="247"/>
      <c r="C877" s="247"/>
      <c r="D877" s="247"/>
      <c r="E877" s="247"/>
      <c r="F877" s="247"/>
      <c r="G877" s="247"/>
      <c r="H877" s="247"/>
      <c r="I877" s="247"/>
      <c r="J877" s="247"/>
      <c r="K877" s="247"/>
      <c r="L877" s="247"/>
      <c r="M877" s="247"/>
    </row>
    <row r="878">
      <c r="A878" s="247"/>
      <c r="B878" s="247"/>
      <c r="C878" s="247"/>
      <c r="D878" s="247"/>
      <c r="E878" s="247"/>
      <c r="F878" s="247"/>
      <c r="G878" s="247"/>
      <c r="H878" s="247"/>
      <c r="I878" s="247"/>
      <c r="J878" s="247"/>
      <c r="K878" s="247"/>
      <c r="L878" s="247"/>
      <c r="M878" s="247"/>
    </row>
    <row r="879">
      <c r="A879" s="247"/>
      <c r="B879" s="247"/>
      <c r="C879" s="247"/>
      <c r="D879" s="247"/>
      <c r="E879" s="247"/>
      <c r="F879" s="247"/>
      <c r="G879" s="247"/>
      <c r="H879" s="247"/>
      <c r="I879" s="247"/>
      <c r="J879" s="247"/>
      <c r="K879" s="247"/>
      <c r="L879" s="247"/>
      <c r="M879" s="247"/>
    </row>
    <row r="880">
      <c r="A880" s="247"/>
      <c r="B880" s="247"/>
      <c r="C880" s="247"/>
      <c r="D880" s="247"/>
      <c r="E880" s="247"/>
      <c r="F880" s="247"/>
      <c r="G880" s="247"/>
      <c r="H880" s="247"/>
      <c r="I880" s="247"/>
      <c r="J880" s="247"/>
      <c r="K880" s="247"/>
      <c r="L880" s="247"/>
      <c r="M880" s="247"/>
    </row>
    <row r="881">
      <c r="A881" s="247"/>
      <c r="B881" s="247"/>
      <c r="C881" s="247"/>
      <c r="D881" s="247"/>
      <c r="E881" s="247"/>
      <c r="F881" s="247"/>
      <c r="G881" s="247"/>
      <c r="H881" s="247"/>
      <c r="I881" s="247"/>
      <c r="J881" s="247"/>
      <c r="K881" s="247"/>
      <c r="L881" s="247"/>
      <c r="M881" s="247"/>
    </row>
    <row r="882">
      <c r="A882" s="247"/>
      <c r="B882" s="247"/>
      <c r="C882" s="247"/>
      <c r="D882" s="247"/>
      <c r="E882" s="247"/>
      <c r="F882" s="247"/>
      <c r="G882" s="247"/>
      <c r="H882" s="247"/>
      <c r="I882" s="247"/>
      <c r="J882" s="247"/>
      <c r="K882" s="247"/>
      <c r="L882" s="247"/>
      <c r="M882" s="247"/>
    </row>
    <row r="883">
      <c r="A883" s="247"/>
      <c r="B883" s="247"/>
      <c r="C883" s="247"/>
      <c r="D883" s="247"/>
      <c r="E883" s="247"/>
      <c r="F883" s="247"/>
      <c r="G883" s="247"/>
      <c r="H883" s="247"/>
      <c r="I883" s="247"/>
      <c r="J883" s="247"/>
      <c r="K883" s="247"/>
      <c r="L883" s="247"/>
      <c r="M883" s="247"/>
    </row>
    <row r="884">
      <c r="A884" s="247"/>
      <c r="B884" s="247"/>
      <c r="C884" s="247"/>
      <c r="D884" s="247"/>
      <c r="E884" s="247"/>
      <c r="F884" s="247"/>
      <c r="G884" s="247"/>
      <c r="H884" s="247"/>
      <c r="I884" s="247"/>
      <c r="J884" s="247"/>
      <c r="K884" s="247"/>
      <c r="L884" s="247"/>
      <c r="M884" s="247"/>
    </row>
    <row r="885">
      <c r="A885" s="247"/>
      <c r="B885" s="247"/>
      <c r="C885" s="247"/>
      <c r="D885" s="247"/>
      <c r="E885" s="247"/>
      <c r="F885" s="247"/>
      <c r="G885" s="247"/>
      <c r="H885" s="247"/>
      <c r="I885" s="247"/>
      <c r="J885" s="247"/>
      <c r="K885" s="247"/>
      <c r="L885" s="247"/>
      <c r="M885" s="247"/>
    </row>
    <row r="886">
      <c r="A886" s="247"/>
      <c r="B886" s="247"/>
      <c r="C886" s="247"/>
      <c r="D886" s="247"/>
      <c r="E886" s="247"/>
      <c r="F886" s="247"/>
      <c r="G886" s="247"/>
      <c r="H886" s="247"/>
      <c r="I886" s="247"/>
      <c r="J886" s="247"/>
      <c r="K886" s="247"/>
      <c r="L886" s="247"/>
      <c r="M886" s="247"/>
    </row>
    <row r="887">
      <c r="A887" s="247"/>
      <c r="B887" s="247"/>
      <c r="C887" s="247"/>
      <c r="D887" s="247"/>
      <c r="E887" s="247"/>
      <c r="F887" s="247"/>
      <c r="G887" s="247"/>
      <c r="H887" s="247"/>
      <c r="I887" s="247"/>
      <c r="J887" s="247"/>
      <c r="K887" s="247"/>
      <c r="L887" s="247"/>
      <c r="M887" s="247"/>
    </row>
    <row r="888">
      <c r="A888" s="247"/>
      <c r="B888" s="247"/>
      <c r="C888" s="247"/>
      <c r="D888" s="247"/>
      <c r="E888" s="247"/>
      <c r="F888" s="247"/>
      <c r="G888" s="247"/>
      <c r="H888" s="247"/>
      <c r="I888" s="247"/>
      <c r="J888" s="247"/>
      <c r="K888" s="247"/>
      <c r="L888" s="247"/>
      <c r="M888" s="247"/>
    </row>
    <row r="889">
      <c r="A889" s="247"/>
      <c r="B889" s="247"/>
      <c r="C889" s="247"/>
      <c r="D889" s="247"/>
      <c r="E889" s="247"/>
      <c r="F889" s="247"/>
      <c r="G889" s="247"/>
      <c r="H889" s="247"/>
      <c r="I889" s="247"/>
      <c r="J889" s="247"/>
      <c r="K889" s="247"/>
      <c r="L889" s="247"/>
      <c r="M889" s="247"/>
    </row>
    <row r="890">
      <c r="A890" s="247"/>
      <c r="B890" s="247"/>
      <c r="C890" s="247"/>
      <c r="D890" s="247"/>
      <c r="E890" s="247"/>
      <c r="F890" s="247"/>
      <c r="G890" s="247"/>
      <c r="H890" s="247"/>
      <c r="I890" s="247"/>
      <c r="J890" s="247"/>
      <c r="K890" s="247"/>
      <c r="L890" s="247"/>
      <c r="M890" s="247"/>
    </row>
    <row r="891">
      <c r="A891" s="247"/>
      <c r="B891" s="247"/>
      <c r="C891" s="247"/>
      <c r="D891" s="247"/>
      <c r="E891" s="247"/>
      <c r="F891" s="247"/>
      <c r="G891" s="247"/>
      <c r="H891" s="247"/>
      <c r="I891" s="247"/>
      <c r="J891" s="247"/>
      <c r="K891" s="247"/>
      <c r="L891" s="247"/>
      <c r="M891" s="247"/>
    </row>
    <row r="892">
      <c r="A892" s="247"/>
      <c r="B892" s="247"/>
      <c r="C892" s="247"/>
      <c r="D892" s="247"/>
      <c r="E892" s="247"/>
      <c r="F892" s="247"/>
      <c r="G892" s="247"/>
      <c r="H892" s="247"/>
      <c r="I892" s="247"/>
      <c r="J892" s="247"/>
      <c r="K892" s="247"/>
      <c r="L892" s="247"/>
      <c r="M892" s="247"/>
    </row>
    <row r="893">
      <c r="A893" s="247"/>
      <c r="B893" s="247"/>
      <c r="C893" s="247"/>
      <c r="D893" s="247"/>
      <c r="E893" s="247"/>
      <c r="F893" s="247"/>
      <c r="G893" s="247"/>
      <c r="H893" s="247"/>
      <c r="I893" s="247"/>
      <c r="J893" s="247"/>
      <c r="K893" s="247"/>
      <c r="L893" s="247"/>
      <c r="M893" s="247"/>
    </row>
    <row r="894">
      <c r="A894" s="247"/>
      <c r="B894" s="247"/>
      <c r="C894" s="247"/>
      <c r="D894" s="247"/>
      <c r="E894" s="247"/>
      <c r="F894" s="247"/>
      <c r="G894" s="247"/>
      <c r="H894" s="247"/>
      <c r="I894" s="247"/>
      <c r="J894" s="247"/>
      <c r="K894" s="247"/>
      <c r="L894" s="247"/>
      <c r="M894" s="247"/>
    </row>
    <row r="895">
      <c r="A895" s="247"/>
      <c r="B895" s="247"/>
      <c r="C895" s="247"/>
      <c r="D895" s="247"/>
      <c r="E895" s="247"/>
      <c r="F895" s="247"/>
      <c r="G895" s="247"/>
      <c r="H895" s="247"/>
      <c r="I895" s="247"/>
      <c r="J895" s="247"/>
      <c r="K895" s="247"/>
      <c r="L895" s="247"/>
      <c r="M895" s="247"/>
    </row>
    <row r="896">
      <c r="A896" s="247"/>
      <c r="B896" s="247"/>
      <c r="C896" s="247"/>
      <c r="D896" s="247"/>
      <c r="E896" s="247"/>
      <c r="F896" s="247"/>
      <c r="G896" s="247"/>
      <c r="H896" s="247"/>
      <c r="I896" s="247"/>
      <c r="J896" s="247"/>
      <c r="K896" s="247"/>
      <c r="L896" s="247"/>
      <c r="M896" s="247"/>
    </row>
    <row r="897">
      <c r="A897" s="247"/>
      <c r="B897" s="247"/>
      <c r="C897" s="247"/>
      <c r="D897" s="247"/>
      <c r="E897" s="247"/>
      <c r="F897" s="247"/>
      <c r="G897" s="247"/>
      <c r="H897" s="247"/>
      <c r="I897" s="247"/>
      <c r="J897" s="247"/>
      <c r="K897" s="247"/>
      <c r="L897" s="247"/>
      <c r="M897" s="247"/>
    </row>
    <row r="898">
      <c r="A898" s="247"/>
      <c r="B898" s="247"/>
      <c r="C898" s="247"/>
      <c r="D898" s="247"/>
      <c r="E898" s="247"/>
      <c r="F898" s="247"/>
      <c r="G898" s="247"/>
      <c r="H898" s="247"/>
      <c r="I898" s="247"/>
      <c r="J898" s="247"/>
      <c r="K898" s="247"/>
      <c r="L898" s="247"/>
      <c r="M898" s="247"/>
    </row>
    <row r="899">
      <c r="A899" s="247"/>
      <c r="B899" s="247"/>
      <c r="C899" s="247"/>
      <c r="D899" s="247"/>
      <c r="E899" s="247"/>
      <c r="F899" s="247"/>
      <c r="G899" s="247"/>
      <c r="H899" s="247"/>
      <c r="I899" s="247"/>
      <c r="J899" s="247"/>
      <c r="K899" s="247"/>
      <c r="L899" s="247"/>
      <c r="M899" s="247"/>
    </row>
    <row r="900">
      <c r="A900" s="247"/>
      <c r="B900" s="247"/>
      <c r="C900" s="247"/>
      <c r="D900" s="247"/>
      <c r="E900" s="247"/>
      <c r="F900" s="247"/>
      <c r="G900" s="247"/>
      <c r="H900" s="247"/>
      <c r="I900" s="247"/>
      <c r="J900" s="247"/>
      <c r="K900" s="247"/>
      <c r="L900" s="247"/>
      <c r="M900" s="247"/>
    </row>
    <row r="901">
      <c r="A901" s="247"/>
      <c r="B901" s="247"/>
      <c r="C901" s="247"/>
      <c r="D901" s="247"/>
      <c r="E901" s="247"/>
      <c r="F901" s="247"/>
      <c r="G901" s="247"/>
      <c r="H901" s="247"/>
      <c r="I901" s="247"/>
      <c r="J901" s="247"/>
      <c r="K901" s="247"/>
      <c r="L901" s="247"/>
      <c r="M901" s="247"/>
    </row>
    <row r="902">
      <c r="A902" s="247"/>
      <c r="B902" s="247"/>
      <c r="C902" s="247"/>
      <c r="D902" s="247"/>
      <c r="E902" s="247"/>
      <c r="F902" s="247"/>
      <c r="G902" s="247"/>
      <c r="H902" s="247"/>
      <c r="I902" s="247"/>
      <c r="J902" s="247"/>
      <c r="K902" s="247"/>
      <c r="L902" s="247"/>
      <c r="M902" s="247"/>
    </row>
    <row r="903">
      <c r="A903" s="247"/>
      <c r="B903" s="247"/>
      <c r="C903" s="247"/>
      <c r="D903" s="247"/>
      <c r="E903" s="247"/>
      <c r="F903" s="247"/>
      <c r="G903" s="247"/>
      <c r="H903" s="247"/>
      <c r="I903" s="247"/>
      <c r="J903" s="247"/>
      <c r="K903" s="247"/>
      <c r="L903" s="247"/>
      <c r="M903" s="247"/>
    </row>
    <row r="904">
      <c r="A904" s="247"/>
      <c r="B904" s="247"/>
      <c r="C904" s="247"/>
      <c r="D904" s="247"/>
      <c r="E904" s="247"/>
      <c r="F904" s="247"/>
      <c r="G904" s="247"/>
      <c r="H904" s="247"/>
      <c r="I904" s="247"/>
      <c r="J904" s="247"/>
      <c r="K904" s="247"/>
      <c r="L904" s="247"/>
      <c r="M904" s="247"/>
    </row>
    <row r="905">
      <c r="A905" s="247"/>
      <c r="B905" s="247"/>
      <c r="C905" s="247"/>
      <c r="D905" s="247"/>
      <c r="E905" s="247"/>
      <c r="F905" s="247"/>
      <c r="G905" s="247"/>
      <c r="H905" s="247"/>
      <c r="I905" s="247"/>
      <c r="J905" s="247"/>
      <c r="K905" s="247"/>
      <c r="L905" s="247"/>
      <c r="M905" s="247"/>
    </row>
    <row r="906">
      <c r="A906" s="247"/>
      <c r="B906" s="247"/>
      <c r="C906" s="247"/>
      <c r="D906" s="247"/>
      <c r="E906" s="247"/>
      <c r="F906" s="247"/>
      <c r="G906" s="247"/>
      <c r="H906" s="247"/>
      <c r="I906" s="247"/>
      <c r="J906" s="247"/>
      <c r="K906" s="247"/>
      <c r="L906" s="247"/>
      <c r="M906" s="247"/>
    </row>
    <row r="907">
      <c r="A907" s="247"/>
      <c r="B907" s="247"/>
      <c r="C907" s="247"/>
      <c r="D907" s="247"/>
      <c r="E907" s="247"/>
      <c r="F907" s="247"/>
      <c r="G907" s="247"/>
      <c r="H907" s="247"/>
      <c r="I907" s="247"/>
      <c r="J907" s="247"/>
      <c r="K907" s="247"/>
      <c r="L907" s="247"/>
      <c r="M907" s="247"/>
    </row>
    <row r="908">
      <c r="A908" s="247"/>
      <c r="B908" s="247"/>
      <c r="C908" s="247"/>
      <c r="D908" s="247"/>
      <c r="E908" s="247"/>
      <c r="F908" s="247"/>
      <c r="G908" s="247"/>
      <c r="H908" s="247"/>
      <c r="I908" s="247"/>
      <c r="J908" s="247"/>
      <c r="K908" s="247"/>
      <c r="L908" s="247"/>
      <c r="M908" s="247"/>
    </row>
    <row r="909">
      <c r="A909" s="247"/>
      <c r="B909" s="247"/>
      <c r="C909" s="247"/>
      <c r="D909" s="247"/>
      <c r="E909" s="247"/>
      <c r="F909" s="247"/>
      <c r="G909" s="247"/>
      <c r="H909" s="247"/>
      <c r="I909" s="247"/>
      <c r="J909" s="247"/>
      <c r="K909" s="247"/>
      <c r="L909" s="247"/>
      <c r="M909" s="247"/>
    </row>
    <row r="910">
      <c r="A910" s="247"/>
      <c r="B910" s="247"/>
      <c r="C910" s="247"/>
      <c r="D910" s="247"/>
      <c r="E910" s="247"/>
      <c r="F910" s="247"/>
      <c r="G910" s="247"/>
      <c r="H910" s="247"/>
      <c r="I910" s="247"/>
      <c r="J910" s="247"/>
      <c r="K910" s="247"/>
      <c r="L910" s="247"/>
      <c r="M910" s="247"/>
    </row>
    <row r="911">
      <c r="A911" s="247"/>
      <c r="B911" s="247"/>
      <c r="C911" s="247"/>
      <c r="D911" s="247"/>
      <c r="E911" s="247"/>
      <c r="F911" s="247"/>
      <c r="G911" s="247"/>
      <c r="H911" s="247"/>
      <c r="I911" s="247"/>
      <c r="J911" s="247"/>
      <c r="K911" s="247"/>
      <c r="L911" s="247"/>
      <c r="M911" s="247"/>
    </row>
    <row r="912">
      <c r="A912" s="247"/>
      <c r="B912" s="247"/>
      <c r="C912" s="247"/>
      <c r="D912" s="247"/>
      <c r="E912" s="247"/>
      <c r="F912" s="247"/>
      <c r="G912" s="247"/>
      <c r="H912" s="247"/>
      <c r="I912" s="247"/>
      <c r="J912" s="247"/>
      <c r="K912" s="247"/>
      <c r="L912" s="247"/>
      <c r="M912" s="247"/>
    </row>
    <row r="913">
      <c r="A913" s="247"/>
      <c r="B913" s="247"/>
      <c r="C913" s="247"/>
      <c r="D913" s="247"/>
      <c r="E913" s="247"/>
      <c r="F913" s="247"/>
      <c r="G913" s="247"/>
      <c r="H913" s="247"/>
      <c r="I913" s="247"/>
      <c r="J913" s="247"/>
      <c r="K913" s="247"/>
      <c r="L913" s="247"/>
      <c r="M913" s="247"/>
    </row>
    <row r="914">
      <c r="A914" s="247"/>
      <c r="B914" s="247"/>
      <c r="C914" s="247"/>
      <c r="D914" s="247"/>
      <c r="E914" s="247"/>
      <c r="F914" s="247"/>
      <c r="G914" s="247"/>
      <c r="H914" s="247"/>
      <c r="I914" s="247"/>
      <c r="J914" s="247"/>
      <c r="K914" s="247"/>
      <c r="L914" s="247"/>
      <c r="M914" s="247"/>
    </row>
    <row r="915">
      <c r="A915" s="247"/>
      <c r="B915" s="247"/>
      <c r="C915" s="247"/>
      <c r="D915" s="247"/>
      <c r="E915" s="247"/>
      <c r="F915" s="247"/>
      <c r="G915" s="247"/>
      <c r="H915" s="247"/>
      <c r="I915" s="247"/>
      <c r="J915" s="247"/>
      <c r="K915" s="247"/>
      <c r="L915" s="247"/>
      <c r="M915" s="247"/>
    </row>
    <row r="916">
      <c r="A916" s="247"/>
      <c r="B916" s="247"/>
      <c r="C916" s="247"/>
      <c r="D916" s="247"/>
      <c r="E916" s="247"/>
      <c r="F916" s="247"/>
      <c r="G916" s="247"/>
      <c r="H916" s="247"/>
      <c r="I916" s="247"/>
      <c r="J916" s="247"/>
      <c r="K916" s="247"/>
      <c r="L916" s="247"/>
      <c r="M916" s="247"/>
    </row>
    <row r="917">
      <c r="A917" s="247"/>
      <c r="B917" s="247"/>
      <c r="C917" s="247"/>
      <c r="D917" s="247"/>
      <c r="E917" s="247"/>
      <c r="F917" s="247"/>
      <c r="G917" s="247"/>
      <c r="H917" s="247"/>
      <c r="I917" s="247"/>
      <c r="J917" s="247"/>
      <c r="K917" s="247"/>
      <c r="L917" s="247"/>
      <c r="M917" s="247"/>
    </row>
    <row r="918">
      <c r="A918" s="247"/>
      <c r="B918" s="247"/>
      <c r="C918" s="247"/>
      <c r="D918" s="247"/>
      <c r="E918" s="247"/>
      <c r="F918" s="247"/>
      <c r="G918" s="247"/>
      <c r="H918" s="247"/>
      <c r="I918" s="247"/>
      <c r="J918" s="247"/>
      <c r="K918" s="247"/>
      <c r="L918" s="247"/>
      <c r="M918" s="247"/>
    </row>
    <row r="919">
      <c r="A919" s="247"/>
      <c r="B919" s="247"/>
      <c r="C919" s="247"/>
      <c r="D919" s="247"/>
      <c r="E919" s="247"/>
      <c r="F919" s="247"/>
      <c r="G919" s="247"/>
      <c r="H919" s="247"/>
      <c r="I919" s="247"/>
      <c r="J919" s="247"/>
      <c r="K919" s="247"/>
      <c r="L919" s="247"/>
      <c r="M919" s="247"/>
    </row>
    <row r="920">
      <c r="A920" s="247"/>
      <c r="B920" s="247"/>
      <c r="C920" s="247"/>
      <c r="D920" s="247"/>
      <c r="E920" s="247"/>
      <c r="F920" s="247"/>
      <c r="G920" s="247"/>
      <c r="H920" s="247"/>
      <c r="I920" s="247"/>
      <c r="J920" s="247"/>
      <c r="K920" s="247"/>
      <c r="L920" s="247"/>
      <c r="M920" s="247"/>
    </row>
    <row r="921">
      <c r="A921" s="247"/>
      <c r="B921" s="247"/>
      <c r="C921" s="247"/>
      <c r="D921" s="247"/>
      <c r="E921" s="247"/>
      <c r="F921" s="247"/>
      <c r="G921" s="247"/>
      <c r="H921" s="247"/>
      <c r="I921" s="247"/>
      <c r="J921" s="247"/>
      <c r="K921" s="247"/>
      <c r="L921" s="247"/>
      <c r="M921" s="247"/>
    </row>
    <row r="922">
      <c r="A922" s="247"/>
      <c r="B922" s="247"/>
      <c r="C922" s="247"/>
      <c r="D922" s="247"/>
      <c r="E922" s="247"/>
      <c r="F922" s="247"/>
      <c r="G922" s="247"/>
      <c r="H922" s="247"/>
      <c r="I922" s="247"/>
      <c r="J922" s="247"/>
      <c r="K922" s="247"/>
      <c r="L922" s="247"/>
      <c r="M922" s="247"/>
    </row>
    <row r="923">
      <c r="A923" s="247"/>
      <c r="B923" s="247"/>
      <c r="C923" s="247"/>
      <c r="D923" s="247"/>
      <c r="E923" s="247"/>
      <c r="F923" s="247"/>
      <c r="G923" s="247"/>
      <c r="H923" s="247"/>
      <c r="I923" s="247"/>
      <c r="J923" s="247"/>
      <c r="K923" s="247"/>
      <c r="L923" s="247"/>
      <c r="M923" s="247"/>
    </row>
    <row r="924">
      <c r="A924" s="247"/>
      <c r="B924" s="247"/>
      <c r="C924" s="247"/>
      <c r="D924" s="247"/>
      <c r="E924" s="247"/>
      <c r="F924" s="247"/>
      <c r="G924" s="247"/>
      <c r="H924" s="247"/>
      <c r="I924" s="247"/>
      <c r="J924" s="247"/>
      <c r="K924" s="247"/>
      <c r="L924" s="247"/>
      <c r="M924" s="247"/>
    </row>
    <row r="925">
      <c r="A925" s="247"/>
      <c r="B925" s="247"/>
      <c r="C925" s="247"/>
      <c r="D925" s="247"/>
      <c r="E925" s="247"/>
      <c r="F925" s="247"/>
      <c r="G925" s="247"/>
      <c r="H925" s="247"/>
      <c r="I925" s="247"/>
      <c r="J925" s="247"/>
      <c r="K925" s="247"/>
      <c r="L925" s="247"/>
      <c r="M925" s="247"/>
    </row>
    <row r="926">
      <c r="A926" s="247"/>
      <c r="B926" s="247"/>
      <c r="C926" s="247"/>
      <c r="D926" s="247"/>
      <c r="E926" s="247"/>
      <c r="F926" s="247"/>
      <c r="G926" s="247"/>
      <c r="H926" s="247"/>
      <c r="I926" s="247"/>
      <c r="J926" s="247"/>
      <c r="K926" s="247"/>
      <c r="L926" s="247"/>
      <c r="M926" s="247"/>
    </row>
    <row r="927">
      <c r="A927" s="247"/>
      <c r="B927" s="247"/>
      <c r="C927" s="247"/>
      <c r="D927" s="247"/>
      <c r="E927" s="247"/>
      <c r="F927" s="247"/>
      <c r="G927" s="247"/>
      <c r="H927" s="247"/>
      <c r="I927" s="247"/>
      <c r="J927" s="247"/>
      <c r="K927" s="247"/>
      <c r="L927" s="247"/>
      <c r="M927" s="247"/>
    </row>
    <row r="928">
      <c r="A928" s="247"/>
      <c r="B928" s="247"/>
      <c r="C928" s="247"/>
      <c r="D928" s="247"/>
      <c r="E928" s="247"/>
      <c r="F928" s="247"/>
      <c r="G928" s="247"/>
      <c r="H928" s="247"/>
      <c r="I928" s="247"/>
      <c r="J928" s="247"/>
      <c r="K928" s="247"/>
      <c r="L928" s="247"/>
      <c r="M928" s="247"/>
    </row>
    <row r="929">
      <c r="A929" s="247"/>
      <c r="B929" s="247"/>
      <c r="C929" s="247"/>
      <c r="D929" s="247"/>
      <c r="E929" s="247"/>
      <c r="F929" s="247"/>
      <c r="G929" s="247"/>
      <c r="H929" s="247"/>
      <c r="I929" s="247"/>
      <c r="J929" s="247"/>
      <c r="K929" s="247"/>
      <c r="L929" s="247"/>
      <c r="M929" s="247"/>
    </row>
    <row r="930">
      <c r="A930" s="247"/>
      <c r="B930" s="247"/>
      <c r="C930" s="247"/>
      <c r="D930" s="247"/>
      <c r="E930" s="247"/>
      <c r="F930" s="247"/>
      <c r="G930" s="247"/>
      <c r="H930" s="247"/>
      <c r="I930" s="247"/>
      <c r="J930" s="247"/>
      <c r="K930" s="247"/>
      <c r="L930" s="247"/>
      <c r="M930" s="247"/>
    </row>
    <row r="931">
      <c r="A931" s="247"/>
      <c r="B931" s="247"/>
      <c r="C931" s="247"/>
      <c r="D931" s="247"/>
      <c r="E931" s="247"/>
      <c r="F931" s="247"/>
      <c r="G931" s="247"/>
      <c r="H931" s="247"/>
      <c r="I931" s="247"/>
      <c r="J931" s="247"/>
      <c r="K931" s="247"/>
      <c r="L931" s="247"/>
      <c r="M931" s="247"/>
    </row>
    <row r="932">
      <c r="A932" s="247"/>
      <c r="B932" s="247"/>
      <c r="C932" s="247"/>
      <c r="D932" s="247"/>
      <c r="E932" s="247"/>
      <c r="F932" s="247"/>
      <c r="G932" s="247"/>
      <c r="H932" s="247"/>
      <c r="I932" s="247"/>
      <c r="J932" s="247"/>
      <c r="K932" s="247"/>
      <c r="L932" s="247"/>
      <c r="M932" s="247"/>
    </row>
    <row r="933">
      <c r="A933" s="247"/>
      <c r="B933" s="247"/>
      <c r="C933" s="247"/>
      <c r="D933" s="247"/>
      <c r="E933" s="247"/>
      <c r="F933" s="247"/>
      <c r="G933" s="247"/>
      <c r="H933" s="247"/>
      <c r="I933" s="247"/>
      <c r="J933" s="247"/>
      <c r="K933" s="247"/>
      <c r="L933" s="247"/>
      <c r="M933" s="247"/>
    </row>
    <row r="934">
      <c r="A934" s="247"/>
      <c r="B934" s="247"/>
      <c r="C934" s="247"/>
      <c r="D934" s="247"/>
      <c r="E934" s="247"/>
      <c r="F934" s="247"/>
      <c r="G934" s="247"/>
      <c r="H934" s="247"/>
      <c r="I934" s="247"/>
      <c r="J934" s="247"/>
      <c r="K934" s="247"/>
      <c r="L934" s="247"/>
      <c r="M934" s="247"/>
    </row>
    <row r="935">
      <c r="A935" s="247"/>
      <c r="B935" s="247"/>
      <c r="C935" s="247"/>
      <c r="D935" s="247"/>
      <c r="E935" s="247"/>
      <c r="F935" s="247"/>
      <c r="G935" s="247"/>
      <c r="H935" s="247"/>
      <c r="I935" s="247"/>
      <c r="J935" s="247"/>
      <c r="K935" s="247"/>
      <c r="L935" s="247"/>
      <c r="M935" s="247"/>
    </row>
    <row r="936">
      <c r="A936" s="247"/>
      <c r="B936" s="247"/>
      <c r="C936" s="247"/>
      <c r="D936" s="247"/>
      <c r="E936" s="247"/>
      <c r="F936" s="247"/>
      <c r="G936" s="247"/>
      <c r="H936" s="247"/>
      <c r="I936" s="247"/>
      <c r="J936" s="247"/>
      <c r="K936" s="247"/>
      <c r="L936" s="247"/>
      <c r="M936" s="247"/>
    </row>
    <row r="937">
      <c r="A937" s="247"/>
      <c r="B937" s="247"/>
      <c r="C937" s="247"/>
      <c r="D937" s="247"/>
      <c r="E937" s="247"/>
      <c r="F937" s="247"/>
      <c r="G937" s="247"/>
      <c r="H937" s="247"/>
      <c r="I937" s="247"/>
      <c r="J937" s="247"/>
      <c r="K937" s="247"/>
      <c r="L937" s="247"/>
      <c r="M937" s="247"/>
    </row>
    <row r="938">
      <c r="A938" s="247"/>
      <c r="B938" s="247"/>
      <c r="C938" s="247"/>
      <c r="D938" s="247"/>
      <c r="E938" s="247"/>
      <c r="F938" s="247"/>
      <c r="G938" s="247"/>
      <c r="H938" s="247"/>
      <c r="I938" s="247"/>
      <c r="J938" s="247"/>
      <c r="K938" s="247"/>
      <c r="L938" s="247"/>
      <c r="M938" s="247"/>
    </row>
    <row r="939">
      <c r="A939" s="247"/>
      <c r="B939" s="247"/>
      <c r="C939" s="247"/>
      <c r="D939" s="247"/>
      <c r="E939" s="247"/>
      <c r="F939" s="247"/>
      <c r="G939" s="247"/>
      <c r="H939" s="247"/>
      <c r="I939" s="247"/>
      <c r="J939" s="247"/>
      <c r="K939" s="247"/>
      <c r="L939" s="247"/>
      <c r="M939" s="247"/>
    </row>
    <row r="940">
      <c r="A940" s="247"/>
      <c r="B940" s="247"/>
      <c r="C940" s="247"/>
      <c r="D940" s="247"/>
      <c r="E940" s="247"/>
      <c r="F940" s="247"/>
      <c r="G940" s="247"/>
      <c r="H940" s="247"/>
      <c r="I940" s="247"/>
      <c r="J940" s="247"/>
      <c r="K940" s="247"/>
      <c r="L940" s="247"/>
      <c r="M940" s="247"/>
    </row>
    <row r="941">
      <c r="A941" s="247"/>
      <c r="B941" s="247"/>
      <c r="C941" s="247"/>
      <c r="D941" s="247"/>
      <c r="E941" s="247"/>
      <c r="F941" s="247"/>
      <c r="G941" s="247"/>
      <c r="H941" s="247"/>
      <c r="I941" s="247"/>
      <c r="J941" s="247"/>
      <c r="K941" s="247"/>
      <c r="L941" s="247"/>
      <c r="M941" s="247"/>
    </row>
    <row r="942">
      <c r="A942" s="247"/>
      <c r="B942" s="247"/>
      <c r="C942" s="247"/>
      <c r="D942" s="247"/>
      <c r="E942" s="247"/>
      <c r="F942" s="247"/>
      <c r="G942" s="247"/>
      <c r="H942" s="247"/>
      <c r="I942" s="247"/>
      <c r="J942" s="247"/>
      <c r="K942" s="247"/>
      <c r="L942" s="247"/>
      <c r="M942" s="247"/>
    </row>
    <row r="943">
      <c r="A943" s="247"/>
      <c r="B943" s="247"/>
      <c r="C943" s="247"/>
      <c r="D943" s="247"/>
      <c r="E943" s="247"/>
      <c r="F943" s="247"/>
      <c r="G943" s="247"/>
      <c r="H943" s="247"/>
      <c r="I943" s="247"/>
      <c r="J943" s="247"/>
      <c r="K943" s="247"/>
      <c r="L943" s="247"/>
      <c r="M943" s="247"/>
    </row>
    <row r="944">
      <c r="A944" s="247"/>
      <c r="B944" s="247"/>
      <c r="C944" s="247"/>
      <c r="D944" s="247"/>
      <c r="E944" s="247"/>
      <c r="F944" s="247"/>
      <c r="G944" s="247"/>
      <c r="H944" s="247"/>
      <c r="I944" s="247"/>
      <c r="J944" s="247"/>
      <c r="K944" s="247"/>
      <c r="L944" s="247"/>
      <c r="M944" s="247"/>
    </row>
    <row r="945">
      <c r="A945" s="247"/>
      <c r="B945" s="247"/>
      <c r="C945" s="247"/>
      <c r="D945" s="247"/>
      <c r="E945" s="247"/>
      <c r="F945" s="247"/>
      <c r="G945" s="247"/>
      <c r="H945" s="247"/>
      <c r="I945" s="247"/>
      <c r="J945" s="247"/>
      <c r="K945" s="247"/>
      <c r="L945" s="247"/>
      <c r="M945" s="247"/>
    </row>
    <row r="946">
      <c r="A946" s="247"/>
      <c r="B946" s="247"/>
      <c r="C946" s="247"/>
      <c r="D946" s="247"/>
      <c r="E946" s="247"/>
      <c r="F946" s="247"/>
      <c r="G946" s="247"/>
      <c r="H946" s="247"/>
      <c r="I946" s="247"/>
      <c r="J946" s="247"/>
      <c r="K946" s="247"/>
      <c r="L946" s="247"/>
      <c r="M946" s="247"/>
    </row>
    <row r="947">
      <c r="A947" s="247"/>
      <c r="B947" s="247"/>
      <c r="C947" s="247"/>
      <c r="D947" s="247"/>
      <c r="E947" s="247"/>
      <c r="F947" s="247"/>
      <c r="G947" s="247"/>
      <c r="H947" s="247"/>
      <c r="I947" s="247"/>
      <c r="J947" s="247"/>
      <c r="K947" s="247"/>
      <c r="L947" s="247"/>
      <c r="M947" s="247"/>
    </row>
    <row r="948">
      <c r="A948" s="247"/>
      <c r="B948" s="247"/>
      <c r="C948" s="247"/>
      <c r="D948" s="247"/>
      <c r="E948" s="247"/>
      <c r="F948" s="247"/>
      <c r="G948" s="247"/>
      <c r="H948" s="247"/>
      <c r="I948" s="247"/>
      <c r="J948" s="247"/>
      <c r="K948" s="247"/>
      <c r="L948" s="247"/>
      <c r="M948" s="247"/>
    </row>
    <row r="949">
      <c r="A949" s="247"/>
      <c r="B949" s="247"/>
      <c r="C949" s="247"/>
      <c r="D949" s="247"/>
      <c r="E949" s="247"/>
      <c r="F949" s="247"/>
      <c r="G949" s="247"/>
      <c r="H949" s="247"/>
      <c r="I949" s="247"/>
      <c r="J949" s="247"/>
      <c r="K949" s="247"/>
      <c r="L949" s="247"/>
      <c r="M949" s="247"/>
    </row>
    <row r="950">
      <c r="A950" s="247"/>
      <c r="B950" s="247"/>
      <c r="C950" s="247"/>
      <c r="D950" s="247"/>
      <c r="E950" s="247"/>
      <c r="F950" s="247"/>
      <c r="G950" s="247"/>
      <c r="H950" s="247"/>
      <c r="I950" s="247"/>
      <c r="J950" s="247"/>
      <c r="K950" s="247"/>
      <c r="L950" s="247"/>
      <c r="M950" s="247"/>
    </row>
    <row r="951">
      <c r="A951" s="247"/>
      <c r="B951" s="247"/>
      <c r="C951" s="247"/>
      <c r="D951" s="247"/>
      <c r="E951" s="247"/>
      <c r="F951" s="247"/>
      <c r="G951" s="247"/>
      <c r="H951" s="247"/>
      <c r="I951" s="247"/>
      <c r="J951" s="247"/>
      <c r="K951" s="247"/>
      <c r="L951" s="247"/>
      <c r="M951" s="247"/>
    </row>
    <row r="952">
      <c r="A952" s="247"/>
      <c r="B952" s="247"/>
      <c r="C952" s="247"/>
      <c r="D952" s="247"/>
      <c r="E952" s="247"/>
      <c r="F952" s="247"/>
      <c r="G952" s="247"/>
      <c r="H952" s="247"/>
      <c r="I952" s="247"/>
      <c r="J952" s="247"/>
      <c r="K952" s="247"/>
      <c r="L952" s="247"/>
      <c r="M952" s="247"/>
    </row>
    <row r="953">
      <c r="A953" s="247"/>
      <c r="B953" s="247"/>
      <c r="C953" s="247"/>
      <c r="D953" s="247"/>
      <c r="E953" s="247"/>
      <c r="F953" s="247"/>
      <c r="G953" s="247"/>
      <c r="H953" s="247"/>
      <c r="I953" s="247"/>
      <c r="J953" s="247"/>
      <c r="K953" s="247"/>
      <c r="L953" s="247"/>
      <c r="M953" s="247"/>
    </row>
    <row r="954">
      <c r="A954" s="247"/>
      <c r="B954" s="247"/>
      <c r="C954" s="247"/>
      <c r="D954" s="247"/>
      <c r="E954" s="247"/>
      <c r="F954" s="247"/>
      <c r="G954" s="247"/>
      <c r="H954" s="247"/>
      <c r="I954" s="247"/>
      <c r="J954" s="247"/>
      <c r="K954" s="247"/>
      <c r="L954" s="247"/>
      <c r="M954" s="247"/>
    </row>
    <row r="955">
      <c r="A955" s="247"/>
      <c r="B955" s="247"/>
      <c r="C955" s="247"/>
      <c r="D955" s="247"/>
      <c r="E955" s="247"/>
      <c r="F955" s="247"/>
      <c r="G955" s="247"/>
      <c r="H955" s="247"/>
      <c r="I955" s="247"/>
      <c r="J955" s="247"/>
      <c r="K955" s="247"/>
      <c r="L955" s="247"/>
      <c r="M955" s="247"/>
    </row>
    <row r="956">
      <c r="A956" s="247"/>
      <c r="B956" s="247"/>
      <c r="C956" s="247"/>
      <c r="D956" s="247"/>
      <c r="E956" s="247"/>
      <c r="F956" s="247"/>
      <c r="G956" s="247"/>
      <c r="H956" s="247"/>
      <c r="I956" s="247"/>
      <c r="J956" s="247"/>
      <c r="K956" s="247"/>
      <c r="L956" s="247"/>
      <c r="M956" s="247"/>
    </row>
    <row r="957">
      <c r="A957" s="247"/>
      <c r="B957" s="247"/>
      <c r="C957" s="247"/>
      <c r="D957" s="247"/>
      <c r="E957" s="247"/>
      <c r="F957" s="247"/>
      <c r="G957" s="247"/>
      <c r="H957" s="247"/>
      <c r="I957" s="247"/>
      <c r="J957" s="247"/>
      <c r="K957" s="247"/>
      <c r="L957" s="247"/>
      <c r="M957" s="247"/>
    </row>
    <row r="958">
      <c r="A958" s="247"/>
      <c r="B958" s="247"/>
      <c r="C958" s="247"/>
      <c r="D958" s="247"/>
      <c r="E958" s="247"/>
      <c r="F958" s="247"/>
      <c r="G958" s="247"/>
      <c r="H958" s="247"/>
      <c r="I958" s="247"/>
      <c r="J958" s="247"/>
      <c r="K958" s="247"/>
      <c r="L958" s="247"/>
      <c r="M958" s="247"/>
    </row>
    <row r="959">
      <c r="A959" s="247"/>
      <c r="B959" s="247"/>
      <c r="C959" s="247"/>
      <c r="D959" s="247"/>
      <c r="E959" s="247"/>
      <c r="F959" s="247"/>
      <c r="G959" s="247"/>
      <c r="H959" s="247"/>
      <c r="I959" s="247"/>
      <c r="J959" s="247"/>
      <c r="K959" s="247"/>
      <c r="L959" s="247"/>
      <c r="M959" s="247"/>
    </row>
    <row r="960">
      <c r="A960" s="247"/>
      <c r="B960" s="247"/>
      <c r="C960" s="247"/>
      <c r="D960" s="247"/>
      <c r="E960" s="247"/>
      <c r="F960" s="247"/>
      <c r="G960" s="247"/>
      <c r="H960" s="247"/>
      <c r="I960" s="247"/>
      <c r="J960" s="247"/>
      <c r="K960" s="247"/>
      <c r="L960" s="247"/>
      <c r="M960" s="247"/>
    </row>
    <row r="961">
      <c r="A961" s="247"/>
      <c r="B961" s="247"/>
      <c r="C961" s="247"/>
      <c r="D961" s="247"/>
      <c r="E961" s="247"/>
      <c r="F961" s="247"/>
      <c r="G961" s="247"/>
      <c r="H961" s="247"/>
      <c r="I961" s="247"/>
      <c r="J961" s="247"/>
      <c r="K961" s="247"/>
      <c r="L961" s="247"/>
      <c r="M961" s="247"/>
    </row>
    <row r="962">
      <c r="A962" s="247"/>
      <c r="B962" s="247"/>
      <c r="C962" s="247"/>
      <c r="D962" s="247"/>
      <c r="E962" s="247"/>
      <c r="F962" s="247"/>
      <c r="G962" s="247"/>
      <c r="H962" s="247"/>
      <c r="I962" s="247"/>
      <c r="J962" s="247"/>
      <c r="K962" s="247"/>
      <c r="L962" s="247"/>
      <c r="M962" s="247"/>
    </row>
    <row r="963">
      <c r="A963" s="247"/>
      <c r="B963" s="247"/>
      <c r="C963" s="247"/>
      <c r="D963" s="247"/>
      <c r="E963" s="247"/>
      <c r="F963" s="247"/>
      <c r="G963" s="247"/>
      <c r="H963" s="247"/>
      <c r="I963" s="247"/>
      <c r="J963" s="247"/>
      <c r="K963" s="247"/>
      <c r="L963" s="247"/>
      <c r="M963" s="247"/>
    </row>
    <row r="964">
      <c r="A964" s="247"/>
      <c r="B964" s="247"/>
      <c r="C964" s="247"/>
      <c r="D964" s="247"/>
      <c r="E964" s="247"/>
      <c r="F964" s="247"/>
      <c r="G964" s="247"/>
      <c r="H964" s="247"/>
      <c r="I964" s="247"/>
      <c r="J964" s="247"/>
      <c r="K964" s="247"/>
      <c r="L964" s="247"/>
      <c r="M964" s="247"/>
    </row>
    <row r="965">
      <c r="A965" s="247"/>
      <c r="B965" s="247"/>
      <c r="C965" s="247"/>
      <c r="D965" s="247"/>
      <c r="E965" s="247"/>
      <c r="F965" s="247"/>
      <c r="G965" s="247"/>
      <c r="H965" s="247"/>
      <c r="I965" s="247"/>
      <c r="J965" s="247"/>
      <c r="K965" s="247"/>
      <c r="L965" s="247"/>
      <c r="M965" s="247"/>
    </row>
    <row r="966">
      <c r="A966" s="247"/>
      <c r="B966" s="247"/>
      <c r="C966" s="247"/>
      <c r="D966" s="247"/>
      <c r="E966" s="247"/>
      <c r="F966" s="247"/>
      <c r="G966" s="247"/>
      <c r="H966" s="247"/>
      <c r="I966" s="247"/>
      <c r="J966" s="247"/>
      <c r="K966" s="247"/>
      <c r="L966" s="247"/>
      <c r="M966" s="247"/>
    </row>
    <row r="967">
      <c r="A967" s="247"/>
      <c r="B967" s="247"/>
      <c r="C967" s="247"/>
      <c r="D967" s="247"/>
      <c r="E967" s="247"/>
      <c r="F967" s="247"/>
      <c r="G967" s="247"/>
      <c r="H967" s="247"/>
      <c r="I967" s="247"/>
      <c r="J967" s="247"/>
      <c r="K967" s="247"/>
      <c r="L967" s="247"/>
      <c r="M967" s="247"/>
    </row>
    <row r="968">
      <c r="A968" s="247"/>
      <c r="B968" s="247"/>
      <c r="C968" s="247"/>
      <c r="D968" s="247"/>
      <c r="E968" s="247"/>
      <c r="F968" s="247"/>
      <c r="G968" s="247"/>
      <c r="H968" s="247"/>
      <c r="I968" s="247"/>
      <c r="J968" s="247"/>
      <c r="K968" s="247"/>
      <c r="L968" s="247"/>
      <c r="M968" s="247"/>
    </row>
    <row r="969">
      <c r="A969" s="247"/>
      <c r="B969" s="247"/>
      <c r="C969" s="247"/>
      <c r="D969" s="247"/>
      <c r="E969" s="247"/>
      <c r="F969" s="247"/>
      <c r="G969" s="247"/>
      <c r="H969" s="247"/>
      <c r="I969" s="247"/>
      <c r="J969" s="247"/>
      <c r="K969" s="247"/>
      <c r="L969" s="247"/>
      <c r="M969" s="247"/>
    </row>
    <row r="970">
      <c r="A970" s="247"/>
      <c r="B970" s="247"/>
      <c r="C970" s="247"/>
      <c r="D970" s="247"/>
      <c r="E970" s="247"/>
      <c r="F970" s="247"/>
      <c r="G970" s="247"/>
      <c r="H970" s="247"/>
      <c r="I970" s="247"/>
      <c r="J970" s="247"/>
      <c r="K970" s="247"/>
      <c r="L970" s="247"/>
      <c r="M970" s="247"/>
    </row>
    <row r="971">
      <c r="A971" s="247"/>
      <c r="B971" s="247"/>
      <c r="C971" s="247"/>
      <c r="D971" s="247"/>
      <c r="E971" s="247"/>
      <c r="F971" s="247"/>
      <c r="G971" s="247"/>
      <c r="H971" s="247"/>
      <c r="I971" s="247"/>
      <c r="J971" s="247"/>
      <c r="K971" s="247"/>
      <c r="L971" s="247"/>
      <c r="M971" s="247"/>
    </row>
    <row r="972">
      <c r="A972" s="247"/>
      <c r="B972" s="247"/>
      <c r="C972" s="247"/>
      <c r="D972" s="247"/>
      <c r="E972" s="247"/>
      <c r="F972" s="247"/>
      <c r="G972" s="247"/>
      <c r="H972" s="247"/>
      <c r="I972" s="247"/>
      <c r="J972" s="247"/>
      <c r="K972" s="247"/>
      <c r="L972" s="247"/>
      <c r="M972" s="247"/>
    </row>
    <row r="973">
      <c r="A973" s="247"/>
      <c r="B973" s="247"/>
      <c r="C973" s="247"/>
      <c r="D973" s="247"/>
      <c r="E973" s="247"/>
      <c r="F973" s="247"/>
      <c r="G973" s="247"/>
      <c r="H973" s="247"/>
      <c r="I973" s="247"/>
      <c r="J973" s="247"/>
      <c r="K973" s="247"/>
      <c r="L973" s="247"/>
      <c r="M973" s="247"/>
    </row>
    <row r="974">
      <c r="A974" s="247"/>
      <c r="B974" s="247"/>
      <c r="C974" s="247"/>
      <c r="D974" s="247"/>
      <c r="E974" s="247"/>
      <c r="F974" s="247"/>
      <c r="G974" s="247"/>
      <c r="H974" s="247"/>
      <c r="I974" s="247"/>
      <c r="J974" s="247"/>
      <c r="K974" s="247"/>
      <c r="L974" s="247"/>
      <c r="M974" s="247"/>
    </row>
    <row r="975">
      <c r="A975" s="247"/>
      <c r="B975" s="247"/>
      <c r="C975" s="247"/>
      <c r="D975" s="247"/>
      <c r="E975" s="247"/>
      <c r="F975" s="247"/>
      <c r="G975" s="247"/>
      <c r="H975" s="247"/>
      <c r="I975" s="247"/>
      <c r="J975" s="247"/>
      <c r="K975" s="247"/>
      <c r="L975" s="247"/>
      <c r="M975" s="247"/>
    </row>
    <row r="976">
      <c r="A976" s="247"/>
      <c r="B976" s="247"/>
      <c r="C976" s="247"/>
      <c r="D976" s="247"/>
      <c r="E976" s="247"/>
      <c r="F976" s="247"/>
      <c r="G976" s="247"/>
      <c r="H976" s="247"/>
      <c r="I976" s="247"/>
      <c r="J976" s="247"/>
      <c r="K976" s="247"/>
      <c r="L976" s="247"/>
      <c r="M976" s="247"/>
    </row>
    <row r="977">
      <c r="A977" s="247"/>
      <c r="B977" s="247"/>
      <c r="C977" s="247"/>
      <c r="D977" s="247"/>
      <c r="E977" s="247"/>
      <c r="F977" s="247"/>
      <c r="G977" s="247"/>
      <c r="H977" s="247"/>
      <c r="I977" s="247"/>
      <c r="J977" s="247"/>
      <c r="K977" s="247"/>
      <c r="L977" s="247"/>
      <c r="M977" s="247"/>
    </row>
    <row r="978">
      <c r="A978" s="247"/>
      <c r="B978" s="247"/>
      <c r="C978" s="247"/>
      <c r="D978" s="247"/>
      <c r="E978" s="247"/>
      <c r="F978" s="247"/>
      <c r="G978" s="247"/>
      <c r="H978" s="247"/>
      <c r="I978" s="247"/>
      <c r="J978" s="247"/>
      <c r="K978" s="247"/>
      <c r="L978" s="247"/>
      <c r="M978" s="247"/>
    </row>
    <row r="979">
      <c r="A979" s="247"/>
      <c r="B979" s="247"/>
      <c r="C979" s="247"/>
      <c r="D979" s="247"/>
      <c r="E979" s="247"/>
      <c r="F979" s="247"/>
      <c r="G979" s="247"/>
      <c r="H979" s="247"/>
      <c r="I979" s="247"/>
      <c r="J979" s="247"/>
      <c r="K979" s="247"/>
      <c r="L979" s="247"/>
      <c r="M979" s="247"/>
    </row>
    <row r="980">
      <c r="A980" s="247"/>
      <c r="B980" s="247"/>
      <c r="C980" s="247"/>
      <c r="D980" s="247"/>
      <c r="E980" s="247"/>
      <c r="F980" s="247"/>
      <c r="G980" s="247"/>
      <c r="H980" s="247"/>
      <c r="I980" s="247"/>
      <c r="J980" s="247"/>
      <c r="K980" s="247"/>
      <c r="L980" s="247"/>
      <c r="M980" s="247"/>
    </row>
    <row r="981">
      <c r="A981" s="247"/>
      <c r="B981" s="247"/>
      <c r="C981" s="247"/>
      <c r="D981" s="247"/>
      <c r="E981" s="247"/>
      <c r="F981" s="247"/>
      <c r="G981" s="247"/>
      <c r="H981" s="247"/>
      <c r="I981" s="247"/>
      <c r="J981" s="247"/>
      <c r="K981" s="247"/>
      <c r="L981" s="247"/>
      <c r="M981" s="247"/>
    </row>
    <row r="982">
      <c r="A982" s="247"/>
      <c r="B982" s="247"/>
      <c r="C982" s="247"/>
      <c r="D982" s="247"/>
      <c r="E982" s="247"/>
      <c r="F982" s="247"/>
      <c r="G982" s="247"/>
      <c r="H982" s="247"/>
      <c r="I982" s="247"/>
      <c r="J982" s="247"/>
      <c r="K982" s="247"/>
      <c r="L982" s="247"/>
      <c r="M982" s="247"/>
    </row>
    <row r="983">
      <c r="A983" s="247"/>
      <c r="B983" s="247"/>
      <c r="C983" s="247"/>
      <c r="D983" s="247"/>
      <c r="E983" s="247"/>
      <c r="F983" s="247"/>
      <c r="G983" s="247"/>
      <c r="H983" s="247"/>
      <c r="I983" s="247"/>
      <c r="J983" s="247"/>
      <c r="K983" s="247"/>
      <c r="L983" s="247"/>
      <c r="M983" s="247"/>
    </row>
    <row r="984">
      <c r="A984" s="247"/>
      <c r="B984" s="247"/>
      <c r="C984" s="247"/>
      <c r="D984" s="247"/>
      <c r="E984" s="247"/>
      <c r="F984" s="247"/>
      <c r="G984" s="247"/>
      <c r="H984" s="247"/>
      <c r="I984" s="247"/>
      <c r="J984" s="247"/>
      <c r="K984" s="247"/>
      <c r="L984" s="247"/>
      <c r="M984" s="247"/>
    </row>
    <row r="985">
      <c r="A985" s="247"/>
      <c r="B985" s="247"/>
      <c r="C985" s="247"/>
      <c r="D985" s="247"/>
      <c r="E985" s="247"/>
      <c r="F985" s="247"/>
      <c r="G985" s="247"/>
      <c r="H985" s="247"/>
      <c r="I985" s="247"/>
      <c r="J985" s="247"/>
      <c r="K985" s="247"/>
      <c r="L985" s="247"/>
      <c r="M985" s="247"/>
    </row>
    <row r="986">
      <c r="A986" s="247"/>
      <c r="B986" s="247"/>
      <c r="C986" s="247"/>
      <c r="D986" s="247"/>
      <c r="E986" s="247"/>
      <c r="F986" s="247"/>
      <c r="G986" s="247"/>
      <c r="H986" s="247"/>
      <c r="I986" s="247"/>
      <c r="J986" s="247"/>
      <c r="K986" s="247"/>
      <c r="L986" s="247"/>
      <c r="M986" s="247"/>
    </row>
    <row r="987">
      <c r="A987" s="247"/>
      <c r="B987" s="247"/>
      <c r="C987" s="247"/>
      <c r="D987" s="247"/>
      <c r="E987" s="247"/>
      <c r="F987" s="247"/>
      <c r="G987" s="247"/>
      <c r="H987" s="247"/>
      <c r="I987" s="247"/>
      <c r="J987" s="247"/>
      <c r="K987" s="247"/>
      <c r="L987" s="247"/>
      <c r="M987" s="247"/>
    </row>
    <row r="988">
      <c r="A988" s="247"/>
      <c r="B988" s="247"/>
      <c r="C988" s="247"/>
      <c r="D988" s="247"/>
      <c r="E988" s="247"/>
      <c r="F988" s="247"/>
      <c r="G988" s="247"/>
      <c r="H988" s="247"/>
      <c r="I988" s="247"/>
      <c r="J988" s="247"/>
      <c r="K988" s="247"/>
      <c r="L988" s="247"/>
      <c r="M988" s="247"/>
    </row>
    <row r="989">
      <c r="A989" s="247"/>
      <c r="B989" s="247"/>
      <c r="C989" s="247"/>
      <c r="D989" s="247"/>
      <c r="E989" s="247"/>
      <c r="F989" s="247"/>
      <c r="G989" s="247"/>
      <c r="H989" s="247"/>
      <c r="I989" s="247"/>
      <c r="J989" s="247"/>
      <c r="K989" s="247"/>
      <c r="L989" s="247"/>
      <c r="M989" s="247"/>
    </row>
    <row r="990">
      <c r="A990" s="247"/>
      <c r="B990" s="247"/>
      <c r="C990" s="247"/>
      <c r="D990" s="247"/>
      <c r="E990" s="247"/>
      <c r="F990" s="247"/>
      <c r="G990" s="247"/>
      <c r="H990" s="247"/>
      <c r="I990" s="247"/>
      <c r="J990" s="247"/>
      <c r="K990" s="247"/>
      <c r="L990" s="247"/>
      <c r="M990" s="247"/>
    </row>
    <row r="991">
      <c r="A991" s="247"/>
      <c r="B991" s="247"/>
      <c r="C991" s="247"/>
      <c r="D991" s="247"/>
      <c r="E991" s="247"/>
      <c r="F991" s="247"/>
      <c r="G991" s="247"/>
      <c r="H991" s="247"/>
      <c r="I991" s="247"/>
      <c r="J991" s="247"/>
      <c r="K991" s="247"/>
      <c r="L991" s="247"/>
      <c r="M991" s="247"/>
    </row>
    <row r="992">
      <c r="A992" s="247"/>
      <c r="B992" s="247"/>
      <c r="C992" s="247"/>
      <c r="D992" s="247"/>
      <c r="E992" s="247"/>
      <c r="F992" s="247"/>
      <c r="G992" s="247"/>
      <c r="H992" s="247"/>
      <c r="I992" s="247"/>
      <c r="J992" s="247"/>
      <c r="K992" s="247"/>
      <c r="L992" s="247"/>
      <c r="M992" s="247"/>
    </row>
    <row r="993">
      <c r="A993" s="247"/>
      <c r="B993" s="247"/>
      <c r="C993" s="247"/>
      <c r="D993" s="247"/>
      <c r="E993" s="247"/>
      <c r="F993" s="247"/>
      <c r="G993" s="247"/>
      <c r="H993" s="247"/>
      <c r="I993" s="247"/>
      <c r="J993" s="247"/>
      <c r="K993" s="247"/>
      <c r="L993" s="247"/>
      <c r="M993" s="247"/>
    </row>
    <row r="994">
      <c r="A994" s="247"/>
      <c r="B994" s="247"/>
      <c r="C994" s="247"/>
      <c r="D994" s="247"/>
      <c r="E994" s="247"/>
      <c r="F994" s="247"/>
      <c r="G994" s="247"/>
      <c r="H994" s="247"/>
      <c r="I994" s="247"/>
      <c r="J994" s="247"/>
      <c r="K994" s="247"/>
      <c r="L994" s="247"/>
      <c r="M994" s="247"/>
    </row>
    <row r="995">
      <c r="A995" s="247"/>
      <c r="B995" s="247"/>
      <c r="C995" s="247"/>
      <c r="D995" s="247"/>
      <c r="E995" s="247"/>
      <c r="F995" s="247"/>
      <c r="G995" s="247"/>
      <c r="H995" s="247"/>
      <c r="I995" s="247"/>
      <c r="J995" s="247"/>
      <c r="K995" s="247"/>
      <c r="L995" s="247"/>
      <c r="M995" s="247"/>
    </row>
    <row r="996">
      <c r="A996" s="247"/>
      <c r="B996" s="247"/>
      <c r="C996" s="247"/>
      <c r="D996" s="247"/>
      <c r="E996" s="247"/>
      <c r="F996" s="247"/>
      <c r="G996" s="247"/>
      <c r="H996" s="247"/>
      <c r="I996" s="247"/>
      <c r="J996" s="247"/>
      <c r="K996" s="247"/>
      <c r="L996" s="247"/>
      <c r="M996" s="247"/>
    </row>
    <row r="997">
      <c r="A997" s="247"/>
      <c r="B997" s="247"/>
      <c r="C997" s="247"/>
      <c r="D997" s="247"/>
      <c r="E997" s="247"/>
      <c r="F997" s="247"/>
      <c r="G997" s="247"/>
      <c r="H997" s="247"/>
      <c r="I997" s="247"/>
      <c r="J997" s="247"/>
      <c r="K997" s="247"/>
      <c r="L997" s="247"/>
      <c r="M997" s="247"/>
    </row>
    <row r="998">
      <c r="A998" s="247"/>
      <c r="B998" s="247"/>
      <c r="C998" s="247"/>
      <c r="D998" s="247"/>
      <c r="E998" s="247"/>
      <c r="F998" s="247"/>
      <c r="G998" s="247"/>
      <c r="H998" s="247"/>
      <c r="I998" s="247"/>
      <c r="J998" s="247"/>
      <c r="K998" s="247"/>
      <c r="L998" s="247"/>
      <c r="M998" s="247"/>
    </row>
    <row r="999">
      <c r="A999" s="247"/>
      <c r="B999" s="247"/>
      <c r="C999" s="247"/>
      <c r="D999" s="247"/>
      <c r="E999" s="247"/>
      <c r="F999" s="247"/>
      <c r="G999" s="247"/>
      <c r="H999" s="247"/>
      <c r="I999" s="247"/>
      <c r="J999" s="247"/>
      <c r="K999" s="247"/>
      <c r="L999" s="247"/>
      <c r="M999" s="247"/>
    </row>
    <row r="1000">
      <c r="A1000" s="247"/>
      <c r="B1000" s="247"/>
      <c r="C1000" s="247"/>
      <c r="D1000" s="247"/>
      <c r="E1000" s="247"/>
      <c r="F1000" s="247"/>
      <c r="G1000" s="247"/>
      <c r="H1000" s="247"/>
      <c r="I1000" s="247"/>
      <c r="J1000" s="247"/>
      <c r="K1000" s="247"/>
      <c r="L1000" s="247"/>
      <c r="M1000" s="24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9" t="s">
        <v>4120</v>
      </c>
      <c r="B1" s="299" t="s">
        <v>4121</v>
      </c>
      <c r="C1" s="299" t="s">
        <v>3877</v>
      </c>
      <c r="D1" s="299" t="s">
        <v>53</v>
      </c>
      <c r="E1" s="299" t="s">
        <v>4122</v>
      </c>
      <c r="F1" s="299" t="s">
        <v>252</v>
      </c>
      <c r="G1" s="299" t="s">
        <v>4123</v>
      </c>
    </row>
    <row r="2">
      <c r="A2" s="300">
        <v>1.0</v>
      </c>
      <c r="B2" s="300" t="s">
        <v>4124</v>
      </c>
      <c r="C2" s="300" t="s">
        <v>3884</v>
      </c>
      <c r="D2" s="300" t="s">
        <v>4125</v>
      </c>
      <c r="E2" s="26" t="s">
        <v>241</v>
      </c>
      <c r="F2" s="26" t="s">
        <v>1485</v>
      </c>
      <c r="G2" s="300" t="s">
        <v>4126</v>
      </c>
    </row>
    <row r="3">
      <c r="A3" s="300">
        <v>2.0</v>
      </c>
      <c r="B3" s="300" t="s">
        <v>4124</v>
      </c>
      <c r="C3" s="300" t="s">
        <v>4127</v>
      </c>
      <c r="D3" s="300" t="s">
        <v>4125</v>
      </c>
      <c r="E3" s="26" t="s">
        <v>681</v>
      </c>
      <c r="F3" s="103" t="s">
        <v>2745</v>
      </c>
      <c r="G3" s="300" t="s">
        <v>4126</v>
      </c>
    </row>
    <row r="4">
      <c r="A4" s="300">
        <v>3.0</v>
      </c>
      <c r="B4" s="300" t="s">
        <v>4124</v>
      </c>
      <c r="C4" s="300" t="s">
        <v>3941</v>
      </c>
      <c r="D4" s="300" t="s">
        <v>4128</v>
      </c>
      <c r="E4" s="26" t="s">
        <v>830</v>
      </c>
      <c r="F4" s="26" t="s">
        <v>1555</v>
      </c>
      <c r="G4" s="300" t="s">
        <v>4126</v>
      </c>
    </row>
    <row r="5">
      <c r="A5" s="300">
        <v>4.0</v>
      </c>
      <c r="B5" s="300" t="s">
        <v>4124</v>
      </c>
      <c r="C5" s="300" t="s">
        <v>4129</v>
      </c>
      <c r="D5" s="300" t="s">
        <v>4128</v>
      </c>
      <c r="E5" s="26" t="s">
        <v>861</v>
      </c>
      <c r="F5" s="103" t="s">
        <v>2753</v>
      </c>
      <c r="G5" s="300" t="s">
        <v>4126</v>
      </c>
    </row>
    <row r="6">
      <c r="A6" s="300">
        <v>5.0</v>
      </c>
      <c r="B6" s="300" t="s">
        <v>4124</v>
      </c>
      <c r="C6" s="300" t="s">
        <v>3955</v>
      </c>
      <c r="D6" s="300" t="s">
        <v>4130</v>
      </c>
      <c r="E6" s="26" t="s">
        <v>1207</v>
      </c>
      <c r="F6" s="103" t="s">
        <v>2819</v>
      </c>
      <c r="G6" s="300" t="s">
        <v>4126</v>
      </c>
    </row>
    <row r="7">
      <c r="A7" s="301"/>
      <c r="B7" s="301"/>
      <c r="C7" s="301"/>
      <c r="D7" s="301"/>
      <c r="E7" s="301"/>
      <c r="F7" s="301"/>
      <c r="G7" s="301"/>
    </row>
    <row r="8">
      <c r="A8" s="139"/>
      <c r="B8" s="139"/>
      <c r="C8" s="139"/>
      <c r="D8" s="139"/>
      <c r="E8" s="139"/>
      <c r="F8" s="139"/>
      <c r="G8" s="139"/>
    </row>
    <row r="9">
      <c r="A9" s="139"/>
      <c r="B9" s="139"/>
      <c r="C9" s="139"/>
      <c r="D9" s="139"/>
      <c r="E9" s="139"/>
      <c r="F9" s="139"/>
      <c r="G9" s="139"/>
    </row>
    <row r="10">
      <c r="A10" s="139"/>
      <c r="B10" s="302" t="s">
        <v>4131</v>
      </c>
      <c r="C10" s="139"/>
      <c r="D10" s="139"/>
      <c r="E10" s="139"/>
      <c r="F10" s="139"/>
      <c r="G10" s="139"/>
    </row>
    <row r="11">
      <c r="A11" s="139"/>
      <c r="B11" s="263" t="s">
        <v>4132</v>
      </c>
      <c r="C11" s="139"/>
      <c r="D11" s="139"/>
      <c r="E11" s="139"/>
      <c r="F11" s="139"/>
      <c r="G11" s="139"/>
    </row>
    <row r="12">
      <c r="A12" s="139"/>
      <c r="B12" s="263" t="s">
        <v>4122</v>
      </c>
      <c r="C12" s="139"/>
      <c r="D12" s="139"/>
      <c r="E12" s="139"/>
      <c r="F12" s="139"/>
      <c r="G12" s="139"/>
    </row>
    <row r="13">
      <c r="A13" s="139"/>
      <c r="B13" s="263" t="s">
        <v>4133</v>
      </c>
      <c r="C13" s="139"/>
      <c r="D13" s="139"/>
      <c r="E13" s="139"/>
      <c r="F13" s="139"/>
      <c r="G13" s="249"/>
    </row>
    <row r="14">
      <c r="A14" s="139"/>
      <c r="C14" s="139"/>
      <c r="D14" s="139"/>
      <c r="E14" s="139"/>
      <c r="F14" s="139"/>
      <c r="G14" s="249"/>
    </row>
    <row r="15">
      <c r="A15" s="139"/>
      <c r="B15" s="52"/>
      <c r="C15" s="139"/>
      <c r="D15" s="139"/>
      <c r="E15" s="139"/>
      <c r="F15" s="139"/>
      <c r="G15" s="249"/>
    </row>
    <row r="16">
      <c r="A16" s="52"/>
      <c r="B16" s="302" t="s">
        <v>4134</v>
      </c>
      <c r="C16" s="52"/>
      <c r="D16" s="52"/>
      <c r="E16" s="52"/>
      <c r="F16" s="52"/>
    </row>
    <row r="17">
      <c r="A17" s="52"/>
      <c r="B17" s="263" t="s">
        <v>4135</v>
      </c>
      <c r="C17" s="52"/>
      <c r="D17" s="52"/>
      <c r="E17" s="52"/>
      <c r="F17" s="52"/>
    </row>
    <row r="18">
      <c r="A18" s="52"/>
      <c r="B18" s="263" t="s">
        <v>4136</v>
      </c>
      <c r="C18" s="52"/>
      <c r="D18" s="52"/>
      <c r="E18" s="52"/>
      <c r="F18" s="52"/>
    </row>
    <row r="19">
      <c r="A19" s="52"/>
      <c r="C19" s="52"/>
      <c r="D19" s="52"/>
      <c r="E19" s="52"/>
      <c r="F19" s="52"/>
    </row>
    <row r="20">
      <c r="A20" s="52"/>
      <c r="B20" s="302" t="s">
        <v>4137</v>
      </c>
      <c r="C20" s="52"/>
      <c r="D20" s="52"/>
      <c r="E20" s="52"/>
      <c r="F20" s="52"/>
    </row>
    <row r="21">
      <c r="A21" s="52"/>
      <c r="B21" s="263" t="s">
        <v>4138</v>
      </c>
      <c r="C21" s="52"/>
      <c r="D21" s="52"/>
      <c r="E21" s="52"/>
      <c r="F21" s="52"/>
    </row>
    <row r="22">
      <c r="A22" s="52"/>
      <c r="B22" s="52"/>
      <c r="C22" s="52"/>
      <c r="D22" s="52"/>
      <c r="E22" s="52"/>
      <c r="F22" s="52"/>
    </row>
    <row r="23">
      <c r="A23" s="52"/>
      <c r="B23" s="52"/>
      <c r="C23" s="52"/>
      <c r="D23" s="52"/>
      <c r="E23" s="52"/>
      <c r="F23" s="52"/>
    </row>
    <row r="24">
      <c r="A24" s="52"/>
      <c r="B24" s="52"/>
      <c r="C24" s="52"/>
      <c r="D24" s="52"/>
      <c r="E24" s="52"/>
      <c r="F24" s="52"/>
    </row>
    <row r="25">
      <c r="A25" s="52"/>
      <c r="B25" s="52"/>
      <c r="C25" s="52"/>
      <c r="D25" s="52"/>
      <c r="E25" s="52"/>
      <c r="F25" s="52"/>
    </row>
  </sheetData>
  <drawing r:id="rId1"/>
</worksheet>
</file>